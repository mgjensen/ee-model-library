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puts" sheetId="2" state="visible" r:id="rId2"/>
    <sheet name="Cover" sheetId="3" state="visible" r:id="rId3"/>
    <sheet name="Revenue" sheetId="4" state="visible" r:id="rId4"/>
    <sheet name="Costs" sheetId="5" state="visible" r:id="rId5"/>
    <sheet name="Debt" sheetId="6" state="visible" r:id="rId6"/>
    <sheet name="FS_Monthly" sheetId="7" state="visible" r:id="rId7"/>
    <sheet name="FS_Annual" sheetId="8" state="visible" r:id="rId8"/>
    <sheet name="Summary" sheetId="9" state="visible" r:id="rId9"/>
    <sheet name="Style Guide" sheetId="10" state="visible" r:id="rId10"/>
  </sheets>
  <definedNames>
    <definedName name="asn_statements_opening_cash_DKKk">'Assumptions'!$B$4</definedName>
    <definedName name="asn_statements_opening_contributed_equity_DKKk">'Assumptions'!$B$5</definedName>
    <definedName name="asn_statements_opening_retained_earnings_DKKk">'Assumptions'!$B$6</definedName>
    <definedName name="asn_statements_opening_fixed_assets_gross_DKKk">'Assumptions'!$B$7</definedName>
    <definedName name="asn_statements_opening_accumulated_depreciation_DKKk">'Assumptions'!$B$8</definedName>
    <definedName name="asn_statements_opening_debt_balance_DKKk">'Assumptions'!$B$9</definedName>
    <definedName name="asn_REV_001_inflation_rate">'Assumptions'!$B$10</definedName>
    <definedName name="asn_REV_001_price_inflation_start_year">'Assumptions'!$B$11</definedName>
    <definedName name="asn_REV_001_price_indexation_start_factor">'Assumptions'!$B$12</definedName>
    <definedName name="asn_REV_001_ppa_management_rate_DKK_per_MWh">'Assumptions'!$B$13</definedName>
    <definedName name="asn_REV_001_external_mode">'Assumptions'!$B$14</definedName>
    <definedName name="asn_REV_002_inflation_rate">'Assumptions'!$B$15</definedName>
    <definedName name="asn_REV_002_power_MW">'Assumptions'!$B$16</definedName>
    <definedName name="asn_REV_002_energy_MWh_installed">'Assumptions'!$B$17</definedName>
    <definedName name="asn_REV_002_round_trip_efficiency">'Assumptions'!$B$18</definedName>
    <definedName name="asn_REV_002_discharge_inflation_start_year">'Assumptions'!$B$19</definedName>
    <definedName name="asn_REV_002_discharge_indexation_start_factor">'Assumptions'!$B$20</definedName>
    <definedName name="asn_REV_002_charge_inflation_start_year">'Assumptions'!$B$21</definedName>
    <definedName name="asn_REV_002_charge_indexation_start_factor">'Assumptions'!$B$22</definedName>
    <definedName name="asn_REV_002_net_loss_pct">'Assumptions'!$B$23</definedName>
    <definedName name="asn_REV_002_net_loss_markup_DKK_per_MWh">'Assumptions'!$B$24</definedName>
    <definedName name="asn_REV_002_grid_import_fee_DKK_per_MW_annual">'Assumptions'!$B$25</definedName>
    <definedName name="asn_REV_002_tolling_active">'Assumptions'!$B$26</definedName>
    <definedName name="asn_REV_002_tolling_contracted_mw">'Assumptions'!$B$27</definedName>
    <definedName name="asn_REV_002_tolling_price_DKK_per_mw_per_year">'Assumptions'!$B$28</definedName>
    <definedName name="asn_REV_002_tolling_start_period">'Assumptions'!$B$29</definedName>
    <definedName name="asn_REV_002_tolling_end_period">'Assumptions'!$B$30</definedName>
    <definedName name="asn_REV_002_tolling_inflation_rate">'Assumptions'!$B$31</definedName>
    <definedName name="asn_REV_002_tolling_inflation_start_year">'Assumptions'!$B$32</definedName>
    <definedName name="asn_REV_002_fcas_active">'Assumptions'!$B$33</definedName>
    <definedName name="asn_REV_002_vta_active">'Assumptions'!$B$34</definedName>
    <definedName name="asn_REV_002_vta_colocation_active">'Assumptions'!$B$35</definedName>
    <definedName name="asn_REV_002_vta_capacity_shortfall_active">'Assumptions'!$B$36</definedName>
    <definedName name="asn_REV_002_vta_degradation_active">'Assumptions'!$B$37</definedName>
    <definedName name="asn_REV_002_vta_transmission_active">'Assumptions'!$B$38</definedName>
    <definedName name="asn_REV_002_external_mode">'Assumptions'!$B$39</definedName>
    <definedName name="asn_OPEX_001_inflation_rate">'Assumptions'!$B$40</definedName>
    <definedName name="asn_OPEX_001_sensitivity_factor">'Assumptions'!$B$41</definedName>
    <definedName name="asn_OPEX_001_capacity_mwp">'Assumptions'!$B$42</definedName>
    <definedName name="asn_OPEX_001_inverter_warranty_end_period">'Assumptions'!$B$43</definedName>
    <definedName name="asn_OPEX_001_land_rented_ha">'Assumptions'!$B$44</definedName>
    <definedName name="asn_OPEX_001_land_owned_ha">'Assumptions'!$B$45</definedName>
    <definedName name="asn_OPEX_001_guarantee_amount_DKKk">'Assumptions'!$B$46</definedName>
    <definedName name="asn_OPEX_001_guarantee_rate">'Assumptions'!$B$47</definedName>
    <definedName name="asn_OPEX_001_ve_bonus_pct">'Assumptions'!$B$48</definedName>
    <definedName name="asn_OPEX_001_self_consumption_mwh_per_mwp_annual">'Assumptions'!$B$49</definedName>
    <definedName name="asn_OPEX_001_sc_inflation_start_year">'Assumptions'!$B$50</definedName>
    <definedName name="asn_OPEX_001_sc_indexation_start_factor">'Assumptions'!$B$51</definedName>
    <definedName name="asn_OPEX_002_inflation_rate">'Assumptions'!$B$52</definedName>
    <definedName name="asn_OPEX_002_sensitivity_factor">'Assumptions'!$B$53</definedName>
    <definedName name="asn_OPEX_002_trading_cost_DKK_per_MWh">'Assumptions'!$B$54</definedName>
    <definedName name="asn_OPEX_002_trading_inflation_start_year">'Assumptions'!$B$55</definedName>
    <definedName name="asn_OPEX_002_trading_indexation_start_factor">'Assumptions'!$B$56</definedName>
    <definedName name="asn_CAPEX_001_construction_start_period">'Assumptions'!$B$57</definedName>
    <definedName name="asn_CAPEX_001_construction_periods">'Assumptions'!$B$58</definedName>
    <definedName name="asn_CAPEX_001_epc_DKKk">'Assumptions'!$B$59</definedName>
    <definedName name="asn_CAPEX_001_grid_connection_DKKk">'Assumptions'!$B$60</definedName>
    <definedName name="asn_CAPEX_001_development_DKKk">'Assumptions'!$B$61</definedName>
    <definedName name="asn_CAPEX_001_land_DKKk">'Assumptions'!$B$62</definedName>
    <definedName name="asn_CAPEX_001_contingency_pct">'Assumptions'!$B$63</definedName>
    <definedName name="asn_CAPEX_001_other_DKKk">'Assumptions'!$B$64</definedName>
    <definedName name="asn_CAPEX_001_sensitivity_factor">'Assumptions'!$B$65</definedName>
    <definedName name="asn_CAPEX_001_repowering_cost_DKKk">'Assumptions'!$B$66</definedName>
    <definedName name="asn_CAPEX_001_repowering_period">'Assumptions'!$B$67</definedName>
    <definedName name="asn_CAPEX_001_repowering_drawdown_months">'Assumptions'!$B$68</definedName>
    <definedName name="asn_DEBT_001_facility">'Assumptions'!$B$69</definedName>
    <definedName name="asn_DEBT_001_all_in_rate">'Assumptions'!$B$70</definedName>
    <definedName name="asn_DEBT_001_tenor_months">'Assumptions'!$B$71</definedName>
    <definedName name="asn_DEBT_001_repayment_start_period">'Assumptions'!$B$72</definedName>
    <definedName name="asn_DEBT_001_dscr_covenant">'Assumptions'!$B$73</definedName>
    <definedName name="asn_DEBT_001_cash_sweep_pct">'Assumptions'!$B$74</definedName>
    <definedName name="asn_TAX_AU_001_tax_rate">'Assumptions'!$B$75</definedName>
    <definedName name="asn_TAX_AU_001_loss_cf_active">'Assumptions'!$B$76</definedName>
    <definedName name="asn_TAX_AU_001_tax_payment_month">'Assumptions'!$B$77</definedName>
    <definedName name="_xlnm.Print_Titles" localSheetId="3">'Revenue'!$1:$4,'Revenue'!$A:$K</definedName>
    <definedName name="_xlnm.Print_Titles" localSheetId="4">'Costs'!$1:$4,'Costs'!$A:$K</definedName>
    <definedName name="_xlnm.Print_Titles" localSheetId="5">'Debt'!$1:$4,'Debt'!$A:$K</definedName>
    <definedName name="_xlnm.Print_Titles" localSheetId="6">'FS_Monthly'!$1:$4,'FS_Monthly'!$A:$K</definedName>
    <definedName name="_xlnm.Print_Titles" localSheetId="7">'FS_Annual'!$1:$4,'FS_Annual'!$A:$K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0.000"/>
    <numFmt numFmtId="167" formatCode="dd mmm yy"/>
    <numFmt numFmtId="168" formatCode="0.00&quot;x&quot;"/>
    <numFmt numFmtId="169" formatCode="0.0%"/>
    <numFmt numFmtId="170" formatCode="#,##0_);(#,##0);&quot;-  &quot;;&quot; &quot;@&quot; &quot;"/>
    <numFmt numFmtId="171" formatCode="MMM-YY"/>
  </numFmts>
  <fonts count="23">
    <font>
      <name val="Calibri"/>
      <family val="2"/>
      <color theme="1"/>
      <sz val="11"/>
      <scheme val="minor"/>
    </font>
    <font>
      <b val="1"/>
      <sz val="14"/>
    </font>
    <font>
      <b val="1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i val="1"/>
      <color rgb="00A6A6A6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i val="1"/>
      <color rgb="00A6A6A6"/>
      <sz val="8"/>
    </font>
    <font>
      <name val="Arial"/>
      <color rgb="00000000"/>
      <sz val="14"/>
    </font>
    <font>
      <name val="Arial"/>
      <b val="1"/>
      <color rgb="00000000"/>
      <sz val="10"/>
    </font>
    <font>
      <name val="Arial"/>
      <b val="1"/>
      <color rgb="00FF0000"/>
      <sz val="10"/>
    </font>
    <font>
      <name val="Arial"/>
      <color rgb="00FF0000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</font>
    <font>
      <name val="Arial"/>
      <color rgb="00FF000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08080"/>
      </patternFill>
    </fill>
    <fill>
      <patternFill patternType="solid">
        <fgColor rgb="0044546A"/>
      </patternFill>
    </fill>
    <fill>
      <patternFill patternType="solid">
        <fgColor rgb="00EBF3FB"/>
      </patternFill>
    </fill>
    <fill>
      <patternFill patternType="solid">
        <fgColor rgb="00F2F2F2"/>
      </patternFill>
    </fill>
    <fill>
      <patternFill patternType="solid">
        <fgColor rgb="00DDDDDD"/>
      </patternFill>
    </fill>
    <fill>
      <patternFill patternType="solid">
        <fgColor rgb="00F8F8F8"/>
      </patternFill>
    </fill>
    <fill>
      <patternFill patternType="solid">
        <fgColor rgb="00EAEAEA"/>
      </patternFill>
    </fill>
  </fills>
  <borders count="5">
    <border>
      <left/>
      <right/>
      <top/>
      <bottom/>
      <diagonal/>
    </border>
    <border>
      <top style="thin"/>
      <bottom style="thin"/>
    </border>
    <border>
      <bottom style="thin">
        <color rgb="00000000"/>
      </bottom>
    </border>
    <border>
      <bottom style="medium">
        <color rgb="00000000"/>
      </bottom>
    </border>
    <border>
      <top style="thin"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4" fontId="0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2" fontId="5" fillId="2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8" fillId="7" borderId="0" pivotButton="0" quotePrefix="0" xfId="0"/>
    <xf numFmtId="0" fontId="0" fillId="6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7" fontId="0" fillId="0" borderId="0" pivotButton="0" quotePrefix="0" xfId="0"/>
    <xf numFmtId="0" fontId="0" fillId="8" borderId="0" pivotButton="0" quotePrefix="0" xfId="0"/>
    <xf numFmtId="1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3" fontId="15" fillId="6" borderId="0" pivotButton="0" quotePrefix="0" xfId="0"/>
    <xf numFmtId="3" fontId="15" fillId="0" borderId="0" pivotButton="0" quotePrefix="0" xfId="0"/>
    <xf numFmtId="0" fontId="16" fillId="0" borderId="0" pivotButton="0" quotePrefix="0" xfId="0"/>
    <xf numFmtId="166" fontId="16" fillId="6" borderId="0" pivotButton="0" quotePrefix="0" xfId="0"/>
    <xf numFmtId="166" fontId="16" fillId="0" borderId="0" pivotButton="0" quotePrefix="0" xfId="0"/>
    <xf numFmtId="3" fontId="16" fillId="6" borderId="0" pivotButton="0" quotePrefix="0" xfId="0"/>
    <xf numFmtId="3" fontId="16" fillId="0" borderId="0" pivotButton="0" quotePrefix="0" xfId="0"/>
    <xf numFmtId="0" fontId="14" fillId="0" borderId="2" pivotButton="0" quotePrefix="0" xfId="0"/>
    <xf numFmtId="0" fontId="15" fillId="0" borderId="2" pivotButton="0" quotePrefix="0" xfId="0"/>
    <xf numFmtId="3" fontId="15" fillId="6" borderId="2" pivotButton="0" quotePrefix="0" xfId="0"/>
    <xf numFmtId="3" fontId="15" fillId="0" borderId="2" pivotButton="0" quotePrefix="0" xfId="0"/>
    <xf numFmtId="0" fontId="13" fillId="9" borderId="0" pivotButton="0" quotePrefix="0" xfId="0"/>
    <xf numFmtId="0" fontId="13" fillId="7" borderId="0" pivotButton="0" quotePrefix="0" xfId="0"/>
    <xf numFmtId="0" fontId="14" fillId="0" borderId="3" pivotButton="0" quotePrefix="0" xfId="0"/>
    <xf numFmtId="0" fontId="15" fillId="0" borderId="3" pivotButton="0" quotePrefix="0" xfId="0"/>
    <xf numFmtId="3" fontId="15" fillId="6" borderId="3" pivotButton="0" quotePrefix="0" xfId="0"/>
    <xf numFmtId="3" fontId="15" fillId="0" borderId="3" pivotButton="0" quotePrefix="0" xfId="0"/>
    <xf numFmtId="168" fontId="15" fillId="6" borderId="0" pivotButton="0" quotePrefix="0" xfId="0"/>
    <xf numFmtId="168" fontId="15" fillId="0" borderId="0" pivotButton="0" quotePrefix="0" xfId="0"/>
    <xf numFmtId="168" fontId="16" fillId="6" borderId="0" pivotButton="0" quotePrefix="0" xfId="0"/>
    <xf numFmtId="168" fontId="16" fillId="0" borderId="0" pivotButton="0" quotePrefix="0" xfId="0"/>
    <xf numFmtId="169" fontId="16" fillId="6" borderId="0" pivotButton="0" quotePrefix="0" xfId="0"/>
    <xf numFmtId="169" fontId="16" fillId="0" borderId="0" pivotButton="0" quotePrefix="0" xfId="0"/>
    <xf numFmtId="0" fontId="13" fillId="0" borderId="2" pivotButton="0" quotePrefix="0" xfId="0"/>
    <xf numFmtId="0" fontId="16" fillId="0" borderId="2" pivotButton="0" quotePrefix="0" xfId="0"/>
    <xf numFmtId="3" fontId="16" fillId="6" borderId="2" pivotButton="0" quotePrefix="0" xfId="0"/>
    <xf numFmtId="3" fontId="16" fillId="0" borderId="2" pivotButton="0" quotePrefix="0" xfId="0"/>
    <xf numFmtId="10" fontId="0" fillId="0" borderId="0" pivotButton="0" quotePrefix="0" xfId="0"/>
    <xf numFmtId="4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18" fillId="0" borderId="4" pivotButton="0" quotePrefix="0" xfId="0"/>
    <xf numFmtId="0" fontId="0" fillId="0" borderId="4" pivotButton="0" quotePrefix="0" xfId="0"/>
    <xf numFmtId="0" fontId="18" fillId="0" borderId="1" pivotButton="0" quotePrefix="0" xfId="0"/>
    <xf numFmtId="0" fontId="0" fillId="0" borderId="1" pivotButton="0" quotePrefix="0" xfId="0"/>
    <xf numFmtId="170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0000"/>
        </patternFill>
      </fill>
    </dxf>
    <dxf>
      <fill>
        <patternFill patternType="solid">
          <fgColor rgb="0099FF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EE Model Library</author>
  </authors>
  <commentList>
    <comment ref="F5" authorId="0" shapeId="0">
      <text>
        <t>1 = Bank / Lender    2 = IC    3 = Audit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showGridLines="0" zoomScale="8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28" customWidth="1" min="4" max="4"/>
  </cols>
  <sheetData>
    <row r="1">
      <c r="A1" s="1" t="inlineStr">
        <is>
          <t>Assumptions</t>
        </is>
      </c>
    </row>
    <row r="3">
      <c r="A3" s="2" t="inlineStr">
        <is>
          <t>Module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Field</t>
        </is>
      </c>
    </row>
    <row r="4">
      <c r="A4" t="inlineStr">
        <is>
          <t>Statements.opening_cash_DKKk</t>
        </is>
      </c>
      <c r="B4" s="3" t="n">
        <v>0</v>
      </c>
      <c r="D4" t="inlineStr">
        <is>
          <t>opening_cash_DKKk</t>
        </is>
      </c>
    </row>
    <row r="5">
      <c r="A5" t="inlineStr">
        <is>
          <t>Statements.opening_contributed_equity_DKKk</t>
        </is>
      </c>
      <c r="B5" s="3" t="n">
        <v>329072</v>
      </c>
      <c r="D5" t="inlineStr">
        <is>
          <t>opening_contributed_equity_DKKk</t>
        </is>
      </c>
    </row>
    <row r="6">
      <c r="A6" t="inlineStr">
        <is>
          <t>Statements.opening_retained_earnings_DKKk</t>
        </is>
      </c>
      <c r="B6" s="3" t="n">
        <v>0</v>
      </c>
      <c r="D6" t="inlineStr">
        <is>
          <t>opening_retained_earnings_DKKk</t>
        </is>
      </c>
    </row>
    <row r="7">
      <c r="A7" t="inlineStr">
        <is>
          <t>Statements.opening_fixed_assets_gross_DKKk</t>
        </is>
      </c>
      <c r="B7" s="3" t="n">
        <v>0</v>
      </c>
      <c r="D7" t="inlineStr">
        <is>
          <t>opening_fixed_assets_gross_DKKk</t>
        </is>
      </c>
    </row>
    <row r="8">
      <c r="A8" t="inlineStr">
        <is>
          <t>Statements.opening_accumulated_depreciation_DKKk</t>
        </is>
      </c>
      <c r="B8" s="3" t="n">
        <v>0</v>
      </c>
      <c r="D8" t="inlineStr">
        <is>
          <t>opening_accumulated_depreciation_DKKk</t>
        </is>
      </c>
    </row>
    <row r="9">
      <c r="A9" t="inlineStr">
        <is>
          <t>Statements.opening_debt_balance_DKKk</t>
        </is>
      </c>
      <c r="B9" s="3" t="n">
        <v>0</v>
      </c>
      <c r="D9" t="inlineStr">
        <is>
          <t>opening_debt_balance_DKKk</t>
        </is>
      </c>
    </row>
    <row r="10">
      <c r="A10" t="inlineStr">
        <is>
          <t>REV_001.inflation_rate</t>
        </is>
      </c>
      <c r="B10" s="3" t="n">
        <v>0</v>
      </c>
      <c r="D10" t="inlineStr">
        <is>
          <t>inflation_rate</t>
        </is>
      </c>
    </row>
    <row r="11">
      <c r="A11" t="inlineStr">
        <is>
          <t>REV_001.price_inflation_start_year</t>
        </is>
      </c>
      <c r="B11" s="3" t="n">
        <v>2025</v>
      </c>
      <c r="D11" t="inlineStr">
        <is>
          <t>price_inflation_start_year</t>
        </is>
      </c>
    </row>
    <row r="12">
      <c r="A12" t="inlineStr">
        <is>
          <t>REV_001.price_indexation_start_factor</t>
        </is>
      </c>
      <c r="B12" s="3" t="n">
        <v>1</v>
      </c>
      <c r="D12" t="inlineStr">
        <is>
          <t>price_indexation_start_factor</t>
        </is>
      </c>
    </row>
    <row r="13">
      <c r="A13" t="inlineStr">
        <is>
          <t>REV_001.ppa_management_rate_DKK_per_MWh</t>
        </is>
      </c>
      <c r="B13" s="3" t="n">
        <v>0</v>
      </c>
      <c r="D13" t="inlineStr">
        <is>
          <t>ppa_management_rate_DKK_per_MWh</t>
        </is>
      </c>
    </row>
    <row r="14">
      <c r="A14" t="inlineStr">
        <is>
          <t>REV_001.external_mode</t>
        </is>
      </c>
      <c r="B14" s="3" t="b">
        <v>0</v>
      </c>
      <c r="D14" t="inlineStr">
        <is>
          <t>external_mode</t>
        </is>
      </c>
    </row>
    <row r="15">
      <c r="A15" t="inlineStr">
        <is>
          <t>REV_002.inflation_rate</t>
        </is>
      </c>
      <c r="B15" s="3" t="n">
        <v>0.025</v>
      </c>
      <c r="D15" t="inlineStr">
        <is>
          <t>inflation_rate</t>
        </is>
      </c>
    </row>
    <row r="16">
      <c r="A16" t="inlineStr">
        <is>
          <t>REV_002.power_MW</t>
        </is>
      </c>
      <c r="B16" s="3" t="n">
        <v>550</v>
      </c>
      <c r="D16" t="inlineStr">
        <is>
          <t>power_MW</t>
        </is>
      </c>
    </row>
    <row r="17">
      <c r="A17" t="inlineStr">
        <is>
          <t>REV_002.energy_MWh_installed</t>
        </is>
      </c>
      <c r="B17" s="3" t="n">
        <v>1100</v>
      </c>
      <c r="D17" t="inlineStr">
        <is>
          <t>energy_MWh_installed</t>
        </is>
      </c>
    </row>
    <row r="18">
      <c r="A18" t="inlineStr">
        <is>
          <t>REV_002.round_trip_efficiency</t>
        </is>
      </c>
      <c r="B18" s="3" t="n">
        <v>0.82</v>
      </c>
      <c r="D18" t="inlineStr">
        <is>
          <t>round_trip_efficiency</t>
        </is>
      </c>
    </row>
    <row r="19">
      <c r="A19" t="inlineStr">
        <is>
          <t>REV_002.discharge_inflation_start_year</t>
        </is>
      </c>
      <c r="B19" s="3" t="n">
        <v>2025</v>
      </c>
      <c r="D19" t="inlineStr">
        <is>
          <t>discharge_inflation_start_year</t>
        </is>
      </c>
    </row>
    <row r="20">
      <c r="A20" t="inlineStr">
        <is>
          <t>REV_002.discharge_indexation_start_factor</t>
        </is>
      </c>
      <c r="B20" s="3" t="n">
        <v>1</v>
      </c>
      <c r="D20" t="inlineStr">
        <is>
          <t>discharge_indexation_start_factor</t>
        </is>
      </c>
    </row>
    <row r="21">
      <c r="A21" t="inlineStr">
        <is>
          <t>REV_002.charge_inflation_start_year</t>
        </is>
      </c>
      <c r="B21" s="3" t="n">
        <v>2025</v>
      </c>
      <c r="D21" t="inlineStr">
        <is>
          <t>charge_inflation_start_year</t>
        </is>
      </c>
    </row>
    <row r="22">
      <c r="A22" t="inlineStr">
        <is>
          <t>REV_002.charge_indexation_start_factor</t>
        </is>
      </c>
      <c r="B22" s="3" t="n">
        <v>1</v>
      </c>
      <c r="D22" t="inlineStr">
        <is>
          <t>charge_indexation_start_factor</t>
        </is>
      </c>
    </row>
    <row r="23">
      <c r="A23" t="inlineStr">
        <is>
          <t>REV_002.net_loss_pct</t>
        </is>
      </c>
      <c r="B23" s="3" t="n">
        <v>0</v>
      </c>
      <c r="D23" t="inlineStr">
        <is>
          <t>net_loss_pct</t>
        </is>
      </c>
    </row>
    <row r="24">
      <c r="A24" t="inlineStr">
        <is>
          <t>REV_002.net_loss_markup_DKK_per_MWh</t>
        </is>
      </c>
      <c r="B24" s="3" t="n">
        <v>0</v>
      </c>
      <c r="D24" t="inlineStr">
        <is>
          <t>net_loss_markup_DKK_per_MWh</t>
        </is>
      </c>
    </row>
    <row r="25">
      <c r="A25" t="inlineStr">
        <is>
          <t>REV_002.grid_import_fee_DKK_per_MW_annual</t>
        </is>
      </c>
      <c r="B25" s="3" t="n">
        <v>0</v>
      </c>
      <c r="D25" t="inlineStr">
        <is>
          <t>grid_import_fee_DKK_per_MW_annual</t>
        </is>
      </c>
    </row>
    <row r="26">
      <c r="A26" t="inlineStr">
        <is>
          <t>REV_002.tolling_active</t>
        </is>
      </c>
      <c r="B26" s="3" t="b">
        <v>0</v>
      </c>
      <c r="D26" t="inlineStr">
        <is>
          <t>tolling_active</t>
        </is>
      </c>
    </row>
    <row r="27">
      <c r="A27" t="inlineStr">
        <is>
          <t>REV_002.tolling_contracted_mw</t>
        </is>
      </c>
      <c r="B27" s="3" t="n">
        <v>0</v>
      </c>
      <c r="D27" t="inlineStr">
        <is>
          <t>tolling_contracted_mw</t>
        </is>
      </c>
    </row>
    <row r="28">
      <c r="A28" t="inlineStr">
        <is>
          <t>REV_002.tolling_price_DKK_per_mw_per_year</t>
        </is>
      </c>
      <c r="B28" s="3" t="n">
        <v>0</v>
      </c>
      <c r="D28" t="inlineStr">
        <is>
          <t>tolling_price_DKK_per_mw_per_year</t>
        </is>
      </c>
    </row>
    <row r="29">
      <c r="A29" t="inlineStr">
        <is>
          <t>REV_002.tolling_start_period</t>
        </is>
      </c>
      <c r="B29" s="3" t="n">
        <v>0</v>
      </c>
      <c r="D29" t="inlineStr">
        <is>
          <t>tolling_start_period</t>
        </is>
      </c>
    </row>
    <row r="30">
      <c r="A30" t="inlineStr">
        <is>
          <t>REV_002.tolling_end_period</t>
        </is>
      </c>
      <c r="B30" s="3" t="n">
        <v>0</v>
      </c>
      <c r="D30" t="inlineStr">
        <is>
          <t>tolling_end_period</t>
        </is>
      </c>
    </row>
    <row r="31">
      <c r="A31" t="inlineStr">
        <is>
          <t>REV_002.tolling_inflation_rate</t>
        </is>
      </c>
      <c r="B31" s="3" t="n">
        <v>0.025</v>
      </c>
      <c r="D31" t="inlineStr">
        <is>
          <t>tolling_inflation_rate</t>
        </is>
      </c>
    </row>
    <row r="32">
      <c r="A32" t="inlineStr">
        <is>
          <t>REV_002.tolling_inflation_start_year</t>
        </is>
      </c>
      <c r="B32" s="3" t="n">
        <v>2025</v>
      </c>
      <c r="D32" t="inlineStr">
        <is>
          <t>tolling_inflation_start_year</t>
        </is>
      </c>
    </row>
    <row r="33">
      <c r="A33" t="inlineStr">
        <is>
          <t>REV_002.fcas_active</t>
        </is>
      </c>
      <c r="B33" s="3" t="b">
        <v>0</v>
      </c>
      <c r="D33" t="inlineStr">
        <is>
          <t>fcas_active</t>
        </is>
      </c>
    </row>
    <row r="34">
      <c r="A34" t="inlineStr">
        <is>
          <t>REV_002.vta_active</t>
        </is>
      </c>
      <c r="B34" s="3" t="b">
        <v>0</v>
      </c>
      <c r="D34" t="inlineStr">
        <is>
          <t>vta_active</t>
        </is>
      </c>
    </row>
    <row r="35">
      <c r="A35" t="inlineStr">
        <is>
          <t>REV_002.vta_colocation_active</t>
        </is>
      </c>
      <c r="B35" s="3" t="b">
        <v>0</v>
      </c>
      <c r="D35" t="inlineStr">
        <is>
          <t>vta_colocation_active</t>
        </is>
      </c>
    </row>
    <row r="36">
      <c r="A36" t="inlineStr">
        <is>
          <t>REV_002.vta_capacity_shortfall_active</t>
        </is>
      </c>
      <c r="B36" s="3" t="b">
        <v>0</v>
      </c>
      <c r="D36" t="inlineStr">
        <is>
          <t>vta_capacity_shortfall_active</t>
        </is>
      </c>
    </row>
    <row r="37">
      <c r="A37" t="inlineStr">
        <is>
          <t>REV_002.vta_degradation_active</t>
        </is>
      </c>
      <c r="B37" s="3" t="b">
        <v>0</v>
      </c>
      <c r="D37" t="inlineStr">
        <is>
          <t>vta_degradation_active</t>
        </is>
      </c>
    </row>
    <row r="38">
      <c r="A38" t="inlineStr">
        <is>
          <t>REV_002.vta_transmission_active</t>
        </is>
      </c>
      <c r="B38" s="3" t="b">
        <v>0</v>
      </c>
      <c r="D38" t="inlineStr">
        <is>
          <t>vta_transmission_active</t>
        </is>
      </c>
    </row>
    <row r="39">
      <c r="A39" t="inlineStr">
        <is>
          <t>REV_002.external_mode</t>
        </is>
      </c>
      <c r="B39" s="3" t="b">
        <v>1</v>
      </c>
      <c r="D39" t="inlineStr">
        <is>
          <t>external_mode</t>
        </is>
      </c>
    </row>
    <row r="40">
      <c r="A40" t="inlineStr">
        <is>
          <t>OPEX_001.inflation_rate</t>
        </is>
      </c>
      <c r="B40" s="3" t="n">
        <v>0.025</v>
      </c>
      <c r="D40" t="inlineStr">
        <is>
          <t>inflation_rate</t>
        </is>
      </c>
    </row>
    <row r="41">
      <c r="A41" t="inlineStr">
        <is>
          <t>OPEX_001.sensitivity_factor</t>
        </is>
      </c>
      <c r="B41" s="3" t="n">
        <v>1</v>
      </c>
      <c r="D41" t="inlineStr">
        <is>
          <t>sensitivity_factor</t>
        </is>
      </c>
    </row>
    <row r="42">
      <c r="A42" t="inlineStr">
        <is>
          <t>OPEX_001.capacity_mwp</t>
        </is>
      </c>
      <c r="B42" s="3" t="n">
        <v>1500</v>
      </c>
      <c r="D42" t="inlineStr">
        <is>
          <t>capacity_mwp</t>
        </is>
      </c>
    </row>
    <row r="43">
      <c r="A43" t="inlineStr">
        <is>
          <t>OPEX_001.inverter_warranty_end_period</t>
        </is>
      </c>
      <c r="B43" s="3" t="n">
        <v>0</v>
      </c>
      <c r="D43" t="inlineStr">
        <is>
          <t>inverter_warranty_end_period</t>
        </is>
      </c>
    </row>
    <row r="44">
      <c r="A44" t="inlineStr">
        <is>
          <t>OPEX_001.land_rented_ha</t>
        </is>
      </c>
      <c r="B44" s="3" t="n">
        <v>0</v>
      </c>
      <c r="D44" t="inlineStr">
        <is>
          <t>land_rented_ha</t>
        </is>
      </c>
    </row>
    <row r="45">
      <c r="A45" t="inlineStr">
        <is>
          <t>OPEX_001.land_owned_ha</t>
        </is>
      </c>
      <c r="B45" s="3" t="n">
        <v>0</v>
      </c>
      <c r="D45" t="inlineStr">
        <is>
          <t>land_owned_ha</t>
        </is>
      </c>
    </row>
    <row r="46">
      <c r="A46" t="inlineStr">
        <is>
          <t>OPEX_001.guarantee_amount_DKKk</t>
        </is>
      </c>
      <c r="B46" s="3" t="n">
        <v>0</v>
      </c>
      <c r="D46" t="inlineStr">
        <is>
          <t>guarantee_amount_DKKk</t>
        </is>
      </c>
    </row>
    <row r="47">
      <c r="A47" t="inlineStr">
        <is>
          <t>OPEX_001.guarantee_rate</t>
        </is>
      </c>
      <c r="B47" s="3" t="n">
        <v>0</v>
      </c>
      <c r="D47" t="inlineStr">
        <is>
          <t>guarantee_rate</t>
        </is>
      </c>
    </row>
    <row r="48">
      <c r="A48" t="inlineStr">
        <is>
          <t>OPEX_001.ve_bonus_pct</t>
        </is>
      </c>
      <c r="B48" s="3" t="n">
        <v>0</v>
      </c>
      <c r="D48" t="inlineStr">
        <is>
          <t>ve_bonus_pct</t>
        </is>
      </c>
    </row>
    <row r="49">
      <c r="A49" t="inlineStr">
        <is>
          <t>OPEX_001.self_consumption_mwh_per_mwp_annual</t>
        </is>
      </c>
      <c r="B49" s="3" t="n">
        <v>0</v>
      </c>
      <c r="D49" t="inlineStr">
        <is>
          <t>self_consumption_mwh_per_mwp_annual</t>
        </is>
      </c>
    </row>
    <row r="50">
      <c r="A50" t="inlineStr">
        <is>
          <t>OPEX_001.sc_inflation_start_year</t>
        </is>
      </c>
      <c r="B50" s="3" t="n">
        <v>2025</v>
      </c>
      <c r="D50" t="inlineStr">
        <is>
          <t>sc_inflation_start_year</t>
        </is>
      </c>
    </row>
    <row r="51">
      <c r="A51" t="inlineStr">
        <is>
          <t>OPEX_001.sc_indexation_start_factor</t>
        </is>
      </c>
      <c r="B51" s="3" t="n">
        <v>1</v>
      </c>
      <c r="D51" t="inlineStr">
        <is>
          <t>sc_indexation_start_factor</t>
        </is>
      </c>
    </row>
    <row r="52">
      <c r="A52" t="inlineStr">
        <is>
          <t>OPEX_002.inflation_rate</t>
        </is>
      </c>
      <c r="B52" s="3" t="n">
        <v>0.025</v>
      </c>
      <c r="D52" t="inlineStr">
        <is>
          <t>inflation_rate</t>
        </is>
      </c>
    </row>
    <row r="53">
      <c r="A53" t="inlineStr">
        <is>
          <t>OPEX_002.sensitivity_factor</t>
        </is>
      </c>
      <c r="B53" s="3" t="n">
        <v>1</v>
      </c>
      <c r="D53" t="inlineStr">
        <is>
          <t>sensitivity_factor</t>
        </is>
      </c>
    </row>
    <row r="54">
      <c r="A54" t="inlineStr">
        <is>
          <t>OPEX_002.trading_cost_DKK_per_MWh</t>
        </is>
      </c>
      <c r="B54" s="3" t="n">
        <v>0</v>
      </c>
      <c r="D54" t="inlineStr">
        <is>
          <t>trading_cost_DKK_per_MWh</t>
        </is>
      </c>
    </row>
    <row r="55">
      <c r="A55" t="inlineStr">
        <is>
          <t>OPEX_002.trading_inflation_start_year</t>
        </is>
      </c>
      <c r="B55" s="3" t="n">
        <v>2025</v>
      </c>
      <c r="D55" t="inlineStr">
        <is>
          <t>trading_inflation_start_year</t>
        </is>
      </c>
    </row>
    <row r="56">
      <c r="A56" t="inlineStr">
        <is>
          <t>OPEX_002.trading_indexation_start_factor</t>
        </is>
      </c>
      <c r="B56" s="3" t="n">
        <v>1</v>
      </c>
      <c r="D56" t="inlineStr">
        <is>
          <t>trading_indexation_start_factor</t>
        </is>
      </c>
    </row>
    <row r="57">
      <c r="A57" t="inlineStr">
        <is>
          <t>CAPEX_001.construction_start_period</t>
        </is>
      </c>
      <c r="B57" s="3" t="n">
        <v>48</v>
      </c>
      <c r="D57" t="inlineStr">
        <is>
          <t>construction_start_period</t>
        </is>
      </c>
    </row>
    <row r="58">
      <c r="A58" t="inlineStr">
        <is>
          <t>CAPEX_001.construction_periods</t>
        </is>
      </c>
      <c r="B58" s="3" t="n">
        <v>36</v>
      </c>
      <c r="D58" t="inlineStr">
        <is>
          <t>construction_periods</t>
        </is>
      </c>
    </row>
    <row r="59">
      <c r="A59" t="inlineStr">
        <is>
          <t>CAPEX_001.epc_DKKk</t>
        </is>
      </c>
      <c r="B59" s="3" t="n">
        <v>1175256</v>
      </c>
      <c r="D59" t="inlineStr">
        <is>
          <t>epc_DKKk</t>
        </is>
      </c>
    </row>
    <row r="60">
      <c r="A60" t="inlineStr">
        <is>
          <t>CAPEX_001.grid_connection_DKKk</t>
        </is>
      </c>
      <c r="B60" s="3" t="n">
        <v>0</v>
      </c>
      <c r="D60" t="inlineStr">
        <is>
          <t>grid_connection_DKKk</t>
        </is>
      </c>
    </row>
    <row r="61">
      <c r="A61" t="inlineStr">
        <is>
          <t>CAPEX_001.development_DKKk</t>
        </is>
      </c>
      <c r="B61" s="3" t="n">
        <v>0</v>
      </c>
      <c r="D61" t="inlineStr">
        <is>
          <t>development_DKKk</t>
        </is>
      </c>
    </row>
    <row r="62">
      <c r="A62" t="inlineStr">
        <is>
          <t>CAPEX_001.land_DKKk</t>
        </is>
      </c>
      <c r="B62" s="3" t="n">
        <v>0</v>
      </c>
      <c r="D62" t="inlineStr">
        <is>
          <t>land_DKKk</t>
        </is>
      </c>
    </row>
    <row r="63">
      <c r="A63" t="inlineStr">
        <is>
          <t>CAPEX_001.contingency_pct</t>
        </is>
      </c>
      <c r="B63" s="3" t="n">
        <v>0</v>
      </c>
      <c r="D63" t="inlineStr">
        <is>
          <t>contingency_pct</t>
        </is>
      </c>
    </row>
    <row r="64">
      <c r="A64" t="inlineStr">
        <is>
          <t>CAPEX_001.other_DKKk</t>
        </is>
      </c>
      <c r="B64" s="3" t="n">
        <v>0</v>
      </c>
      <c r="D64" t="inlineStr">
        <is>
          <t>other_DKKk</t>
        </is>
      </c>
    </row>
    <row r="65">
      <c r="A65" t="inlineStr">
        <is>
          <t>CAPEX_001.sensitivity_factor</t>
        </is>
      </c>
      <c r="B65" s="3" t="n">
        <v>1</v>
      </c>
      <c r="D65" t="inlineStr">
        <is>
          <t>sensitivity_factor</t>
        </is>
      </c>
    </row>
    <row r="66">
      <c r="A66" t="inlineStr">
        <is>
          <t>CAPEX_001.repowering_cost_DKKk</t>
        </is>
      </c>
      <c r="B66" s="3" t="n">
        <v>0</v>
      </c>
      <c r="D66" t="inlineStr">
        <is>
          <t>repowering_cost_DKKk</t>
        </is>
      </c>
    </row>
    <row r="67">
      <c r="A67" t="inlineStr">
        <is>
          <t>CAPEX_001.repowering_period</t>
        </is>
      </c>
      <c r="B67" s="3" t="n">
        <v>0</v>
      </c>
      <c r="D67" t="inlineStr">
        <is>
          <t>repowering_period</t>
        </is>
      </c>
    </row>
    <row r="68">
      <c r="A68" t="inlineStr">
        <is>
          <t>CAPEX_001.repowering_drawdown_months</t>
        </is>
      </c>
      <c r="B68" s="3" t="n">
        <v>1</v>
      </c>
      <c r="D68" t="inlineStr">
        <is>
          <t>repowering_drawdown_months</t>
        </is>
      </c>
    </row>
    <row r="69">
      <c r="A69" t="inlineStr">
        <is>
          <t>DEBT_001.facility</t>
        </is>
      </c>
      <c r="B69" s="3" t="n">
        <v>846184</v>
      </c>
      <c r="D69" t="inlineStr">
        <is>
          <t>facility</t>
        </is>
      </c>
    </row>
    <row r="70">
      <c r="A70" t="inlineStr">
        <is>
          <t>DEBT_001.all_in_rate</t>
        </is>
      </c>
      <c r="B70" s="3" t="n">
        <v>0.0574</v>
      </c>
      <c r="D70" t="inlineStr">
        <is>
          <t>all_in_rate</t>
        </is>
      </c>
    </row>
    <row r="71">
      <c r="A71" t="inlineStr">
        <is>
          <t>DEBT_001.tenor_months</t>
        </is>
      </c>
      <c r="B71" s="3" t="n">
        <v>300</v>
      </c>
      <c r="D71" t="inlineStr">
        <is>
          <t>tenor_months</t>
        </is>
      </c>
    </row>
    <row r="72">
      <c r="A72" t="inlineStr">
        <is>
          <t>DEBT_001.repayment_start_period</t>
        </is>
      </c>
      <c r="B72" s="3" t="n">
        <v>89</v>
      </c>
      <c r="D72" t="inlineStr">
        <is>
          <t>repayment_start_period</t>
        </is>
      </c>
    </row>
    <row r="73">
      <c r="A73" t="inlineStr">
        <is>
          <t>DEBT_001.dscr_covenant</t>
        </is>
      </c>
      <c r="B73" s="3" t="n">
        <v>1.1</v>
      </c>
      <c r="D73" t="inlineStr">
        <is>
          <t>dscr_covenant</t>
        </is>
      </c>
    </row>
    <row r="74">
      <c r="A74" t="inlineStr">
        <is>
          <t>DEBT_001.cash_sweep_pct</t>
        </is>
      </c>
      <c r="B74" s="3" t="n">
        <v>0</v>
      </c>
      <c r="D74" t="inlineStr">
        <is>
          <t>cash_sweep_pct</t>
        </is>
      </c>
    </row>
    <row r="75">
      <c r="A75" t="inlineStr">
        <is>
          <t>TAX_AU_001.tax_rate</t>
        </is>
      </c>
      <c r="B75" s="3" t="n">
        <v>0.3</v>
      </c>
      <c r="D75" t="inlineStr">
        <is>
          <t>tax_rate</t>
        </is>
      </c>
    </row>
    <row r="76">
      <c r="A76" t="inlineStr">
        <is>
          <t>TAX_AU_001.loss_cf_active</t>
        </is>
      </c>
      <c r="B76" s="3" t="b">
        <v>1</v>
      </c>
      <c r="D76" t="inlineStr">
        <is>
          <t>loss_cf_active</t>
        </is>
      </c>
    </row>
    <row r="77">
      <c r="A77" t="inlineStr">
        <is>
          <t>TAX_AU_001.tax_payment_month</t>
        </is>
      </c>
      <c r="B77" s="3" t="n">
        <v>6</v>
      </c>
      <c r="D77" t="inlineStr">
        <is>
          <t>tax_payment_month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W22"/>
  <sheetViews>
    <sheetView showGridLines="0" zoomScale="80" workbookViewId="0">
      <pane xSplit="11" ySplit="3" topLeftCell="L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>
      <c r="A1" s="1" t="inlineStr">
        <is>
          <t>Inputs</t>
        </is>
      </c>
    </row>
    <row r="2"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>
      <c r="A3" s="2" t="inlineStr">
        <is>
          <t>Module.Field</t>
        </is>
      </c>
      <c r="B3" s="2" t="inlineStr">
        <is>
          <t>Unit</t>
        </is>
      </c>
      <c r="L3" s="2" t="n">
        <v>1</v>
      </c>
      <c r="M3" s="2" t="n">
        <v>2</v>
      </c>
      <c r="N3" s="2" t="n">
        <v>3</v>
      </c>
      <c r="O3" s="2" t="n">
        <v>4</v>
      </c>
      <c r="P3" s="2" t="n">
        <v>5</v>
      </c>
      <c r="Q3" s="2" t="n">
        <v>6</v>
      </c>
      <c r="R3" s="2" t="n">
        <v>7</v>
      </c>
      <c r="S3" s="2" t="n">
        <v>8</v>
      </c>
      <c r="T3" s="2" t="n">
        <v>9</v>
      </c>
      <c r="U3" s="2" t="n">
        <v>10</v>
      </c>
      <c r="V3" s="2" t="n">
        <v>11</v>
      </c>
      <c r="W3" s="2" t="n">
        <v>12</v>
      </c>
      <c r="X3" s="2" t="n">
        <v>13</v>
      </c>
      <c r="Y3" s="2" t="n">
        <v>14</v>
      </c>
      <c r="Z3" s="2" t="n">
        <v>15</v>
      </c>
      <c r="AA3" s="2" t="n">
        <v>16</v>
      </c>
      <c r="AB3" s="2" t="n">
        <v>17</v>
      </c>
      <c r="AC3" s="2" t="n">
        <v>18</v>
      </c>
      <c r="AD3" s="2" t="n">
        <v>19</v>
      </c>
      <c r="AE3" s="2" t="n">
        <v>20</v>
      </c>
      <c r="AF3" s="2" t="n">
        <v>21</v>
      </c>
      <c r="AG3" s="2" t="n">
        <v>22</v>
      </c>
      <c r="AH3" s="2" t="n">
        <v>23</v>
      </c>
      <c r="AI3" s="2" t="n">
        <v>24</v>
      </c>
      <c r="AJ3" s="2" t="n">
        <v>25</v>
      </c>
      <c r="AK3" s="2" t="n">
        <v>26</v>
      </c>
      <c r="AL3" s="2" t="n">
        <v>27</v>
      </c>
      <c r="AM3" s="2" t="n">
        <v>28</v>
      </c>
      <c r="AN3" s="2" t="n">
        <v>29</v>
      </c>
      <c r="AO3" s="2" t="n">
        <v>30</v>
      </c>
      <c r="AP3" s="2" t="n">
        <v>31</v>
      </c>
      <c r="AQ3" s="2" t="n">
        <v>32</v>
      </c>
      <c r="AR3" s="2" t="n">
        <v>33</v>
      </c>
      <c r="AS3" s="2" t="n">
        <v>34</v>
      </c>
      <c r="AT3" s="2" t="n">
        <v>35</v>
      </c>
      <c r="AU3" s="2" t="n">
        <v>36</v>
      </c>
      <c r="AV3" s="2" t="n">
        <v>37</v>
      </c>
      <c r="AW3" s="2" t="n">
        <v>38</v>
      </c>
      <c r="AX3" s="2" t="n">
        <v>39</v>
      </c>
      <c r="AY3" s="2" t="n">
        <v>40</v>
      </c>
      <c r="AZ3" s="2" t="n">
        <v>41</v>
      </c>
      <c r="BA3" s="2" t="n">
        <v>42</v>
      </c>
      <c r="BB3" s="2" t="n">
        <v>43</v>
      </c>
      <c r="BC3" s="2" t="n">
        <v>44</v>
      </c>
      <c r="BD3" s="2" t="n">
        <v>45</v>
      </c>
      <c r="BE3" s="2" t="n">
        <v>46</v>
      </c>
      <c r="BF3" s="2" t="n">
        <v>47</v>
      </c>
      <c r="BG3" s="2" t="n">
        <v>48</v>
      </c>
      <c r="BH3" s="2" t="n">
        <v>49</v>
      </c>
      <c r="BI3" s="2" t="n">
        <v>50</v>
      </c>
      <c r="BJ3" s="2" t="n">
        <v>51</v>
      </c>
      <c r="BK3" s="2" t="n">
        <v>52</v>
      </c>
      <c r="BL3" s="2" t="n">
        <v>53</v>
      </c>
      <c r="BM3" s="2" t="n">
        <v>54</v>
      </c>
      <c r="BN3" s="2" t="n">
        <v>55</v>
      </c>
      <c r="BO3" s="2" t="n">
        <v>56</v>
      </c>
      <c r="BP3" s="2" t="n">
        <v>57</v>
      </c>
      <c r="BQ3" s="2" t="n">
        <v>58</v>
      </c>
      <c r="BR3" s="2" t="n">
        <v>59</v>
      </c>
      <c r="BS3" s="2" t="n">
        <v>60</v>
      </c>
      <c r="BT3" s="2" t="n">
        <v>61</v>
      </c>
      <c r="BU3" s="2" t="n">
        <v>62</v>
      </c>
      <c r="BV3" s="2" t="n">
        <v>63</v>
      </c>
      <c r="BW3" s="2" t="n">
        <v>64</v>
      </c>
      <c r="BX3" s="2" t="n">
        <v>65</v>
      </c>
      <c r="BY3" s="2" t="n">
        <v>66</v>
      </c>
      <c r="BZ3" s="2" t="n">
        <v>67</v>
      </c>
      <c r="CA3" s="2" t="n">
        <v>68</v>
      </c>
      <c r="CB3" s="2" t="n">
        <v>69</v>
      </c>
      <c r="CC3" s="2" t="n">
        <v>70</v>
      </c>
      <c r="CD3" s="2" t="n">
        <v>71</v>
      </c>
      <c r="CE3" s="2" t="n">
        <v>72</v>
      </c>
      <c r="CF3" s="2" t="n">
        <v>73</v>
      </c>
      <c r="CG3" s="2" t="n">
        <v>74</v>
      </c>
      <c r="CH3" s="2" t="n">
        <v>75</v>
      </c>
      <c r="CI3" s="2" t="n">
        <v>76</v>
      </c>
      <c r="CJ3" s="2" t="n">
        <v>77</v>
      </c>
      <c r="CK3" s="2" t="n">
        <v>78</v>
      </c>
      <c r="CL3" s="2" t="n">
        <v>79</v>
      </c>
      <c r="CM3" s="2" t="n">
        <v>80</v>
      </c>
      <c r="CN3" s="2" t="n">
        <v>81</v>
      </c>
      <c r="CO3" s="2" t="n">
        <v>82</v>
      </c>
      <c r="CP3" s="2" t="n">
        <v>83</v>
      </c>
      <c r="CQ3" s="2" t="n">
        <v>84</v>
      </c>
      <c r="CR3" s="2" t="n">
        <v>85</v>
      </c>
      <c r="CS3" s="2" t="n">
        <v>86</v>
      </c>
      <c r="CT3" s="2" t="n">
        <v>87</v>
      </c>
      <c r="CU3" s="2" t="n">
        <v>88</v>
      </c>
      <c r="CV3" s="2" t="n">
        <v>89</v>
      </c>
      <c r="CW3" s="2" t="n">
        <v>90</v>
      </c>
      <c r="CX3" s="2" t="n">
        <v>91</v>
      </c>
      <c r="CY3" s="2" t="n">
        <v>92</v>
      </c>
      <c r="CZ3" s="2" t="n">
        <v>93</v>
      </c>
      <c r="DA3" s="2" t="n">
        <v>94</v>
      </c>
      <c r="DB3" s="2" t="n">
        <v>95</v>
      </c>
      <c r="DC3" s="2" t="n">
        <v>96</v>
      </c>
      <c r="DD3" s="2" t="n">
        <v>97</v>
      </c>
      <c r="DE3" s="2" t="n">
        <v>98</v>
      </c>
      <c r="DF3" s="2" t="n">
        <v>99</v>
      </c>
      <c r="DG3" s="2" t="n">
        <v>100</v>
      </c>
      <c r="DH3" s="2" t="n">
        <v>101</v>
      </c>
      <c r="DI3" s="2" t="n">
        <v>102</v>
      </c>
      <c r="DJ3" s="2" t="n">
        <v>103</v>
      </c>
      <c r="DK3" s="2" t="n">
        <v>104</v>
      </c>
      <c r="DL3" s="2" t="n">
        <v>105</v>
      </c>
      <c r="DM3" s="2" t="n">
        <v>106</v>
      </c>
      <c r="DN3" s="2" t="n">
        <v>107</v>
      </c>
      <c r="DO3" s="2" t="n">
        <v>108</v>
      </c>
      <c r="DP3" s="2" t="n">
        <v>109</v>
      </c>
      <c r="DQ3" s="2" t="n">
        <v>110</v>
      </c>
      <c r="DR3" s="2" t="n">
        <v>111</v>
      </c>
      <c r="DS3" s="2" t="n">
        <v>112</v>
      </c>
      <c r="DT3" s="2" t="n">
        <v>113</v>
      </c>
      <c r="DU3" s="2" t="n">
        <v>114</v>
      </c>
      <c r="DV3" s="2" t="n">
        <v>115</v>
      </c>
      <c r="DW3" s="2" t="n">
        <v>116</v>
      </c>
      <c r="DX3" s="2" t="n">
        <v>117</v>
      </c>
      <c r="DY3" s="2" t="n">
        <v>118</v>
      </c>
      <c r="DZ3" s="2" t="n">
        <v>119</v>
      </c>
      <c r="EA3" s="2" t="n">
        <v>120</v>
      </c>
      <c r="EB3" s="2" t="n">
        <v>121</v>
      </c>
      <c r="EC3" s="2" t="n">
        <v>122</v>
      </c>
      <c r="ED3" s="2" t="n">
        <v>123</v>
      </c>
      <c r="EE3" s="2" t="n">
        <v>124</v>
      </c>
      <c r="EF3" s="2" t="n">
        <v>125</v>
      </c>
      <c r="EG3" s="2" t="n">
        <v>126</v>
      </c>
      <c r="EH3" s="2" t="n">
        <v>127</v>
      </c>
      <c r="EI3" s="2" t="n">
        <v>128</v>
      </c>
      <c r="EJ3" s="2" t="n">
        <v>129</v>
      </c>
      <c r="EK3" s="2" t="n">
        <v>130</v>
      </c>
      <c r="EL3" s="2" t="n">
        <v>131</v>
      </c>
      <c r="EM3" s="2" t="n">
        <v>132</v>
      </c>
      <c r="EN3" s="2" t="n">
        <v>133</v>
      </c>
      <c r="EO3" s="2" t="n">
        <v>134</v>
      </c>
      <c r="EP3" s="2" t="n">
        <v>135</v>
      </c>
      <c r="EQ3" s="2" t="n">
        <v>136</v>
      </c>
      <c r="ER3" s="2" t="n">
        <v>137</v>
      </c>
      <c r="ES3" s="2" t="n">
        <v>138</v>
      </c>
      <c r="ET3" s="2" t="n">
        <v>139</v>
      </c>
      <c r="EU3" s="2" t="n">
        <v>140</v>
      </c>
      <c r="EV3" s="2" t="n">
        <v>141</v>
      </c>
      <c r="EW3" s="2" t="n">
        <v>142</v>
      </c>
      <c r="EX3" s="2" t="n">
        <v>143</v>
      </c>
      <c r="EY3" s="2" t="n">
        <v>144</v>
      </c>
      <c r="EZ3" s="2" t="n">
        <v>145</v>
      </c>
      <c r="FA3" s="2" t="n">
        <v>146</v>
      </c>
      <c r="FB3" s="2" t="n">
        <v>147</v>
      </c>
      <c r="FC3" s="2" t="n">
        <v>148</v>
      </c>
      <c r="FD3" s="2" t="n">
        <v>149</v>
      </c>
      <c r="FE3" s="2" t="n">
        <v>150</v>
      </c>
      <c r="FF3" s="2" t="n">
        <v>151</v>
      </c>
      <c r="FG3" s="2" t="n">
        <v>152</v>
      </c>
      <c r="FH3" s="2" t="n">
        <v>153</v>
      </c>
      <c r="FI3" s="2" t="n">
        <v>154</v>
      </c>
      <c r="FJ3" s="2" t="n">
        <v>155</v>
      </c>
      <c r="FK3" s="2" t="n">
        <v>156</v>
      </c>
      <c r="FL3" s="2" t="n">
        <v>157</v>
      </c>
      <c r="FM3" s="2" t="n">
        <v>158</v>
      </c>
      <c r="FN3" s="2" t="n">
        <v>159</v>
      </c>
      <c r="FO3" s="2" t="n">
        <v>160</v>
      </c>
      <c r="FP3" s="2" t="n">
        <v>161</v>
      </c>
      <c r="FQ3" s="2" t="n">
        <v>162</v>
      </c>
      <c r="FR3" s="2" t="n">
        <v>163</v>
      </c>
      <c r="FS3" s="2" t="n">
        <v>164</v>
      </c>
      <c r="FT3" s="2" t="n">
        <v>165</v>
      </c>
      <c r="FU3" s="2" t="n">
        <v>166</v>
      </c>
      <c r="FV3" s="2" t="n">
        <v>167</v>
      </c>
      <c r="FW3" s="2" t="n">
        <v>168</v>
      </c>
      <c r="FX3" s="2" t="n">
        <v>169</v>
      </c>
      <c r="FY3" s="2" t="n">
        <v>170</v>
      </c>
      <c r="FZ3" s="2" t="n">
        <v>171</v>
      </c>
      <c r="GA3" s="2" t="n">
        <v>172</v>
      </c>
      <c r="GB3" s="2" t="n">
        <v>173</v>
      </c>
      <c r="GC3" s="2" t="n">
        <v>174</v>
      </c>
      <c r="GD3" s="2" t="n">
        <v>175</v>
      </c>
      <c r="GE3" s="2" t="n">
        <v>176</v>
      </c>
      <c r="GF3" s="2" t="n">
        <v>177</v>
      </c>
      <c r="GG3" s="2" t="n">
        <v>178</v>
      </c>
      <c r="GH3" s="2" t="n">
        <v>179</v>
      </c>
      <c r="GI3" s="2" t="n">
        <v>180</v>
      </c>
      <c r="GJ3" s="2" t="n">
        <v>181</v>
      </c>
      <c r="GK3" s="2" t="n">
        <v>182</v>
      </c>
      <c r="GL3" s="2" t="n">
        <v>183</v>
      </c>
      <c r="GM3" s="2" t="n">
        <v>184</v>
      </c>
      <c r="GN3" s="2" t="n">
        <v>185</v>
      </c>
      <c r="GO3" s="2" t="n">
        <v>186</v>
      </c>
      <c r="GP3" s="2" t="n">
        <v>187</v>
      </c>
      <c r="GQ3" s="2" t="n">
        <v>188</v>
      </c>
      <c r="GR3" s="2" t="n">
        <v>189</v>
      </c>
      <c r="GS3" s="2" t="n">
        <v>190</v>
      </c>
      <c r="GT3" s="2" t="n">
        <v>191</v>
      </c>
      <c r="GU3" s="2" t="n">
        <v>192</v>
      </c>
      <c r="GV3" s="2" t="n">
        <v>193</v>
      </c>
      <c r="GW3" s="2" t="n">
        <v>194</v>
      </c>
      <c r="GX3" s="2" t="n">
        <v>195</v>
      </c>
      <c r="GY3" s="2" t="n">
        <v>196</v>
      </c>
      <c r="GZ3" s="2" t="n">
        <v>197</v>
      </c>
      <c r="HA3" s="2" t="n">
        <v>198</v>
      </c>
      <c r="HB3" s="2" t="n">
        <v>199</v>
      </c>
      <c r="HC3" s="2" t="n">
        <v>200</v>
      </c>
      <c r="HD3" s="2" t="n">
        <v>201</v>
      </c>
      <c r="HE3" s="2" t="n">
        <v>202</v>
      </c>
      <c r="HF3" s="2" t="n">
        <v>203</v>
      </c>
      <c r="HG3" s="2" t="n">
        <v>204</v>
      </c>
      <c r="HH3" s="2" t="n">
        <v>205</v>
      </c>
      <c r="HI3" s="2" t="n">
        <v>206</v>
      </c>
      <c r="HJ3" s="2" t="n">
        <v>207</v>
      </c>
      <c r="HK3" s="2" t="n">
        <v>208</v>
      </c>
      <c r="HL3" s="2" t="n">
        <v>209</v>
      </c>
      <c r="HM3" s="2" t="n">
        <v>210</v>
      </c>
      <c r="HN3" s="2" t="n">
        <v>211</v>
      </c>
      <c r="HO3" s="2" t="n">
        <v>212</v>
      </c>
      <c r="HP3" s="2" t="n">
        <v>213</v>
      </c>
      <c r="HQ3" s="2" t="n">
        <v>214</v>
      </c>
      <c r="HR3" s="2" t="n">
        <v>215</v>
      </c>
      <c r="HS3" s="2" t="n">
        <v>216</v>
      </c>
      <c r="HT3" s="2" t="n">
        <v>217</v>
      </c>
      <c r="HU3" s="2" t="n">
        <v>218</v>
      </c>
      <c r="HV3" s="2" t="n">
        <v>219</v>
      </c>
      <c r="HW3" s="2" t="n">
        <v>220</v>
      </c>
      <c r="HX3" s="2" t="n">
        <v>221</v>
      </c>
      <c r="HY3" s="2" t="n">
        <v>222</v>
      </c>
      <c r="HZ3" s="2" t="n">
        <v>223</v>
      </c>
      <c r="IA3" s="2" t="n">
        <v>224</v>
      </c>
      <c r="IB3" s="2" t="n">
        <v>225</v>
      </c>
      <c r="IC3" s="2" t="n">
        <v>226</v>
      </c>
      <c r="ID3" s="2" t="n">
        <v>227</v>
      </c>
      <c r="IE3" s="2" t="n">
        <v>228</v>
      </c>
      <c r="IF3" s="2" t="n">
        <v>229</v>
      </c>
      <c r="IG3" s="2" t="n">
        <v>230</v>
      </c>
      <c r="IH3" s="2" t="n">
        <v>231</v>
      </c>
      <c r="II3" s="2" t="n">
        <v>232</v>
      </c>
      <c r="IJ3" s="2" t="n">
        <v>233</v>
      </c>
      <c r="IK3" s="2" t="n">
        <v>234</v>
      </c>
      <c r="IL3" s="2" t="n">
        <v>235</v>
      </c>
      <c r="IM3" s="2" t="n">
        <v>236</v>
      </c>
      <c r="IN3" s="2" t="n">
        <v>237</v>
      </c>
      <c r="IO3" s="2" t="n">
        <v>238</v>
      </c>
      <c r="IP3" s="2" t="n">
        <v>239</v>
      </c>
      <c r="IQ3" s="2" t="n">
        <v>240</v>
      </c>
      <c r="IR3" s="2" t="n">
        <v>241</v>
      </c>
      <c r="IS3" s="2" t="n">
        <v>242</v>
      </c>
      <c r="IT3" s="2" t="n">
        <v>243</v>
      </c>
      <c r="IU3" s="2" t="n">
        <v>244</v>
      </c>
      <c r="IV3" s="2" t="n">
        <v>245</v>
      </c>
      <c r="IW3" s="2" t="n">
        <v>246</v>
      </c>
      <c r="IX3" s="2" t="n">
        <v>247</v>
      </c>
      <c r="IY3" s="2" t="n">
        <v>248</v>
      </c>
      <c r="IZ3" s="2" t="n">
        <v>249</v>
      </c>
      <c r="JA3" s="2" t="n">
        <v>250</v>
      </c>
      <c r="JB3" s="2" t="n">
        <v>251</v>
      </c>
      <c r="JC3" s="2" t="n">
        <v>252</v>
      </c>
      <c r="JD3" s="2" t="n">
        <v>253</v>
      </c>
      <c r="JE3" s="2" t="n">
        <v>254</v>
      </c>
      <c r="JF3" s="2" t="n">
        <v>255</v>
      </c>
      <c r="JG3" s="2" t="n">
        <v>256</v>
      </c>
      <c r="JH3" s="2" t="n">
        <v>257</v>
      </c>
      <c r="JI3" s="2" t="n">
        <v>258</v>
      </c>
      <c r="JJ3" s="2" t="n">
        <v>259</v>
      </c>
      <c r="JK3" s="2" t="n">
        <v>260</v>
      </c>
      <c r="JL3" s="2" t="n">
        <v>261</v>
      </c>
      <c r="JM3" s="2" t="n">
        <v>262</v>
      </c>
      <c r="JN3" s="2" t="n">
        <v>263</v>
      </c>
      <c r="JO3" s="2" t="n">
        <v>264</v>
      </c>
      <c r="JP3" s="2" t="n">
        <v>265</v>
      </c>
      <c r="JQ3" s="2" t="n">
        <v>266</v>
      </c>
      <c r="JR3" s="2" t="n">
        <v>267</v>
      </c>
      <c r="JS3" s="2" t="n">
        <v>268</v>
      </c>
      <c r="JT3" s="2" t="n">
        <v>269</v>
      </c>
      <c r="JU3" s="2" t="n">
        <v>270</v>
      </c>
      <c r="JV3" s="2" t="n">
        <v>271</v>
      </c>
      <c r="JW3" s="2" t="n">
        <v>272</v>
      </c>
      <c r="JX3" s="2" t="n">
        <v>273</v>
      </c>
      <c r="JY3" s="2" t="n">
        <v>274</v>
      </c>
      <c r="JZ3" s="2" t="n">
        <v>275</v>
      </c>
      <c r="KA3" s="2" t="n">
        <v>276</v>
      </c>
      <c r="KB3" s="2" t="n">
        <v>277</v>
      </c>
      <c r="KC3" s="2" t="n">
        <v>278</v>
      </c>
      <c r="KD3" s="2" t="n">
        <v>279</v>
      </c>
      <c r="KE3" s="2" t="n">
        <v>280</v>
      </c>
      <c r="KF3" s="2" t="n">
        <v>281</v>
      </c>
      <c r="KG3" s="2" t="n">
        <v>282</v>
      </c>
      <c r="KH3" s="2" t="n">
        <v>283</v>
      </c>
      <c r="KI3" s="2" t="n">
        <v>284</v>
      </c>
      <c r="KJ3" s="2" t="n">
        <v>285</v>
      </c>
      <c r="KK3" s="2" t="n">
        <v>286</v>
      </c>
      <c r="KL3" s="2" t="n">
        <v>287</v>
      </c>
      <c r="KM3" s="2" t="n">
        <v>288</v>
      </c>
      <c r="KN3" s="2" t="n">
        <v>289</v>
      </c>
      <c r="KO3" s="2" t="n">
        <v>290</v>
      </c>
      <c r="KP3" s="2" t="n">
        <v>291</v>
      </c>
      <c r="KQ3" s="2" t="n">
        <v>292</v>
      </c>
      <c r="KR3" s="2" t="n">
        <v>293</v>
      </c>
      <c r="KS3" s="2" t="n">
        <v>294</v>
      </c>
      <c r="KT3" s="2" t="n">
        <v>295</v>
      </c>
      <c r="KU3" s="2" t="n">
        <v>296</v>
      </c>
      <c r="KV3" s="2" t="n">
        <v>297</v>
      </c>
      <c r="KW3" s="2" t="n">
        <v>298</v>
      </c>
      <c r="KX3" s="2" t="n">
        <v>299</v>
      </c>
      <c r="KY3" s="2" t="n">
        <v>300</v>
      </c>
      <c r="KZ3" s="2" t="n">
        <v>301</v>
      </c>
      <c r="LA3" s="2" t="n">
        <v>302</v>
      </c>
      <c r="LB3" s="2" t="n">
        <v>303</v>
      </c>
      <c r="LC3" s="2" t="n">
        <v>304</v>
      </c>
      <c r="LD3" s="2" t="n">
        <v>305</v>
      </c>
      <c r="LE3" s="2" t="n">
        <v>306</v>
      </c>
      <c r="LF3" s="2" t="n">
        <v>307</v>
      </c>
      <c r="LG3" s="2" t="n">
        <v>308</v>
      </c>
      <c r="LH3" s="2" t="n">
        <v>309</v>
      </c>
      <c r="LI3" s="2" t="n">
        <v>310</v>
      </c>
      <c r="LJ3" s="2" t="n">
        <v>311</v>
      </c>
      <c r="LK3" s="2" t="n">
        <v>312</v>
      </c>
      <c r="LL3" s="2" t="n">
        <v>313</v>
      </c>
      <c r="LM3" s="2" t="n">
        <v>314</v>
      </c>
      <c r="LN3" s="2" t="n">
        <v>315</v>
      </c>
      <c r="LO3" s="2" t="n">
        <v>316</v>
      </c>
      <c r="LP3" s="2" t="n">
        <v>317</v>
      </c>
      <c r="LQ3" s="2" t="n">
        <v>318</v>
      </c>
      <c r="LR3" s="2" t="n">
        <v>319</v>
      </c>
      <c r="LS3" s="2" t="n">
        <v>320</v>
      </c>
      <c r="LT3" s="2" t="n">
        <v>321</v>
      </c>
      <c r="LU3" s="2" t="n">
        <v>322</v>
      </c>
      <c r="LV3" s="2" t="n">
        <v>323</v>
      </c>
      <c r="LW3" s="2" t="n">
        <v>324</v>
      </c>
      <c r="LX3" s="2" t="n">
        <v>325</v>
      </c>
      <c r="LY3" s="2" t="n">
        <v>326</v>
      </c>
      <c r="LZ3" s="2" t="n">
        <v>327</v>
      </c>
      <c r="MA3" s="2" t="n">
        <v>328</v>
      </c>
      <c r="MB3" s="2" t="n">
        <v>329</v>
      </c>
      <c r="MC3" s="2" t="n">
        <v>330</v>
      </c>
      <c r="MD3" s="2" t="n">
        <v>331</v>
      </c>
      <c r="ME3" s="2" t="n">
        <v>332</v>
      </c>
      <c r="MF3" s="2" t="n">
        <v>333</v>
      </c>
      <c r="MG3" s="2" t="n">
        <v>334</v>
      </c>
      <c r="MH3" s="2" t="n">
        <v>335</v>
      </c>
      <c r="MI3" s="2" t="n">
        <v>336</v>
      </c>
      <c r="MJ3" s="2" t="n">
        <v>337</v>
      </c>
      <c r="MK3" s="2" t="n">
        <v>338</v>
      </c>
      <c r="ML3" s="2" t="n">
        <v>339</v>
      </c>
      <c r="MM3" s="2" t="n">
        <v>340</v>
      </c>
      <c r="MN3" s="2" t="n">
        <v>341</v>
      </c>
      <c r="MO3" s="2" t="n">
        <v>342</v>
      </c>
      <c r="MP3" s="2" t="n">
        <v>343</v>
      </c>
      <c r="MQ3" s="2" t="n">
        <v>344</v>
      </c>
      <c r="MR3" s="2" t="n">
        <v>345</v>
      </c>
      <c r="MS3" s="2" t="n">
        <v>346</v>
      </c>
      <c r="MT3" s="2" t="n">
        <v>347</v>
      </c>
      <c r="MU3" s="2" t="n">
        <v>348</v>
      </c>
      <c r="MV3" s="2" t="n">
        <v>349</v>
      </c>
      <c r="MW3" s="2" t="n">
        <v>350</v>
      </c>
      <c r="MX3" s="2" t="n">
        <v>351</v>
      </c>
      <c r="MY3" s="2" t="n">
        <v>352</v>
      </c>
      <c r="MZ3" s="2" t="n">
        <v>353</v>
      </c>
      <c r="NA3" s="2" t="n">
        <v>354</v>
      </c>
      <c r="NB3" s="2" t="n">
        <v>355</v>
      </c>
      <c r="NC3" s="2" t="n">
        <v>356</v>
      </c>
      <c r="ND3" s="2" t="n">
        <v>357</v>
      </c>
      <c r="NE3" s="2" t="n">
        <v>358</v>
      </c>
      <c r="NF3" s="2" t="n">
        <v>359</v>
      </c>
      <c r="NG3" s="2" t="n">
        <v>360</v>
      </c>
      <c r="NH3" s="2" t="n">
        <v>361</v>
      </c>
      <c r="NI3" s="2" t="n">
        <v>362</v>
      </c>
      <c r="NJ3" s="2" t="n">
        <v>363</v>
      </c>
      <c r="NK3" s="2" t="n">
        <v>364</v>
      </c>
      <c r="NL3" s="2" t="n">
        <v>365</v>
      </c>
      <c r="NM3" s="2" t="n">
        <v>366</v>
      </c>
      <c r="NN3" s="2" t="n">
        <v>367</v>
      </c>
      <c r="NO3" s="2" t="n">
        <v>368</v>
      </c>
      <c r="NP3" s="2" t="n">
        <v>369</v>
      </c>
      <c r="NQ3" s="2" t="n">
        <v>370</v>
      </c>
      <c r="NR3" s="2" t="n">
        <v>371</v>
      </c>
      <c r="NS3" s="2" t="n">
        <v>372</v>
      </c>
      <c r="NT3" s="2" t="n">
        <v>373</v>
      </c>
      <c r="NU3" s="2" t="n">
        <v>374</v>
      </c>
      <c r="NV3" s="2" t="n">
        <v>375</v>
      </c>
      <c r="NW3" s="2" t="n">
        <v>376</v>
      </c>
      <c r="NX3" s="2" t="n">
        <v>377</v>
      </c>
      <c r="NY3" s="2" t="n">
        <v>378</v>
      </c>
      <c r="NZ3" s="2" t="n">
        <v>379</v>
      </c>
      <c r="OA3" s="2" t="n">
        <v>380</v>
      </c>
      <c r="OB3" s="2" t="n">
        <v>381</v>
      </c>
      <c r="OC3" s="2" t="n">
        <v>382</v>
      </c>
      <c r="OD3" s="2" t="n">
        <v>383</v>
      </c>
      <c r="OE3" s="2" t="n">
        <v>384</v>
      </c>
      <c r="OF3" s="2" t="n">
        <v>385</v>
      </c>
      <c r="OG3" s="2" t="n">
        <v>386</v>
      </c>
      <c r="OH3" s="2" t="n">
        <v>387</v>
      </c>
      <c r="OI3" s="2" t="n">
        <v>388</v>
      </c>
      <c r="OJ3" s="2" t="n">
        <v>389</v>
      </c>
      <c r="OK3" s="2" t="n">
        <v>390</v>
      </c>
      <c r="OL3" s="2" t="n">
        <v>391</v>
      </c>
      <c r="OM3" s="2" t="n">
        <v>392</v>
      </c>
      <c r="ON3" s="2" t="n">
        <v>393</v>
      </c>
      <c r="OO3" s="2" t="n">
        <v>394</v>
      </c>
      <c r="OP3" s="2" t="n">
        <v>395</v>
      </c>
      <c r="OQ3" s="2" t="n">
        <v>396</v>
      </c>
      <c r="OR3" s="2" t="n">
        <v>397</v>
      </c>
      <c r="OS3" s="2" t="n">
        <v>398</v>
      </c>
      <c r="OT3" s="2" t="n">
        <v>399</v>
      </c>
      <c r="OU3" s="2" t="n">
        <v>400</v>
      </c>
      <c r="OV3" s="2" t="n">
        <v>401</v>
      </c>
      <c r="OW3" s="2" t="n">
        <v>402</v>
      </c>
      <c r="OX3" s="2" t="n">
        <v>403</v>
      </c>
      <c r="OY3" s="2" t="n">
        <v>404</v>
      </c>
      <c r="OZ3" s="2" t="n">
        <v>405</v>
      </c>
      <c r="PA3" s="2" t="n">
        <v>406</v>
      </c>
      <c r="PB3" s="2" t="n">
        <v>407</v>
      </c>
      <c r="PC3" s="2" t="n">
        <v>408</v>
      </c>
      <c r="PD3" s="2" t="n">
        <v>409</v>
      </c>
      <c r="PE3" s="2" t="n">
        <v>410</v>
      </c>
      <c r="PF3" s="2" t="n">
        <v>411</v>
      </c>
      <c r="PG3" s="2" t="n">
        <v>412</v>
      </c>
      <c r="PH3" s="2" t="n">
        <v>413</v>
      </c>
      <c r="PI3" s="2" t="n">
        <v>414</v>
      </c>
      <c r="PJ3" s="2" t="n">
        <v>415</v>
      </c>
      <c r="PK3" s="2" t="n">
        <v>416</v>
      </c>
      <c r="PL3" s="2" t="n">
        <v>417</v>
      </c>
      <c r="PM3" s="2" t="n">
        <v>418</v>
      </c>
      <c r="PN3" s="2" t="n">
        <v>419</v>
      </c>
      <c r="PO3" s="2" t="n">
        <v>420</v>
      </c>
      <c r="PP3" s="2" t="n">
        <v>421</v>
      </c>
      <c r="PQ3" s="2" t="n">
        <v>422</v>
      </c>
      <c r="PR3" s="2" t="n">
        <v>423</v>
      </c>
      <c r="PS3" s="2" t="n">
        <v>424</v>
      </c>
      <c r="PT3" s="2" t="n">
        <v>425</v>
      </c>
      <c r="PU3" s="2" t="n">
        <v>426</v>
      </c>
      <c r="PV3" s="2" t="n">
        <v>427</v>
      </c>
      <c r="PW3" s="2" t="n">
        <v>428</v>
      </c>
      <c r="PX3" s="2" t="n">
        <v>429</v>
      </c>
      <c r="PY3" s="2" t="n">
        <v>430</v>
      </c>
      <c r="PZ3" s="2" t="n">
        <v>431</v>
      </c>
      <c r="QA3" s="2" t="n">
        <v>432</v>
      </c>
      <c r="QB3" s="2" t="n">
        <v>433</v>
      </c>
      <c r="QC3" s="2" t="n">
        <v>434</v>
      </c>
      <c r="QD3" s="2" t="n">
        <v>435</v>
      </c>
      <c r="QE3" s="2" t="n">
        <v>436</v>
      </c>
      <c r="QF3" s="2" t="n">
        <v>437</v>
      </c>
      <c r="QG3" s="2" t="n">
        <v>438</v>
      </c>
      <c r="QH3" s="2" t="n">
        <v>439</v>
      </c>
      <c r="QI3" s="2" t="n">
        <v>440</v>
      </c>
      <c r="QJ3" s="2" t="n">
        <v>441</v>
      </c>
      <c r="QK3" s="2" t="n">
        <v>442</v>
      </c>
      <c r="QL3" s="2" t="n">
        <v>443</v>
      </c>
      <c r="QM3" s="2" t="n">
        <v>444</v>
      </c>
      <c r="QN3" s="2" t="n">
        <v>445</v>
      </c>
      <c r="QO3" s="2" t="n">
        <v>446</v>
      </c>
      <c r="QP3" s="2" t="n">
        <v>447</v>
      </c>
      <c r="QQ3" s="2" t="n">
        <v>448</v>
      </c>
      <c r="QR3" s="2" t="n">
        <v>449</v>
      </c>
      <c r="QS3" s="2" t="n">
        <v>450</v>
      </c>
      <c r="QT3" s="2" t="n">
        <v>451</v>
      </c>
      <c r="QU3" s="2" t="n">
        <v>452</v>
      </c>
      <c r="QV3" s="2" t="n">
        <v>453</v>
      </c>
      <c r="QW3" s="2" t="n">
        <v>454</v>
      </c>
      <c r="QX3" s="2" t="n">
        <v>455</v>
      </c>
      <c r="QY3" s="2" t="n">
        <v>456</v>
      </c>
      <c r="QZ3" s="2" t="n">
        <v>457</v>
      </c>
      <c r="RA3" s="2" t="n">
        <v>458</v>
      </c>
      <c r="RB3" s="2" t="n">
        <v>459</v>
      </c>
      <c r="RC3" s="2" t="n">
        <v>460</v>
      </c>
      <c r="RD3" s="2" t="n">
        <v>461</v>
      </c>
      <c r="RE3" s="2" t="n">
        <v>462</v>
      </c>
      <c r="RF3" s="2" t="n">
        <v>463</v>
      </c>
      <c r="RG3" s="2" t="n">
        <v>464</v>
      </c>
      <c r="RH3" s="2" t="n">
        <v>465</v>
      </c>
      <c r="RI3" s="2" t="n">
        <v>466</v>
      </c>
      <c r="RJ3" s="2" t="n">
        <v>467</v>
      </c>
      <c r="RK3" s="2" t="n">
        <v>468</v>
      </c>
      <c r="RL3" s="2" t="n">
        <v>469</v>
      </c>
      <c r="RM3" s="2" t="n">
        <v>470</v>
      </c>
      <c r="RN3" s="2" t="n">
        <v>471</v>
      </c>
      <c r="RO3" s="2" t="n">
        <v>472</v>
      </c>
      <c r="RP3" s="2" t="n">
        <v>473</v>
      </c>
      <c r="RQ3" s="2" t="n">
        <v>474</v>
      </c>
      <c r="RR3" s="2" t="n">
        <v>475</v>
      </c>
      <c r="RS3" s="2" t="n">
        <v>476</v>
      </c>
      <c r="RT3" s="2" t="n">
        <v>477</v>
      </c>
      <c r="RU3" s="2" t="n">
        <v>478</v>
      </c>
      <c r="RV3" s="2" t="n">
        <v>479</v>
      </c>
      <c r="RW3" s="2" t="n">
        <v>480</v>
      </c>
    </row>
    <row r="4">
      <c r="A4" t="inlineStr">
        <is>
          <t>REV_001.net_production_MWh</t>
        </is>
      </c>
      <c r="B4" t="inlineStr">
        <is>
          <t>MWh</t>
        </is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 t="n">
        <v>0</v>
      </c>
      <c r="BU4" s="5" t="n">
        <v>0</v>
      </c>
      <c r="BV4" s="5" t="n"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251831.25</v>
      </c>
      <c r="CR4" s="5" t="n">
        <v>251757.6811273059</v>
      </c>
      <c r="CS4" s="5" t="n">
        <v>251684.1337466984</v>
      </c>
      <c r="CT4" s="5" t="n">
        <v>251610.6078518989</v>
      </c>
      <c r="CU4" s="5" t="n">
        <v>251537.1034366305</v>
      </c>
      <c r="CV4" s="5" t="n">
        <v>251463.6204946185</v>
      </c>
      <c r="CW4" s="5" t="n">
        <v>251390.1590195896</v>
      </c>
      <c r="CX4" s="5" t="n">
        <v>251316.7190052726</v>
      </c>
      <c r="CY4" s="5" t="n">
        <v>251243.3004453981</v>
      </c>
      <c r="CZ4" s="5" t="n">
        <v>251169.9033336984</v>
      </c>
      <c r="DA4" s="5" t="n">
        <v>251096.5276639079</v>
      </c>
      <c r="DB4" s="5" t="n">
        <v>251023.1734297624</v>
      </c>
      <c r="DC4" s="5" t="n">
        <v>250949.840625</v>
      </c>
      <c r="DD4" s="5" t="n">
        <v>250876.5292433604</v>
      </c>
      <c r="DE4" s="5" t="n">
        <v>250803.2392785849</v>
      </c>
      <c r="DF4" s="5" t="n">
        <v>250729.9707244172</v>
      </c>
      <c r="DG4" s="5" t="n">
        <v>250656.7235746023</v>
      </c>
      <c r="DH4" s="5" t="n">
        <v>250583.4978228873</v>
      </c>
      <c r="DI4" s="5" t="n">
        <v>250510.293463021</v>
      </c>
      <c r="DJ4" s="5" t="n">
        <v>250437.1104887541</v>
      </c>
      <c r="DK4" s="5" t="n">
        <v>250363.9488938392</v>
      </c>
      <c r="DL4" s="5" t="n">
        <v>250290.8086720305</v>
      </c>
      <c r="DM4" s="5" t="n">
        <v>250217.6898170842</v>
      </c>
      <c r="DN4" s="5" t="n">
        <v>250144.5923227583</v>
      </c>
      <c r="DO4" s="5" t="n">
        <v>250071.5161828125</v>
      </c>
      <c r="DP4" s="5" t="n">
        <v>249998.4613910086</v>
      </c>
      <c r="DQ4" s="5" t="n">
        <v>249925.4279411099</v>
      </c>
      <c r="DR4" s="5" t="n">
        <v>249852.4158268817</v>
      </c>
      <c r="DS4" s="5" t="n">
        <v>249779.4250420912</v>
      </c>
      <c r="DT4" s="5" t="n">
        <v>249706.4555805072</v>
      </c>
      <c r="DU4" s="5" t="n">
        <v>249633.5074359005</v>
      </c>
      <c r="DV4" s="5" t="n">
        <v>249560.5806020435</v>
      </c>
      <c r="DW4" s="5" t="n">
        <v>249487.6750727108</v>
      </c>
      <c r="DX4" s="5" t="n">
        <v>249414.7908416784</v>
      </c>
      <c r="DY4" s="5" t="n">
        <v>249341.9279027244</v>
      </c>
      <c r="DZ4" s="5" t="n">
        <v>249269.0862496286</v>
      </c>
      <c r="EA4" s="5" t="n">
        <v>249196.2658761727</v>
      </c>
      <c r="EB4" s="5" t="n">
        <v>249123.4667761401</v>
      </c>
      <c r="EC4" s="5" t="n">
        <v>249050.688943316</v>
      </c>
      <c r="ED4" s="5" t="n">
        <v>248977.9323714877</v>
      </c>
      <c r="EE4" s="5" t="n">
        <v>248905.1970544439</v>
      </c>
      <c r="EF4" s="5" t="n">
        <v>248832.4829859755</v>
      </c>
      <c r="EG4" s="5" t="n">
        <v>248759.7901598748</v>
      </c>
      <c r="EH4" s="5" t="n">
        <v>248687.1185699364</v>
      </c>
      <c r="EI4" s="5" t="n">
        <v>248614.4682099563</v>
      </c>
      <c r="EJ4" s="5" t="n">
        <v>248541.8390737326</v>
      </c>
      <c r="EK4" s="5" t="n">
        <v>248469.2311550649</v>
      </c>
      <c r="EL4" s="5" t="n">
        <v>248396.644447755</v>
      </c>
      <c r="EM4" s="5" t="n">
        <v>248324.0789456061</v>
      </c>
      <c r="EN4" s="5" t="n">
        <v>248251.5346424236</v>
      </c>
      <c r="EO4" s="5" t="n">
        <v>248179.0115320144</v>
      </c>
      <c r="EP4" s="5" t="n">
        <v>248106.5096081875</v>
      </c>
      <c r="EQ4" s="5" t="n">
        <v>248034.0288647534</v>
      </c>
      <c r="ER4" s="5" t="n">
        <v>247961.5692955246</v>
      </c>
      <c r="ES4" s="5" t="n">
        <v>247889.1308943153</v>
      </c>
      <c r="ET4" s="5" t="n">
        <v>247816.7136549416</v>
      </c>
      <c r="EU4" s="5" t="n">
        <v>247744.3175712215</v>
      </c>
      <c r="EV4" s="5" t="n">
        <v>247671.9426369745</v>
      </c>
      <c r="EW4" s="5" t="n">
        <v>247599.5888460222</v>
      </c>
      <c r="EX4" s="5" t="n">
        <v>247527.2561921878</v>
      </c>
      <c r="EY4" s="5" t="n">
        <v>247454.9446692965</v>
      </c>
      <c r="EZ4" s="5" t="n">
        <v>247382.6542711752</v>
      </c>
      <c r="FA4" s="5" t="n">
        <v>247310.3849916524</v>
      </c>
      <c r="FB4" s="5" t="n">
        <v>247238.1368245588</v>
      </c>
      <c r="FC4" s="5" t="n">
        <v>247165.9097637267</v>
      </c>
      <c r="FD4" s="5" t="n">
        <v>247093.7038029902</v>
      </c>
      <c r="FE4" s="5" t="n">
        <v>247021.5189361852</v>
      </c>
      <c r="FF4" s="5" t="n">
        <v>246949.3551571493</v>
      </c>
      <c r="FG4" s="5" t="n">
        <v>246877.2124597222</v>
      </c>
      <c r="FH4" s="5" t="n">
        <v>246805.0908377451</v>
      </c>
      <c r="FI4" s="5" t="n">
        <v>246732.9902850611</v>
      </c>
      <c r="FJ4" s="5" t="n">
        <v>246660.9107955151</v>
      </c>
      <c r="FK4" s="5" t="n">
        <v>246588.852362954</v>
      </c>
      <c r="FL4" s="5" t="n">
        <v>246516.814981226</v>
      </c>
      <c r="FM4" s="5" t="n">
        <v>246444.7986441816</v>
      </c>
      <c r="FN4" s="5" t="n">
        <v>246372.8033456729</v>
      </c>
      <c r="FO4" s="5" t="n">
        <v>246300.8290795537</v>
      </c>
      <c r="FP4" s="5" t="n">
        <v>246228.8758396798</v>
      </c>
      <c r="FQ4" s="5" t="n">
        <v>246156.9436199085</v>
      </c>
      <c r="FR4" s="5" t="n">
        <v>246085.0324140993</v>
      </c>
      <c r="FS4" s="5" t="n">
        <v>246013.1422161132</v>
      </c>
      <c r="FT4" s="5" t="n">
        <v>245941.273019813</v>
      </c>
      <c r="FU4" s="5" t="n">
        <v>245869.4248190634</v>
      </c>
      <c r="FV4" s="5" t="n">
        <v>245797.5976077309</v>
      </c>
      <c r="FW4" s="5" t="n">
        <v>245725.7913796837</v>
      </c>
      <c r="FX4" s="5" t="n">
        <v>245654.0061287917</v>
      </c>
      <c r="FY4" s="5" t="n">
        <v>245582.241848927</v>
      </c>
      <c r="FZ4" s="5" t="n">
        <v>245510.4985339631</v>
      </c>
      <c r="GA4" s="5" t="n">
        <v>245438.7761777753</v>
      </c>
      <c r="GB4" s="5" t="n">
        <v>245367.0747742409</v>
      </c>
      <c r="GC4" s="5" t="n">
        <v>245295.3943172389</v>
      </c>
      <c r="GD4" s="5" t="n">
        <v>245223.73480065</v>
      </c>
      <c r="GE4" s="5" t="n">
        <v>245152.0962183568</v>
      </c>
      <c r="GF4" s="5" t="n">
        <v>245080.4785642436</v>
      </c>
      <c r="GG4" s="5" t="n">
        <v>245008.8818321967</v>
      </c>
      <c r="GH4" s="5" t="n">
        <v>244937.3060161038</v>
      </c>
      <c r="GI4" s="5" t="n">
        <v>244865.7511098548</v>
      </c>
      <c r="GJ4" s="5" t="n">
        <v>244794.217107341</v>
      </c>
      <c r="GK4" s="5" t="n">
        <v>244722.7040024558</v>
      </c>
      <c r="GL4" s="5" t="n">
        <v>244651.2117890942</v>
      </c>
      <c r="GM4" s="5" t="n">
        <v>244579.7404611531</v>
      </c>
      <c r="GN4" s="5" t="n">
        <v>244508.2900125311</v>
      </c>
      <c r="GO4" s="5" t="n">
        <v>244436.8604371285</v>
      </c>
      <c r="GP4" s="5" t="n">
        <v>244365.4517288477</v>
      </c>
      <c r="GQ4" s="5" t="n">
        <v>244294.0638815926</v>
      </c>
      <c r="GR4" s="5" t="n">
        <v>244222.6968892688</v>
      </c>
      <c r="GS4" s="5" t="n">
        <v>244151.350745784</v>
      </c>
      <c r="GT4" s="5" t="n">
        <v>244080.0254450475</v>
      </c>
      <c r="GU4" s="5" t="n">
        <v>244008.7209809703</v>
      </c>
      <c r="GV4" s="5" t="n">
        <v>243937.4373474653</v>
      </c>
      <c r="GW4" s="5" t="n">
        <v>243866.1745384472</v>
      </c>
      <c r="GX4" s="5" t="n">
        <v>243794.9325478324</v>
      </c>
      <c r="GY4" s="5" t="n">
        <v>243723.7113695391</v>
      </c>
      <c r="GZ4" s="5" t="n">
        <v>243652.5109974872</v>
      </c>
      <c r="HA4" s="5" t="n">
        <v>243581.3314255986</v>
      </c>
      <c r="HB4" s="5" t="n">
        <v>243510.1726477968</v>
      </c>
      <c r="HC4" s="5" t="n">
        <v>243439.034658007</v>
      </c>
      <c r="HD4" s="5" t="n">
        <v>243367.9174501564</v>
      </c>
      <c r="HE4" s="5" t="n">
        <v>243296.8210181738</v>
      </c>
      <c r="HF4" s="5" t="n">
        <v>243225.7453559898</v>
      </c>
      <c r="HG4" s="5" t="n">
        <v>243154.6904575369</v>
      </c>
      <c r="HH4" s="5" t="n">
        <v>243083.6563167492</v>
      </c>
      <c r="HI4" s="5" t="n">
        <v>243012.6429275626</v>
      </c>
      <c r="HJ4" s="5" t="n">
        <v>242941.650283915</v>
      </c>
      <c r="HK4" s="5" t="n">
        <v>242870.6783797457</v>
      </c>
      <c r="HL4" s="5" t="n">
        <v>242799.727208996</v>
      </c>
      <c r="HM4" s="5" t="n">
        <v>242728.796765609</v>
      </c>
      <c r="HN4" s="5" t="n">
        <v>242657.8870435295</v>
      </c>
      <c r="HO4" s="5" t="n">
        <v>242586.998036704</v>
      </c>
      <c r="HP4" s="5" t="n">
        <v>242516.1297390809</v>
      </c>
      <c r="HQ4" s="5" t="n">
        <v>242445.2821446102</v>
      </c>
      <c r="HR4" s="5" t="n">
        <v>242374.4552472439</v>
      </c>
      <c r="HS4" s="5" t="n">
        <v>242303.6490409355</v>
      </c>
      <c r="HT4" s="5" t="n">
        <v>242232.8635196406</v>
      </c>
      <c r="HU4" s="5" t="n">
        <v>242162.0986773162</v>
      </c>
      <c r="HV4" s="5" t="n">
        <v>242091.3545079213</v>
      </c>
      <c r="HW4" s="5" t="n">
        <v>242020.6310054166</v>
      </c>
      <c r="HX4" s="5" t="n">
        <v>241949.9281637646</v>
      </c>
      <c r="HY4" s="5" t="n">
        <v>241879.2459769294</v>
      </c>
      <c r="HZ4" s="5" t="n">
        <v>241808.5844388772</v>
      </c>
      <c r="IA4" s="5" t="n">
        <v>241737.9435435756</v>
      </c>
      <c r="IB4" s="5" t="n">
        <v>241667.3232849941</v>
      </c>
      <c r="IC4" s="5" t="n">
        <v>241596.7236571041</v>
      </c>
      <c r="ID4" s="5" t="n">
        <v>241526.1446538785</v>
      </c>
      <c r="IE4" s="5" t="n">
        <v>241455.5862692923</v>
      </c>
      <c r="IF4" s="5" t="n">
        <v>241385.0484973218</v>
      </c>
      <c r="IG4" s="5" t="n">
        <v>241314.5313319456</v>
      </c>
      <c r="IH4" s="5" t="n">
        <v>241244.0347671436</v>
      </c>
      <c r="II4" s="5" t="n">
        <v>241173.5587968976</v>
      </c>
      <c r="IJ4" s="5" t="n">
        <v>241103.1034151914</v>
      </c>
      <c r="IK4" s="5" t="n">
        <v>241032.6686160102</v>
      </c>
      <c r="IL4" s="5" t="n">
        <v>240962.2543933411</v>
      </c>
      <c r="IM4" s="5" t="n">
        <v>240891.860741173</v>
      </c>
      <c r="IN4" s="5" t="n">
        <v>240821.4876534966</v>
      </c>
      <c r="IO4" s="5" t="n">
        <v>240751.1351243042</v>
      </c>
      <c r="IP4" s="5" t="n">
        <v>240680.80314759</v>
      </c>
      <c r="IQ4" s="5" t="n">
        <v>240610.4917173498</v>
      </c>
      <c r="IR4" s="5" t="n">
        <v>240540.2008275812</v>
      </c>
      <c r="IS4" s="5" t="n">
        <v>240469.9304722838</v>
      </c>
      <c r="IT4" s="5" t="n">
        <v>240399.6806454586</v>
      </c>
      <c r="IU4" s="5" t="n">
        <v>240329.4513411085</v>
      </c>
      <c r="IV4" s="5" t="n">
        <v>240259.2425532383</v>
      </c>
      <c r="IW4" s="5" t="n">
        <v>240189.0542758542</v>
      </c>
      <c r="IX4" s="5" t="n">
        <v>240118.8865029644</v>
      </c>
      <c r="IY4" s="5" t="n">
        <v>240048.739228579</v>
      </c>
      <c r="IZ4" s="5" t="n">
        <v>239978.6124467094</v>
      </c>
      <c r="JA4" s="5" t="n">
        <v>239908.5061513692</v>
      </c>
      <c r="JB4" s="5" t="n">
        <v>239838.4203365734</v>
      </c>
      <c r="JC4" s="5" t="n">
        <v>239768.354996339</v>
      </c>
      <c r="JD4" s="5" t="n">
        <v>239698.3101246847</v>
      </c>
      <c r="JE4" s="5" t="n">
        <v>239628.2857156308</v>
      </c>
      <c r="JF4" s="5" t="n">
        <v>239558.2817631995</v>
      </c>
      <c r="JG4" s="5" t="n">
        <v>239488.2982614147</v>
      </c>
      <c r="JH4" s="5" t="n">
        <v>239418.3352043019</v>
      </c>
      <c r="JI4" s="5" t="n">
        <v>239348.3925858887</v>
      </c>
      <c r="JJ4" s="5" t="n">
        <v>239278.4704002041</v>
      </c>
      <c r="JK4" s="5" t="n">
        <v>239208.568641279</v>
      </c>
      <c r="JL4" s="5" t="n">
        <v>239138.6873031459</v>
      </c>
      <c r="JM4" s="5" t="n">
        <v>239068.8263798394</v>
      </c>
      <c r="JN4" s="5" t="n">
        <v>238998.9858653954</v>
      </c>
      <c r="JO4" s="5" t="n">
        <v>238929.1657538519</v>
      </c>
      <c r="JP4" s="5" t="n">
        <v>238859.3660392483</v>
      </c>
      <c r="JQ4" s="5" t="n">
        <v>238789.5867156261</v>
      </c>
      <c r="JR4" s="5" t="n">
        <v>238719.8277770283</v>
      </c>
      <c r="JS4" s="5" t="n">
        <v>238650.0892174997</v>
      </c>
      <c r="JT4" s="5" t="n">
        <v>238580.3710310869</v>
      </c>
      <c r="JU4" s="5" t="n">
        <v>238510.6732118381</v>
      </c>
      <c r="JV4" s="5" t="n">
        <v>238440.9957538033</v>
      </c>
      <c r="JW4" s="5" t="n">
        <v>238371.3386510345</v>
      </c>
      <c r="JX4" s="5" t="n">
        <v>238301.7018975849</v>
      </c>
      <c r="JY4" s="5" t="n">
        <v>238232.08548751</v>
      </c>
      <c r="JZ4" s="5" t="n">
        <v>238162.4894148665</v>
      </c>
      <c r="KA4" s="5" t="n">
        <v>238092.9136737134</v>
      </c>
      <c r="KB4" s="5" t="n">
        <v>238023.358258111</v>
      </c>
      <c r="KC4" s="5" t="n">
        <v>237953.8231621214</v>
      </c>
      <c r="KD4" s="5" t="n">
        <v>237884.3083798087</v>
      </c>
      <c r="KE4" s="5" t="n">
        <v>237814.8139052385</v>
      </c>
      <c r="KF4" s="5" t="n">
        <v>237745.3397324781</v>
      </c>
      <c r="KG4" s="5" t="n">
        <v>237675.8858555967</v>
      </c>
      <c r="KH4" s="5" t="n">
        <v>237606.4522686651</v>
      </c>
      <c r="KI4" s="5" t="n">
        <v>237537.0389657559</v>
      </c>
      <c r="KJ4" s="5" t="n">
        <v>237467.6459409434</v>
      </c>
      <c r="KK4" s="5" t="n">
        <v>237398.2731883037</v>
      </c>
      <c r="KL4" s="5" t="n">
        <v>237328.9207019145</v>
      </c>
      <c r="KM4" s="5" t="n">
        <v>237259.5884758554</v>
      </c>
      <c r="KN4" s="5" t="n">
        <v>237190.2765042076</v>
      </c>
      <c r="KO4" s="5" t="n">
        <v>237120.984781054</v>
      </c>
      <c r="KP4" s="5" t="n">
        <v>237051.7133004794</v>
      </c>
      <c r="KQ4" s="5" t="n">
        <v>236982.4620565702</v>
      </c>
      <c r="KR4" s="5" t="n">
        <v>236913.2310434144</v>
      </c>
      <c r="KS4" s="5" t="n">
        <v>236844.0202551021</v>
      </c>
      <c r="KT4" s="5" t="n">
        <v>236774.8296857247</v>
      </c>
      <c r="KU4" s="5" t="n">
        <v>236705.6593293757</v>
      </c>
      <c r="KV4" s="5" t="n">
        <v>236636.5091801501</v>
      </c>
      <c r="KW4" s="5" t="n">
        <v>236567.3792321447</v>
      </c>
      <c r="KX4" s="5" t="n">
        <v>236498.2694794579</v>
      </c>
      <c r="KY4" s="5" t="n">
        <v>236429.17991619</v>
      </c>
      <c r="KZ4" s="5" t="n">
        <v>236360.1105364429</v>
      </c>
      <c r="LA4" s="5" t="n">
        <v>236291.0613343203</v>
      </c>
      <c r="LB4" s="5" t="n">
        <v>236222.0323039278</v>
      </c>
      <c r="LC4" s="5" t="n">
        <v>236153.0234393722</v>
      </c>
      <c r="LD4" s="5" t="n">
        <v>236084.0347347625</v>
      </c>
      <c r="LE4" s="5" t="n">
        <v>236015.0661842093</v>
      </c>
      <c r="LF4" s="5" t="n">
        <v>235946.1177818248</v>
      </c>
      <c r="LG4" s="5" t="n">
        <v>235877.1895217229</v>
      </c>
      <c r="LH4" s="5" t="n">
        <v>235808.2813980196</v>
      </c>
      <c r="LI4" s="5" t="n">
        <v>235739.3934048321</v>
      </c>
      <c r="LJ4" s="5" t="n">
        <v>235670.5255362798</v>
      </c>
      <c r="LK4" s="5" t="n">
        <v>235601.6777864833</v>
      </c>
      <c r="LL4" s="5" t="n">
        <v>235532.8501495654</v>
      </c>
      <c r="LM4" s="5" t="n">
        <v>235464.0426196502</v>
      </c>
      <c r="LN4" s="5" t="n">
        <v>235395.255190864</v>
      </c>
      <c r="LO4" s="5" t="n">
        <v>235326.4878573344</v>
      </c>
      <c r="LP4" s="5" t="n">
        <v>235257.7406131908</v>
      </c>
      <c r="LQ4" s="5" t="n">
        <v>235189.0134525645</v>
      </c>
      <c r="LR4" s="5" t="n">
        <v>235120.3063695884</v>
      </c>
      <c r="LS4" s="5" t="n">
        <v>235051.6193583969</v>
      </c>
      <c r="LT4" s="5" t="n">
        <v>234982.9524131266</v>
      </c>
      <c r="LU4" s="5" t="n">
        <v>234914.3055279152</v>
      </c>
      <c r="LV4" s="5" t="n">
        <v>234845.6786969028</v>
      </c>
      <c r="LW4" s="5" t="n">
        <v>234777.0719142306</v>
      </c>
      <c r="LX4" s="5" t="n">
        <v>234708.4851740419</v>
      </c>
      <c r="LY4" s="5" t="n">
        <v>234639.9184704815</v>
      </c>
      <c r="LZ4" s="5" t="n">
        <v>234571.371797696</v>
      </c>
      <c r="MA4" s="5" t="n">
        <v>234502.8451498337</v>
      </c>
      <c r="MB4" s="5" t="n">
        <v>234434.3385210447</v>
      </c>
      <c r="MC4" s="5" t="n">
        <v>234365.8519054806</v>
      </c>
      <c r="MD4" s="5" t="n">
        <v>234297.3852972948</v>
      </c>
      <c r="ME4" s="5" t="n">
        <v>234228.9386906425</v>
      </c>
      <c r="MF4" s="5" t="n">
        <v>234160.5120796806</v>
      </c>
      <c r="MG4" s="5" t="n">
        <v>234092.1054585676</v>
      </c>
      <c r="MH4" s="5" t="n">
        <v>234023.7188214636</v>
      </c>
      <c r="MI4" s="5" t="n">
        <v>233955.3521625308</v>
      </c>
      <c r="MJ4" s="5" t="n">
        <v>233887.0054759328</v>
      </c>
      <c r="MK4" s="5" t="n">
        <v>233818.6787558348</v>
      </c>
      <c r="ML4" s="5" t="n">
        <v>233750.3719964041</v>
      </c>
      <c r="MM4" s="5" t="n">
        <v>233682.0851918093</v>
      </c>
      <c r="MN4" s="5" t="n">
        <v>233613.818336221</v>
      </c>
      <c r="MO4" s="5" t="n">
        <v>233545.5714238114</v>
      </c>
      <c r="MP4" s="5" t="n">
        <v>233477.3444487543</v>
      </c>
      <c r="MQ4" s="5" t="n">
        <v>233409.1374052253</v>
      </c>
      <c r="MR4" s="5" t="n">
        <v>233340.9502874017</v>
      </c>
      <c r="MS4" s="5" t="n">
        <v>233272.7830894626</v>
      </c>
      <c r="MT4" s="5" t="n">
        <v>233204.6358055885</v>
      </c>
      <c r="MU4" s="5" t="n">
        <v>233136.508429962</v>
      </c>
      <c r="MV4" s="5" t="n">
        <v>233068.400956767</v>
      </c>
      <c r="MW4" s="5" t="n">
        <v>233000.3133801894</v>
      </c>
      <c r="MX4" s="5" t="n">
        <v>232932.2456944167</v>
      </c>
      <c r="MY4" s="5" t="n">
        <v>232864.197893638</v>
      </c>
      <c r="MZ4" s="5" t="n">
        <v>232796.1699720443</v>
      </c>
      <c r="NA4" s="5" t="n">
        <v>232728.1619238281</v>
      </c>
      <c r="NB4" s="5" t="n">
        <v>232660.1737431837</v>
      </c>
      <c r="NC4" s="5" t="n">
        <v>232592.205424307</v>
      </c>
      <c r="ND4" s="5" t="n">
        <v>232524.2569613958</v>
      </c>
      <c r="NE4" s="5" t="n">
        <v>232456.3283486495</v>
      </c>
      <c r="NF4" s="5" t="n">
        <v>232388.419580269</v>
      </c>
      <c r="NG4" s="5" t="n">
        <v>232320.5306504571</v>
      </c>
      <c r="NH4" s="5" t="n">
        <v>232252.6615534184</v>
      </c>
      <c r="NI4" s="5" t="n">
        <v>232184.8122833587</v>
      </c>
      <c r="NJ4" s="5" t="n">
        <v>232116.9828344862</v>
      </c>
      <c r="NK4" s="5" t="n">
        <v>232049.1732010103</v>
      </c>
      <c r="NL4" s="5" t="n">
        <v>231981.3833771421</v>
      </c>
      <c r="NM4" s="5" t="n">
        <v>231913.6133570947</v>
      </c>
      <c r="NN4" s="5" t="n">
        <v>231845.8631350825</v>
      </c>
      <c r="NO4" s="5" t="n">
        <v>231778.1327053219</v>
      </c>
      <c r="NP4" s="5" t="n">
        <v>231710.422062031</v>
      </c>
      <c r="NQ4" s="5" t="n">
        <v>231642.7311994292</v>
      </c>
      <c r="NR4" s="5" t="n">
        <v>231575.060111738</v>
      </c>
      <c r="NS4" s="5" t="n">
        <v>231507.4087931805</v>
      </c>
      <c r="NT4" s="5" t="n">
        <v>231439.7772379814</v>
      </c>
      <c r="NU4" s="5" t="n">
        <v>231372.165440367</v>
      </c>
      <c r="NV4" s="5" t="n">
        <v>231304.5733945656</v>
      </c>
      <c r="NW4" s="5" t="n">
        <v>231237.0010948068</v>
      </c>
      <c r="NX4" s="5" t="n">
        <v>231169.4485353222</v>
      </c>
      <c r="NY4" s="5" t="n">
        <v>231101.9157103449</v>
      </c>
      <c r="NZ4" s="5" t="n">
        <v>231034.4026141097</v>
      </c>
      <c r="OA4" s="5" t="n">
        <v>230966.9092408533</v>
      </c>
      <c r="OB4" s="5" t="n">
        <v>230899.4355848139</v>
      </c>
      <c r="OC4" s="5" t="n">
        <v>230831.9816402312</v>
      </c>
      <c r="OD4" s="5" t="n">
        <v>230764.547401347</v>
      </c>
      <c r="OE4" s="5" t="n">
        <v>230697.1328624044</v>
      </c>
      <c r="OF4" s="5" t="n">
        <v>230629.7380176485</v>
      </c>
      <c r="OG4" s="5" t="n">
        <v>230562.3628613257</v>
      </c>
      <c r="OH4" s="5" t="n">
        <v>230495.0073876846</v>
      </c>
      <c r="OI4" s="5" t="n">
        <v>230427.6715909749</v>
      </c>
      <c r="OJ4" s="5" t="n">
        <v>230360.3554654485</v>
      </c>
      <c r="OK4" s="5" t="n">
        <v>230293.0590053587</v>
      </c>
      <c r="OL4" s="5" t="n">
        <v>230225.7822049604</v>
      </c>
      <c r="OM4" s="5" t="n">
        <v>230158.5250585104</v>
      </c>
      <c r="ON4" s="5" t="n">
        <v>230091.2875602671</v>
      </c>
      <c r="OO4" s="5" t="n">
        <v>230024.0697044905</v>
      </c>
      <c r="OP4" s="5" t="n">
        <v>229956.8714854423</v>
      </c>
      <c r="OQ4" s="5" t="n">
        <v>229889.692897386</v>
      </c>
      <c r="OR4" s="5" t="n">
        <v>229822.5339345867</v>
      </c>
      <c r="OS4" s="5" t="n">
        <v>229755.3945913111</v>
      </c>
      <c r="OT4" s="5" t="n">
        <v>229688.2748618277</v>
      </c>
      <c r="OU4" s="5" t="n">
        <v>229621.1747404065</v>
      </c>
      <c r="OV4" s="5" t="n">
        <v>229554.0942213195</v>
      </c>
      <c r="OW4" s="5" t="n">
        <v>229487.0332988399</v>
      </c>
      <c r="OX4" s="5" t="n">
        <v>229419.9919672431</v>
      </c>
      <c r="OY4" s="5" t="n">
        <v>229352.9702208056</v>
      </c>
      <c r="OZ4" s="5" t="n">
        <v>229285.9680538061</v>
      </c>
      <c r="PA4" s="5" t="n">
        <v>229218.9854605247</v>
      </c>
      <c r="PB4" s="5" t="n">
        <v>229152.0224352432</v>
      </c>
      <c r="PC4" s="5" t="n">
        <v>229085.0789722452</v>
      </c>
      <c r="PD4" s="5" t="n">
        <v>229018.1550658157</v>
      </c>
      <c r="PE4" s="5" t="n">
        <v>228951.2507102415</v>
      </c>
      <c r="PF4" s="5" t="n">
        <v>228884.3658998113</v>
      </c>
      <c r="PG4" s="5" t="n">
        <v>228817.5006288151</v>
      </c>
      <c r="PH4" s="5" t="n">
        <v>228750.6548915449</v>
      </c>
      <c r="PI4" s="5" t="n">
        <v>228683.828682294</v>
      </c>
      <c r="PJ4" s="5" t="n">
        <v>228617.0219953577</v>
      </c>
      <c r="PK4" s="5" t="n">
        <v>228550.2348250328</v>
      </c>
      <c r="PL4" s="5" t="n">
        <v>228483.4671656178</v>
      </c>
      <c r="PM4" s="5" t="n">
        <v>228416.7190114129</v>
      </c>
      <c r="PN4" s="5" t="n">
        <v>228349.9903567199</v>
      </c>
      <c r="PO4" s="5" t="n">
        <v>228283.2811958423</v>
      </c>
      <c r="PP4" s="5" t="n">
        <v>228216.5915230853</v>
      </c>
      <c r="PQ4" s="5" t="n">
        <v>228149.9213327557</v>
      </c>
      <c r="PR4" s="5" t="n">
        <v>228083.270619162</v>
      </c>
      <c r="PS4" s="5" t="n">
        <v>228016.6393766143</v>
      </c>
      <c r="PT4" s="5" t="n">
        <v>227950.0275994245</v>
      </c>
      <c r="PU4" s="5" t="n">
        <v>227883.435281906</v>
      </c>
      <c r="PV4" s="5" t="n">
        <v>227816.862418374</v>
      </c>
      <c r="PW4" s="5" t="n">
        <v>227750.3090031452</v>
      </c>
      <c r="PX4" s="5" t="n">
        <v>227683.7750305381</v>
      </c>
      <c r="PY4" s="5" t="n">
        <v>227617.260494873</v>
      </c>
      <c r="PZ4" s="5" t="n">
        <v>227550.7653904714</v>
      </c>
      <c r="QA4" s="5" t="n">
        <v>227484.2897116569</v>
      </c>
      <c r="QB4" s="5" t="n">
        <v>227417.8334527545</v>
      </c>
      <c r="QC4" s="5" t="n">
        <v>227351.3966080911</v>
      </c>
      <c r="QD4" s="5" t="n">
        <v>227284.9791719949</v>
      </c>
      <c r="QE4" s="5" t="n">
        <v>227218.5811387962</v>
      </c>
      <c r="QF4" s="5" t="n">
        <v>227152.2025028265</v>
      </c>
      <c r="QG4" s="5" t="n">
        <v>227085.8432584193</v>
      </c>
      <c r="QH4" s="5" t="n">
        <v>227019.5033999096</v>
      </c>
      <c r="QI4" s="5" t="n">
        <v>226953.1829216342</v>
      </c>
      <c r="QJ4" s="5" t="n">
        <v>226886.8818179313</v>
      </c>
      <c r="QK4" s="5" t="n">
        <v>226820.6000831409</v>
      </c>
      <c r="QL4" s="5" t="n">
        <v>226754.3377116047</v>
      </c>
      <c r="QM4" s="5" t="n">
        <v>0</v>
      </c>
      <c r="QN4" s="5" t="n">
        <v>0</v>
      </c>
      <c r="QO4" s="5" t="n">
        <v>0</v>
      </c>
      <c r="QP4" s="5" t="n">
        <v>0</v>
      </c>
      <c r="QQ4" s="5" t="n">
        <v>0</v>
      </c>
      <c r="QR4" s="5" t="n">
        <v>0</v>
      </c>
      <c r="QS4" s="5" t="n">
        <v>0</v>
      </c>
      <c r="QT4" s="5" t="n">
        <v>0</v>
      </c>
      <c r="QU4" s="5" t="n">
        <v>0</v>
      </c>
      <c r="QV4" s="5" t="n">
        <v>0</v>
      </c>
      <c r="QW4" s="5" t="n">
        <v>0</v>
      </c>
      <c r="QX4" s="5" t="n">
        <v>0</v>
      </c>
      <c r="QY4" s="5" t="n">
        <v>0</v>
      </c>
      <c r="QZ4" s="5" t="n">
        <v>0</v>
      </c>
      <c r="RA4" s="5" t="n">
        <v>0</v>
      </c>
      <c r="RB4" s="5" t="n">
        <v>0</v>
      </c>
      <c r="RC4" s="5" t="n">
        <v>0</v>
      </c>
      <c r="RD4" s="5" t="n">
        <v>0</v>
      </c>
      <c r="RE4" s="5" t="n">
        <v>0</v>
      </c>
      <c r="RF4" s="5" t="n">
        <v>0</v>
      </c>
      <c r="RG4" s="5" t="n">
        <v>0</v>
      </c>
      <c r="RH4" s="5" t="n">
        <v>0</v>
      </c>
      <c r="RI4" s="5" t="n">
        <v>0</v>
      </c>
      <c r="RJ4" s="5" t="n">
        <v>0</v>
      </c>
      <c r="RK4" s="5" t="n">
        <v>0</v>
      </c>
      <c r="RL4" s="5" t="n">
        <v>0</v>
      </c>
      <c r="RM4" s="5" t="n">
        <v>0</v>
      </c>
      <c r="RN4" s="5" t="n">
        <v>0</v>
      </c>
      <c r="RO4" s="5" t="n">
        <v>0</v>
      </c>
      <c r="RP4" s="5" t="n">
        <v>0</v>
      </c>
      <c r="RQ4" s="5" t="n">
        <v>0</v>
      </c>
      <c r="RR4" s="5" t="n">
        <v>0</v>
      </c>
      <c r="RS4" s="5" t="n">
        <v>0</v>
      </c>
      <c r="RT4" s="5" t="n">
        <v>0</v>
      </c>
      <c r="RU4" s="5" t="n">
        <v>0</v>
      </c>
      <c r="RV4" s="5" t="n">
        <v>0</v>
      </c>
      <c r="RW4" s="5" t="n">
        <v>0</v>
      </c>
    </row>
    <row r="5">
      <c r="A5" t="inlineStr">
        <is>
          <t>REV_001.wholesale_price_DKK_per_MWh</t>
        </is>
      </c>
      <c r="B5" t="inlineStr">
        <is>
          <t>kEUR</t>
        </is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 t="n"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 t="n"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 t="n"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 t="n">
        <v>0</v>
      </c>
      <c r="BT5" s="5" t="n">
        <v>0</v>
      </c>
      <c r="BU5" s="5" t="n">
        <v>0</v>
      </c>
      <c r="BV5" s="5" t="n"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 t="n"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 t="n"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25.61</v>
      </c>
      <c r="CR5" s="5" t="n">
        <v>25.66275240687067</v>
      </c>
      <c r="CS5" s="5" t="n">
        <v>25.71561347506234</v>
      </c>
      <c r="CT5" s="5" t="n">
        <v>25.76858342839954</v>
      </c>
      <c r="CU5" s="5" t="n">
        <v>25.82166249116782</v>
      </c>
      <c r="CV5" s="5" t="n">
        <v>25.87485088811477</v>
      </c>
      <c r="CW5" s="5" t="n">
        <v>25.92814884445088</v>
      </c>
      <c r="CX5" s="5" t="n">
        <v>25.98155658585057</v>
      </c>
      <c r="CY5" s="5" t="n">
        <v>26.03507433845308</v>
      </c>
      <c r="CZ5" s="5" t="n">
        <v>26.08870232886348</v>
      </c>
      <c r="DA5" s="5" t="n">
        <v>26.14244078415361</v>
      </c>
      <c r="DB5" s="5" t="n">
        <v>26.19628993186303</v>
      </c>
      <c r="DC5" s="5" t="n">
        <v>26.25025</v>
      </c>
      <c r="DD5" s="5" t="n">
        <v>26.30432121704244</v>
      </c>
      <c r="DE5" s="5" t="n">
        <v>26.3585038119389</v>
      </c>
      <c r="DF5" s="5" t="n">
        <v>26.41279801410953</v>
      </c>
      <c r="DG5" s="5" t="n">
        <v>26.46720405344702</v>
      </c>
      <c r="DH5" s="5" t="n">
        <v>26.52172216031764</v>
      </c>
      <c r="DI5" s="5" t="n">
        <v>26.57635256556216</v>
      </c>
      <c r="DJ5" s="5" t="n">
        <v>26.63109550049683</v>
      </c>
      <c r="DK5" s="5" t="n">
        <v>26.68595119691441</v>
      </c>
      <c r="DL5" s="5" t="n">
        <v>26.74091988708507</v>
      </c>
      <c r="DM5" s="5" t="n">
        <v>26.79600180375745</v>
      </c>
      <c r="DN5" s="5" t="n">
        <v>26.8511971801596</v>
      </c>
      <c r="DO5" s="5" t="n">
        <v>26.90650625</v>
      </c>
      <c r="DP5" s="5" t="n">
        <v>26.9619292474685</v>
      </c>
      <c r="DQ5" s="5" t="n">
        <v>27.01746640723737</v>
      </c>
      <c r="DR5" s="5" t="n">
        <v>27.07311796446226</v>
      </c>
      <c r="DS5" s="5" t="n">
        <v>27.12888415478319</v>
      </c>
      <c r="DT5" s="5" t="n">
        <v>27.18476521432558</v>
      </c>
      <c r="DU5" s="5" t="n">
        <v>27.24076137970121</v>
      </c>
      <c r="DV5" s="5" t="n">
        <v>27.29687288800925</v>
      </c>
      <c r="DW5" s="5" t="n">
        <v>27.35309997683726</v>
      </c>
      <c r="DX5" s="5" t="n">
        <v>27.40944288426219</v>
      </c>
      <c r="DY5" s="5" t="n">
        <v>27.46590184885138</v>
      </c>
      <c r="DZ5" s="5" t="n">
        <v>27.52247710966359</v>
      </c>
      <c r="EA5" s="5" t="n">
        <v>27.57916890624999</v>
      </c>
      <c r="EB5" s="5" t="n">
        <v>27.63597747865521</v>
      </c>
      <c r="EC5" s="5" t="n">
        <v>27.6929030674183</v>
      </c>
      <c r="ED5" s="5" t="n">
        <v>27.74994591357381</v>
      </c>
      <c r="EE5" s="5" t="n">
        <v>27.80710625865277</v>
      </c>
      <c r="EF5" s="5" t="n">
        <v>27.86438434468372</v>
      </c>
      <c r="EG5" s="5" t="n">
        <v>27.92178041419374</v>
      </c>
      <c r="EH5" s="5" t="n">
        <v>27.97929471020948</v>
      </c>
      <c r="EI5" s="5" t="n">
        <v>28.03692747625819</v>
      </c>
      <c r="EJ5" s="5" t="n">
        <v>28.09467895636874</v>
      </c>
      <c r="EK5" s="5" t="n">
        <v>28.15254939507266</v>
      </c>
      <c r="EL5" s="5" t="n">
        <v>28.21053903740518</v>
      </c>
      <c r="EM5" s="5" t="n">
        <v>28.26864812890624</v>
      </c>
      <c r="EN5" s="5" t="n">
        <v>28.32687691562159</v>
      </c>
      <c r="EO5" s="5" t="n">
        <v>28.38522564410376</v>
      </c>
      <c r="EP5" s="5" t="n">
        <v>28.44369456141316</v>
      </c>
      <c r="EQ5" s="5" t="n">
        <v>28.50228391511909</v>
      </c>
      <c r="ER5" s="5" t="n">
        <v>28.56099395330081</v>
      </c>
      <c r="ES5" s="5" t="n">
        <v>28.61982492454858</v>
      </c>
      <c r="ET5" s="5" t="n">
        <v>28.67877707796471</v>
      </c>
      <c r="EU5" s="5" t="n">
        <v>28.73785066316465</v>
      </c>
      <c r="EV5" s="5" t="n">
        <v>28.79704593027796</v>
      </c>
      <c r="EW5" s="5" t="n">
        <v>28.85636312994947</v>
      </c>
      <c r="EX5" s="5" t="n">
        <v>28.9158025133403</v>
      </c>
      <c r="EY5" s="5" t="n">
        <v>28.97536433212889</v>
      </c>
      <c r="EZ5" s="5" t="n">
        <v>29.03504883851213</v>
      </c>
      <c r="FA5" s="5" t="n">
        <v>29.09485628520635</v>
      </c>
      <c r="FB5" s="5" t="n">
        <v>29.15478692544848</v>
      </c>
      <c r="FC5" s="5" t="n">
        <v>29.21484101299706</v>
      </c>
      <c r="FD5" s="5" t="n">
        <v>29.27501880213332</v>
      </c>
      <c r="FE5" s="5" t="n">
        <v>29.33532054766229</v>
      </c>
      <c r="FF5" s="5" t="n">
        <v>29.39574650491383</v>
      </c>
      <c r="FG5" s="5" t="n">
        <v>29.45629692974376</v>
      </c>
      <c r="FH5" s="5" t="n">
        <v>29.51697207853491</v>
      </c>
      <c r="FI5" s="5" t="n">
        <v>29.57777220819821</v>
      </c>
      <c r="FJ5" s="5" t="n">
        <v>29.63869757617381</v>
      </c>
      <c r="FK5" s="5" t="n">
        <v>29.69974844043211</v>
      </c>
      <c r="FL5" s="5" t="n">
        <v>29.76092505947492</v>
      </c>
      <c r="FM5" s="5" t="n">
        <v>29.82222769233651</v>
      </c>
      <c r="FN5" s="5" t="n">
        <v>29.88365659858469</v>
      </c>
      <c r="FO5" s="5" t="n">
        <v>29.94521203832198</v>
      </c>
      <c r="FP5" s="5" t="n">
        <v>30.00689427218665</v>
      </c>
      <c r="FQ5" s="5" t="n">
        <v>30.06870356135385</v>
      </c>
      <c r="FR5" s="5" t="n">
        <v>30.13064016753668</v>
      </c>
      <c r="FS5" s="5" t="n">
        <v>30.19270435298735</v>
      </c>
      <c r="FT5" s="5" t="n">
        <v>30.25489638049827</v>
      </c>
      <c r="FU5" s="5" t="n">
        <v>30.31721651340316</v>
      </c>
      <c r="FV5" s="5" t="n">
        <v>30.37966501557815</v>
      </c>
      <c r="FW5" s="5" t="n">
        <v>30.44224215144292</v>
      </c>
      <c r="FX5" s="5" t="n">
        <v>30.50494818596179</v>
      </c>
      <c r="FY5" s="5" t="n">
        <v>30.56778338464491</v>
      </c>
      <c r="FZ5" s="5" t="n">
        <v>30.63074801354931</v>
      </c>
      <c r="GA5" s="5" t="n">
        <v>30.69384233928004</v>
      </c>
      <c r="GB5" s="5" t="n">
        <v>30.75706662899132</v>
      </c>
      <c r="GC5" s="5" t="n">
        <v>30.82042115038769</v>
      </c>
      <c r="GD5" s="5" t="n">
        <v>30.88390617172509</v>
      </c>
      <c r="GE5" s="5" t="n">
        <v>30.94752196181203</v>
      </c>
      <c r="GF5" s="5" t="n">
        <v>31.01126879001073</v>
      </c>
      <c r="GG5" s="5" t="n">
        <v>31.07514692623824</v>
      </c>
      <c r="GH5" s="5" t="n">
        <v>31.1391566409676</v>
      </c>
      <c r="GI5" s="5" t="n">
        <v>31.20329820522898</v>
      </c>
      <c r="GJ5" s="5" t="n">
        <v>31.26757189061084</v>
      </c>
      <c r="GK5" s="5" t="n">
        <v>31.33197796926104</v>
      </c>
      <c r="GL5" s="5" t="n">
        <v>31.39651671388804</v>
      </c>
      <c r="GM5" s="5" t="n">
        <v>31.46118839776203</v>
      </c>
      <c r="GN5" s="5" t="n">
        <v>31.5259932947161</v>
      </c>
      <c r="GO5" s="5" t="n">
        <v>31.59093167914738</v>
      </c>
      <c r="GP5" s="5" t="n">
        <v>31.65600382601821</v>
      </c>
      <c r="GQ5" s="5" t="n">
        <v>31.72121001085733</v>
      </c>
      <c r="GR5" s="5" t="n">
        <v>31.786550509761</v>
      </c>
      <c r="GS5" s="5" t="n">
        <v>31.85202559939419</v>
      </c>
      <c r="GT5" s="5" t="n">
        <v>31.91763555699179</v>
      </c>
      <c r="GU5" s="5" t="n">
        <v>31.98338066035971</v>
      </c>
      <c r="GV5" s="5" t="n">
        <v>32.04926118787611</v>
      </c>
      <c r="GW5" s="5" t="n">
        <v>32.11527741849256</v>
      </c>
      <c r="GX5" s="5" t="n">
        <v>32.18142963173523</v>
      </c>
      <c r="GY5" s="5" t="n">
        <v>32.24771810770608</v>
      </c>
      <c r="GZ5" s="5" t="n">
        <v>32.31414312708399</v>
      </c>
      <c r="HA5" s="5" t="n">
        <v>32.38070497112606</v>
      </c>
      <c r="HB5" s="5" t="n">
        <v>32.44740392166867</v>
      </c>
      <c r="HC5" s="5" t="n">
        <v>32.51424026112876</v>
      </c>
      <c r="HD5" s="5" t="n">
        <v>32.58121427250502</v>
      </c>
      <c r="HE5" s="5" t="n">
        <v>32.64832623937905</v>
      </c>
      <c r="HF5" s="5" t="n">
        <v>32.71557644591658</v>
      </c>
      <c r="HG5" s="5" t="n">
        <v>32.78296517686869</v>
      </c>
      <c r="HH5" s="5" t="n">
        <v>32.850492717573</v>
      </c>
      <c r="HI5" s="5" t="n">
        <v>32.91815935395487</v>
      </c>
      <c r="HJ5" s="5" t="n">
        <v>32.98596537252861</v>
      </c>
      <c r="HK5" s="5" t="n">
        <v>33.05391106039873</v>
      </c>
      <c r="HL5" s="5" t="n">
        <v>33.1219967052611</v>
      </c>
      <c r="HM5" s="5" t="n">
        <v>33.19022259540421</v>
      </c>
      <c r="HN5" s="5" t="n">
        <v>33.25858901971038</v>
      </c>
      <c r="HO5" s="5" t="n">
        <v>33.32709626765698</v>
      </c>
      <c r="HP5" s="5" t="n">
        <v>33.39574462931764</v>
      </c>
      <c r="HQ5" s="5" t="n">
        <v>33.46453439536352</v>
      </c>
      <c r="HR5" s="5" t="n">
        <v>33.53346585706449</v>
      </c>
      <c r="HS5" s="5" t="n">
        <v>33.60253930629041</v>
      </c>
      <c r="HT5" s="5" t="n">
        <v>33.67175503551233</v>
      </c>
      <c r="HU5" s="5" t="n">
        <v>33.74111333780374</v>
      </c>
      <c r="HV5" s="5" t="n">
        <v>33.81061450684182</v>
      </c>
      <c r="HW5" s="5" t="n">
        <v>33.88025883690869</v>
      </c>
      <c r="HX5" s="5" t="n">
        <v>33.95004662289262</v>
      </c>
      <c r="HY5" s="5" t="n">
        <v>34.01997816028931</v>
      </c>
      <c r="HZ5" s="5" t="n">
        <v>34.09005374520314</v>
      </c>
      <c r="IA5" s="5" t="n">
        <v>34.1602736743484</v>
      </c>
      <c r="IB5" s="5" t="n">
        <v>34.23063824505058</v>
      </c>
      <c r="IC5" s="5" t="n">
        <v>34.30114775524761</v>
      </c>
      <c r="ID5" s="5" t="n">
        <v>34.3718025034911</v>
      </c>
      <c r="IE5" s="5" t="n">
        <v>34.44260278894767</v>
      </c>
      <c r="IF5" s="5" t="n">
        <v>34.51354891140013</v>
      </c>
      <c r="IG5" s="5" t="n">
        <v>34.58464117124883</v>
      </c>
      <c r="IH5" s="5" t="n">
        <v>34.65587986951287</v>
      </c>
      <c r="II5" s="5" t="n">
        <v>34.72726530783141</v>
      </c>
      <c r="IJ5" s="5" t="n">
        <v>34.79879778846493</v>
      </c>
      <c r="IK5" s="5" t="n">
        <v>34.87047761429654</v>
      </c>
      <c r="IL5" s="5" t="n">
        <v>34.94230508883321</v>
      </c>
      <c r="IM5" s="5" t="n">
        <v>35.0142805162071</v>
      </c>
      <c r="IN5" s="5" t="n">
        <v>35.08640420117684</v>
      </c>
      <c r="IO5" s="5" t="n">
        <v>35.15867644912879</v>
      </c>
      <c r="IP5" s="5" t="n">
        <v>35.23109756607838</v>
      </c>
      <c r="IQ5" s="5" t="n">
        <v>35.30366785867135</v>
      </c>
      <c r="IR5" s="5" t="n">
        <v>35.37638763418514</v>
      </c>
      <c r="IS5" s="5" t="n">
        <v>35.44925720053004</v>
      </c>
      <c r="IT5" s="5" t="n">
        <v>35.52227686625069</v>
      </c>
      <c r="IU5" s="5" t="n">
        <v>35.59544694052719</v>
      </c>
      <c r="IV5" s="5" t="n">
        <v>35.66876773317655</v>
      </c>
      <c r="IW5" s="5" t="n">
        <v>35.74223955465395</v>
      </c>
      <c r="IX5" s="5" t="n">
        <v>35.81586271605404</v>
      </c>
      <c r="IY5" s="5" t="n">
        <v>35.88963752911228</v>
      </c>
      <c r="IZ5" s="5" t="n">
        <v>35.96356430620625</v>
      </c>
      <c r="JA5" s="5" t="n">
        <v>36.03764336035701</v>
      </c>
      <c r="JB5" s="5" t="n">
        <v>36.11187500523033</v>
      </c>
      <c r="JC5" s="5" t="n">
        <v>36.18625955513814</v>
      </c>
      <c r="JD5" s="5" t="n">
        <v>36.26079732503976</v>
      </c>
      <c r="JE5" s="5" t="n">
        <v>36.33548863054329</v>
      </c>
      <c r="JF5" s="5" t="n">
        <v>36.41033378790695</v>
      </c>
      <c r="JG5" s="5" t="n">
        <v>36.48533311404037</v>
      </c>
      <c r="JH5" s="5" t="n">
        <v>36.56048692650597</v>
      </c>
      <c r="JI5" s="5" t="n">
        <v>36.6357955435203</v>
      </c>
      <c r="JJ5" s="5" t="n">
        <v>36.71125928395539</v>
      </c>
      <c r="JK5" s="5" t="n">
        <v>36.78687846734008</v>
      </c>
      <c r="JL5" s="5" t="n">
        <v>36.86265341386141</v>
      </c>
      <c r="JM5" s="5" t="n">
        <v>36.93858444436593</v>
      </c>
      <c r="JN5" s="5" t="n">
        <v>37.01467188036109</v>
      </c>
      <c r="JO5" s="5" t="n">
        <v>37.09091604401659</v>
      </c>
      <c r="JP5" s="5" t="n">
        <v>37.16731725816575</v>
      </c>
      <c r="JQ5" s="5" t="n">
        <v>37.24387584630687</v>
      </c>
      <c r="JR5" s="5" t="n">
        <v>37.32059213260462</v>
      </c>
      <c r="JS5" s="5" t="n">
        <v>37.39746644189137</v>
      </c>
      <c r="JT5" s="5" t="n">
        <v>37.47449909966861</v>
      </c>
      <c r="JU5" s="5" t="n">
        <v>37.5516904321083</v>
      </c>
      <c r="JV5" s="5" t="n">
        <v>37.62904076605427</v>
      </c>
      <c r="JW5" s="5" t="n">
        <v>37.70655042902358</v>
      </c>
      <c r="JX5" s="5" t="n">
        <v>37.78421974920794</v>
      </c>
      <c r="JY5" s="5" t="n">
        <v>37.86204905547508</v>
      </c>
      <c r="JZ5" s="5" t="n">
        <v>37.9400386773701</v>
      </c>
      <c r="KA5" s="5" t="n">
        <v>38.018188945117</v>
      </c>
      <c r="KB5" s="5" t="n">
        <v>38.09650018961988</v>
      </c>
      <c r="KC5" s="5" t="n">
        <v>38.17497274246454</v>
      </c>
      <c r="KD5" s="5" t="n">
        <v>38.25360693591973</v>
      </c>
      <c r="KE5" s="5" t="n">
        <v>38.33240310293865</v>
      </c>
      <c r="KF5" s="5" t="n">
        <v>38.41136157716032</v>
      </c>
      <c r="KG5" s="5" t="n">
        <v>38.49048269291101</v>
      </c>
      <c r="KH5" s="5" t="n">
        <v>38.56976678520562</v>
      </c>
      <c r="KI5" s="5" t="n">
        <v>38.64921418974917</v>
      </c>
      <c r="KJ5" s="5" t="n">
        <v>38.72882524293814</v>
      </c>
      <c r="KK5" s="5" t="n">
        <v>38.80860028186194</v>
      </c>
      <c r="KL5" s="5" t="n">
        <v>38.88853964430436</v>
      </c>
      <c r="KM5" s="5" t="n">
        <v>38.96864366874492</v>
      </c>
      <c r="KN5" s="5" t="n">
        <v>39.04891269436038</v>
      </c>
      <c r="KO5" s="5" t="n">
        <v>39.12934706102615</v>
      </c>
      <c r="KP5" s="5" t="n">
        <v>39.20994710931772</v>
      </c>
      <c r="KQ5" s="5" t="n">
        <v>39.29071318051211</v>
      </c>
      <c r="KR5" s="5" t="n">
        <v>39.37164561658933</v>
      </c>
      <c r="KS5" s="5" t="n">
        <v>39.45274476023377</v>
      </c>
      <c r="KT5" s="5" t="n">
        <v>39.53401095483576</v>
      </c>
      <c r="KU5" s="5" t="n">
        <v>39.6154445444929</v>
      </c>
      <c r="KV5" s="5" t="n">
        <v>39.69704587401159</v>
      </c>
      <c r="KW5" s="5" t="n">
        <v>39.77881528890849</v>
      </c>
      <c r="KX5" s="5" t="n">
        <v>39.86075313541196</v>
      </c>
      <c r="KY5" s="5" t="n">
        <v>39.94285976046354</v>
      </c>
      <c r="KZ5" s="5" t="n">
        <v>40.02513551171938</v>
      </c>
      <c r="LA5" s="5" t="n">
        <v>40.1075807375518</v>
      </c>
      <c r="LB5" s="5" t="n">
        <v>40.19019578705066</v>
      </c>
      <c r="LC5" s="5" t="n">
        <v>40.27298101002491</v>
      </c>
      <c r="LD5" s="5" t="n">
        <v>40.35593675700405</v>
      </c>
      <c r="LE5" s="5" t="n">
        <v>40.43906337923961</v>
      </c>
      <c r="LF5" s="5" t="n">
        <v>40.52236122870665</v>
      </c>
      <c r="LG5" s="5" t="n">
        <v>40.60583065810521</v>
      </c>
      <c r="LH5" s="5" t="n">
        <v>40.68947202086187</v>
      </c>
      <c r="LI5" s="5" t="n">
        <v>40.7732856711312</v>
      </c>
      <c r="LJ5" s="5" t="n">
        <v>40.85727196379726</v>
      </c>
      <c r="LK5" s="5" t="n">
        <v>40.94143125447512</v>
      </c>
      <c r="LL5" s="5" t="n">
        <v>41.02576389951237</v>
      </c>
      <c r="LM5" s="5" t="n">
        <v>41.11027025599059</v>
      </c>
      <c r="LN5" s="5" t="n">
        <v>41.19495068172692</v>
      </c>
      <c r="LO5" s="5" t="n">
        <v>41.27980553527554</v>
      </c>
      <c r="LP5" s="5" t="n">
        <v>41.36483517592916</v>
      </c>
      <c r="LQ5" s="5" t="n">
        <v>41.4500399637206</v>
      </c>
      <c r="LR5" s="5" t="n">
        <v>41.53542025942431</v>
      </c>
      <c r="LS5" s="5" t="n">
        <v>41.62097642455784</v>
      </c>
      <c r="LT5" s="5" t="n">
        <v>41.70670882138342</v>
      </c>
      <c r="LU5" s="5" t="n">
        <v>41.79261781290948</v>
      </c>
      <c r="LV5" s="5" t="n">
        <v>41.87870376289219</v>
      </c>
      <c r="LW5" s="5" t="n">
        <v>41.96496703583699</v>
      </c>
      <c r="LX5" s="5" t="n">
        <v>42.05140799700018</v>
      </c>
      <c r="LY5" s="5" t="n">
        <v>42.13802701239036</v>
      </c>
      <c r="LZ5" s="5" t="n">
        <v>42.22482444877009</v>
      </c>
      <c r="MA5" s="5" t="n">
        <v>42.31180067365742</v>
      </c>
      <c r="MB5" s="5" t="n">
        <v>42.39895605532738</v>
      </c>
      <c r="MC5" s="5" t="n">
        <v>42.48629096281361</v>
      </c>
      <c r="MD5" s="5" t="n">
        <v>42.57380576590992</v>
      </c>
      <c r="ME5" s="5" t="n">
        <v>42.66150083517179</v>
      </c>
      <c r="MF5" s="5" t="n">
        <v>42.749376541918</v>
      </c>
      <c r="MG5" s="5" t="n">
        <v>42.83743325823221</v>
      </c>
      <c r="MH5" s="5" t="n">
        <v>42.92567135696449</v>
      </c>
      <c r="MI5" s="5" t="n">
        <v>43.01409121173293</v>
      </c>
      <c r="MJ5" s="5" t="n">
        <v>43.10269319692517</v>
      </c>
      <c r="MK5" s="5" t="n">
        <v>43.19147768770011</v>
      </c>
      <c r="ML5" s="5" t="n">
        <v>43.28044505998934</v>
      </c>
      <c r="MM5" s="5" t="n">
        <v>43.36959569049885</v>
      </c>
      <c r="MN5" s="5" t="n">
        <v>43.45892995671056</v>
      </c>
      <c r="MO5" s="5" t="n">
        <v>43.54844823688396</v>
      </c>
      <c r="MP5" s="5" t="n">
        <v>43.63815091005766</v>
      </c>
      <c r="MQ5" s="5" t="n">
        <v>43.72803835605107</v>
      </c>
      <c r="MR5" s="5" t="n">
        <v>43.81811095546595</v>
      </c>
      <c r="MS5" s="5" t="n">
        <v>43.90836908968802</v>
      </c>
      <c r="MT5" s="5" t="n">
        <v>43.9988131408886</v>
      </c>
      <c r="MU5" s="5" t="n">
        <v>44.08944349202624</v>
      </c>
      <c r="MV5" s="5" t="n">
        <v>44.1802605268483</v>
      </c>
      <c r="MW5" s="5" t="n">
        <v>44.27126462989261</v>
      </c>
      <c r="MX5" s="5" t="n">
        <v>44.36245618648907</v>
      </c>
      <c r="MY5" s="5" t="n">
        <v>44.45383558276131</v>
      </c>
      <c r="MZ5" s="5" t="n">
        <v>44.54540320562832</v>
      </c>
      <c r="NA5" s="5" t="n">
        <v>44.63715944280604</v>
      </c>
      <c r="NB5" s="5" t="n">
        <v>44.72910468280909</v>
      </c>
      <c r="NC5" s="5" t="n">
        <v>44.82123931495234</v>
      </c>
      <c r="ND5" s="5" t="n">
        <v>44.91356372935259</v>
      </c>
      <c r="NE5" s="5" t="n">
        <v>45.00607831693021</v>
      </c>
      <c r="NF5" s="5" t="n">
        <v>45.09878346941081</v>
      </c>
      <c r="NG5" s="5" t="n">
        <v>45.19167957932689</v>
      </c>
      <c r="NH5" s="5" t="n">
        <v>45.2847670400195</v>
      </c>
      <c r="NI5" s="5" t="n">
        <v>45.37804624563992</v>
      </c>
      <c r="NJ5" s="5" t="n">
        <v>45.4715175911513</v>
      </c>
      <c r="NK5" s="5" t="n">
        <v>45.56518147233034</v>
      </c>
      <c r="NL5" s="5" t="n">
        <v>45.65903828576902</v>
      </c>
      <c r="NM5" s="5" t="n">
        <v>45.75308842887619</v>
      </c>
      <c r="NN5" s="5" t="n">
        <v>45.84733229987932</v>
      </c>
      <c r="NO5" s="5" t="n">
        <v>45.94177029782615</v>
      </c>
      <c r="NP5" s="5" t="n">
        <v>46.0364028225864</v>
      </c>
      <c r="NQ5" s="5" t="n">
        <v>46.13123027485346</v>
      </c>
      <c r="NR5" s="5" t="n">
        <v>46.22625305614608</v>
      </c>
      <c r="NS5" s="5" t="n">
        <v>46.32147156881005</v>
      </c>
      <c r="NT5" s="5" t="n">
        <v>46.41688621601998</v>
      </c>
      <c r="NU5" s="5" t="n">
        <v>46.51249740178092</v>
      </c>
      <c r="NV5" s="5" t="n">
        <v>46.60830553093007</v>
      </c>
      <c r="NW5" s="5" t="n">
        <v>46.7043110091386</v>
      </c>
      <c r="NX5" s="5" t="n">
        <v>46.80051424291324</v>
      </c>
      <c r="NY5" s="5" t="n">
        <v>46.8969156395981</v>
      </c>
      <c r="NZ5" s="5" t="n">
        <v>46.9935156073763</v>
      </c>
      <c r="OA5" s="5" t="n">
        <v>47.0903145552718</v>
      </c>
      <c r="OB5" s="5" t="n">
        <v>47.18731289315106</v>
      </c>
      <c r="OC5" s="5" t="n">
        <v>47.28451103172479</v>
      </c>
      <c r="OD5" s="5" t="n">
        <v>47.38190938254972</v>
      </c>
      <c r="OE5" s="5" t="n">
        <v>47.47950835803031</v>
      </c>
      <c r="OF5" s="5" t="n">
        <v>47.57730837142048</v>
      </c>
      <c r="OG5" s="5" t="n">
        <v>47.67530983682543</v>
      </c>
      <c r="OH5" s="5" t="n">
        <v>47.77351316920332</v>
      </c>
      <c r="OI5" s="5" t="n">
        <v>47.87191878436706</v>
      </c>
      <c r="OJ5" s="5" t="n">
        <v>47.97052709898608</v>
      </c>
      <c r="OK5" s="5" t="n">
        <v>48.06933853058804</v>
      </c>
      <c r="OL5" s="5" t="n">
        <v>48.1683534975607</v>
      </c>
      <c r="OM5" s="5" t="n">
        <v>48.26757241915359</v>
      </c>
      <c r="ON5" s="5" t="n">
        <v>48.36699571547982</v>
      </c>
      <c r="OO5" s="5" t="n">
        <v>48.46662380751791</v>
      </c>
      <c r="OP5" s="5" t="n">
        <v>48.56645711711346</v>
      </c>
      <c r="OQ5" s="5" t="n">
        <v>48.66649606698105</v>
      </c>
      <c r="OR5" s="5" t="n">
        <v>48.76674108070599</v>
      </c>
      <c r="OS5" s="5" t="n">
        <v>48.86719258274606</v>
      </c>
      <c r="OT5" s="5" t="n">
        <v>48.96785099843341</v>
      </c>
      <c r="OU5" s="5" t="n">
        <v>49.06871675397623</v>
      </c>
      <c r="OV5" s="5" t="n">
        <v>49.16979027646072</v>
      </c>
      <c r="OW5" s="5" t="n">
        <v>49.27107199385274</v>
      </c>
      <c r="OX5" s="5" t="n">
        <v>49.37256233499971</v>
      </c>
      <c r="OY5" s="5" t="n">
        <v>49.47426172963243</v>
      </c>
      <c r="OZ5" s="5" t="n">
        <v>49.57617060836682</v>
      </c>
      <c r="PA5" s="5" t="n">
        <v>49.67828940270585</v>
      </c>
      <c r="PB5" s="5" t="n">
        <v>49.7806185450413</v>
      </c>
      <c r="PC5" s="5" t="n">
        <v>49.88315846865558</v>
      </c>
      <c r="PD5" s="5" t="n">
        <v>49.98590960772363</v>
      </c>
      <c r="PE5" s="5" t="n">
        <v>50.08887239731472</v>
      </c>
      <c r="PF5" s="5" t="n">
        <v>50.19204727339423</v>
      </c>
      <c r="PG5" s="5" t="n">
        <v>50.29543467282563</v>
      </c>
      <c r="PH5" s="5" t="n">
        <v>50.39903503337224</v>
      </c>
      <c r="PI5" s="5" t="n">
        <v>50.50284879369906</v>
      </c>
      <c r="PJ5" s="5" t="n">
        <v>50.6068763933747</v>
      </c>
      <c r="PK5" s="5" t="n">
        <v>50.71111827287324</v>
      </c>
      <c r="PL5" s="5" t="n">
        <v>50.81557487357598</v>
      </c>
      <c r="PM5" s="5" t="n">
        <v>50.92024663777349</v>
      </c>
      <c r="PN5" s="5" t="n">
        <v>51.02513400866732</v>
      </c>
      <c r="PO5" s="5" t="n">
        <v>51.13023743037197</v>
      </c>
      <c r="PP5" s="5" t="n">
        <v>51.23555734791672</v>
      </c>
      <c r="PQ5" s="5" t="n">
        <v>51.34109420724758</v>
      </c>
      <c r="PR5" s="5" t="n">
        <v>51.44684845522909</v>
      </c>
      <c r="PS5" s="5" t="n">
        <v>51.55282053964627</v>
      </c>
      <c r="PT5" s="5" t="n">
        <v>51.65901090920654</v>
      </c>
      <c r="PU5" s="5" t="n">
        <v>51.76542001354152</v>
      </c>
      <c r="PV5" s="5" t="n">
        <v>51.87204830320907</v>
      </c>
      <c r="PW5" s="5" t="n">
        <v>51.97889622969507</v>
      </c>
      <c r="PX5" s="5" t="n">
        <v>52.08596424541538</v>
      </c>
      <c r="PY5" s="5" t="n">
        <v>52.19325280371783</v>
      </c>
      <c r="PZ5" s="5" t="n">
        <v>52.300762358884</v>
      </c>
      <c r="QA5" s="5" t="n">
        <v>52.40849336613126</v>
      </c>
      <c r="QB5" s="5" t="n">
        <v>52.51644628161464</v>
      </c>
      <c r="QC5" s="5" t="n">
        <v>52.62462156242876</v>
      </c>
      <c r="QD5" s="5" t="n">
        <v>52.7330196666098</v>
      </c>
      <c r="QE5" s="5" t="n">
        <v>52.84164105313743</v>
      </c>
      <c r="QF5" s="5" t="n">
        <v>52.9504861819367</v>
      </c>
      <c r="QG5" s="5" t="n">
        <v>53.05955551388006</v>
      </c>
      <c r="QH5" s="5" t="n">
        <v>53.16884951078929</v>
      </c>
      <c r="QI5" s="5" t="n">
        <v>53.27836863543743</v>
      </c>
      <c r="QJ5" s="5" t="n">
        <v>53.38811335155076</v>
      </c>
      <c r="QK5" s="5" t="n">
        <v>53.49808412381076</v>
      </c>
      <c r="QL5" s="5" t="n">
        <v>53.6082814178561</v>
      </c>
      <c r="QM5" s="5" t="n">
        <v>53.71870570028453</v>
      </c>
      <c r="QN5" s="5" t="n">
        <v>53.82935743865499</v>
      </c>
      <c r="QO5" s="5" t="n">
        <v>53.94023710148948</v>
      </c>
      <c r="QP5" s="5" t="n">
        <v>54.05134515827504</v>
      </c>
      <c r="QQ5" s="5" t="n">
        <v>54.16268207946585</v>
      </c>
      <c r="QR5" s="5" t="n">
        <v>54.2742483364851</v>
      </c>
      <c r="QS5" s="5" t="n">
        <v>54.38604440172706</v>
      </c>
      <c r="QT5" s="5" t="n">
        <v>54.49807074855902</v>
      </c>
      <c r="QU5" s="5" t="n">
        <v>54.61032785132337</v>
      </c>
      <c r="QV5" s="5" t="n">
        <v>54.72281618533952</v>
      </c>
      <c r="QW5" s="5" t="n">
        <v>54.83553622690604</v>
      </c>
      <c r="QX5" s="5" t="n">
        <v>54.9484884533025</v>
      </c>
      <c r="QY5" s="5" t="n">
        <v>55.06167334279165</v>
      </c>
      <c r="QZ5" s="5" t="n">
        <v>55.17509137462137</v>
      </c>
      <c r="RA5" s="5" t="n">
        <v>55.28874302902671</v>
      </c>
      <c r="RB5" s="5" t="n">
        <v>55.40262878723192</v>
      </c>
      <c r="RC5" s="5" t="n">
        <v>55.51674913145249</v>
      </c>
      <c r="RD5" s="5" t="n">
        <v>55.63110454489723</v>
      </c>
      <c r="RE5" s="5" t="n">
        <v>55.74569551177023</v>
      </c>
      <c r="RF5" s="5" t="n">
        <v>55.86052251727299</v>
      </c>
      <c r="RG5" s="5" t="n">
        <v>55.97558604760643</v>
      </c>
      <c r="RH5" s="5" t="n">
        <v>56.09088658997301</v>
      </c>
      <c r="RI5" s="5" t="n">
        <v>56.20642463257867</v>
      </c>
      <c r="RJ5" s="5" t="n">
        <v>56.32220066463506</v>
      </c>
      <c r="RK5" s="5" t="n">
        <v>56.43821517636143</v>
      </c>
      <c r="RL5" s="5" t="n">
        <v>56.55446865898691</v>
      </c>
      <c r="RM5" s="5" t="n">
        <v>56.67096160475236</v>
      </c>
      <c r="RN5" s="5" t="n">
        <v>56.78769450691271</v>
      </c>
      <c r="RO5" s="5" t="n">
        <v>56.90466785973881</v>
      </c>
      <c r="RP5" s="5" t="n">
        <v>57.02188215851965</v>
      </c>
      <c r="RQ5" s="5" t="n">
        <v>57.13933789956447</v>
      </c>
      <c r="RR5" s="5" t="n">
        <v>57.25703558020481</v>
      </c>
      <c r="RS5" s="5" t="n">
        <v>57.37497569879659</v>
      </c>
      <c r="RT5" s="5" t="n">
        <v>57.49315875472233</v>
      </c>
      <c r="RU5" s="5" t="n">
        <v>57.61158524839314</v>
      </c>
      <c r="RV5" s="5" t="n">
        <v>57.73025568125092</v>
      </c>
      <c r="RW5" s="5" t="n">
        <v>57.84917055577046</v>
      </c>
    </row>
    <row r="6">
      <c r="A6" t="inlineStr">
        <is>
          <t>REV_001.capture_price_DKK_per_MWh</t>
        </is>
      </c>
      <c r="B6" t="inlineStr">
        <is>
          <t>kEUR</t>
        </is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  <c r="AT6" s="5" t="n">
        <v>0</v>
      </c>
      <c r="AU6" s="5" t="n">
        <v>0</v>
      </c>
      <c r="AV6" s="5" t="n">
        <v>0</v>
      </c>
      <c r="AW6" s="5" t="n">
        <v>0</v>
      </c>
      <c r="AX6" s="5" t="n">
        <v>0</v>
      </c>
      <c r="AY6" s="5" t="n">
        <v>0</v>
      </c>
      <c r="AZ6" s="5" t="n">
        <v>0</v>
      </c>
      <c r="BA6" s="5" t="n">
        <v>0</v>
      </c>
      <c r="BB6" s="5" t="n">
        <v>0</v>
      </c>
      <c r="BC6" s="5" t="n">
        <v>0</v>
      </c>
      <c r="BD6" s="5" t="n">
        <v>0</v>
      </c>
      <c r="BE6" s="5" t="n">
        <v>0</v>
      </c>
      <c r="BF6" s="5" t="n">
        <v>0</v>
      </c>
      <c r="BG6" s="5" t="n">
        <v>0</v>
      </c>
      <c r="BH6" s="5" t="n">
        <v>0</v>
      </c>
      <c r="BI6" s="5" t="n">
        <v>0</v>
      </c>
      <c r="BJ6" s="5" t="n">
        <v>0</v>
      </c>
      <c r="BK6" s="5" t="n">
        <v>0</v>
      </c>
      <c r="BL6" s="5" t="n">
        <v>0</v>
      </c>
      <c r="BM6" s="5" t="n">
        <v>0</v>
      </c>
      <c r="BN6" s="5" t="n">
        <v>0</v>
      </c>
      <c r="BO6" s="5" t="n">
        <v>0</v>
      </c>
      <c r="BP6" s="5" t="n">
        <v>0</v>
      </c>
      <c r="BQ6" s="5" t="n">
        <v>0</v>
      </c>
      <c r="BR6" s="5" t="n">
        <v>0</v>
      </c>
      <c r="BS6" s="5" t="n">
        <v>0</v>
      </c>
      <c r="BT6" s="5" t="n">
        <v>0</v>
      </c>
      <c r="BU6" s="5" t="n">
        <v>0</v>
      </c>
      <c r="BV6" s="5" t="n">
        <v>0</v>
      </c>
      <c r="BW6" s="5" t="n">
        <v>0</v>
      </c>
      <c r="BX6" s="5" t="n">
        <v>0</v>
      </c>
      <c r="BY6" s="5" t="n">
        <v>0</v>
      </c>
      <c r="BZ6" s="5" t="n">
        <v>0</v>
      </c>
      <c r="CA6" s="5" t="n">
        <v>0</v>
      </c>
      <c r="CB6" s="5" t="n">
        <v>0</v>
      </c>
      <c r="CC6" s="5" t="n">
        <v>0</v>
      </c>
      <c r="CD6" s="5" t="n">
        <v>0</v>
      </c>
      <c r="CE6" s="5" t="n">
        <v>0</v>
      </c>
      <c r="CF6" s="5" t="n">
        <v>0</v>
      </c>
      <c r="CG6" s="5" t="n">
        <v>0</v>
      </c>
      <c r="CH6" s="5" t="n">
        <v>0</v>
      </c>
      <c r="CI6" s="5" t="n">
        <v>0</v>
      </c>
      <c r="CJ6" s="5" t="n">
        <v>0</v>
      </c>
      <c r="CK6" s="5" t="n">
        <v>0</v>
      </c>
      <c r="CL6" s="5" t="n">
        <v>0</v>
      </c>
      <c r="CM6" s="5" t="n">
        <v>0</v>
      </c>
      <c r="CN6" s="5" t="n">
        <v>0</v>
      </c>
      <c r="CO6" s="5" t="n">
        <v>0</v>
      </c>
      <c r="CP6" s="5" t="n">
        <v>0</v>
      </c>
      <c r="CQ6" s="5" t="n">
        <v>25.61</v>
      </c>
      <c r="CR6" s="5" t="n">
        <v>25.66275240687067</v>
      </c>
      <c r="CS6" s="5" t="n">
        <v>25.71561347506234</v>
      </c>
      <c r="CT6" s="5" t="n">
        <v>25.76858342839954</v>
      </c>
      <c r="CU6" s="5" t="n">
        <v>25.82166249116782</v>
      </c>
      <c r="CV6" s="5" t="n">
        <v>25.87485088811477</v>
      </c>
      <c r="CW6" s="5" t="n">
        <v>25.92814884445088</v>
      </c>
      <c r="CX6" s="5" t="n">
        <v>25.98155658585057</v>
      </c>
      <c r="CY6" s="5" t="n">
        <v>26.03507433845308</v>
      </c>
      <c r="CZ6" s="5" t="n">
        <v>26.08870232886348</v>
      </c>
      <c r="DA6" s="5" t="n">
        <v>26.14244078415361</v>
      </c>
      <c r="DB6" s="5" t="n">
        <v>26.19628993186303</v>
      </c>
      <c r="DC6" s="5" t="n">
        <v>26.25025</v>
      </c>
      <c r="DD6" s="5" t="n">
        <v>26.30432121704244</v>
      </c>
      <c r="DE6" s="5" t="n">
        <v>26.3585038119389</v>
      </c>
      <c r="DF6" s="5" t="n">
        <v>26.41279801410953</v>
      </c>
      <c r="DG6" s="5" t="n">
        <v>26.46720405344702</v>
      </c>
      <c r="DH6" s="5" t="n">
        <v>26.52172216031764</v>
      </c>
      <c r="DI6" s="5" t="n">
        <v>26.57635256556216</v>
      </c>
      <c r="DJ6" s="5" t="n">
        <v>26.63109550049683</v>
      </c>
      <c r="DK6" s="5" t="n">
        <v>26.68595119691441</v>
      </c>
      <c r="DL6" s="5" t="n">
        <v>26.74091988708507</v>
      </c>
      <c r="DM6" s="5" t="n">
        <v>26.79600180375745</v>
      </c>
      <c r="DN6" s="5" t="n">
        <v>26.8511971801596</v>
      </c>
      <c r="DO6" s="5" t="n">
        <v>26.90650625</v>
      </c>
      <c r="DP6" s="5" t="n">
        <v>26.9619292474685</v>
      </c>
      <c r="DQ6" s="5" t="n">
        <v>27.01746640723737</v>
      </c>
      <c r="DR6" s="5" t="n">
        <v>27.07311796446226</v>
      </c>
      <c r="DS6" s="5" t="n">
        <v>27.12888415478319</v>
      </c>
      <c r="DT6" s="5" t="n">
        <v>27.18476521432558</v>
      </c>
      <c r="DU6" s="5" t="n">
        <v>27.24076137970121</v>
      </c>
      <c r="DV6" s="5" t="n">
        <v>27.29687288800925</v>
      </c>
      <c r="DW6" s="5" t="n">
        <v>27.35309997683726</v>
      </c>
      <c r="DX6" s="5" t="n">
        <v>27.40944288426219</v>
      </c>
      <c r="DY6" s="5" t="n">
        <v>27.46590184885138</v>
      </c>
      <c r="DZ6" s="5" t="n">
        <v>27.52247710966359</v>
      </c>
      <c r="EA6" s="5" t="n">
        <v>27.57916890624999</v>
      </c>
      <c r="EB6" s="5" t="n">
        <v>27.63597747865521</v>
      </c>
      <c r="EC6" s="5" t="n">
        <v>27.6929030674183</v>
      </c>
      <c r="ED6" s="5" t="n">
        <v>27.74994591357381</v>
      </c>
      <c r="EE6" s="5" t="n">
        <v>27.80710625865277</v>
      </c>
      <c r="EF6" s="5" t="n">
        <v>27.86438434468372</v>
      </c>
      <c r="EG6" s="5" t="n">
        <v>27.92178041419374</v>
      </c>
      <c r="EH6" s="5" t="n">
        <v>27.97929471020948</v>
      </c>
      <c r="EI6" s="5" t="n">
        <v>28.03692747625819</v>
      </c>
      <c r="EJ6" s="5" t="n">
        <v>28.09467895636874</v>
      </c>
      <c r="EK6" s="5" t="n">
        <v>28.15254939507266</v>
      </c>
      <c r="EL6" s="5" t="n">
        <v>28.21053903740518</v>
      </c>
      <c r="EM6" s="5" t="n">
        <v>28.26864812890624</v>
      </c>
      <c r="EN6" s="5" t="n">
        <v>28.32687691562159</v>
      </c>
      <c r="EO6" s="5" t="n">
        <v>28.38522564410376</v>
      </c>
      <c r="EP6" s="5" t="n">
        <v>28.44369456141316</v>
      </c>
      <c r="EQ6" s="5" t="n">
        <v>28.50228391511909</v>
      </c>
      <c r="ER6" s="5" t="n">
        <v>28.56099395330081</v>
      </c>
      <c r="ES6" s="5" t="n">
        <v>28.61982492454858</v>
      </c>
      <c r="ET6" s="5" t="n">
        <v>28.67877707796471</v>
      </c>
      <c r="EU6" s="5" t="n">
        <v>28.73785066316465</v>
      </c>
      <c r="EV6" s="5" t="n">
        <v>28.79704593027796</v>
      </c>
      <c r="EW6" s="5" t="n">
        <v>28.85636312994947</v>
      </c>
      <c r="EX6" s="5" t="n">
        <v>28.9158025133403</v>
      </c>
      <c r="EY6" s="5" t="n">
        <v>28.97536433212889</v>
      </c>
      <c r="EZ6" s="5" t="n">
        <v>29.03504883851213</v>
      </c>
      <c r="FA6" s="5" t="n">
        <v>29.09485628520635</v>
      </c>
      <c r="FB6" s="5" t="n">
        <v>29.15478692544848</v>
      </c>
      <c r="FC6" s="5" t="n">
        <v>29.21484101299706</v>
      </c>
      <c r="FD6" s="5" t="n">
        <v>29.27501880213332</v>
      </c>
      <c r="FE6" s="5" t="n">
        <v>29.33532054766229</v>
      </c>
      <c r="FF6" s="5" t="n">
        <v>29.39574650491383</v>
      </c>
      <c r="FG6" s="5" t="n">
        <v>29.45629692974376</v>
      </c>
      <c r="FH6" s="5" t="n">
        <v>29.51697207853491</v>
      </c>
      <c r="FI6" s="5" t="n">
        <v>29.57777220819821</v>
      </c>
      <c r="FJ6" s="5" t="n">
        <v>29.63869757617381</v>
      </c>
      <c r="FK6" s="5" t="n">
        <v>29.69974844043211</v>
      </c>
      <c r="FL6" s="5" t="n">
        <v>29.76092505947492</v>
      </c>
      <c r="FM6" s="5" t="n">
        <v>29.82222769233651</v>
      </c>
      <c r="FN6" s="5" t="n">
        <v>29.88365659858469</v>
      </c>
      <c r="FO6" s="5" t="n">
        <v>29.94521203832198</v>
      </c>
      <c r="FP6" s="5" t="n">
        <v>30.00689427218665</v>
      </c>
      <c r="FQ6" s="5" t="n">
        <v>30.06870356135385</v>
      </c>
      <c r="FR6" s="5" t="n">
        <v>30.13064016753668</v>
      </c>
      <c r="FS6" s="5" t="n">
        <v>30.19270435298735</v>
      </c>
      <c r="FT6" s="5" t="n">
        <v>30.25489638049827</v>
      </c>
      <c r="FU6" s="5" t="n">
        <v>30.31721651340316</v>
      </c>
      <c r="FV6" s="5" t="n">
        <v>30.37966501557815</v>
      </c>
      <c r="FW6" s="5" t="n">
        <v>30.44224215144292</v>
      </c>
      <c r="FX6" s="5" t="n">
        <v>30.50494818596179</v>
      </c>
      <c r="FY6" s="5" t="n">
        <v>30.56778338464491</v>
      </c>
      <c r="FZ6" s="5" t="n">
        <v>30.63074801354931</v>
      </c>
      <c r="GA6" s="5" t="n">
        <v>30.69384233928004</v>
      </c>
      <c r="GB6" s="5" t="n">
        <v>30.75706662899132</v>
      </c>
      <c r="GC6" s="5" t="n">
        <v>30.82042115038769</v>
      </c>
      <c r="GD6" s="5" t="n">
        <v>30.88390617172509</v>
      </c>
      <c r="GE6" s="5" t="n">
        <v>30.94752196181203</v>
      </c>
      <c r="GF6" s="5" t="n">
        <v>31.01126879001073</v>
      </c>
      <c r="GG6" s="5" t="n">
        <v>31.07514692623824</v>
      </c>
      <c r="GH6" s="5" t="n">
        <v>31.1391566409676</v>
      </c>
      <c r="GI6" s="5" t="n">
        <v>31.20329820522898</v>
      </c>
      <c r="GJ6" s="5" t="n">
        <v>31.26757189061084</v>
      </c>
      <c r="GK6" s="5" t="n">
        <v>31.33197796926104</v>
      </c>
      <c r="GL6" s="5" t="n">
        <v>31.39651671388804</v>
      </c>
      <c r="GM6" s="5" t="n">
        <v>31.46118839776203</v>
      </c>
      <c r="GN6" s="5" t="n">
        <v>31.5259932947161</v>
      </c>
      <c r="GO6" s="5" t="n">
        <v>31.59093167914738</v>
      </c>
      <c r="GP6" s="5" t="n">
        <v>31.65600382601821</v>
      </c>
      <c r="GQ6" s="5" t="n">
        <v>31.72121001085733</v>
      </c>
      <c r="GR6" s="5" t="n">
        <v>31.786550509761</v>
      </c>
      <c r="GS6" s="5" t="n">
        <v>31.85202559939419</v>
      </c>
      <c r="GT6" s="5" t="n">
        <v>31.91763555699179</v>
      </c>
      <c r="GU6" s="5" t="n">
        <v>31.98338066035971</v>
      </c>
      <c r="GV6" s="5" t="n">
        <v>32.04926118787611</v>
      </c>
      <c r="GW6" s="5" t="n">
        <v>32.11527741849256</v>
      </c>
      <c r="GX6" s="5" t="n">
        <v>32.18142963173523</v>
      </c>
      <c r="GY6" s="5" t="n">
        <v>32.24771810770608</v>
      </c>
      <c r="GZ6" s="5" t="n">
        <v>32.31414312708399</v>
      </c>
      <c r="HA6" s="5" t="n">
        <v>32.38070497112606</v>
      </c>
      <c r="HB6" s="5" t="n">
        <v>32.44740392166867</v>
      </c>
      <c r="HC6" s="5" t="n">
        <v>32.51424026112876</v>
      </c>
      <c r="HD6" s="5" t="n">
        <v>32.58121427250502</v>
      </c>
      <c r="HE6" s="5" t="n">
        <v>32.64832623937905</v>
      </c>
      <c r="HF6" s="5" t="n">
        <v>32.71557644591658</v>
      </c>
      <c r="HG6" s="5" t="n">
        <v>32.78296517686869</v>
      </c>
      <c r="HH6" s="5" t="n">
        <v>32.850492717573</v>
      </c>
      <c r="HI6" s="5" t="n">
        <v>32.91815935395487</v>
      </c>
      <c r="HJ6" s="5" t="n">
        <v>32.98596537252861</v>
      </c>
      <c r="HK6" s="5" t="n">
        <v>33.05391106039873</v>
      </c>
      <c r="HL6" s="5" t="n">
        <v>33.1219967052611</v>
      </c>
      <c r="HM6" s="5" t="n">
        <v>33.19022259540421</v>
      </c>
      <c r="HN6" s="5" t="n">
        <v>33.25858901971038</v>
      </c>
      <c r="HO6" s="5" t="n">
        <v>33.32709626765698</v>
      </c>
      <c r="HP6" s="5" t="n">
        <v>33.39574462931764</v>
      </c>
      <c r="HQ6" s="5" t="n">
        <v>33.46453439536352</v>
      </c>
      <c r="HR6" s="5" t="n">
        <v>33.53346585706449</v>
      </c>
      <c r="HS6" s="5" t="n">
        <v>33.60253930629041</v>
      </c>
      <c r="HT6" s="5" t="n">
        <v>33.67175503551233</v>
      </c>
      <c r="HU6" s="5" t="n">
        <v>33.74111333780374</v>
      </c>
      <c r="HV6" s="5" t="n">
        <v>33.81061450684182</v>
      </c>
      <c r="HW6" s="5" t="n">
        <v>33.88025883690869</v>
      </c>
      <c r="HX6" s="5" t="n">
        <v>33.95004662289262</v>
      </c>
      <c r="HY6" s="5" t="n">
        <v>34.01997816028931</v>
      </c>
      <c r="HZ6" s="5" t="n">
        <v>34.09005374520314</v>
      </c>
      <c r="IA6" s="5" t="n">
        <v>34.1602736743484</v>
      </c>
      <c r="IB6" s="5" t="n">
        <v>34.23063824505058</v>
      </c>
      <c r="IC6" s="5" t="n">
        <v>34.30114775524761</v>
      </c>
      <c r="ID6" s="5" t="n">
        <v>34.3718025034911</v>
      </c>
      <c r="IE6" s="5" t="n">
        <v>34.44260278894767</v>
      </c>
      <c r="IF6" s="5" t="n">
        <v>34.51354891140013</v>
      </c>
      <c r="IG6" s="5" t="n">
        <v>34.58464117124883</v>
      </c>
      <c r="IH6" s="5" t="n">
        <v>34.65587986951287</v>
      </c>
      <c r="II6" s="5" t="n">
        <v>34.72726530783141</v>
      </c>
      <c r="IJ6" s="5" t="n">
        <v>34.79879778846493</v>
      </c>
      <c r="IK6" s="5" t="n">
        <v>34.87047761429654</v>
      </c>
      <c r="IL6" s="5" t="n">
        <v>34.94230508883321</v>
      </c>
      <c r="IM6" s="5" t="n">
        <v>35.0142805162071</v>
      </c>
      <c r="IN6" s="5" t="n">
        <v>35.08640420117684</v>
      </c>
      <c r="IO6" s="5" t="n">
        <v>35.15867644912879</v>
      </c>
      <c r="IP6" s="5" t="n">
        <v>35.23109756607838</v>
      </c>
      <c r="IQ6" s="5" t="n">
        <v>35.30366785867135</v>
      </c>
      <c r="IR6" s="5" t="n">
        <v>35.37638763418514</v>
      </c>
      <c r="IS6" s="5" t="n">
        <v>35.44925720053004</v>
      </c>
      <c r="IT6" s="5" t="n">
        <v>35.52227686625069</v>
      </c>
      <c r="IU6" s="5" t="n">
        <v>35.59544694052719</v>
      </c>
      <c r="IV6" s="5" t="n">
        <v>35.66876773317655</v>
      </c>
      <c r="IW6" s="5" t="n">
        <v>35.74223955465395</v>
      </c>
      <c r="IX6" s="5" t="n">
        <v>35.81586271605404</v>
      </c>
      <c r="IY6" s="5" t="n">
        <v>35.88963752911228</v>
      </c>
      <c r="IZ6" s="5" t="n">
        <v>35.96356430620625</v>
      </c>
      <c r="JA6" s="5" t="n">
        <v>36.03764336035701</v>
      </c>
      <c r="JB6" s="5" t="n">
        <v>36.11187500523033</v>
      </c>
      <c r="JC6" s="5" t="n">
        <v>36.18625955513814</v>
      </c>
      <c r="JD6" s="5" t="n">
        <v>36.26079732503976</v>
      </c>
      <c r="JE6" s="5" t="n">
        <v>36.33548863054329</v>
      </c>
      <c r="JF6" s="5" t="n">
        <v>36.41033378790695</v>
      </c>
      <c r="JG6" s="5" t="n">
        <v>36.48533311404037</v>
      </c>
      <c r="JH6" s="5" t="n">
        <v>36.56048692650597</v>
      </c>
      <c r="JI6" s="5" t="n">
        <v>36.6357955435203</v>
      </c>
      <c r="JJ6" s="5" t="n">
        <v>36.71125928395539</v>
      </c>
      <c r="JK6" s="5" t="n">
        <v>36.78687846734008</v>
      </c>
      <c r="JL6" s="5" t="n">
        <v>36.86265341386141</v>
      </c>
      <c r="JM6" s="5" t="n">
        <v>36.93858444436593</v>
      </c>
      <c r="JN6" s="5" t="n">
        <v>37.01467188036109</v>
      </c>
      <c r="JO6" s="5" t="n">
        <v>37.09091604401659</v>
      </c>
      <c r="JP6" s="5" t="n">
        <v>37.16731725816575</v>
      </c>
      <c r="JQ6" s="5" t="n">
        <v>37.24387584630687</v>
      </c>
      <c r="JR6" s="5" t="n">
        <v>37.32059213260462</v>
      </c>
      <c r="JS6" s="5" t="n">
        <v>37.39746644189137</v>
      </c>
      <c r="JT6" s="5" t="n">
        <v>37.47449909966861</v>
      </c>
      <c r="JU6" s="5" t="n">
        <v>37.5516904321083</v>
      </c>
      <c r="JV6" s="5" t="n">
        <v>37.62904076605427</v>
      </c>
      <c r="JW6" s="5" t="n">
        <v>37.70655042902358</v>
      </c>
      <c r="JX6" s="5" t="n">
        <v>37.78421974920794</v>
      </c>
      <c r="JY6" s="5" t="n">
        <v>37.86204905547508</v>
      </c>
      <c r="JZ6" s="5" t="n">
        <v>37.9400386773701</v>
      </c>
      <c r="KA6" s="5" t="n">
        <v>38.018188945117</v>
      </c>
      <c r="KB6" s="5" t="n">
        <v>38.09650018961988</v>
      </c>
      <c r="KC6" s="5" t="n">
        <v>38.17497274246454</v>
      </c>
      <c r="KD6" s="5" t="n">
        <v>38.25360693591973</v>
      </c>
      <c r="KE6" s="5" t="n">
        <v>38.33240310293865</v>
      </c>
      <c r="KF6" s="5" t="n">
        <v>38.41136157716032</v>
      </c>
      <c r="KG6" s="5" t="n">
        <v>38.49048269291101</v>
      </c>
      <c r="KH6" s="5" t="n">
        <v>38.56976678520562</v>
      </c>
      <c r="KI6" s="5" t="n">
        <v>38.64921418974917</v>
      </c>
      <c r="KJ6" s="5" t="n">
        <v>38.72882524293814</v>
      </c>
      <c r="KK6" s="5" t="n">
        <v>38.80860028186194</v>
      </c>
      <c r="KL6" s="5" t="n">
        <v>38.88853964430436</v>
      </c>
      <c r="KM6" s="5" t="n">
        <v>38.96864366874492</v>
      </c>
      <c r="KN6" s="5" t="n">
        <v>39.04891269436038</v>
      </c>
      <c r="KO6" s="5" t="n">
        <v>39.12934706102615</v>
      </c>
      <c r="KP6" s="5" t="n">
        <v>39.20994710931772</v>
      </c>
      <c r="KQ6" s="5" t="n">
        <v>39.29071318051211</v>
      </c>
      <c r="KR6" s="5" t="n">
        <v>39.37164561658933</v>
      </c>
      <c r="KS6" s="5" t="n">
        <v>39.45274476023377</v>
      </c>
      <c r="KT6" s="5" t="n">
        <v>39.53401095483576</v>
      </c>
      <c r="KU6" s="5" t="n">
        <v>39.6154445444929</v>
      </c>
      <c r="KV6" s="5" t="n">
        <v>39.69704587401159</v>
      </c>
      <c r="KW6" s="5" t="n">
        <v>39.77881528890849</v>
      </c>
      <c r="KX6" s="5" t="n">
        <v>39.86075313541196</v>
      </c>
      <c r="KY6" s="5" t="n">
        <v>39.94285976046354</v>
      </c>
      <c r="KZ6" s="5" t="n">
        <v>40.02513551171938</v>
      </c>
      <c r="LA6" s="5" t="n">
        <v>40.1075807375518</v>
      </c>
      <c r="LB6" s="5" t="n">
        <v>40.19019578705066</v>
      </c>
      <c r="LC6" s="5" t="n">
        <v>40.27298101002491</v>
      </c>
      <c r="LD6" s="5" t="n">
        <v>40.35593675700405</v>
      </c>
      <c r="LE6" s="5" t="n">
        <v>40.43906337923961</v>
      </c>
      <c r="LF6" s="5" t="n">
        <v>40.52236122870665</v>
      </c>
      <c r="LG6" s="5" t="n">
        <v>40.60583065810521</v>
      </c>
      <c r="LH6" s="5" t="n">
        <v>40.68947202086187</v>
      </c>
      <c r="LI6" s="5" t="n">
        <v>40.7732856711312</v>
      </c>
      <c r="LJ6" s="5" t="n">
        <v>40.85727196379726</v>
      </c>
      <c r="LK6" s="5" t="n">
        <v>40.94143125447512</v>
      </c>
      <c r="LL6" s="5" t="n">
        <v>41.02576389951237</v>
      </c>
      <c r="LM6" s="5" t="n">
        <v>41.11027025599059</v>
      </c>
      <c r="LN6" s="5" t="n">
        <v>41.19495068172692</v>
      </c>
      <c r="LO6" s="5" t="n">
        <v>41.27980553527554</v>
      </c>
      <c r="LP6" s="5" t="n">
        <v>41.36483517592916</v>
      </c>
      <c r="LQ6" s="5" t="n">
        <v>41.4500399637206</v>
      </c>
      <c r="LR6" s="5" t="n">
        <v>41.53542025942431</v>
      </c>
      <c r="LS6" s="5" t="n">
        <v>41.62097642455784</v>
      </c>
      <c r="LT6" s="5" t="n">
        <v>41.70670882138342</v>
      </c>
      <c r="LU6" s="5" t="n">
        <v>41.79261781290948</v>
      </c>
      <c r="LV6" s="5" t="n">
        <v>41.87870376289219</v>
      </c>
      <c r="LW6" s="5" t="n">
        <v>41.96496703583699</v>
      </c>
      <c r="LX6" s="5" t="n">
        <v>42.05140799700018</v>
      </c>
      <c r="LY6" s="5" t="n">
        <v>42.13802701239036</v>
      </c>
      <c r="LZ6" s="5" t="n">
        <v>42.22482444877009</v>
      </c>
      <c r="MA6" s="5" t="n">
        <v>42.31180067365742</v>
      </c>
      <c r="MB6" s="5" t="n">
        <v>42.39895605532738</v>
      </c>
      <c r="MC6" s="5" t="n">
        <v>42.48629096281361</v>
      </c>
      <c r="MD6" s="5" t="n">
        <v>42.57380576590992</v>
      </c>
      <c r="ME6" s="5" t="n">
        <v>42.66150083517179</v>
      </c>
      <c r="MF6" s="5" t="n">
        <v>42.749376541918</v>
      </c>
      <c r="MG6" s="5" t="n">
        <v>42.83743325823221</v>
      </c>
      <c r="MH6" s="5" t="n">
        <v>42.92567135696449</v>
      </c>
      <c r="MI6" s="5" t="n">
        <v>43.01409121173293</v>
      </c>
      <c r="MJ6" s="5" t="n">
        <v>43.10269319692517</v>
      </c>
      <c r="MK6" s="5" t="n">
        <v>43.19147768770011</v>
      </c>
      <c r="ML6" s="5" t="n">
        <v>43.28044505998934</v>
      </c>
      <c r="MM6" s="5" t="n">
        <v>43.36959569049885</v>
      </c>
      <c r="MN6" s="5" t="n">
        <v>43.45892995671056</v>
      </c>
      <c r="MO6" s="5" t="n">
        <v>43.54844823688396</v>
      </c>
      <c r="MP6" s="5" t="n">
        <v>43.63815091005766</v>
      </c>
      <c r="MQ6" s="5" t="n">
        <v>43.72803835605107</v>
      </c>
      <c r="MR6" s="5" t="n">
        <v>43.81811095546595</v>
      </c>
      <c r="MS6" s="5" t="n">
        <v>43.90836908968802</v>
      </c>
      <c r="MT6" s="5" t="n">
        <v>43.9988131408886</v>
      </c>
      <c r="MU6" s="5" t="n">
        <v>44.08944349202624</v>
      </c>
      <c r="MV6" s="5" t="n">
        <v>44.1802605268483</v>
      </c>
      <c r="MW6" s="5" t="n">
        <v>44.27126462989261</v>
      </c>
      <c r="MX6" s="5" t="n">
        <v>44.36245618648907</v>
      </c>
      <c r="MY6" s="5" t="n">
        <v>44.45383558276131</v>
      </c>
      <c r="MZ6" s="5" t="n">
        <v>44.54540320562832</v>
      </c>
      <c r="NA6" s="5" t="n">
        <v>44.63715944280604</v>
      </c>
      <c r="NB6" s="5" t="n">
        <v>44.72910468280909</v>
      </c>
      <c r="NC6" s="5" t="n">
        <v>44.82123931495234</v>
      </c>
      <c r="ND6" s="5" t="n">
        <v>44.91356372935259</v>
      </c>
      <c r="NE6" s="5" t="n">
        <v>45.00607831693021</v>
      </c>
      <c r="NF6" s="5" t="n">
        <v>45.09878346941081</v>
      </c>
      <c r="NG6" s="5" t="n">
        <v>45.19167957932689</v>
      </c>
      <c r="NH6" s="5" t="n">
        <v>45.2847670400195</v>
      </c>
      <c r="NI6" s="5" t="n">
        <v>45.37804624563992</v>
      </c>
      <c r="NJ6" s="5" t="n">
        <v>45.4715175911513</v>
      </c>
      <c r="NK6" s="5" t="n">
        <v>45.56518147233034</v>
      </c>
      <c r="NL6" s="5" t="n">
        <v>45.65903828576902</v>
      </c>
      <c r="NM6" s="5" t="n">
        <v>45.75308842887619</v>
      </c>
      <c r="NN6" s="5" t="n">
        <v>45.84733229987932</v>
      </c>
      <c r="NO6" s="5" t="n">
        <v>45.94177029782615</v>
      </c>
      <c r="NP6" s="5" t="n">
        <v>46.0364028225864</v>
      </c>
      <c r="NQ6" s="5" t="n">
        <v>46.13123027485346</v>
      </c>
      <c r="NR6" s="5" t="n">
        <v>46.22625305614608</v>
      </c>
      <c r="NS6" s="5" t="n">
        <v>46.32147156881005</v>
      </c>
      <c r="NT6" s="5" t="n">
        <v>46.41688621601998</v>
      </c>
      <c r="NU6" s="5" t="n">
        <v>46.51249740178092</v>
      </c>
      <c r="NV6" s="5" t="n">
        <v>46.60830553093007</v>
      </c>
      <c r="NW6" s="5" t="n">
        <v>46.7043110091386</v>
      </c>
      <c r="NX6" s="5" t="n">
        <v>46.80051424291324</v>
      </c>
      <c r="NY6" s="5" t="n">
        <v>46.8969156395981</v>
      </c>
      <c r="NZ6" s="5" t="n">
        <v>46.9935156073763</v>
      </c>
      <c r="OA6" s="5" t="n">
        <v>47.0903145552718</v>
      </c>
      <c r="OB6" s="5" t="n">
        <v>47.18731289315106</v>
      </c>
      <c r="OC6" s="5" t="n">
        <v>47.28451103172479</v>
      </c>
      <c r="OD6" s="5" t="n">
        <v>47.38190938254972</v>
      </c>
      <c r="OE6" s="5" t="n">
        <v>47.47950835803031</v>
      </c>
      <c r="OF6" s="5" t="n">
        <v>47.57730837142048</v>
      </c>
      <c r="OG6" s="5" t="n">
        <v>47.67530983682543</v>
      </c>
      <c r="OH6" s="5" t="n">
        <v>47.77351316920332</v>
      </c>
      <c r="OI6" s="5" t="n">
        <v>47.87191878436706</v>
      </c>
      <c r="OJ6" s="5" t="n">
        <v>47.97052709898608</v>
      </c>
      <c r="OK6" s="5" t="n">
        <v>48.06933853058804</v>
      </c>
      <c r="OL6" s="5" t="n">
        <v>48.1683534975607</v>
      </c>
      <c r="OM6" s="5" t="n">
        <v>48.26757241915359</v>
      </c>
      <c r="ON6" s="5" t="n">
        <v>48.36699571547982</v>
      </c>
      <c r="OO6" s="5" t="n">
        <v>48.46662380751791</v>
      </c>
      <c r="OP6" s="5" t="n">
        <v>48.56645711711346</v>
      </c>
      <c r="OQ6" s="5" t="n">
        <v>48.66649606698105</v>
      </c>
      <c r="OR6" s="5" t="n">
        <v>48.76674108070599</v>
      </c>
      <c r="OS6" s="5" t="n">
        <v>48.86719258274606</v>
      </c>
      <c r="OT6" s="5" t="n">
        <v>48.96785099843341</v>
      </c>
      <c r="OU6" s="5" t="n">
        <v>49.06871675397623</v>
      </c>
      <c r="OV6" s="5" t="n">
        <v>49.16979027646072</v>
      </c>
      <c r="OW6" s="5" t="n">
        <v>49.27107199385274</v>
      </c>
      <c r="OX6" s="5" t="n">
        <v>49.37256233499971</v>
      </c>
      <c r="OY6" s="5" t="n">
        <v>49.47426172963243</v>
      </c>
      <c r="OZ6" s="5" t="n">
        <v>49.57617060836682</v>
      </c>
      <c r="PA6" s="5" t="n">
        <v>49.67828940270585</v>
      </c>
      <c r="PB6" s="5" t="n">
        <v>49.7806185450413</v>
      </c>
      <c r="PC6" s="5" t="n">
        <v>49.88315846865558</v>
      </c>
      <c r="PD6" s="5" t="n">
        <v>49.98590960772363</v>
      </c>
      <c r="PE6" s="5" t="n">
        <v>50.08887239731472</v>
      </c>
      <c r="PF6" s="5" t="n">
        <v>50.19204727339423</v>
      </c>
      <c r="PG6" s="5" t="n">
        <v>50.29543467282563</v>
      </c>
      <c r="PH6" s="5" t="n">
        <v>50.39903503337224</v>
      </c>
      <c r="PI6" s="5" t="n">
        <v>50.50284879369906</v>
      </c>
      <c r="PJ6" s="5" t="n">
        <v>50.6068763933747</v>
      </c>
      <c r="PK6" s="5" t="n">
        <v>50.71111827287324</v>
      </c>
      <c r="PL6" s="5" t="n">
        <v>50.81557487357598</v>
      </c>
      <c r="PM6" s="5" t="n">
        <v>50.92024663777349</v>
      </c>
      <c r="PN6" s="5" t="n">
        <v>51.02513400866732</v>
      </c>
      <c r="PO6" s="5" t="n">
        <v>51.13023743037197</v>
      </c>
      <c r="PP6" s="5" t="n">
        <v>51.23555734791672</v>
      </c>
      <c r="PQ6" s="5" t="n">
        <v>51.34109420724758</v>
      </c>
      <c r="PR6" s="5" t="n">
        <v>51.44684845522909</v>
      </c>
      <c r="PS6" s="5" t="n">
        <v>51.55282053964627</v>
      </c>
      <c r="PT6" s="5" t="n">
        <v>51.65901090920654</v>
      </c>
      <c r="PU6" s="5" t="n">
        <v>51.76542001354152</v>
      </c>
      <c r="PV6" s="5" t="n">
        <v>51.87204830320907</v>
      </c>
      <c r="PW6" s="5" t="n">
        <v>51.97889622969507</v>
      </c>
      <c r="PX6" s="5" t="n">
        <v>52.08596424541538</v>
      </c>
      <c r="PY6" s="5" t="n">
        <v>52.19325280371783</v>
      </c>
      <c r="PZ6" s="5" t="n">
        <v>52.300762358884</v>
      </c>
      <c r="QA6" s="5" t="n">
        <v>52.40849336613126</v>
      </c>
      <c r="QB6" s="5" t="n">
        <v>52.51644628161464</v>
      </c>
      <c r="QC6" s="5" t="n">
        <v>52.62462156242876</v>
      </c>
      <c r="QD6" s="5" t="n">
        <v>52.7330196666098</v>
      </c>
      <c r="QE6" s="5" t="n">
        <v>52.84164105313743</v>
      </c>
      <c r="QF6" s="5" t="n">
        <v>52.9504861819367</v>
      </c>
      <c r="QG6" s="5" t="n">
        <v>53.05955551388006</v>
      </c>
      <c r="QH6" s="5" t="n">
        <v>53.16884951078929</v>
      </c>
      <c r="QI6" s="5" t="n">
        <v>53.27836863543743</v>
      </c>
      <c r="QJ6" s="5" t="n">
        <v>53.38811335155076</v>
      </c>
      <c r="QK6" s="5" t="n">
        <v>53.49808412381076</v>
      </c>
      <c r="QL6" s="5" t="n">
        <v>53.6082814178561</v>
      </c>
      <c r="QM6" s="5" t="n">
        <v>53.71870570028453</v>
      </c>
      <c r="QN6" s="5" t="n">
        <v>53.82935743865499</v>
      </c>
      <c r="QO6" s="5" t="n">
        <v>53.94023710148948</v>
      </c>
      <c r="QP6" s="5" t="n">
        <v>54.05134515827504</v>
      </c>
      <c r="QQ6" s="5" t="n">
        <v>54.16268207946585</v>
      </c>
      <c r="QR6" s="5" t="n">
        <v>54.2742483364851</v>
      </c>
      <c r="QS6" s="5" t="n">
        <v>54.38604440172706</v>
      </c>
      <c r="QT6" s="5" t="n">
        <v>54.49807074855902</v>
      </c>
      <c r="QU6" s="5" t="n">
        <v>54.61032785132337</v>
      </c>
      <c r="QV6" s="5" t="n">
        <v>54.72281618533952</v>
      </c>
      <c r="QW6" s="5" t="n">
        <v>54.83553622690604</v>
      </c>
      <c r="QX6" s="5" t="n">
        <v>54.9484884533025</v>
      </c>
      <c r="QY6" s="5" t="n">
        <v>55.06167334279165</v>
      </c>
      <c r="QZ6" s="5" t="n">
        <v>55.17509137462137</v>
      </c>
      <c r="RA6" s="5" t="n">
        <v>55.28874302902671</v>
      </c>
      <c r="RB6" s="5" t="n">
        <v>55.40262878723192</v>
      </c>
      <c r="RC6" s="5" t="n">
        <v>55.51674913145249</v>
      </c>
      <c r="RD6" s="5" t="n">
        <v>55.63110454489723</v>
      </c>
      <c r="RE6" s="5" t="n">
        <v>55.74569551177023</v>
      </c>
      <c r="RF6" s="5" t="n">
        <v>55.86052251727299</v>
      </c>
      <c r="RG6" s="5" t="n">
        <v>55.97558604760643</v>
      </c>
      <c r="RH6" s="5" t="n">
        <v>56.09088658997301</v>
      </c>
      <c r="RI6" s="5" t="n">
        <v>56.20642463257867</v>
      </c>
      <c r="RJ6" s="5" t="n">
        <v>56.32220066463506</v>
      </c>
      <c r="RK6" s="5" t="n">
        <v>56.43821517636143</v>
      </c>
      <c r="RL6" s="5" t="n">
        <v>56.55446865898691</v>
      </c>
      <c r="RM6" s="5" t="n">
        <v>56.67096160475236</v>
      </c>
      <c r="RN6" s="5" t="n">
        <v>56.78769450691271</v>
      </c>
      <c r="RO6" s="5" t="n">
        <v>56.90466785973881</v>
      </c>
      <c r="RP6" s="5" t="n">
        <v>57.02188215851965</v>
      </c>
      <c r="RQ6" s="5" t="n">
        <v>57.13933789956447</v>
      </c>
      <c r="RR6" s="5" t="n">
        <v>57.25703558020481</v>
      </c>
      <c r="RS6" s="5" t="n">
        <v>57.37497569879659</v>
      </c>
      <c r="RT6" s="5" t="n">
        <v>57.49315875472233</v>
      </c>
      <c r="RU6" s="5" t="n">
        <v>57.61158524839314</v>
      </c>
      <c r="RV6" s="5" t="n">
        <v>57.73025568125092</v>
      </c>
      <c r="RW6" s="5" t="n">
        <v>57.84917055577046</v>
      </c>
    </row>
    <row r="7">
      <c r="A7" t="inlineStr">
        <is>
          <t>REV_001.goo_price_DKK_per_MWh</t>
        </is>
      </c>
      <c r="B7" t="inlineStr">
        <is>
          <t>kEUR</t>
        </is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 t="n"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 t="n"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 t="n"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0</v>
      </c>
      <c r="BR7" s="5" t="n">
        <v>0</v>
      </c>
      <c r="BS7" s="5" t="n">
        <v>0</v>
      </c>
      <c r="BT7" s="5" t="n">
        <v>0</v>
      </c>
      <c r="BU7" s="5" t="n">
        <v>0</v>
      </c>
      <c r="BV7" s="5" t="n"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 t="n"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 t="n"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0.7920618556701031</v>
      </c>
      <c r="CR7" s="5" t="n">
        <v>0.7936933734083714</v>
      </c>
      <c r="CS7" s="5" t="n">
        <v>0.7953282518060519</v>
      </c>
      <c r="CT7" s="5" t="n">
        <v>0.7969664977855527</v>
      </c>
      <c r="CU7" s="5" t="n">
        <v>0.7986081182835409</v>
      </c>
      <c r="CV7" s="5" t="n">
        <v>0.8002531202509725</v>
      </c>
      <c r="CW7" s="5" t="n">
        <v>0.8019015106531201</v>
      </c>
      <c r="CX7" s="5" t="n">
        <v>0.8035532964696054</v>
      </c>
      <c r="CY7" s="5" t="n">
        <v>0.8052084846944252</v>
      </c>
      <c r="CZ7" s="5" t="n">
        <v>0.8068670823359839</v>
      </c>
      <c r="DA7" s="5" t="n">
        <v>0.8085290964171219</v>
      </c>
      <c r="DB7" s="5" t="n">
        <v>0.8101945339751452</v>
      </c>
      <c r="DC7" s="5" t="n">
        <v>0.8118634020618556</v>
      </c>
      <c r="DD7" s="5" t="n">
        <v>0.8135357077435805</v>
      </c>
      <c r="DE7" s="5" t="n">
        <v>0.815211458101203</v>
      </c>
      <c r="DF7" s="5" t="n">
        <v>0.8168906602301915</v>
      </c>
      <c r="DG7" s="5" t="n">
        <v>0.8185733212406294</v>
      </c>
      <c r="DH7" s="5" t="n">
        <v>0.8202594482572467</v>
      </c>
      <c r="DI7" s="5" t="n">
        <v>0.8219490484194482</v>
      </c>
      <c r="DJ7" s="5" t="n">
        <v>0.8236421288813454</v>
      </c>
      <c r="DK7" s="5" t="n">
        <v>0.8253386968117857</v>
      </c>
      <c r="DL7" s="5" t="n">
        <v>0.8270387593943834</v>
      </c>
      <c r="DM7" s="5" t="n">
        <v>0.82874232382755</v>
      </c>
      <c r="DN7" s="5" t="n">
        <v>0.8304493973245237</v>
      </c>
      <c r="DO7" s="5" t="n">
        <v>0.8321599871134019</v>
      </c>
      <c r="DP7" s="5" t="n">
        <v>0.83387410043717</v>
      </c>
      <c r="DQ7" s="5" t="n">
        <v>0.835591744553733</v>
      </c>
      <c r="DR7" s="5" t="n">
        <v>0.8373129267359462</v>
      </c>
      <c r="DS7" s="5" t="n">
        <v>0.839037654271645</v>
      </c>
      <c r="DT7" s="5" t="n">
        <v>0.8407659344636779</v>
      </c>
      <c r="DU7" s="5" t="n">
        <v>0.8424977746299342</v>
      </c>
      <c r="DV7" s="5" t="n">
        <v>0.8442331821033789</v>
      </c>
      <c r="DW7" s="5" t="n">
        <v>0.8459721642320803</v>
      </c>
      <c r="DX7" s="5" t="n">
        <v>0.847714728379243</v>
      </c>
      <c r="DY7" s="5" t="n">
        <v>0.8494608819232385</v>
      </c>
      <c r="DZ7" s="5" t="n">
        <v>0.8512106322576367</v>
      </c>
      <c r="EA7" s="5" t="n">
        <v>0.8529639867912368</v>
      </c>
      <c r="EB7" s="5" t="n">
        <v>0.8547209529480992</v>
      </c>
      <c r="EC7" s="5" t="n">
        <v>0.8564815381675764</v>
      </c>
      <c r="ED7" s="5" t="n">
        <v>0.8582457499043447</v>
      </c>
      <c r="EE7" s="5" t="n">
        <v>0.8600135956284362</v>
      </c>
      <c r="EF7" s="5" t="n">
        <v>0.8617850828252696</v>
      </c>
      <c r="EG7" s="5" t="n">
        <v>0.8635602189956826</v>
      </c>
      <c r="EH7" s="5" t="n">
        <v>0.8653390116559633</v>
      </c>
      <c r="EI7" s="5" t="n">
        <v>0.8671214683378823</v>
      </c>
      <c r="EJ7" s="5" t="n">
        <v>0.868907596588724</v>
      </c>
      <c r="EK7" s="5" t="n">
        <v>0.8706974039713195</v>
      </c>
      <c r="EL7" s="5" t="n">
        <v>0.8724908980640776</v>
      </c>
      <c r="EM7" s="5" t="n">
        <v>0.8742880864610176</v>
      </c>
      <c r="EN7" s="5" t="n">
        <v>0.8760889767718016</v>
      </c>
      <c r="EO7" s="5" t="n">
        <v>0.8778935766217656</v>
      </c>
      <c r="EP7" s="5" t="n">
        <v>0.8797018936519533</v>
      </c>
      <c r="EQ7" s="5" t="n">
        <v>0.881513935519147</v>
      </c>
      <c r="ER7" s="5" t="n">
        <v>0.8833297098959011</v>
      </c>
      <c r="ES7" s="5" t="n">
        <v>0.8851492244705745</v>
      </c>
      <c r="ET7" s="5" t="n">
        <v>0.8869724869473623</v>
      </c>
      <c r="EU7" s="5" t="n">
        <v>0.8887995050463293</v>
      </c>
      <c r="EV7" s="5" t="n">
        <v>0.890630286503442</v>
      </c>
      <c r="EW7" s="5" t="n">
        <v>0.8924648390706021</v>
      </c>
      <c r="EX7" s="5" t="n">
        <v>0.8943031705156794</v>
      </c>
      <c r="EY7" s="5" t="n">
        <v>0.8961452886225431</v>
      </c>
      <c r="EZ7" s="5" t="n">
        <v>0.8979912011910967</v>
      </c>
      <c r="FA7" s="5" t="n">
        <v>0.8998409160373096</v>
      </c>
      <c r="FB7" s="5" t="n">
        <v>0.9016944409932521</v>
      </c>
      <c r="FC7" s="5" t="n">
        <v>0.9035517839071255</v>
      </c>
      <c r="FD7" s="5" t="n">
        <v>0.9054129526432987</v>
      </c>
      <c r="FE7" s="5" t="n">
        <v>0.9072779550823388</v>
      </c>
      <c r="FF7" s="5" t="n">
        <v>0.9091467991210463</v>
      </c>
      <c r="FG7" s="5" t="n">
        <v>0.9110194926724875</v>
      </c>
      <c r="FH7" s="5" t="n">
        <v>0.9128960436660281</v>
      </c>
      <c r="FI7" s="5" t="n">
        <v>0.9147764600473673</v>
      </c>
      <c r="FJ7" s="5" t="n">
        <v>0.9166607497785714</v>
      </c>
      <c r="FK7" s="5" t="n">
        <v>0.9185489208381065</v>
      </c>
      <c r="FL7" s="5" t="n">
        <v>0.9204409812208738</v>
      </c>
      <c r="FM7" s="5" t="n">
        <v>0.9223369389382425</v>
      </c>
      <c r="FN7" s="5" t="n">
        <v>0.9242368020180832</v>
      </c>
      <c r="FO7" s="5" t="n">
        <v>0.9261405785048036</v>
      </c>
      <c r="FP7" s="5" t="n">
        <v>0.9280482764593809</v>
      </c>
      <c r="FQ7" s="5" t="n">
        <v>0.9299599039593973</v>
      </c>
      <c r="FR7" s="5" t="n">
        <v>0.9318754690990725</v>
      </c>
      <c r="FS7" s="5" t="n">
        <v>0.9337949799892994</v>
      </c>
      <c r="FT7" s="5" t="n">
        <v>0.9357184447576785</v>
      </c>
      <c r="FU7" s="5" t="n">
        <v>0.9376458715485514</v>
      </c>
      <c r="FV7" s="5" t="n">
        <v>0.9395772685230355</v>
      </c>
      <c r="FW7" s="5" t="n">
        <v>0.9415126438590592</v>
      </c>
      <c r="FX7" s="5" t="n">
        <v>0.9434520057513955</v>
      </c>
      <c r="FY7" s="5" t="n">
        <v>0.9453953624116983</v>
      </c>
      <c r="FZ7" s="5" t="n">
        <v>0.9473427220685353</v>
      </c>
      <c r="GA7" s="5" t="n">
        <v>0.9492940929674237</v>
      </c>
      <c r="GB7" s="5" t="n">
        <v>0.9512494833708656</v>
      </c>
      <c r="GC7" s="5" t="n">
        <v>0.9532089015583821</v>
      </c>
      <c r="GD7" s="5" t="n">
        <v>0.9551723558265491</v>
      </c>
      <c r="GE7" s="5" t="n">
        <v>0.9571398544890319</v>
      </c>
      <c r="GF7" s="5" t="n">
        <v>0.9591114058766205</v>
      </c>
      <c r="GG7" s="5" t="n">
        <v>0.9610870183372652</v>
      </c>
      <c r="GH7" s="5" t="n">
        <v>0.9630667002361114</v>
      </c>
      <c r="GI7" s="5" t="n">
        <v>0.9650504599555354</v>
      </c>
      <c r="GJ7" s="5" t="n">
        <v>0.9670383058951805</v>
      </c>
      <c r="GK7" s="5" t="n">
        <v>0.9690302464719908</v>
      </c>
      <c r="GL7" s="5" t="n">
        <v>0.9710262901202485</v>
      </c>
      <c r="GM7" s="5" t="n">
        <v>0.9730264452916093</v>
      </c>
      <c r="GN7" s="5" t="n">
        <v>0.9750307204551372</v>
      </c>
      <c r="GO7" s="5" t="n">
        <v>0.9770391240973415</v>
      </c>
      <c r="GP7" s="5" t="n">
        <v>0.9790516647222128</v>
      </c>
      <c r="GQ7" s="5" t="n">
        <v>0.9810683508512577</v>
      </c>
      <c r="GR7" s="5" t="n">
        <v>0.983089191023536</v>
      </c>
      <c r="GS7" s="5" t="n">
        <v>0.9851141937956966</v>
      </c>
      <c r="GT7" s="5" t="n">
        <v>0.9871433677420141</v>
      </c>
      <c r="GU7" s="5" t="n">
        <v>0.9891767214544239</v>
      </c>
      <c r="GV7" s="5" t="n">
        <v>0.9912142635425599</v>
      </c>
      <c r="GW7" s="5" t="n">
        <v>0.9932560026337905</v>
      </c>
      <c r="GX7" s="5" t="n">
        <v>0.9953019473732546</v>
      </c>
      <c r="GY7" s="5" t="n">
        <v>0.9973521064238993</v>
      </c>
      <c r="GZ7" s="5" t="n">
        <v>0.9994064884665153</v>
      </c>
      <c r="HA7" s="5" t="n">
        <v>1.001465102199775</v>
      </c>
      <c r="HB7" s="5" t="n">
        <v>1.003527956340268</v>
      </c>
      <c r="HC7" s="5" t="n">
        <v>1.005595059622539</v>
      </c>
      <c r="HD7" s="5" t="n">
        <v>1.007666420799124</v>
      </c>
      <c r="HE7" s="5" t="n">
        <v>1.009742048640589</v>
      </c>
      <c r="HF7" s="5" t="n">
        <v>1.011821951935564</v>
      </c>
      <c r="HG7" s="5" t="n">
        <v>1.013906139490784</v>
      </c>
      <c r="HH7" s="5" t="n">
        <v>1.015994620131124</v>
      </c>
      <c r="HI7" s="5" t="n">
        <v>1.018087402699635</v>
      </c>
      <c r="HJ7" s="5" t="n">
        <v>1.020184496057586</v>
      </c>
      <c r="HK7" s="5" t="n">
        <v>1.022285909084497</v>
      </c>
      <c r="HL7" s="5" t="n">
        <v>1.024391650678178</v>
      </c>
      <c r="HM7" s="5" t="n">
        <v>1.026501729754769</v>
      </c>
      <c r="HN7" s="5" t="n">
        <v>1.028616155248774</v>
      </c>
      <c r="HO7" s="5" t="n">
        <v>1.030734936113102</v>
      </c>
      <c r="HP7" s="5" t="n">
        <v>1.032858081319102</v>
      </c>
      <c r="HQ7" s="5" t="n">
        <v>1.034985599856604</v>
      </c>
      <c r="HR7" s="5" t="n">
        <v>1.037117500733953</v>
      </c>
      <c r="HS7" s="5" t="n">
        <v>1.039253792978054</v>
      </c>
      <c r="HT7" s="5" t="n">
        <v>1.041394485634402</v>
      </c>
      <c r="HU7" s="5" t="n">
        <v>1.043539587767126</v>
      </c>
      <c r="HV7" s="5" t="n">
        <v>1.045689108459025</v>
      </c>
      <c r="HW7" s="5" t="n">
        <v>1.047843056811609</v>
      </c>
      <c r="HX7" s="5" t="n">
        <v>1.050001441945133</v>
      </c>
      <c r="HY7" s="5" t="n">
        <v>1.052164272998639</v>
      </c>
      <c r="HZ7" s="5" t="n">
        <v>1.054331559129994</v>
      </c>
      <c r="IA7" s="5" t="n">
        <v>1.05650330951593</v>
      </c>
      <c r="IB7" s="5" t="n">
        <v>1.05867953335208</v>
      </c>
      <c r="IC7" s="5" t="n">
        <v>1.060860239853019</v>
      </c>
      <c r="ID7" s="5" t="n">
        <v>1.063045438252302</v>
      </c>
      <c r="IE7" s="5" t="n">
        <v>1.065235137802505</v>
      </c>
      <c r="IF7" s="5" t="n">
        <v>1.067429347775262</v>
      </c>
      <c r="IG7" s="5" t="n">
        <v>1.069628077461304</v>
      </c>
      <c r="IH7" s="5" t="n">
        <v>1.071831336170501</v>
      </c>
      <c r="II7" s="5" t="n">
        <v>1.074039133231899</v>
      </c>
      <c r="IJ7" s="5" t="n">
        <v>1.076251477993761</v>
      </c>
      <c r="IK7" s="5" t="n">
        <v>1.078468379823604</v>
      </c>
      <c r="IL7" s="5" t="n">
        <v>1.080689848108244</v>
      </c>
      <c r="IM7" s="5" t="n">
        <v>1.082915892253828</v>
      </c>
      <c r="IN7" s="5" t="n">
        <v>1.085146521685882</v>
      </c>
      <c r="IO7" s="5" t="n">
        <v>1.087381745849344</v>
      </c>
      <c r="IP7" s="5" t="n">
        <v>1.08962157420861</v>
      </c>
      <c r="IQ7" s="5" t="n">
        <v>1.091866016247568</v>
      </c>
      <c r="IR7" s="5" t="n">
        <v>1.094115081469643</v>
      </c>
      <c r="IS7" s="5" t="n">
        <v>1.096368779397836</v>
      </c>
      <c r="IT7" s="5" t="n">
        <v>1.098627119574763</v>
      </c>
      <c r="IU7" s="5" t="n">
        <v>1.100890111562697</v>
      </c>
      <c r="IV7" s="5" t="n">
        <v>1.103157764943605</v>
      </c>
      <c r="IW7" s="5" t="n">
        <v>1.105430089319194</v>
      </c>
      <c r="IX7" s="5" t="n">
        <v>1.10770709431095</v>
      </c>
      <c r="IY7" s="5" t="n">
        <v>1.109988789560174</v>
      </c>
      <c r="IZ7" s="5" t="n">
        <v>1.112275184728028</v>
      </c>
      <c r="JA7" s="5" t="n">
        <v>1.114566289495577</v>
      </c>
      <c r="JB7" s="5" t="n">
        <v>1.116862113563825</v>
      </c>
      <c r="JC7" s="5" t="n">
        <v>1.119162666653757</v>
      </c>
      <c r="JD7" s="5" t="n">
        <v>1.121467958506384</v>
      </c>
      <c r="JE7" s="5" t="n">
        <v>1.123777998882782</v>
      </c>
      <c r="JF7" s="5" t="n">
        <v>1.126092797564132</v>
      </c>
      <c r="JG7" s="5" t="n">
        <v>1.128412364351764</v>
      </c>
      <c r="JH7" s="5" t="n">
        <v>1.130736709067195</v>
      </c>
      <c r="JI7" s="5" t="n">
        <v>1.133065841552174</v>
      </c>
      <c r="JJ7" s="5" t="n">
        <v>1.135399771668723</v>
      </c>
      <c r="JK7" s="5" t="n">
        <v>1.137738509299178</v>
      </c>
      <c r="JL7" s="5" t="n">
        <v>1.140082064346229</v>
      </c>
      <c r="JM7" s="5" t="n">
        <v>1.142430446732967</v>
      </c>
      <c r="JN7" s="5" t="n">
        <v>1.14478366640292</v>
      </c>
      <c r="JO7" s="5" t="n">
        <v>1.147141733320101</v>
      </c>
      <c r="JP7" s="5" t="n">
        <v>1.149504657469044</v>
      </c>
      <c r="JQ7" s="5" t="n">
        <v>1.151872448854852</v>
      </c>
      <c r="JR7" s="5" t="n">
        <v>1.154245117503236</v>
      </c>
      <c r="JS7" s="5" t="n">
        <v>1.156622673460558</v>
      </c>
      <c r="JT7" s="5" t="n">
        <v>1.159005126793874</v>
      </c>
      <c r="JU7" s="5" t="n">
        <v>1.161392487590978</v>
      </c>
      <c r="JV7" s="5" t="n">
        <v>1.163784765960441</v>
      </c>
      <c r="JW7" s="5" t="n">
        <v>1.166181972031657</v>
      </c>
      <c r="JX7" s="5" t="n">
        <v>1.168584115954885</v>
      </c>
      <c r="JY7" s="5" t="n">
        <v>1.170991207901291</v>
      </c>
      <c r="JZ7" s="5" t="n">
        <v>1.173403258062993</v>
      </c>
      <c r="KA7" s="5" t="n">
        <v>1.175820276653103</v>
      </c>
      <c r="KB7" s="5" t="n">
        <v>1.17824227390577</v>
      </c>
      <c r="KC7" s="5" t="n">
        <v>1.180669260076223</v>
      </c>
      <c r="KD7" s="5" t="n">
        <v>1.183101245440817</v>
      </c>
      <c r="KE7" s="5" t="n">
        <v>1.185538240297072</v>
      </c>
      <c r="KF7" s="5" t="n">
        <v>1.187980254963721</v>
      </c>
      <c r="KG7" s="5" t="n">
        <v>1.190427299780753</v>
      </c>
      <c r="KH7" s="5" t="n">
        <v>1.192879385109452</v>
      </c>
      <c r="KI7" s="5" t="n">
        <v>1.195336521332448</v>
      </c>
      <c r="KJ7" s="5" t="n">
        <v>1.197798718853757</v>
      </c>
      <c r="KK7" s="5" t="n">
        <v>1.200265988098823</v>
      </c>
      <c r="KL7" s="5" t="n">
        <v>1.202738339514568</v>
      </c>
      <c r="KM7" s="5" t="n">
        <v>1.20521578356943</v>
      </c>
      <c r="KN7" s="5" t="n">
        <v>1.207698330753414</v>
      </c>
      <c r="KO7" s="5" t="n">
        <v>1.210185991578129</v>
      </c>
      <c r="KP7" s="5" t="n">
        <v>1.212678776576837</v>
      </c>
      <c r="KQ7" s="5" t="n">
        <v>1.215176696304499</v>
      </c>
      <c r="KR7" s="5" t="n">
        <v>1.217679761337814</v>
      </c>
      <c r="KS7" s="5" t="n">
        <v>1.220187982275271</v>
      </c>
      <c r="KT7" s="5" t="n">
        <v>1.222701369737188</v>
      </c>
      <c r="KU7" s="5" t="n">
        <v>1.225219934365759</v>
      </c>
      <c r="KV7" s="5" t="n">
        <v>1.227743686825101</v>
      </c>
      <c r="KW7" s="5" t="n">
        <v>1.230272637801294</v>
      </c>
      <c r="KX7" s="5" t="n">
        <v>1.232806798002432</v>
      </c>
      <c r="KY7" s="5" t="n">
        <v>1.235346178158666</v>
      </c>
      <c r="KZ7" s="5" t="n">
        <v>1.237890789022249</v>
      </c>
      <c r="LA7" s="5" t="n">
        <v>1.240440641367581</v>
      </c>
      <c r="LB7" s="5" t="n">
        <v>1.242995745991258</v>
      </c>
      <c r="LC7" s="5" t="n">
        <v>1.245556113712111</v>
      </c>
      <c r="LD7" s="5" t="n">
        <v>1.248121755371259</v>
      </c>
      <c r="LE7" s="5" t="n">
        <v>1.250692681832153</v>
      </c>
      <c r="LF7" s="5" t="n">
        <v>1.253268903980618</v>
      </c>
      <c r="LG7" s="5" t="n">
        <v>1.255850432724904</v>
      </c>
      <c r="LH7" s="5" t="n">
        <v>1.258437278995728</v>
      </c>
      <c r="LI7" s="5" t="n">
        <v>1.261029453746326</v>
      </c>
      <c r="LJ7" s="5" t="n">
        <v>1.263626967952493</v>
      </c>
      <c r="LK7" s="5" t="n">
        <v>1.266229832612633</v>
      </c>
      <c r="LL7" s="5" t="n">
        <v>1.268838058747805</v>
      </c>
      <c r="LM7" s="5" t="n">
        <v>1.271451657401771</v>
      </c>
      <c r="LN7" s="5" t="n">
        <v>1.274070639641039</v>
      </c>
      <c r="LO7" s="5" t="n">
        <v>1.276695016554913</v>
      </c>
      <c r="LP7" s="5" t="n">
        <v>1.279324799255541</v>
      </c>
      <c r="LQ7" s="5" t="n">
        <v>1.281959998877957</v>
      </c>
      <c r="LR7" s="5" t="n">
        <v>1.284600626580133</v>
      </c>
      <c r="LS7" s="5" t="n">
        <v>1.287246693543026</v>
      </c>
      <c r="LT7" s="5" t="n">
        <v>1.289898210970621</v>
      </c>
      <c r="LU7" s="5" t="n">
        <v>1.292555190089984</v>
      </c>
      <c r="LV7" s="5" t="n">
        <v>1.295217642151305</v>
      </c>
      <c r="LW7" s="5" t="n">
        <v>1.297885578427948</v>
      </c>
      <c r="LX7" s="5" t="n">
        <v>1.3005590102165</v>
      </c>
      <c r="LY7" s="5" t="n">
        <v>1.303237948836815</v>
      </c>
      <c r="LZ7" s="5" t="n">
        <v>1.305922405632065</v>
      </c>
      <c r="MA7" s="5" t="n">
        <v>1.308612391968786</v>
      </c>
      <c r="MB7" s="5" t="n">
        <v>1.311307919236929</v>
      </c>
      <c r="MC7" s="5" t="n">
        <v>1.314008998849906</v>
      </c>
      <c r="MD7" s="5" t="n">
        <v>1.316715642244637</v>
      </c>
      <c r="ME7" s="5" t="n">
        <v>1.319427860881602</v>
      </c>
      <c r="MF7" s="5" t="n">
        <v>1.322145666244887</v>
      </c>
      <c r="MG7" s="5" t="n">
        <v>1.324869069842233</v>
      </c>
      <c r="MH7" s="5" t="n">
        <v>1.327598083205087</v>
      </c>
      <c r="MI7" s="5" t="n">
        <v>1.330332717888647</v>
      </c>
      <c r="MJ7" s="5" t="n">
        <v>1.333072985471913</v>
      </c>
      <c r="MK7" s="5" t="n">
        <v>1.335818897557735</v>
      </c>
      <c r="ML7" s="5" t="n">
        <v>1.338570465772866</v>
      </c>
      <c r="MM7" s="5" t="n">
        <v>1.341327701768006</v>
      </c>
      <c r="MN7" s="5" t="n">
        <v>1.344090617217852</v>
      </c>
      <c r="MO7" s="5" t="n">
        <v>1.346859223821153</v>
      </c>
      <c r="MP7" s="5" t="n">
        <v>1.349633533300752</v>
      </c>
      <c r="MQ7" s="5" t="n">
        <v>1.352413557403642</v>
      </c>
      <c r="MR7" s="5" t="n">
        <v>1.355199307901009</v>
      </c>
      <c r="MS7" s="5" t="n">
        <v>1.357990796588289</v>
      </c>
      <c r="MT7" s="5" t="n">
        <v>1.360788035285214</v>
      </c>
      <c r="MU7" s="5" t="n">
        <v>1.363591035835863</v>
      </c>
      <c r="MV7" s="5" t="n">
        <v>1.36639981010871</v>
      </c>
      <c r="MW7" s="5" t="n">
        <v>1.369214369996679</v>
      </c>
      <c r="MX7" s="5" t="n">
        <v>1.372034727417188</v>
      </c>
      <c r="MY7" s="5" t="n">
        <v>1.374860894312206</v>
      </c>
      <c r="MZ7" s="5" t="n">
        <v>1.377692882648299</v>
      </c>
      <c r="NA7" s="5" t="n">
        <v>1.380530704416682</v>
      </c>
      <c r="NB7" s="5" t="n">
        <v>1.383374371633271</v>
      </c>
      <c r="NC7" s="5" t="n">
        <v>1.386223896338732</v>
      </c>
      <c r="ND7" s="5" t="n">
        <v>1.389079290598534</v>
      </c>
      <c r="NE7" s="5" t="n">
        <v>1.391940566502996</v>
      </c>
      <c r="NF7" s="5" t="n">
        <v>1.394807736167345</v>
      </c>
      <c r="NG7" s="5" t="n">
        <v>1.39768081173176</v>
      </c>
      <c r="NH7" s="5" t="n">
        <v>1.400559805361428</v>
      </c>
      <c r="NI7" s="5" t="n">
        <v>1.403444729246595</v>
      </c>
      <c r="NJ7" s="5" t="n">
        <v>1.406335595602618</v>
      </c>
      <c r="NK7" s="5" t="n">
        <v>1.409232416670011</v>
      </c>
      <c r="NL7" s="5" t="n">
        <v>1.412135204714506</v>
      </c>
      <c r="NM7" s="5" t="n">
        <v>1.415043972027099</v>
      </c>
      <c r="NN7" s="5" t="n">
        <v>1.417958730924103</v>
      </c>
      <c r="NO7" s="5" t="n">
        <v>1.4208794937472</v>
      </c>
      <c r="NP7" s="5" t="n">
        <v>1.423806272863497</v>
      </c>
      <c r="NQ7" s="5" t="n">
        <v>1.426739080665571</v>
      </c>
      <c r="NR7" s="5" t="n">
        <v>1.429677929571528</v>
      </c>
      <c r="NS7" s="5" t="n">
        <v>1.432622832025053</v>
      </c>
      <c r="NT7" s="5" t="n">
        <v>1.435573800495463</v>
      </c>
      <c r="NU7" s="5" t="n">
        <v>1.43853084747776</v>
      </c>
      <c r="NV7" s="5" t="n">
        <v>1.441493985492683</v>
      </c>
      <c r="NW7" s="5" t="n">
        <v>1.444463227086761</v>
      </c>
      <c r="NX7" s="5" t="n">
        <v>1.447438584832368</v>
      </c>
      <c r="NY7" s="5" t="n">
        <v>1.450420071327776</v>
      </c>
      <c r="NZ7" s="5" t="n">
        <v>1.453407699197205</v>
      </c>
      <c r="OA7" s="5" t="n">
        <v>1.45640148109088</v>
      </c>
      <c r="OB7" s="5" t="n">
        <v>1.459401429685084</v>
      </c>
      <c r="OC7" s="5" t="n">
        <v>1.46240755768221</v>
      </c>
      <c r="OD7" s="5" t="n">
        <v>1.465419877810816</v>
      </c>
      <c r="OE7" s="5" t="n">
        <v>1.46843840282568</v>
      </c>
      <c r="OF7" s="5" t="n">
        <v>1.47146314550785</v>
      </c>
      <c r="OG7" s="5" t="n">
        <v>1.474494118664704</v>
      </c>
      <c r="OH7" s="5" t="n">
        <v>1.477531335129999</v>
      </c>
      <c r="OI7" s="5" t="n">
        <v>1.48057480776393</v>
      </c>
      <c r="OJ7" s="5" t="n">
        <v>1.483624549453178</v>
      </c>
      <c r="OK7" s="5" t="n">
        <v>1.48668057311097</v>
      </c>
      <c r="OL7" s="5" t="n">
        <v>1.489742891677135</v>
      </c>
      <c r="OM7" s="5" t="n">
        <v>1.492811518118152</v>
      </c>
      <c r="ON7" s="5" t="n">
        <v>1.495886465427211</v>
      </c>
      <c r="OO7" s="5" t="n">
        <v>1.498967746624265</v>
      </c>
      <c r="OP7" s="5" t="n">
        <v>1.502055374756086</v>
      </c>
      <c r="OQ7" s="5" t="n">
        <v>1.505149362896321</v>
      </c>
      <c r="OR7" s="5" t="n">
        <v>1.508249724145546</v>
      </c>
      <c r="OS7" s="5" t="n">
        <v>1.511356471631321</v>
      </c>
      <c r="OT7" s="5" t="n">
        <v>1.51446961850825</v>
      </c>
      <c r="OU7" s="5" t="n">
        <v>1.517589177958028</v>
      </c>
      <c r="OV7" s="5" t="n">
        <v>1.520715163189507</v>
      </c>
      <c r="OW7" s="5" t="n">
        <v>1.523847587438745</v>
      </c>
      <c r="OX7" s="5" t="n">
        <v>1.526986463969063</v>
      </c>
      <c r="OY7" s="5" t="n">
        <v>1.530131806071106</v>
      </c>
      <c r="OZ7" s="5" t="n">
        <v>1.533283627062892</v>
      </c>
      <c r="PA7" s="5" t="n">
        <v>1.536441940289872</v>
      </c>
      <c r="PB7" s="5" t="n">
        <v>1.539606759124989</v>
      </c>
      <c r="PC7" s="5" t="n">
        <v>1.542778096968729</v>
      </c>
      <c r="PD7" s="5" t="n">
        <v>1.545955967249184</v>
      </c>
      <c r="PE7" s="5" t="n">
        <v>1.549140383422105</v>
      </c>
      <c r="PF7" s="5" t="n">
        <v>1.552331358970956</v>
      </c>
      <c r="PG7" s="5" t="n">
        <v>1.555528907406978</v>
      </c>
      <c r="PH7" s="5" t="n">
        <v>1.558733042269244</v>
      </c>
      <c r="PI7" s="5" t="n">
        <v>1.561943777124713</v>
      </c>
      <c r="PJ7" s="5" t="n">
        <v>1.56516112556829</v>
      </c>
      <c r="PK7" s="5" t="n">
        <v>1.568385101222884</v>
      </c>
      <c r="PL7" s="5" t="n">
        <v>1.571615717739463</v>
      </c>
      <c r="PM7" s="5" t="n">
        <v>1.574852988797118</v>
      </c>
      <c r="PN7" s="5" t="n">
        <v>1.578096928103113</v>
      </c>
      <c r="PO7" s="5" t="n">
        <v>1.581347549392948</v>
      </c>
      <c r="PP7" s="5" t="n">
        <v>1.584604866430414</v>
      </c>
      <c r="PQ7" s="5" t="n">
        <v>1.587868893007657</v>
      </c>
      <c r="PR7" s="5" t="n">
        <v>1.59113964294523</v>
      </c>
      <c r="PS7" s="5" t="n">
        <v>1.594417130092153</v>
      </c>
      <c r="PT7" s="5" t="n">
        <v>1.597701368325975</v>
      </c>
      <c r="PU7" s="5" t="n">
        <v>1.60099237155283</v>
      </c>
      <c r="PV7" s="5" t="n">
        <v>1.604290153707497</v>
      </c>
      <c r="PW7" s="5" t="n">
        <v>1.607594728753456</v>
      </c>
      <c r="PX7" s="5" t="n">
        <v>1.61090611068295</v>
      </c>
      <c r="PY7" s="5" t="n">
        <v>1.614224313517046</v>
      </c>
      <c r="PZ7" s="5" t="n">
        <v>1.617549351305691</v>
      </c>
      <c r="QA7" s="5" t="n">
        <v>1.620881238127771</v>
      </c>
      <c r="QB7" s="5" t="n">
        <v>1.624219988091175</v>
      </c>
      <c r="QC7" s="5" t="n">
        <v>1.627565615332848</v>
      </c>
      <c r="QD7" s="5" t="n">
        <v>1.63091813401886</v>
      </c>
      <c r="QE7" s="5" t="n">
        <v>1.634277558344457</v>
      </c>
      <c r="QF7" s="5" t="n">
        <v>1.637643902534125</v>
      </c>
      <c r="QG7" s="5" t="n">
        <v>1.641017180841652</v>
      </c>
      <c r="QH7" s="5" t="n">
        <v>1.644397407550184</v>
      </c>
      <c r="QI7" s="5" t="n">
        <v>1.647784596972292</v>
      </c>
      <c r="QJ7" s="5" t="n">
        <v>1.651178763450023</v>
      </c>
      <c r="QK7" s="5" t="n">
        <v>1.654579921354972</v>
      </c>
      <c r="QL7" s="5" t="n">
        <v>1.657988085088333</v>
      </c>
      <c r="QM7" s="5" t="n">
        <v>1.661403269080965</v>
      </c>
      <c r="QN7" s="5" t="n">
        <v>1.664825487793453</v>
      </c>
      <c r="QO7" s="5" t="n">
        <v>1.668254755716169</v>
      </c>
      <c r="QP7" s="5" t="n">
        <v>1.671691087369331</v>
      </c>
      <c r="QQ7" s="5" t="n">
        <v>1.675134497303068</v>
      </c>
      <c r="QR7" s="5" t="n">
        <v>1.678585000097477</v>
      </c>
      <c r="QS7" s="5" t="n">
        <v>1.682042610362692</v>
      </c>
      <c r="QT7" s="5" t="n">
        <v>1.685507342738939</v>
      </c>
      <c r="QU7" s="5" t="n">
        <v>1.688979211896599</v>
      </c>
      <c r="QV7" s="5" t="n">
        <v>1.692458232536274</v>
      </c>
      <c r="QW7" s="5" t="n">
        <v>1.695944419388847</v>
      </c>
      <c r="QX7" s="5" t="n">
        <v>1.699437787215541</v>
      </c>
      <c r="QY7" s="5" t="n">
        <v>1.702938350807989</v>
      </c>
      <c r="QZ7" s="5" t="n">
        <v>1.70644612498829</v>
      </c>
      <c r="RA7" s="5" t="n">
        <v>1.709961124609074</v>
      </c>
      <c r="RB7" s="5" t="n">
        <v>1.713483364553565</v>
      </c>
      <c r="RC7" s="5" t="n">
        <v>1.717012859735644</v>
      </c>
      <c r="RD7" s="5" t="n">
        <v>1.720549625099914</v>
      </c>
      <c r="RE7" s="5" t="n">
        <v>1.72409367562176</v>
      </c>
      <c r="RF7" s="5" t="n">
        <v>1.727645026307412</v>
      </c>
      <c r="RG7" s="5" t="n">
        <v>1.731203692194013</v>
      </c>
      <c r="RH7" s="5" t="n">
        <v>1.734769688349681</v>
      </c>
      <c r="RI7" s="5" t="n">
        <v>1.738343029873567</v>
      </c>
      <c r="RJ7" s="5" t="n">
        <v>1.74192373189593</v>
      </c>
      <c r="RK7" s="5" t="n">
        <v>1.745511809578189</v>
      </c>
      <c r="RL7" s="5" t="n">
        <v>1.749107278112997</v>
      </c>
      <c r="RM7" s="5" t="n">
        <v>1.7527101527243</v>
      </c>
      <c r="RN7" s="5" t="n">
        <v>1.756320448667403</v>
      </c>
      <c r="RO7" s="5" t="n">
        <v>1.759938181229035</v>
      </c>
      <c r="RP7" s="5" t="n">
        <v>1.763563365727412</v>
      </c>
      <c r="RQ7" s="5" t="n">
        <v>1.767196017512303</v>
      </c>
      <c r="RR7" s="5" t="n">
        <v>1.770836151965097</v>
      </c>
      <c r="RS7" s="5" t="n">
        <v>1.774483784498863</v>
      </c>
      <c r="RT7" s="5" t="n">
        <v>1.778138930558423</v>
      </c>
      <c r="RU7" s="5" t="n">
        <v>1.781801605620406</v>
      </c>
      <c r="RV7" s="5" t="n">
        <v>1.785471825193327</v>
      </c>
      <c r="RW7" s="5" t="n">
        <v>1.789149604817643</v>
      </c>
    </row>
    <row r="8">
      <c r="A8" t="inlineStr">
        <is>
          <t>REV_002.discharge_volume_MWh</t>
        </is>
      </c>
      <c r="B8" t="inlineStr">
        <is>
          <t>kEUR</t>
        </is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 t="n"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 t="n"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 t="n"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 t="n"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 t="n">
        <v>0</v>
      </c>
      <c r="BT8" s="5" t="n">
        <v>0</v>
      </c>
      <c r="BU8" s="5" t="n">
        <v>0</v>
      </c>
      <c r="BV8" s="5" t="n"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 t="n"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 t="n"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 t="n"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 t="n">
        <v>0</v>
      </c>
      <c r="DC8" s="5" t="n">
        <v>0</v>
      </c>
      <c r="DD8" s="5" t="n">
        <v>0</v>
      </c>
      <c r="DE8" s="5" t="n">
        <v>0</v>
      </c>
      <c r="DF8" s="5" t="n"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 t="n"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 t="n"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 t="n"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 t="n"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 t="n">
        <v>0</v>
      </c>
      <c r="EP8" s="5" t="n">
        <v>0</v>
      </c>
      <c r="EQ8" s="5" t="n">
        <v>0</v>
      </c>
      <c r="ER8" s="5" t="n">
        <v>0</v>
      </c>
      <c r="ES8" s="5" t="n">
        <v>0</v>
      </c>
      <c r="ET8" s="5" t="n"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 t="n"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 t="n"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 t="n"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 t="n">
        <v>0</v>
      </c>
      <c r="GA8" s="5" t="n"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 t="n"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 t="n"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 t="n"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 t="n">
        <v>0</v>
      </c>
      <c r="HH8" s="5" t="n">
        <v>0</v>
      </c>
      <c r="HI8" s="5" t="n">
        <v>0</v>
      </c>
      <c r="HJ8" s="5" t="n">
        <v>0</v>
      </c>
      <c r="HK8" s="5" t="n"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 t="n"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 t="n"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 t="n"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 t="n"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 t="n">
        <v>0</v>
      </c>
      <c r="IV8" s="5" t="n">
        <v>0</v>
      </c>
      <c r="IW8" s="5" t="n">
        <v>0</v>
      </c>
      <c r="IX8" s="5" t="n">
        <v>0</v>
      </c>
      <c r="IY8" s="5" t="n"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 t="n"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 t="n"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 t="n"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 t="n">
        <v>0</v>
      </c>
      <c r="KD8" s="5" t="n">
        <v>0</v>
      </c>
      <c r="KE8" s="5" t="n">
        <v>0</v>
      </c>
      <c r="KF8" s="5" t="n">
        <v>0</v>
      </c>
      <c r="KG8" s="5" t="n">
        <v>0</v>
      </c>
      <c r="KH8" s="5" t="n">
        <v>0</v>
      </c>
      <c r="KI8" s="5" t="n">
        <v>0</v>
      </c>
      <c r="KJ8" s="5" t="n">
        <v>0</v>
      </c>
      <c r="KK8" s="5" t="n">
        <v>0</v>
      </c>
      <c r="KL8" s="5" t="n">
        <v>0</v>
      </c>
      <c r="KM8" s="5" t="n">
        <v>0</v>
      </c>
      <c r="KN8" s="5" t="n">
        <v>0</v>
      </c>
      <c r="KO8" s="5" t="n">
        <v>0</v>
      </c>
      <c r="KP8" s="5" t="n">
        <v>0</v>
      </c>
      <c r="KQ8" s="5" t="n">
        <v>0</v>
      </c>
      <c r="KR8" s="5" t="n">
        <v>0</v>
      </c>
      <c r="KS8" s="5" t="n">
        <v>0</v>
      </c>
      <c r="KT8" s="5" t="n">
        <v>0</v>
      </c>
      <c r="KU8" s="5" t="n">
        <v>0</v>
      </c>
      <c r="KV8" s="5" t="n">
        <v>0</v>
      </c>
      <c r="KW8" s="5" t="n">
        <v>0</v>
      </c>
      <c r="KX8" s="5" t="n">
        <v>0</v>
      </c>
      <c r="KY8" s="5" t="n">
        <v>0</v>
      </c>
      <c r="KZ8" s="5" t="n">
        <v>0</v>
      </c>
      <c r="LA8" s="5" t="n">
        <v>0</v>
      </c>
      <c r="LB8" s="5" t="n">
        <v>0</v>
      </c>
      <c r="LC8" s="5" t="n">
        <v>0</v>
      </c>
      <c r="LD8" s="5" t="n">
        <v>0</v>
      </c>
      <c r="LE8" s="5" t="n">
        <v>0</v>
      </c>
      <c r="LF8" s="5" t="n">
        <v>0</v>
      </c>
      <c r="LG8" s="5" t="n">
        <v>0</v>
      </c>
      <c r="LH8" s="5" t="n">
        <v>0</v>
      </c>
      <c r="LI8" s="5" t="n">
        <v>0</v>
      </c>
      <c r="LJ8" s="5" t="n">
        <v>0</v>
      </c>
      <c r="LK8" s="5" t="n">
        <v>0</v>
      </c>
      <c r="LL8" s="5" t="n">
        <v>0</v>
      </c>
      <c r="LM8" s="5" t="n">
        <v>0</v>
      </c>
      <c r="LN8" s="5" t="n">
        <v>0</v>
      </c>
      <c r="LO8" s="5" t="n">
        <v>0</v>
      </c>
      <c r="LP8" s="5" t="n">
        <v>0</v>
      </c>
      <c r="LQ8" s="5" t="n">
        <v>0</v>
      </c>
      <c r="LR8" s="5" t="n">
        <v>0</v>
      </c>
      <c r="LS8" s="5" t="n">
        <v>0</v>
      </c>
      <c r="LT8" s="5" t="n">
        <v>0</v>
      </c>
      <c r="LU8" s="5" t="n">
        <v>0</v>
      </c>
      <c r="LV8" s="5" t="n">
        <v>0</v>
      </c>
      <c r="LW8" s="5" t="n">
        <v>0</v>
      </c>
      <c r="LX8" s="5" t="n">
        <v>0</v>
      </c>
      <c r="LY8" s="5" t="n">
        <v>0</v>
      </c>
      <c r="LZ8" s="5" t="n">
        <v>0</v>
      </c>
      <c r="MA8" s="5" t="n">
        <v>0</v>
      </c>
      <c r="MB8" s="5" t="n">
        <v>0</v>
      </c>
      <c r="MC8" s="5" t="n">
        <v>0</v>
      </c>
      <c r="MD8" s="5" t="n">
        <v>0</v>
      </c>
      <c r="ME8" s="5" t="n">
        <v>0</v>
      </c>
      <c r="MF8" s="5" t="n">
        <v>0</v>
      </c>
      <c r="MG8" s="5" t="n">
        <v>0</v>
      </c>
      <c r="MH8" s="5" t="n">
        <v>0</v>
      </c>
      <c r="MI8" s="5" t="n">
        <v>0</v>
      </c>
      <c r="MJ8" s="5" t="n">
        <v>0</v>
      </c>
      <c r="MK8" s="5" t="n">
        <v>0</v>
      </c>
      <c r="ML8" s="5" t="n">
        <v>0</v>
      </c>
      <c r="MM8" s="5" t="n">
        <v>0</v>
      </c>
      <c r="MN8" s="5" t="n">
        <v>0</v>
      </c>
      <c r="MO8" s="5" t="n">
        <v>0</v>
      </c>
      <c r="MP8" s="5" t="n">
        <v>0</v>
      </c>
      <c r="MQ8" s="5" t="n">
        <v>0</v>
      </c>
      <c r="MR8" s="5" t="n">
        <v>0</v>
      </c>
      <c r="MS8" s="5" t="n">
        <v>0</v>
      </c>
      <c r="MT8" s="5" t="n">
        <v>0</v>
      </c>
      <c r="MU8" s="5" t="n">
        <v>0</v>
      </c>
      <c r="MV8" s="5" t="n">
        <v>0</v>
      </c>
      <c r="MW8" s="5" t="n">
        <v>0</v>
      </c>
      <c r="MX8" s="5" t="n">
        <v>0</v>
      </c>
      <c r="MY8" s="5" t="n">
        <v>0</v>
      </c>
      <c r="MZ8" s="5" t="n">
        <v>0</v>
      </c>
      <c r="NA8" s="5" t="n">
        <v>0</v>
      </c>
      <c r="NB8" s="5" t="n">
        <v>0</v>
      </c>
      <c r="NC8" s="5" t="n">
        <v>0</v>
      </c>
      <c r="ND8" s="5" t="n">
        <v>0</v>
      </c>
      <c r="NE8" s="5" t="n">
        <v>0</v>
      </c>
      <c r="NF8" s="5" t="n">
        <v>0</v>
      </c>
      <c r="NG8" s="5" t="n">
        <v>0</v>
      </c>
      <c r="NH8" s="5" t="n">
        <v>0</v>
      </c>
      <c r="NI8" s="5" t="n">
        <v>0</v>
      </c>
      <c r="NJ8" s="5" t="n">
        <v>0</v>
      </c>
      <c r="NK8" s="5" t="n">
        <v>0</v>
      </c>
      <c r="NL8" s="5" t="n">
        <v>0</v>
      </c>
      <c r="NM8" s="5" t="n">
        <v>0</v>
      </c>
      <c r="NN8" s="5" t="n">
        <v>0</v>
      </c>
      <c r="NO8" s="5" t="n">
        <v>0</v>
      </c>
      <c r="NP8" s="5" t="n">
        <v>0</v>
      </c>
      <c r="NQ8" s="5" t="n">
        <v>0</v>
      </c>
      <c r="NR8" s="5" t="n">
        <v>0</v>
      </c>
      <c r="NS8" s="5" t="n">
        <v>0</v>
      </c>
      <c r="NT8" s="5" t="n">
        <v>0</v>
      </c>
      <c r="NU8" s="5" t="n">
        <v>0</v>
      </c>
      <c r="NV8" s="5" t="n">
        <v>0</v>
      </c>
      <c r="NW8" s="5" t="n">
        <v>0</v>
      </c>
      <c r="NX8" s="5" t="n">
        <v>0</v>
      </c>
      <c r="NY8" s="5" t="n">
        <v>0</v>
      </c>
      <c r="NZ8" s="5" t="n">
        <v>0</v>
      </c>
      <c r="OA8" s="5" t="n">
        <v>0</v>
      </c>
      <c r="OB8" s="5" t="n">
        <v>0</v>
      </c>
      <c r="OC8" s="5" t="n">
        <v>0</v>
      </c>
      <c r="OD8" s="5" t="n">
        <v>0</v>
      </c>
      <c r="OE8" s="5" t="n">
        <v>0</v>
      </c>
      <c r="OF8" s="5" t="n">
        <v>0</v>
      </c>
      <c r="OG8" s="5" t="n">
        <v>0</v>
      </c>
      <c r="OH8" s="5" t="n">
        <v>0</v>
      </c>
      <c r="OI8" s="5" t="n">
        <v>0</v>
      </c>
      <c r="OJ8" s="5" t="n">
        <v>0</v>
      </c>
      <c r="OK8" s="5" t="n">
        <v>0</v>
      </c>
      <c r="OL8" s="5" t="n">
        <v>0</v>
      </c>
      <c r="OM8" s="5" t="n">
        <v>0</v>
      </c>
      <c r="ON8" s="5" t="n">
        <v>0</v>
      </c>
      <c r="OO8" s="5" t="n">
        <v>0</v>
      </c>
      <c r="OP8" s="5" t="n">
        <v>0</v>
      </c>
      <c r="OQ8" s="5" t="n">
        <v>0</v>
      </c>
      <c r="OR8" s="5" t="n">
        <v>0</v>
      </c>
      <c r="OS8" s="5" t="n">
        <v>0</v>
      </c>
      <c r="OT8" s="5" t="n">
        <v>0</v>
      </c>
      <c r="OU8" s="5" t="n">
        <v>0</v>
      </c>
      <c r="OV8" s="5" t="n">
        <v>0</v>
      </c>
      <c r="OW8" s="5" t="n">
        <v>0</v>
      </c>
      <c r="OX8" s="5" t="n">
        <v>0</v>
      </c>
      <c r="OY8" s="5" t="n">
        <v>0</v>
      </c>
      <c r="OZ8" s="5" t="n">
        <v>0</v>
      </c>
      <c r="PA8" s="5" t="n">
        <v>0</v>
      </c>
      <c r="PB8" s="5" t="n">
        <v>0</v>
      </c>
      <c r="PC8" s="5" t="n">
        <v>0</v>
      </c>
      <c r="PD8" s="5" t="n">
        <v>0</v>
      </c>
      <c r="PE8" s="5" t="n">
        <v>0</v>
      </c>
      <c r="PF8" s="5" t="n">
        <v>0</v>
      </c>
      <c r="PG8" s="5" t="n">
        <v>0</v>
      </c>
      <c r="PH8" s="5" t="n">
        <v>0</v>
      </c>
      <c r="PI8" s="5" t="n">
        <v>0</v>
      </c>
      <c r="PJ8" s="5" t="n">
        <v>0</v>
      </c>
      <c r="PK8" s="5" t="n">
        <v>0</v>
      </c>
      <c r="PL8" s="5" t="n">
        <v>0</v>
      </c>
      <c r="PM8" s="5" t="n">
        <v>0</v>
      </c>
      <c r="PN8" s="5" t="n">
        <v>0</v>
      </c>
      <c r="PO8" s="5" t="n">
        <v>0</v>
      </c>
      <c r="PP8" s="5" t="n">
        <v>0</v>
      </c>
      <c r="PQ8" s="5" t="n">
        <v>0</v>
      </c>
      <c r="PR8" s="5" t="n">
        <v>0</v>
      </c>
      <c r="PS8" s="5" t="n">
        <v>0</v>
      </c>
      <c r="PT8" s="5" t="n">
        <v>0</v>
      </c>
      <c r="PU8" s="5" t="n">
        <v>0</v>
      </c>
      <c r="PV8" s="5" t="n">
        <v>0</v>
      </c>
      <c r="PW8" s="5" t="n">
        <v>0</v>
      </c>
      <c r="PX8" s="5" t="n">
        <v>0</v>
      </c>
      <c r="PY8" s="5" t="n">
        <v>0</v>
      </c>
      <c r="PZ8" s="5" t="n">
        <v>0</v>
      </c>
      <c r="QA8" s="5" t="n">
        <v>0</v>
      </c>
      <c r="QB8" s="5" t="n">
        <v>0</v>
      </c>
      <c r="QC8" s="5" t="n">
        <v>0</v>
      </c>
      <c r="QD8" s="5" t="n">
        <v>0</v>
      </c>
      <c r="QE8" s="5" t="n">
        <v>0</v>
      </c>
      <c r="QF8" s="5" t="n">
        <v>0</v>
      </c>
      <c r="QG8" s="5" t="n">
        <v>0</v>
      </c>
      <c r="QH8" s="5" t="n">
        <v>0</v>
      </c>
      <c r="QI8" s="5" t="n">
        <v>0</v>
      </c>
      <c r="QJ8" s="5" t="n">
        <v>0</v>
      </c>
      <c r="QK8" s="5" t="n">
        <v>0</v>
      </c>
      <c r="QL8" s="5" t="n">
        <v>0</v>
      </c>
      <c r="QM8" s="5" t="n">
        <v>0</v>
      </c>
      <c r="QN8" s="5" t="n">
        <v>0</v>
      </c>
      <c r="QO8" s="5" t="n">
        <v>0</v>
      </c>
      <c r="QP8" s="5" t="n">
        <v>0</v>
      </c>
      <c r="QQ8" s="5" t="n">
        <v>0</v>
      </c>
      <c r="QR8" s="5" t="n">
        <v>0</v>
      </c>
      <c r="QS8" s="5" t="n">
        <v>0</v>
      </c>
      <c r="QT8" s="5" t="n">
        <v>0</v>
      </c>
      <c r="QU8" s="5" t="n">
        <v>0</v>
      </c>
      <c r="QV8" s="5" t="n">
        <v>0</v>
      </c>
      <c r="QW8" s="5" t="n">
        <v>0</v>
      </c>
      <c r="QX8" s="5" t="n">
        <v>0</v>
      </c>
      <c r="QY8" s="5" t="n">
        <v>0</v>
      </c>
      <c r="QZ8" s="5" t="n">
        <v>0</v>
      </c>
      <c r="RA8" s="5" t="n">
        <v>0</v>
      </c>
      <c r="RB8" s="5" t="n">
        <v>0</v>
      </c>
      <c r="RC8" s="5" t="n">
        <v>0</v>
      </c>
      <c r="RD8" s="5" t="n">
        <v>0</v>
      </c>
      <c r="RE8" s="5" t="n">
        <v>0</v>
      </c>
      <c r="RF8" s="5" t="n">
        <v>0</v>
      </c>
      <c r="RG8" s="5" t="n">
        <v>0</v>
      </c>
      <c r="RH8" s="5" t="n">
        <v>0</v>
      </c>
      <c r="RI8" s="5" t="n">
        <v>0</v>
      </c>
      <c r="RJ8" s="5" t="n">
        <v>0</v>
      </c>
      <c r="RK8" s="5" t="n">
        <v>0</v>
      </c>
      <c r="RL8" s="5" t="n">
        <v>0</v>
      </c>
      <c r="RM8" s="5" t="n">
        <v>0</v>
      </c>
      <c r="RN8" s="5" t="n">
        <v>0</v>
      </c>
      <c r="RO8" s="5" t="n">
        <v>0</v>
      </c>
      <c r="RP8" s="5" t="n">
        <v>0</v>
      </c>
      <c r="RQ8" s="5" t="n">
        <v>0</v>
      </c>
      <c r="RR8" s="5" t="n">
        <v>0</v>
      </c>
      <c r="RS8" s="5" t="n">
        <v>0</v>
      </c>
      <c r="RT8" s="5" t="n">
        <v>0</v>
      </c>
      <c r="RU8" s="5" t="n">
        <v>0</v>
      </c>
      <c r="RV8" s="5" t="n">
        <v>0</v>
      </c>
      <c r="RW8" s="5" t="n">
        <v>0</v>
      </c>
    </row>
    <row r="9">
      <c r="A9" t="inlineStr">
        <is>
          <t>REV_002.discharge_price_DKK_per_MWh</t>
        </is>
      </c>
      <c r="B9" t="inlineStr">
        <is>
          <t>kEUR</t>
        </is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 t="n">
        <v>0</v>
      </c>
      <c r="BA9" s="5" t="n">
        <v>0</v>
      </c>
      <c r="BB9" s="5" t="n">
        <v>0</v>
      </c>
      <c r="BC9" s="5" t="n">
        <v>0</v>
      </c>
      <c r="BD9" s="5" t="n">
        <v>0</v>
      </c>
      <c r="BE9" s="5" t="n">
        <v>0</v>
      </c>
      <c r="BF9" s="5" t="n">
        <v>0</v>
      </c>
      <c r="BG9" s="5" t="n">
        <v>0</v>
      </c>
      <c r="BH9" s="5" t="n">
        <v>0</v>
      </c>
      <c r="BI9" s="5" t="n">
        <v>0</v>
      </c>
      <c r="BJ9" s="5" t="n">
        <v>0</v>
      </c>
      <c r="BK9" s="5" t="n">
        <v>0</v>
      </c>
      <c r="BL9" s="5" t="n">
        <v>0</v>
      </c>
      <c r="BM9" s="5" t="n">
        <v>0</v>
      </c>
      <c r="BN9" s="5" t="n">
        <v>0</v>
      </c>
      <c r="BO9" s="5" t="n">
        <v>0</v>
      </c>
      <c r="BP9" s="5" t="n">
        <v>0</v>
      </c>
      <c r="BQ9" s="5" t="n">
        <v>0</v>
      </c>
      <c r="BR9" s="5" t="n">
        <v>0</v>
      </c>
      <c r="BS9" s="5" t="n">
        <v>0</v>
      </c>
      <c r="BT9" s="5" t="n">
        <v>0</v>
      </c>
      <c r="BU9" s="5" t="n">
        <v>0</v>
      </c>
      <c r="BV9" s="5" t="n">
        <v>0</v>
      </c>
      <c r="BW9" s="5" t="n">
        <v>0</v>
      </c>
      <c r="BX9" s="5" t="n">
        <v>0</v>
      </c>
      <c r="BY9" s="5" t="n">
        <v>0</v>
      </c>
      <c r="BZ9" s="5" t="n">
        <v>0</v>
      </c>
      <c r="CA9" s="5" t="n">
        <v>0</v>
      </c>
      <c r="CB9" s="5" t="n">
        <v>0</v>
      </c>
      <c r="CC9" s="5" t="n">
        <v>0</v>
      </c>
      <c r="CD9" s="5" t="n">
        <v>0</v>
      </c>
      <c r="CE9" s="5" t="n">
        <v>0</v>
      </c>
      <c r="CF9" s="5" t="n">
        <v>0</v>
      </c>
      <c r="CG9" s="5" t="n">
        <v>0</v>
      </c>
      <c r="CH9" s="5" t="n">
        <v>0</v>
      </c>
      <c r="CI9" s="5" t="n">
        <v>0</v>
      </c>
      <c r="CJ9" s="5" t="n">
        <v>0</v>
      </c>
      <c r="CK9" s="5" t="n">
        <v>0</v>
      </c>
      <c r="CL9" s="5" t="n">
        <v>0</v>
      </c>
      <c r="CM9" s="5" t="n">
        <v>0</v>
      </c>
      <c r="CN9" s="5" t="n">
        <v>0</v>
      </c>
      <c r="CO9" s="5" t="n">
        <v>0</v>
      </c>
      <c r="CP9" s="5" t="n">
        <v>0</v>
      </c>
      <c r="CQ9" s="5" t="n">
        <v>0</v>
      </c>
      <c r="CR9" s="5" t="n">
        <v>0</v>
      </c>
      <c r="CS9" s="5" t="n">
        <v>0</v>
      </c>
      <c r="CT9" s="5" t="n">
        <v>0</v>
      </c>
      <c r="CU9" s="5" t="n">
        <v>0</v>
      </c>
      <c r="CV9" s="5" t="n">
        <v>0</v>
      </c>
      <c r="CW9" s="5" t="n">
        <v>0</v>
      </c>
      <c r="CX9" s="5" t="n">
        <v>0</v>
      </c>
      <c r="CY9" s="5" t="n">
        <v>0</v>
      </c>
      <c r="CZ9" s="5" t="n">
        <v>0</v>
      </c>
      <c r="DA9" s="5" t="n">
        <v>0</v>
      </c>
      <c r="DB9" s="5" t="n">
        <v>0</v>
      </c>
      <c r="DC9" s="5" t="n">
        <v>0</v>
      </c>
      <c r="DD9" s="5" t="n">
        <v>0</v>
      </c>
      <c r="DE9" s="5" t="n">
        <v>0</v>
      </c>
      <c r="DF9" s="5" t="n">
        <v>0</v>
      </c>
      <c r="DG9" s="5" t="n">
        <v>0</v>
      </c>
      <c r="DH9" s="5" t="n">
        <v>0</v>
      </c>
      <c r="DI9" s="5" t="n">
        <v>0</v>
      </c>
      <c r="DJ9" s="5" t="n">
        <v>0</v>
      </c>
      <c r="DK9" s="5" t="n">
        <v>0</v>
      </c>
      <c r="DL9" s="5" t="n">
        <v>0</v>
      </c>
      <c r="DM9" s="5" t="n">
        <v>0</v>
      </c>
      <c r="DN9" s="5" t="n">
        <v>0</v>
      </c>
      <c r="DO9" s="5" t="n">
        <v>0</v>
      </c>
      <c r="DP9" s="5" t="n">
        <v>0</v>
      </c>
      <c r="DQ9" s="5" t="n">
        <v>0</v>
      </c>
      <c r="DR9" s="5" t="n">
        <v>0</v>
      </c>
      <c r="DS9" s="5" t="n">
        <v>0</v>
      </c>
      <c r="DT9" s="5" t="n">
        <v>0</v>
      </c>
      <c r="DU9" s="5" t="n">
        <v>0</v>
      </c>
      <c r="DV9" s="5" t="n">
        <v>0</v>
      </c>
      <c r="DW9" s="5" t="n">
        <v>0</v>
      </c>
      <c r="DX9" s="5" t="n">
        <v>0</v>
      </c>
      <c r="DY9" s="5" t="n">
        <v>0</v>
      </c>
      <c r="DZ9" s="5" t="n">
        <v>0</v>
      </c>
      <c r="EA9" s="5" t="n">
        <v>0</v>
      </c>
      <c r="EB9" s="5" t="n">
        <v>0</v>
      </c>
      <c r="EC9" s="5" t="n">
        <v>0</v>
      </c>
      <c r="ED9" s="5" t="n">
        <v>0</v>
      </c>
      <c r="EE9" s="5" t="n">
        <v>0</v>
      </c>
      <c r="EF9" s="5" t="n">
        <v>0</v>
      </c>
      <c r="EG9" s="5" t="n">
        <v>0</v>
      </c>
      <c r="EH9" s="5" t="n">
        <v>0</v>
      </c>
      <c r="EI9" s="5" t="n">
        <v>0</v>
      </c>
      <c r="EJ9" s="5" t="n">
        <v>0</v>
      </c>
      <c r="EK9" s="5" t="n">
        <v>0</v>
      </c>
      <c r="EL9" s="5" t="n">
        <v>0</v>
      </c>
      <c r="EM9" s="5" t="n">
        <v>0</v>
      </c>
      <c r="EN9" s="5" t="n">
        <v>0</v>
      </c>
      <c r="EO9" s="5" t="n">
        <v>0</v>
      </c>
      <c r="EP9" s="5" t="n">
        <v>0</v>
      </c>
      <c r="EQ9" s="5" t="n">
        <v>0</v>
      </c>
      <c r="ER9" s="5" t="n">
        <v>0</v>
      </c>
      <c r="ES9" s="5" t="n">
        <v>0</v>
      </c>
      <c r="ET9" s="5" t="n">
        <v>0</v>
      </c>
      <c r="EU9" s="5" t="n">
        <v>0</v>
      </c>
      <c r="EV9" s="5" t="n">
        <v>0</v>
      </c>
      <c r="EW9" s="5" t="n">
        <v>0</v>
      </c>
      <c r="EX9" s="5" t="n">
        <v>0</v>
      </c>
      <c r="EY9" s="5" t="n">
        <v>0</v>
      </c>
      <c r="EZ9" s="5" t="n">
        <v>0</v>
      </c>
      <c r="FA9" s="5" t="n">
        <v>0</v>
      </c>
      <c r="FB9" s="5" t="n">
        <v>0</v>
      </c>
      <c r="FC9" s="5" t="n">
        <v>0</v>
      </c>
      <c r="FD9" s="5" t="n">
        <v>0</v>
      </c>
      <c r="FE9" s="5" t="n">
        <v>0</v>
      </c>
      <c r="FF9" s="5" t="n">
        <v>0</v>
      </c>
      <c r="FG9" s="5" t="n">
        <v>0</v>
      </c>
      <c r="FH9" s="5" t="n">
        <v>0</v>
      </c>
      <c r="FI9" s="5" t="n">
        <v>0</v>
      </c>
      <c r="FJ9" s="5" t="n">
        <v>0</v>
      </c>
      <c r="FK9" s="5" t="n">
        <v>0</v>
      </c>
      <c r="FL9" s="5" t="n">
        <v>0</v>
      </c>
      <c r="FM9" s="5" t="n">
        <v>0</v>
      </c>
      <c r="FN9" s="5" t="n">
        <v>0</v>
      </c>
      <c r="FO9" s="5" t="n">
        <v>0</v>
      </c>
      <c r="FP9" s="5" t="n">
        <v>0</v>
      </c>
      <c r="FQ9" s="5" t="n">
        <v>0</v>
      </c>
      <c r="FR9" s="5" t="n">
        <v>0</v>
      </c>
      <c r="FS9" s="5" t="n">
        <v>0</v>
      </c>
      <c r="FT9" s="5" t="n">
        <v>0</v>
      </c>
      <c r="FU9" s="5" t="n">
        <v>0</v>
      </c>
      <c r="FV9" s="5" t="n">
        <v>0</v>
      </c>
      <c r="FW9" s="5" t="n">
        <v>0</v>
      </c>
      <c r="FX9" s="5" t="n">
        <v>0</v>
      </c>
      <c r="FY9" s="5" t="n">
        <v>0</v>
      </c>
      <c r="FZ9" s="5" t="n">
        <v>0</v>
      </c>
      <c r="GA9" s="5" t="n">
        <v>0</v>
      </c>
      <c r="GB9" s="5" t="n">
        <v>0</v>
      </c>
      <c r="GC9" s="5" t="n">
        <v>0</v>
      </c>
      <c r="GD9" s="5" t="n">
        <v>0</v>
      </c>
      <c r="GE9" s="5" t="n">
        <v>0</v>
      </c>
      <c r="GF9" s="5" t="n">
        <v>0</v>
      </c>
      <c r="GG9" s="5" t="n">
        <v>0</v>
      </c>
      <c r="GH9" s="5" t="n">
        <v>0</v>
      </c>
      <c r="GI9" s="5" t="n">
        <v>0</v>
      </c>
      <c r="GJ9" s="5" t="n">
        <v>0</v>
      </c>
      <c r="GK9" s="5" t="n">
        <v>0</v>
      </c>
      <c r="GL9" s="5" t="n">
        <v>0</v>
      </c>
      <c r="GM9" s="5" t="n">
        <v>0</v>
      </c>
      <c r="GN9" s="5" t="n">
        <v>0</v>
      </c>
      <c r="GO9" s="5" t="n">
        <v>0</v>
      </c>
      <c r="GP9" s="5" t="n">
        <v>0</v>
      </c>
      <c r="GQ9" s="5" t="n">
        <v>0</v>
      </c>
      <c r="GR9" s="5" t="n">
        <v>0</v>
      </c>
      <c r="GS9" s="5" t="n">
        <v>0</v>
      </c>
      <c r="GT9" s="5" t="n">
        <v>0</v>
      </c>
      <c r="GU9" s="5" t="n">
        <v>0</v>
      </c>
      <c r="GV9" s="5" t="n">
        <v>0</v>
      </c>
      <c r="GW9" s="5" t="n">
        <v>0</v>
      </c>
      <c r="GX9" s="5" t="n">
        <v>0</v>
      </c>
      <c r="GY9" s="5" t="n">
        <v>0</v>
      </c>
      <c r="GZ9" s="5" t="n">
        <v>0</v>
      </c>
      <c r="HA9" s="5" t="n">
        <v>0</v>
      </c>
      <c r="HB9" s="5" t="n">
        <v>0</v>
      </c>
      <c r="HC9" s="5" t="n">
        <v>0</v>
      </c>
      <c r="HD9" s="5" t="n">
        <v>0</v>
      </c>
      <c r="HE9" s="5" t="n">
        <v>0</v>
      </c>
      <c r="HF9" s="5" t="n">
        <v>0</v>
      </c>
      <c r="HG9" s="5" t="n">
        <v>0</v>
      </c>
      <c r="HH9" s="5" t="n">
        <v>0</v>
      </c>
      <c r="HI9" s="5" t="n">
        <v>0</v>
      </c>
      <c r="HJ9" s="5" t="n">
        <v>0</v>
      </c>
      <c r="HK9" s="5" t="n">
        <v>0</v>
      </c>
      <c r="HL9" s="5" t="n">
        <v>0</v>
      </c>
      <c r="HM9" s="5" t="n">
        <v>0</v>
      </c>
      <c r="HN9" s="5" t="n">
        <v>0</v>
      </c>
      <c r="HO9" s="5" t="n">
        <v>0</v>
      </c>
      <c r="HP9" s="5" t="n">
        <v>0</v>
      </c>
      <c r="HQ9" s="5" t="n">
        <v>0</v>
      </c>
      <c r="HR9" s="5" t="n">
        <v>0</v>
      </c>
      <c r="HS9" s="5" t="n">
        <v>0</v>
      </c>
      <c r="HT9" s="5" t="n">
        <v>0</v>
      </c>
      <c r="HU9" s="5" t="n">
        <v>0</v>
      </c>
      <c r="HV9" s="5" t="n">
        <v>0</v>
      </c>
      <c r="HW9" s="5" t="n">
        <v>0</v>
      </c>
      <c r="HX9" s="5" t="n">
        <v>0</v>
      </c>
      <c r="HY9" s="5" t="n">
        <v>0</v>
      </c>
      <c r="HZ9" s="5" t="n">
        <v>0</v>
      </c>
      <c r="IA9" s="5" t="n">
        <v>0</v>
      </c>
      <c r="IB9" s="5" t="n">
        <v>0</v>
      </c>
      <c r="IC9" s="5" t="n">
        <v>0</v>
      </c>
      <c r="ID9" s="5" t="n">
        <v>0</v>
      </c>
      <c r="IE9" s="5" t="n">
        <v>0</v>
      </c>
      <c r="IF9" s="5" t="n">
        <v>0</v>
      </c>
      <c r="IG9" s="5" t="n">
        <v>0</v>
      </c>
      <c r="IH9" s="5" t="n">
        <v>0</v>
      </c>
      <c r="II9" s="5" t="n">
        <v>0</v>
      </c>
      <c r="IJ9" s="5" t="n">
        <v>0</v>
      </c>
      <c r="IK9" s="5" t="n">
        <v>0</v>
      </c>
      <c r="IL9" s="5" t="n">
        <v>0</v>
      </c>
      <c r="IM9" s="5" t="n">
        <v>0</v>
      </c>
      <c r="IN9" s="5" t="n">
        <v>0</v>
      </c>
      <c r="IO9" s="5" t="n">
        <v>0</v>
      </c>
      <c r="IP9" s="5" t="n">
        <v>0</v>
      </c>
      <c r="IQ9" s="5" t="n">
        <v>0</v>
      </c>
      <c r="IR9" s="5" t="n">
        <v>0</v>
      </c>
      <c r="IS9" s="5" t="n">
        <v>0</v>
      </c>
      <c r="IT9" s="5" t="n">
        <v>0</v>
      </c>
      <c r="IU9" s="5" t="n">
        <v>0</v>
      </c>
      <c r="IV9" s="5" t="n">
        <v>0</v>
      </c>
      <c r="IW9" s="5" t="n">
        <v>0</v>
      </c>
      <c r="IX9" s="5" t="n">
        <v>0</v>
      </c>
      <c r="IY9" s="5" t="n">
        <v>0</v>
      </c>
      <c r="IZ9" s="5" t="n">
        <v>0</v>
      </c>
      <c r="JA9" s="5" t="n">
        <v>0</v>
      </c>
      <c r="JB9" s="5" t="n">
        <v>0</v>
      </c>
      <c r="JC9" s="5" t="n">
        <v>0</v>
      </c>
      <c r="JD9" s="5" t="n">
        <v>0</v>
      </c>
      <c r="JE9" s="5" t="n">
        <v>0</v>
      </c>
      <c r="JF9" s="5" t="n">
        <v>0</v>
      </c>
      <c r="JG9" s="5" t="n">
        <v>0</v>
      </c>
      <c r="JH9" s="5" t="n">
        <v>0</v>
      </c>
      <c r="JI9" s="5" t="n">
        <v>0</v>
      </c>
      <c r="JJ9" s="5" t="n">
        <v>0</v>
      </c>
      <c r="JK9" s="5" t="n">
        <v>0</v>
      </c>
      <c r="JL9" s="5" t="n">
        <v>0</v>
      </c>
      <c r="JM9" s="5" t="n">
        <v>0</v>
      </c>
      <c r="JN9" s="5" t="n">
        <v>0</v>
      </c>
      <c r="JO9" s="5" t="n">
        <v>0</v>
      </c>
      <c r="JP9" s="5" t="n">
        <v>0</v>
      </c>
      <c r="JQ9" s="5" t="n">
        <v>0</v>
      </c>
      <c r="JR9" s="5" t="n">
        <v>0</v>
      </c>
      <c r="JS9" s="5" t="n">
        <v>0</v>
      </c>
      <c r="JT9" s="5" t="n">
        <v>0</v>
      </c>
      <c r="JU9" s="5" t="n">
        <v>0</v>
      </c>
      <c r="JV9" s="5" t="n">
        <v>0</v>
      </c>
      <c r="JW9" s="5" t="n">
        <v>0</v>
      </c>
      <c r="JX9" s="5" t="n">
        <v>0</v>
      </c>
      <c r="JY9" s="5" t="n">
        <v>0</v>
      </c>
      <c r="JZ9" s="5" t="n">
        <v>0</v>
      </c>
      <c r="KA9" s="5" t="n">
        <v>0</v>
      </c>
      <c r="KB9" s="5" t="n">
        <v>0</v>
      </c>
      <c r="KC9" s="5" t="n">
        <v>0</v>
      </c>
      <c r="KD9" s="5" t="n">
        <v>0</v>
      </c>
      <c r="KE9" s="5" t="n">
        <v>0</v>
      </c>
      <c r="KF9" s="5" t="n">
        <v>0</v>
      </c>
      <c r="KG9" s="5" t="n">
        <v>0</v>
      </c>
      <c r="KH9" s="5" t="n">
        <v>0</v>
      </c>
      <c r="KI9" s="5" t="n">
        <v>0</v>
      </c>
      <c r="KJ9" s="5" t="n">
        <v>0</v>
      </c>
      <c r="KK9" s="5" t="n">
        <v>0</v>
      </c>
      <c r="KL9" s="5" t="n">
        <v>0</v>
      </c>
      <c r="KM9" s="5" t="n">
        <v>0</v>
      </c>
      <c r="KN9" s="5" t="n">
        <v>0</v>
      </c>
      <c r="KO9" s="5" t="n">
        <v>0</v>
      </c>
      <c r="KP9" s="5" t="n">
        <v>0</v>
      </c>
      <c r="KQ9" s="5" t="n">
        <v>0</v>
      </c>
      <c r="KR9" s="5" t="n">
        <v>0</v>
      </c>
      <c r="KS9" s="5" t="n">
        <v>0</v>
      </c>
      <c r="KT9" s="5" t="n">
        <v>0</v>
      </c>
      <c r="KU9" s="5" t="n">
        <v>0</v>
      </c>
      <c r="KV9" s="5" t="n">
        <v>0</v>
      </c>
      <c r="KW9" s="5" t="n">
        <v>0</v>
      </c>
      <c r="KX9" s="5" t="n">
        <v>0</v>
      </c>
      <c r="KY9" s="5" t="n">
        <v>0</v>
      </c>
      <c r="KZ9" s="5" t="n">
        <v>0</v>
      </c>
      <c r="LA9" s="5" t="n">
        <v>0</v>
      </c>
      <c r="LB9" s="5" t="n">
        <v>0</v>
      </c>
      <c r="LC9" s="5" t="n">
        <v>0</v>
      </c>
      <c r="LD9" s="5" t="n">
        <v>0</v>
      </c>
      <c r="LE9" s="5" t="n">
        <v>0</v>
      </c>
      <c r="LF9" s="5" t="n">
        <v>0</v>
      </c>
      <c r="LG9" s="5" t="n">
        <v>0</v>
      </c>
      <c r="LH9" s="5" t="n">
        <v>0</v>
      </c>
      <c r="LI9" s="5" t="n">
        <v>0</v>
      </c>
      <c r="LJ9" s="5" t="n">
        <v>0</v>
      </c>
      <c r="LK9" s="5" t="n">
        <v>0</v>
      </c>
      <c r="LL9" s="5" t="n">
        <v>0</v>
      </c>
      <c r="LM9" s="5" t="n">
        <v>0</v>
      </c>
      <c r="LN9" s="5" t="n">
        <v>0</v>
      </c>
      <c r="LO9" s="5" t="n">
        <v>0</v>
      </c>
      <c r="LP9" s="5" t="n">
        <v>0</v>
      </c>
      <c r="LQ9" s="5" t="n">
        <v>0</v>
      </c>
      <c r="LR9" s="5" t="n">
        <v>0</v>
      </c>
      <c r="LS9" s="5" t="n">
        <v>0</v>
      </c>
      <c r="LT9" s="5" t="n">
        <v>0</v>
      </c>
      <c r="LU9" s="5" t="n">
        <v>0</v>
      </c>
      <c r="LV9" s="5" t="n">
        <v>0</v>
      </c>
      <c r="LW9" s="5" t="n">
        <v>0</v>
      </c>
      <c r="LX9" s="5" t="n">
        <v>0</v>
      </c>
      <c r="LY9" s="5" t="n">
        <v>0</v>
      </c>
      <c r="LZ9" s="5" t="n">
        <v>0</v>
      </c>
      <c r="MA9" s="5" t="n">
        <v>0</v>
      </c>
      <c r="MB9" s="5" t="n">
        <v>0</v>
      </c>
      <c r="MC9" s="5" t="n">
        <v>0</v>
      </c>
      <c r="MD9" s="5" t="n">
        <v>0</v>
      </c>
      <c r="ME9" s="5" t="n">
        <v>0</v>
      </c>
      <c r="MF9" s="5" t="n">
        <v>0</v>
      </c>
      <c r="MG9" s="5" t="n">
        <v>0</v>
      </c>
      <c r="MH9" s="5" t="n">
        <v>0</v>
      </c>
      <c r="MI9" s="5" t="n">
        <v>0</v>
      </c>
      <c r="MJ9" s="5" t="n">
        <v>0</v>
      </c>
      <c r="MK9" s="5" t="n">
        <v>0</v>
      </c>
      <c r="ML9" s="5" t="n">
        <v>0</v>
      </c>
      <c r="MM9" s="5" t="n">
        <v>0</v>
      </c>
      <c r="MN9" s="5" t="n">
        <v>0</v>
      </c>
      <c r="MO9" s="5" t="n">
        <v>0</v>
      </c>
      <c r="MP9" s="5" t="n">
        <v>0</v>
      </c>
      <c r="MQ9" s="5" t="n">
        <v>0</v>
      </c>
      <c r="MR9" s="5" t="n">
        <v>0</v>
      </c>
      <c r="MS9" s="5" t="n">
        <v>0</v>
      </c>
      <c r="MT9" s="5" t="n">
        <v>0</v>
      </c>
      <c r="MU9" s="5" t="n">
        <v>0</v>
      </c>
      <c r="MV9" s="5" t="n">
        <v>0</v>
      </c>
      <c r="MW9" s="5" t="n">
        <v>0</v>
      </c>
      <c r="MX9" s="5" t="n">
        <v>0</v>
      </c>
      <c r="MY9" s="5" t="n">
        <v>0</v>
      </c>
      <c r="MZ9" s="5" t="n">
        <v>0</v>
      </c>
      <c r="NA9" s="5" t="n">
        <v>0</v>
      </c>
      <c r="NB9" s="5" t="n">
        <v>0</v>
      </c>
      <c r="NC9" s="5" t="n">
        <v>0</v>
      </c>
      <c r="ND9" s="5" t="n">
        <v>0</v>
      </c>
      <c r="NE9" s="5" t="n">
        <v>0</v>
      </c>
      <c r="NF9" s="5" t="n">
        <v>0</v>
      </c>
      <c r="NG9" s="5" t="n">
        <v>0</v>
      </c>
      <c r="NH9" s="5" t="n">
        <v>0</v>
      </c>
      <c r="NI9" s="5" t="n">
        <v>0</v>
      </c>
      <c r="NJ9" s="5" t="n">
        <v>0</v>
      </c>
      <c r="NK9" s="5" t="n">
        <v>0</v>
      </c>
      <c r="NL9" s="5" t="n">
        <v>0</v>
      </c>
      <c r="NM9" s="5" t="n">
        <v>0</v>
      </c>
      <c r="NN9" s="5" t="n">
        <v>0</v>
      </c>
      <c r="NO9" s="5" t="n">
        <v>0</v>
      </c>
      <c r="NP9" s="5" t="n">
        <v>0</v>
      </c>
      <c r="NQ9" s="5" t="n">
        <v>0</v>
      </c>
      <c r="NR9" s="5" t="n">
        <v>0</v>
      </c>
      <c r="NS9" s="5" t="n">
        <v>0</v>
      </c>
      <c r="NT9" s="5" t="n">
        <v>0</v>
      </c>
      <c r="NU9" s="5" t="n">
        <v>0</v>
      </c>
      <c r="NV9" s="5" t="n">
        <v>0</v>
      </c>
      <c r="NW9" s="5" t="n">
        <v>0</v>
      </c>
      <c r="NX9" s="5" t="n">
        <v>0</v>
      </c>
      <c r="NY9" s="5" t="n">
        <v>0</v>
      </c>
      <c r="NZ9" s="5" t="n">
        <v>0</v>
      </c>
      <c r="OA9" s="5" t="n">
        <v>0</v>
      </c>
      <c r="OB9" s="5" t="n">
        <v>0</v>
      </c>
      <c r="OC9" s="5" t="n">
        <v>0</v>
      </c>
      <c r="OD9" s="5" t="n">
        <v>0</v>
      </c>
      <c r="OE9" s="5" t="n">
        <v>0</v>
      </c>
      <c r="OF9" s="5" t="n">
        <v>0</v>
      </c>
      <c r="OG9" s="5" t="n">
        <v>0</v>
      </c>
      <c r="OH9" s="5" t="n">
        <v>0</v>
      </c>
      <c r="OI9" s="5" t="n">
        <v>0</v>
      </c>
      <c r="OJ9" s="5" t="n">
        <v>0</v>
      </c>
      <c r="OK9" s="5" t="n">
        <v>0</v>
      </c>
      <c r="OL9" s="5" t="n">
        <v>0</v>
      </c>
      <c r="OM9" s="5" t="n">
        <v>0</v>
      </c>
      <c r="ON9" s="5" t="n">
        <v>0</v>
      </c>
      <c r="OO9" s="5" t="n">
        <v>0</v>
      </c>
      <c r="OP9" s="5" t="n">
        <v>0</v>
      </c>
      <c r="OQ9" s="5" t="n">
        <v>0</v>
      </c>
      <c r="OR9" s="5" t="n">
        <v>0</v>
      </c>
      <c r="OS9" s="5" t="n">
        <v>0</v>
      </c>
      <c r="OT9" s="5" t="n">
        <v>0</v>
      </c>
      <c r="OU9" s="5" t="n">
        <v>0</v>
      </c>
      <c r="OV9" s="5" t="n">
        <v>0</v>
      </c>
      <c r="OW9" s="5" t="n">
        <v>0</v>
      </c>
      <c r="OX9" s="5" t="n">
        <v>0</v>
      </c>
      <c r="OY9" s="5" t="n">
        <v>0</v>
      </c>
      <c r="OZ9" s="5" t="n">
        <v>0</v>
      </c>
      <c r="PA9" s="5" t="n">
        <v>0</v>
      </c>
      <c r="PB9" s="5" t="n">
        <v>0</v>
      </c>
      <c r="PC9" s="5" t="n">
        <v>0</v>
      </c>
      <c r="PD9" s="5" t="n">
        <v>0</v>
      </c>
      <c r="PE9" s="5" t="n">
        <v>0</v>
      </c>
      <c r="PF9" s="5" t="n">
        <v>0</v>
      </c>
      <c r="PG9" s="5" t="n">
        <v>0</v>
      </c>
      <c r="PH9" s="5" t="n">
        <v>0</v>
      </c>
      <c r="PI9" s="5" t="n">
        <v>0</v>
      </c>
      <c r="PJ9" s="5" t="n">
        <v>0</v>
      </c>
      <c r="PK9" s="5" t="n">
        <v>0</v>
      </c>
      <c r="PL9" s="5" t="n">
        <v>0</v>
      </c>
      <c r="PM9" s="5" t="n">
        <v>0</v>
      </c>
      <c r="PN9" s="5" t="n">
        <v>0</v>
      </c>
      <c r="PO9" s="5" t="n">
        <v>0</v>
      </c>
      <c r="PP9" s="5" t="n">
        <v>0</v>
      </c>
      <c r="PQ9" s="5" t="n">
        <v>0</v>
      </c>
      <c r="PR9" s="5" t="n">
        <v>0</v>
      </c>
      <c r="PS9" s="5" t="n">
        <v>0</v>
      </c>
      <c r="PT9" s="5" t="n">
        <v>0</v>
      </c>
      <c r="PU9" s="5" t="n">
        <v>0</v>
      </c>
      <c r="PV9" s="5" t="n">
        <v>0</v>
      </c>
      <c r="PW9" s="5" t="n">
        <v>0</v>
      </c>
      <c r="PX9" s="5" t="n">
        <v>0</v>
      </c>
      <c r="PY9" s="5" t="n">
        <v>0</v>
      </c>
      <c r="PZ9" s="5" t="n">
        <v>0</v>
      </c>
      <c r="QA9" s="5" t="n">
        <v>0</v>
      </c>
      <c r="QB9" s="5" t="n">
        <v>0</v>
      </c>
      <c r="QC9" s="5" t="n">
        <v>0</v>
      </c>
      <c r="QD9" s="5" t="n">
        <v>0</v>
      </c>
      <c r="QE9" s="5" t="n">
        <v>0</v>
      </c>
      <c r="QF9" s="5" t="n">
        <v>0</v>
      </c>
      <c r="QG9" s="5" t="n">
        <v>0</v>
      </c>
      <c r="QH9" s="5" t="n">
        <v>0</v>
      </c>
      <c r="QI9" s="5" t="n">
        <v>0</v>
      </c>
      <c r="QJ9" s="5" t="n">
        <v>0</v>
      </c>
      <c r="QK9" s="5" t="n">
        <v>0</v>
      </c>
      <c r="QL9" s="5" t="n">
        <v>0</v>
      </c>
      <c r="QM9" s="5" t="n">
        <v>0</v>
      </c>
      <c r="QN9" s="5" t="n">
        <v>0</v>
      </c>
      <c r="QO9" s="5" t="n">
        <v>0</v>
      </c>
      <c r="QP9" s="5" t="n">
        <v>0</v>
      </c>
      <c r="QQ9" s="5" t="n">
        <v>0</v>
      </c>
      <c r="QR9" s="5" t="n">
        <v>0</v>
      </c>
      <c r="QS9" s="5" t="n">
        <v>0</v>
      </c>
      <c r="QT9" s="5" t="n">
        <v>0</v>
      </c>
      <c r="QU9" s="5" t="n">
        <v>0</v>
      </c>
      <c r="QV9" s="5" t="n">
        <v>0</v>
      </c>
      <c r="QW9" s="5" t="n">
        <v>0</v>
      </c>
      <c r="QX9" s="5" t="n">
        <v>0</v>
      </c>
      <c r="QY9" s="5" t="n">
        <v>0</v>
      </c>
      <c r="QZ9" s="5" t="n">
        <v>0</v>
      </c>
      <c r="RA9" s="5" t="n">
        <v>0</v>
      </c>
      <c r="RB9" s="5" t="n">
        <v>0</v>
      </c>
      <c r="RC9" s="5" t="n">
        <v>0</v>
      </c>
      <c r="RD9" s="5" t="n">
        <v>0</v>
      </c>
      <c r="RE9" s="5" t="n">
        <v>0</v>
      </c>
      <c r="RF9" s="5" t="n">
        <v>0</v>
      </c>
      <c r="RG9" s="5" t="n">
        <v>0</v>
      </c>
      <c r="RH9" s="5" t="n">
        <v>0</v>
      </c>
      <c r="RI9" s="5" t="n">
        <v>0</v>
      </c>
      <c r="RJ9" s="5" t="n">
        <v>0</v>
      </c>
      <c r="RK9" s="5" t="n">
        <v>0</v>
      </c>
      <c r="RL9" s="5" t="n">
        <v>0</v>
      </c>
      <c r="RM9" s="5" t="n">
        <v>0</v>
      </c>
      <c r="RN9" s="5" t="n">
        <v>0</v>
      </c>
      <c r="RO9" s="5" t="n">
        <v>0</v>
      </c>
      <c r="RP9" s="5" t="n">
        <v>0</v>
      </c>
      <c r="RQ9" s="5" t="n">
        <v>0</v>
      </c>
      <c r="RR9" s="5" t="n">
        <v>0</v>
      </c>
      <c r="RS9" s="5" t="n">
        <v>0</v>
      </c>
      <c r="RT9" s="5" t="n">
        <v>0</v>
      </c>
      <c r="RU9" s="5" t="n">
        <v>0</v>
      </c>
      <c r="RV9" s="5" t="n">
        <v>0</v>
      </c>
      <c r="RW9" s="5" t="n">
        <v>0</v>
      </c>
    </row>
    <row r="10">
      <c r="A10" t="inlineStr">
        <is>
          <t>REV_002.grid_charge_volume_MWh</t>
        </is>
      </c>
      <c r="B10" t="inlineStr">
        <is>
          <t>kEUR</t>
        </is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  <c r="AT10" s="5" t="n">
        <v>0</v>
      </c>
      <c r="AU10" s="5" t="n">
        <v>0</v>
      </c>
      <c r="AV10" s="5" t="n">
        <v>0</v>
      </c>
      <c r="AW10" s="5" t="n">
        <v>0</v>
      </c>
      <c r="AX10" s="5" t="n">
        <v>0</v>
      </c>
      <c r="AY10" s="5" t="n">
        <v>0</v>
      </c>
      <c r="AZ10" s="5" t="n">
        <v>0</v>
      </c>
      <c r="BA10" s="5" t="n">
        <v>0</v>
      </c>
      <c r="BB10" s="5" t="n">
        <v>0</v>
      </c>
      <c r="BC10" s="5" t="n">
        <v>0</v>
      </c>
      <c r="BD10" s="5" t="n">
        <v>0</v>
      </c>
      <c r="BE10" s="5" t="n">
        <v>0</v>
      </c>
      <c r="BF10" s="5" t="n">
        <v>0</v>
      </c>
      <c r="BG10" s="5" t="n">
        <v>0</v>
      </c>
      <c r="BH10" s="5" t="n">
        <v>0</v>
      </c>
      <c r="BI10" s="5" t="n">
        <v>0</v>
      </c>
      <c r="BJ10" s="5" t="n">
        <v>0</v>
      </c>
      <c r="BK10" s="5" t="n">
        <v>0</v>
      </c>
      <c r="BL10" s="5" t="n">
        <v>0</v>
      </c>
      <c r="BM10" s="5" t="n">
        <v>0</v>
      </c>
      <c r="BN10" s="5" t="n">
        <v>0</v>
      </c>
      <c r="BO10" s="5" t="n">
        <v>0</v>
      </c>
      <c r="BP10" s="5" t="n">
        <v>0</v>
      </c>
      <c r="BQ10" s="5" t="n">
        <v>0</v>
      </c>
      <c r="BR10" s="5" t="n">
        <v>0</v>
      </c>
      <c r="BS10" s="5" t="n">
        <v>0</v>
      </c>
      <c r="BT10" s="5" t="n">
        <v>0</v>
      </c>
      <c r="BU10" s="5" t="n">
        <v>0</v>
      </c>
      <c r="BV10" s="5" t="n">
        <v>0</v>
      </c>
      <c r="BW10" s="5" t="n">
        <v>0</v>
      </c>
      <c r="BX10" s="5" t="n">
        <v>0</v>
      </c>
      <c r="BY10" s="5" t="n">
        <v>0</v>
      </c>
      <c r="BZ10" s="5" t="n">
        <v>0</v>
      </c>
      <c r="CA10" s="5" t="n">
        <v>0</v>
      </c>
      <c r="CB10" s="5" t="n">
        <v>0</v>
      </c>
      <c r="CC10" s="5" t="n">
        <v>0</v>
      </c>
      <c r="CD10" s="5" t="n">
        <v>0</v>
      </c>
      <c r="CE10" s="5" t="n">
        <v>0</v>
      </c>
      <c r="CF10" s="5" t="n">
        <v>0</v>
      </c>
      <c r="CG10" s="5" t="n">
        <v>0</v>
      </c>
      <c r="CH10" s="5" t="n">
        <v>0</v>
      </c>
      <c r="CI10" s="5" t="n">
        <v>0</v>
      </c>
      <c r="CJ10" s="5" t="n">
        <v>0</v>
      </c>
      <c r="CK10" s="5" t="n">
        <v>0</v>
      </c>
      <c r="CL10" s="5" t="n">
        <v>0</v>
      </c>
      <c r="CM10" s="5" t="n">
        <v>0</v>
      </c>
      <c r="CN10" s="5" t="n">
        <v>0</v>
      </c>
      <c r="CO10" s="5" t="n">
        <v>0</v>
      </c>
      <c r="CP10" s="5" t="n">
        <v>0</v>
      </c>
      <c r="CQ10" s="5" t="n">
        <v>0</v>
      </c>
      <c r="CR10" s="5" t="n">
        <v>0</v>
      </c>
      <c r="CS10" s="5" t="n">
        <v>0</v>
      </c>
      <c r="CT10" s="5" t="n">
        <v>0</v>
      </c>
      <c r="CU10" s="5" t="n">
        <v>0</v>
      </c>
      <c r="CV10" s="5" t="n">
        <v>0</v>
      </c>
      <c r="CW10" s="5" t="n">
        <v>0</v>
      </c>
      <c r="CX10" s="5" t="n">
        <v>0</v>
      </c>
      <c r="CY10" s="5" t="n">
        <v>0</v>
      </c>
      <c r="CZ10" s="5" t="n">
        <v>0</v>
      </c>
      <c r="DA10" s="5" t="n">
        <v>0</v>
      </c>
      <c r="DB10" s="5" t="n">
        <v>0</v>
      </c>
      <c r="DC10" s="5" t="n">
        <v>0</v>
      </c>
      <c r="DD10" s="5" t="n">
        <v>0</v>
      </c>
      <c r="DE10" s="5" t="n">
        <v>0</v>
      </c>
      <c r="DF10" s="5" t="n">
        <v>0</v>
      </c>
      <c r="DG10" s="5" t="n">
        <v>0</v>
      </c>
      <c r="DH10" s="5" t="n">
        <v>0</v>
      </c>
      <c r="DI10" s="5" t="n">
        <v>0</v>
      </c>
      <c r="DJ10" s="5" t="n">
        <v>0</v>
      </c>
      <c r="DK10" s="5" t="n">
        <v>0</v>
      </c>
      <c r="DL10" s="5" t="n">
        <v>0</v>
      </c>
      <c r="DM10" s="5" t="n">
        <v>0</v>
      </c>
      <c r="DN10" s="5" t="n">
        <v>0</v>
      </c>
      <c r="DO10" s="5" t="n">
        <v>0</v>
      </c>
      <c r="DP10" s="5" t="n">
        <v>0</v>
      </c>
      <c r="DQ10" s="5" t="n">
        <v>0</v>
      </c>
      <c r="DR10" s="5" t="n">
        <v>0</v>
      </c>
      <c r="DS10" s="5" t="n">
        <v>0</v>
      </c>
      <c r="DT10" s="5" t="n">
        <v>0</v>
      </c>
      <c r="DU10" s="5" t="n">
        <v>0</v>
      </c>
      <c r="DV10" s="5" t="n">
        <v>0</v>
      </c>
      <c r="DW10" s="5" t="n">
        <v>0</v>
      </c>
      <c r="DX10" s="5" t="n">
        <v>0</v>
      </c>
      <c r="DY10" s="5" t="n">
        <v>0</v>
      </c>
      <c r="DZ10" s="5" t="n">
        <v>0</v>
      </c>
      <c r="EA10" s="5" t="n">
        <v>0</v>
      </c>
      <c r="EB10" s="5" t="n">
        <v>0</v>
      </c>
      <c r="EC10" s="5" t="n">
        <v>0</v>
      </c>
      <c r="ED10" s="5" t="n">
        <v>0</v>
      </c>
      <c r="EE10" s="5" t="n">
        <v>0</v>
      </c>
      <c r="EF10" s="5" t="n">
        <v>0</v>
      </c>
      <c r="EG10" s="5" t="n">
        <v>0</v>
      </c>
      <c r="EH10" s="5" t="n">
        <v>0</v>
      </c>
      <c r="EI10" s="5" t="n">
        <v>0</v>
      </c>
      <c r="EJ10" s="5" t="n">
        <v>0</v>
      </c>
      <c r="EK10" s="5" t="n">
        <v>0</v>
      </c>
      <c r="EL10" s="5" t="n">
        <v>0</v>
      </c>
      <c r="EM10" s="5" t="n">
        <v>0</v>
      </c>
      <c r="EN10" s="5" t="n">
        <v>0</v>
      </c>
      <c r="EO10" s="5" t="n">
        <v>0</v>
      </c>
      <c r="EP10" s="5" t="n">
        <v>0</v>
      </c>
      <c r="EQ10" s="5" t="n">
        <v>0</v>
      </c>
      <c r="ER10" s="5" t="n">
        <v>0</v>
      </c>
      <c r="ES10" s="5" t="n">
        <v>0</v>
      </c>
      <c r="ET10" s="5" t="n">
        <v>0</v>
      </c>
      <c r="EU10" s="5" t="n">
        <v>0</v>
      </c>
      <c r="EV10" s="5" t="n">
        <v>0</v>
      </c>
      <c r="EW10" s="5" t="n">
        <v>0</v>
      </c>
      <c r="EX10" s="5" t="n">
        <v>0</v>
      </c>
      <c r="EY10" s="5" t="n">
        <v>0</v>
      </c>
      <c r="EZ10" s="5" t="n">
        <v>0</v>
      </c>
      <c r="FA10" s="5" t="n">
        <v>0</v>
      </c>
      <c r="FB10" s="5" t="n">
        <v>0</v>
      </c>
      <c r="FC10" s="5" t="n">
        <v>0</v>
      </c>
      <c r="FD10" s="5" t="n">
        <v>0</v>
      </c>
      <c r="FE10" s="5" t="n">
        <v>0</v>
      </c>
      <c r="FF10" s="5" t="n">
        <v>0</v>
      </c>
      <c r="FG10" s="5" t="n">
        <v>0</v>
      </c>
      <c r="FH10" s="5" t="n">
        <v>0</v>
      </c>
      <c r="FI10" s="5" t="n">
        <v>0</v>
      </c>
      <c r="FJ10" s="5" t="n">
        <v>0</v>
      </c>
      <c r="FK10" s="5" t="n">
        <v>0</v>
      </c>
      <c r="FL10" s="5" t="n">
        <v>0</v>
      </c>
      <c r="FM10" s="5" t="n">
        <v>0</v>
      </c>
      <c r="FN10" s="5" t="n">
        <v>0</v>
      </c>
      <c r="FO10" s="5" t="n">
        <v>0</v>
      </c>
      <c r="FP10" s="5" t="n">
        <v>0</v>
      </c>
      <c r="FQ10" s="5" t="n">
        <v>0</v>
      </c>
      <c r="FR10" s="5" t="n">
        <v>0</v>
      </c>
      <c r="FS10" s="5" t="n">
        <v>0</v>
      </c>
      <c r="FT10" s="5" t="n">
        <v>0</v>
      </c>
      <c r="FU10" s="5" t="n">
        <v>0</v>
      </c>
      <c r="FV10" s="5" t="n">
        <v>0</v>
      </c>
      <c r="FW10" s="5" t="n">
        <v>0</v>
      </c>
      <c r="FX10" s="5" t="n">
        <v>0</v>
      </c>
      <c r="FY10" s="5" t="n">
        <v>0</v>
      </c>
      <c r="FZ10" s="5" t="n">
        <v>0</v>
      </c>
      <c r="GA10" s="5" t="n">
        <v>0</v>
      </c>
      <c r="GB10" s="5" t="n">
        <v>0</v>
      </c>
      <c r="GC10" s="5" t="n">
        <v>0</v>
      </c>
      <c r="GD10" s="5" t="n">
        <v>0</v>
      </c>
      <c r="GE10" s="5" t="n">
        <v>0</v>
      </c>
      <c r="GF10" s="5" t="n">
        <v>0</v>
      </c>
      <c r="GG10" s="5" t="n">
        <v>0</v>
      </c>
      <c r="GH10" s="5" t="n">
        <v>0</v>
      </c>
      <c r="GI10" s="5" t="n">
        <v>0</v>
      </c>
      <c r="GJ10" s="5" t="n">
        <v>0</v>
      </c>
      <c r="GK10" s="5" t="n">
        <v>0</v>
      </c>
      <c r="GL10" s="5" t="n">
        <v>0</v>
      </c>
      <c r="GM10" s="5" t="n">
        <v>0</v>
      </c>
      <c r="GN10" s="5" t="n">
        <v>0</v>
      </c>
      <c r="GO10" s="5" t="n">
        <v>0</v>
      </c>
      <c r="GP10" s="5" t="n">
        <v>0</v>
      </c>
      <c r="GQ10" s="5" t="n">
        <v>0</v>
      </c>
      <c r="GR10" s="5" t="n">
        <v>0</v>
      </c>
      <c r="GS10" s="5" t="n">
        <v>0</v>
      </c>
      <c r="GT10" s="5" t="n">
        <v>0</v>
      </c>
      <c r="GU10" s="5" t="n">
        <v>0</v>
      </c>
      <c r="GV10" s="5" t="n">
        <v>0</v>
      </c>
      <c r="GW10" s="5" t="n">
        <v>0</v>
      </c>
      <c r="GX10" s="5" t="n">
        <v>0</v>
      </c>
      <c r="GY10" s="5" t="n">
        <v>0</v>
      </c>
      <c r="GZ10" s="5" t="n">
        <v>0</v>
      </c>
      <c r="HA10" s="5" t="n">
        <v>0</v>
      </c>
      <c r="HB10" s="5" t="n">
        <v>0</v>
      </c>
      <c r="HC10" s="5" t="n">
        <v>0</v>
      </c>
      <c r="HD10" s="5" t="n">
        <v>0</v>
      </c>
      <c r="HE10" s="5" t="n">
        <v>0</v>
      </c>
      <c r="HF10" s="5" t="n">
        <v>0</v>
      </c>
      <c r="HG10" s="5" t="n">
        <v>0</v>
      </c>
      <c r="HH10" s="5" t="n">
        <v>0</v>
      </c>
      <c r="HI10" s="5" t="n">
        <v>0</v>
      </c>
      <c r="HJ10" s="5" t="n">
        <v>0</v>
      </c>
      <c r="HK10" s="5" t="n">
        <v>0</v>
      </c>
      <c r="HL10" s="5" t="n">
        <v>0</v>
      </c>
      <c r="HM10" s="5" t="n">
        <v>0</v>
      </c>
      <c r="HN10" s="5" t="n">
        <v>0</v>
      </c>
      <c r="HO10" s="5" t="n">
        <v>0</v>
      </c>
      <c r="HP10" s="5" t="n">
        <v>0</v>
      </c>
      <c r="HQ10" s="5" t="n">
        <v>0</v>
      </c>
      <c r="HR10" s="5" t="n">
        <v>0</v>
      </c>
      <c r="HS10" s="5" t="n">
        <v>0</v>
      </c>
      <c r="HT10" s="5" t="n">
        <v>0</v>
      </c>
      <c r="HU10" s="5" t="n">
        <v>0</v>
      </c>
      <c r="HV10" s="5" t="n">
        <v>0</v>
      </c>
      <c r="HW10" s="5" t="n">
        <v>0</v>
      </c>
      <c r="HX10" s="5" t="n">
        <v>0</v>
      </c>
      <c r="HY10" s="5" t="n">
        <v>0</v>
      </c>
      <c r="HZ10" s="5" t="n">
        <v>0</v>
      </c>
      <c r="IA10" s="5" t="n">
        <v>0</v>
      </c>
      <c r="IB10" s="5" t="n">
        <v>0</v>
      </c>
      <c r="IC10" s="5" t="n">
        <v>0</v>
      </c>
      <c r="ID10" s="5" t="n">
        <v>0</v>
      </c>
      <c r="IE10" s="5" t="n">
        <v>0</v>
      </c>
      <c r="IF10" s="5" t="n">
        <v>0</v>
      </c>
      <c r="IG10" s="5" t="n">
        <v>0</v>
      </c>
      <c r="IH10" s="5" t="n">
        <v>0</v>
      </c>
      <c r="II10" s="5" t="n">
        <v>0</v>
      </c>
      <c r="IJ10" s="5" t="n">
        <v>0</v>
      </c>
      <c r="IK10" s="5" t="n">
        <v>0</v>
      </c>
      <c r="IL10" s="5" t="n">
        <v>0</v>
      </c>
      <c r="IM10" s="5" t="n">
        <v>0</v>
      </c>
      <c r="IN10" s="5" t="n">
        <v>0</v>
      </c>
      <c r="IO10" s="5" t="n">
        <v>0</v>
      </c>
      <c r="IP10" s="5" t="n">
        <v>0</v>
      </c>
      <c r="IQ10" s="5" t="n">
        <v>0</v>
      </c>
      <c r="IR10" s="5" t="n">
        <v>0</v>
      </c>
      <c r="IS10" s="5" t="n">
        <v>0</v>
      </c>
      <c r="IT10" s="5" t="n">
        <v>0</v>
      </c>
      <c r="IU10" s="5" t="n">
        <v>0</v>
      </c>
      <c r="IV10" s="5" t="n">
        <v>0</v>
      </c>
      <c r="IW10" s="5" t="n">
        <v>0</v>
      </c>
      <c r="IX10" s="5" t="n">
        <v>0</v>
      </c>
      <c r="IY10" s="5" t="n">
        <v>0</v>
      </c>
      <c r="IZ10" s="5" t="n">
        <v>0</v>
      </c>
      <c r="JA10" s="5" t="n">
        <v>0</v>
      </c>
      <c r="JB10" s="5" t="n">
        <v>0</v>
      </c>
      <c r="JC10" s="5" t="n">
        <v>0</v>
      </c>
      <c r="JD10" s="5" t="n">
        <v>0</v>
      </c>
      <c r="JE10" s="5" t="n">
        <v>0</v>
      </c>
      <c r="JF10" s="5" t="n">
        <v>0</v>
      </c>
      <c r="JG10" s="5" t="n">
        <v>0</v>
      </c>
      <c r="JH10" s="5" t="n">
        <v>0</v>
      </c>
      <c r="JI10" s="5" t="n">
        <v>0</v>
      </c>
      <c r="JJ10" s="5" t="n">
        <v>0</v>
      </c>
      <c r="JK10" s="5" t="n">
        <v>0</v>
      </c>
      <c r="JL10" s="5" t="n">
        <v>0</v>
      </c>
      <c r="JM10" s="5" t="n">
        <v>0</v>
      </c>
      <c r="JN10" s="5" t="n">
        <v>0</v>
      </c>
      <c r="JO10" s="5" t="n">
        <v>0</v>
      </c>
      <c r="JP10" s="5" t="n">
        <v>0</v>
      </c>
      <c r="JQ10" s="5" t="n">
        <v>0</v>
      </c>
      <c r="JR10" s="5" t="n">
        <v>0</v>
      </c>
      <c r="JS10" s="5" t="n">
        <v>0</v>
      </c>
      <c r="JT10" s="5" t="n">
        <v>0</v>
      </c>
      <c r="JU10" s="5" t="n">
        <v>0</v>
      </c>
      <c r="JV10" s="5" t="n">
        <v>0</v>
      </c>
      <c r="JW10" s="5" t="n">
        <v>0</v>
      </c>
      <c r="JX10" s="5" t="n">
        <v>0</v>
      </c>
      <c r="JY10" s="5" t="n">
        <v>0</v>
      </c>
      <c r="JZ10" s="5" t="n">
        <v>0</v>
      </c>
      <c r="KA10" s="5" t="n">
        <v>0</v>
      </c>
      <c r="KB10" s="5" t="n">
        <v>0</v>
      </c>
      <c r="KC10" s="5" t="n">
        <v>0</v>
      </c>
      <c r="KD10" s="5" t="n">
        <v>0</v>
      </c>
      <c r="KE10" s="5" t="n">
        <v>0</v>
      </c>
      <c r="KF10" s="5" t="n">
        <v>0</v>
      </c>
      <c r="KG10" s="5" t="n">
        <v>0</v>
      </c>
      <c r="KH10" s="5" t="n">
        <v>0</v>
      </c>
      <c r="KI10" s="5" t="n">
        <v>0</v>
      </c>
      <c r="KJ10" s="5" t="n">
        <v>0</v>
      </c>
      <c r="KK10" s="5" t="n">
        <v>0</v>
      </c>
      <c r="KL10" s="5" t="n">
        <v>0</v>
      </c>
      <c r="KM10" s="5" t="n">
        <v>0</v>
      </c>
      <c r="KN10" s="5" t="n">
        <v>0</v>
      </c>
      <c r="KO10" s="5" t="n">
        <v>0</v>
      </c>
      <c r="KP10" s="5" t="n">
        <v>0</v>
      </c>
      <c r="KQ10" s="5" t="n">
        <v>0</v>
      </c>
      <c r="KR10" s="5" t="n">
        <v>0</v>
      </c>
      <c r="KS10" s="5" t="n">
        <v>0</v>
      </c>
      <c r="KT10" s="5" t="n">
        <v>0</v>
      </c>
      <c r="KU10" s="5" t="n">
        <v>0</v>
      </c>
      <c r="KV10" s="5" t="n">
        <v>0</v>
      </c>
      <c r="KW10" s="5" t="n">
        <v>0</v>
      </c>
      <c r="KX10" s="5" t="n">
        <v>0</v>
      </c>
      <c r="KY10" s="5" t="n">
        <v>0</v>
      </c>
      <c r="KZ10" s="5" t="n">
        <v>0</v>
      </c>
      <c r="LA10" s="5" t="n">
        <v>0</v>
      </c>
      <c r="LB10" s="5" t="n">
        <v>0</v>
      </c>
      <c r="LC10" s="5" t="n">
        <v>0</v>
      </c>
      <c r="LD10" s="5" t="n">
        <v>0</v>
      </c>
      <c r="LE10" s="5" t="n">
        <v>0</v>
      </c>
      <c r="LF10" s="5" t="n">
        <v>0</v>
      </c>
      <c r="LG10" s="5" t="n">
        <v>0</v>
      </c>
      <c r="LH10" s="5" t="n">
        <v>0</v>
      </c>
      <c r="LI10" s="5" t="n">
        <v>0</v>
      </c>
      <c r="LJ10" s="5" t="n">
        <v>0</v>
      </c>
      <c r="LK10" s="5" t="n">
        <v>0</v>
      </c>
      <c r="LL10" s="5" t="n">
        <v>0</v>
      </c>
      <c r="LM10" s="5" t="n">
        <v>0</v>
      </c>
      <c r="LN10" s="5" t="n">
        <v>0</v>
      </c>
      <c r="LO10" s="5" t="n">
        <v>0</v>
      </c>
      <c r="LP10" s="5" t="n">
        <v>0</v>
      </c>
      <c r="LQ10" s="5" t="n">
        <v>0</v>
      </c>
      <c r="LR10" s="5" t="n">
        <v>0</v>
      </c>
      <c r="LS10" s="5" t="n">
        <v>0</v>
      </c>
      <c r="LT10" s="5" t="n">
        <v>0</v>
      </c>
      <c r="LU10" s="5" t="n">
        <v>0</v>
      </c>
      <c r="LV10" s="5" t="n">
        <v>0</v>
      </c>
      <c r="LW10" s="5" t="n">
        <v>0</v>
      </c>
      <c r="LX10" s="5" t="n">
        <v>0</v>
      </c>
      <c r="LY10" s="5" t="n">
        <v>0</v>
      </c>
      <c r="LZ10" s="5" t="n">
        <v>0</v>
      </c>
      <c r="MA10" s="5" t="n">
        <v>0</v>
      </c>
      <c r="MB10" s="5" t="n">
        <v>0</v>
      </c>
      <c r="MC10" s="5" t="n">
        <v>0</v>
      </c>
      <c r="MD10" s="5" t="n">
        <v>0</v>
      </c>
      <c r="ME10" s="5" t="n">
        <v>0</v>
      </c>
      <c r="MF10" s="5" t="n">
        <v>0</v>
      </c>
      <c r="MG10" s="5" t="n">
        <v>0</v>
      </c>
      <c r="MH10" s="5" t="n">
        <v>0</v>
      </c>
      <c r="MI10" s="5" t="n">
        <v>0</v>
      </c>
      <c r="MJ10" s="5" t="n">
        <v>0</v>
      </c>
      <c r="MK10" s="5" t="n">
        <v>0</v>
      </c>
      <c r="ML10" s="5" t="n">
        <v>0</v>
      </c>
      <c r="MM10" s="5" t="n">
        <v>0</v>
      </c>
      <c r="MN10" s="5" t="n">
        <v>0</v>
      </c>
      <c r="MO10" s="5" t="n">
        <v>0</v>
      </c>
      <c r="MP10" s="5" t="n">
        <v>0</v>
      </c>
      <c r="MQ10" s="5" t="n">
        <v>0</v>
      </c>
      <c r="MR10" s="5" t="n">
        <v>0</v>
      </c>
      <c r="MS10" s="5" t="n">
        <v>0</v>
      </c>
      <c r="MT10" s="5" t="n">
        <v>0</v>
      </c>
      <c r="MU10" s="5" t="n">
        <v>0</v>
      </c>
      <c r="MV10" s="5" t="n">
        <v>0</v>
      </c>
      <c r="MW10" s="5" t="n">
        <v>0</v>
      </c>
      <c r="MX10" s="5" t="n">
        <v>0</v>
      </c>
      <c r="MY10" s="5" t="n">
        <v>0</v>
      </c>
      <c r="MZ10" s="5" t="n">
        <v>0</v>
      </c>
      <c r="NA10" s="5" t="n">
        <v>0</v>
      </c>
      <c r="NB10" s="5" t="n">
        <v>0</v>
      </c>
      <c r="NC10" s="5" t="n">
        <v>0</v>
      </c>
      <c r="ND10" s="5" t="n">
        <v>0</v>
      </c>
      <c r="NE10" s="5" t="n">
        <v>0</v>
      </c>
      <c r="NF10" s="5" t="n">
        <v>0</v>
      </c>
      <c r="NG10" s="5" t="n">
        <v>0</v>
      </c>
      <c r="NH10" s="5" t="n">
        <v>0</v>
      </c>
      <c r="NI10" s="5" t="n">
        <v>0</v>
      </c>
      <c r="NJ10" s="5" t="n">
        <v>0</v>
      </c>
      <c r="NK10" s="5" t="n">
        <v>0</v>
      </c>
      <c r="NL10" s="5" t="n">
        <v>0</v>
      </c>
      <c r="NM10" s="5" t="n">
        <v>0</v>
      </c>
      <c r="NN10" s="5" t="n">
        <v>0</v>
      </c>
      <c r="NO10" s="5" t="n">
        <v>0</v>
      </c>
      <c r="NP10" s="5" t="n">
        <v>0</v>
      </c>
      <c r="NQ10" s="5" t="n">
        <v>0</v>
      </c>
      <c r="NR10" s="5" t="n">
        <v>0</v>
      </c>
      <c r="NS10" s="5" t="n">
        <v>0</v>
      </c>
      <c r="NT10" s="5" t="n">
        <v>0</v>
      </c>
      <c r="NU10" s="5" t="n">
        <v>0</v>
      </c>
      <c r="NV10" s="5" t="n">
        <v>0</v>
      </c>
      <c r="NW10" s="5" t="n">
        <v>0</v>
      </c>
      <c r="NX10" s="5" t="n">
        <v>0</v>
      </c>
      <c r="NY10" s="5" t="n">
        <v>0</v>
      </c>
      <c r="NZ10" s="5" t="n">
        <v>0</v>
      </c>
      <c r="OA10" s="5" t="n">
        <v>0</v>
      </c>
      <c r="OB10" s="5" t="n">
        <v>0</v>
      </c>
      <c r="OC10" s="5" t="n">
        <v>0</v>
      </c>
      <c r="OD10" s="5" t="n">
        <v>0</v>
      </c>
      <c r="OE10" s="5" t="n">
        <v>0</v>
      </c>
      <c r="OF10" s="5" t="n">
        <v>0</v>
      </c>
      <c r="OG10" s="5" t="n">
        <v>0</v>
      </c>
      <c r="OH10" s="5" t="n">
        <v>0</v>
      </c>
      <c r="OI10" s="5" t="n">
        <v>0</v>
      </c>
      <c r="OJ10" s="5" t="n">
        <v>0</v>
      </c>
      <c r="OK10" s="5" t="n">
        <v>0</v>
      </c>
      <c r="OL10" s="5" t="n">
        <v>0</v>
      </c>
      <c r="OM10" s="5" t="n">
        <v>0</v>
      </c>
      <c r="ON10" s="5" t="n">
        <v>0</v>
      </c>
      <c r="OO10" s="5" t="n">
        <v>0</v>
      </c>
      <c r="OP10" s="5" t="n">
        <v>0</v>
      </c>
      <c r="OQ10" s="5" t="n">
        <v>0</v>
      </c>
      <c r="OR10" s="5" t="n">
        <v>0</v>
      </c>
      <c r="OS10" s="5" t="n">
        <v>0</v>
      </c>
      <c r="OT10" s="5" t="n">
        <v>0</v>
      </c>
      <c r="OU10" s="5" t="n">
        <v>0</v>
      </c>
      <c r="OV10" s="5" t="n">
        <v>0</v>
      </c>
      <c r="OW10" s="5" t="n">
        <v>0</v>
      </c>
      <c r="OX10" s="5" t="n">
        <v>0</v>
      </c>
      <c r="OY10" s="5" t="n">
        <v>0</v>
      </c>
      <c r="OZ10" s="5" t="n">
        <v>0</v>
      </c>
      <c r="PA10" s="5" t="n">
        <v>0</v>
      </c>
      <c r="PB10" s="5" t="n">
        <v>0</v>
      </c>
      <c r="PC10" s="5" t="n">
        <v>0</v>
      </c>
      <c r="PD10" s="5" t="n">
        <v>0</v>
      </c>
      <c r="PE10" s="5" t="n">
        <v>0</v>
      </c>
      <c r="PF10" s="5" t="n">
        <v>0</v>
      </c>
      <c r="PG10" s="5" t="n">
        <v>0</v>
      </c>
      <c r="PH10" s="5" t="n">
        <v>0</v>
      </c>
      <c r="PI10" s="5" t="n">
        <v>0</v>
      </c>
      <c r="PJ10" s="5" t="n">
        <v>0</v>
      </c>
      <c r="PK10" s="5" t="n">
        <v>0</v>
      </c>
      <c r="PL10" s="5" t="n">
        <v>0</v>
      </c>
      <c r="PM10" s="5" t="n">
        <v>0</v>
      </c>
      <c r="PN10" s="5" t="n">
        <v>0</v>
      </c>
      <c r="PO10" s="5" t="n">
        <v>0</v>
      </c>
      <c r="PP10" s="5" t="n">
        <v>0</v>
      </c>
      <c r="PQ10" s="5" t="n">
        <v>0</v>
      </c>
      <c r="PR10" s="5" t="n">
        <v>0</v>
      </c>
      <c r="PS10" s="5" t="n">
        <v>0</v>
      </c>
      <c r="PT10" s="5" t="n">
        <v>0</v>
      </c>
      <c r="PU10" s="5" t="n">
        <v>0</v>
      </c>
      <c r="PV10" s="5" t="n">
        <v>0</v>
      </c>
      <c r="PW10" s="5" t="n">
        <v>0</v>
      </c>
      <c r="PX10" s="5" t="n">
        <v>0</v>
      </c>
      <c r="PY10" s="5" t="n">
        <v>0</v>
      </c>
      <c r="PZ10" s="5" t="n">
        <v>0</v>
      </c>
      <c r="QA10" s="5" t="n">
        <v>0</v>
      </c>
      <c r="QB10" s="5" t="n">
        <v>0</v>
      </c>
      <c r="QC10" s="5" t="n">
        <v>0</v>
      </c>
      <c r="QD10" s="5" t="n">
        <v>0</v>
      </c>
      <c r="QE10" s="5" t="n">
        <v>0</v>
      </c>
      <c r="QF10" s="5" t="n">
        <v>0</v>
      </c>
      <c r="QG10" s="5" t="n">
        <v>0</v>
      </c>
      <c r="QH10" s="5" t="n">
        <v>0</v>
      </c>
      <c r="QI10" s="5" t="n">
        <v>0</v>
      </c>
      <c r="QJ10" s="5" t="n">
        <v>0</v>
      </c>
      <c r="QK10" s="5" t="n">
        <v>0</v>
      </c>
      <c r="QL10" s="5" t="n">
        <v>0</v>
      </c>
      <c r="QM10" s="5" t="n">
        <v>0</v>
      </c>
      <c r="QN10" s="5" t="n">
        <v>0</v>
      </c>
      <c r="QO10" s="5" t="n">
        <v>0</v>
      </c>
      <c r="QP10" s="5" t="n">
        <v>0</v>
      </c>
      <c r="QQ10" s="5" t="n">
        <v>0</v>
      </c>
      <c r="QR10" s="5" t="n">
        <v>0</v>
      </c>
      <c r="QS10" s="5" t="n">
        <v>0</v>
      </c>
      <c r="QT10" s="5" t="n">
        <v>0</v>
      </c>
      <c r="QU10" s="5" t="n">
        <v>0</v>
      </c>
      <c r="QV10" s="5" t="n">
        <v>0</v>
      </c>
      <c r="QW10" s="5" t="n">
        <v>0</v>
      </c>
      <c r="QX10" s="5" t="n">
        <v>0</v>
      </c>
      <c r="QY10" s="5" t="n">
        <v>0</v>
      </c>
      <c r="QZ10" s="5" t="n">
        <v>0</v>
      </c>
      <c r="RA10" s="5" t="n">
        <v>0</v>
      </c>
      <c r="RB10" s="5" t="n">
        <v>0</v>
      </c>
      <c r="RC10" s="5" t="n">
        <v>0</v>
      </c>
      <c r="RD10" s="5" t="n">
        <v>0</v>
      </c>
      <c r="RE10" s="5" t="n">
        <v>0</v>
      </c>
      <c r="RF10" s="5" t="n">
        <v>0</v>
      </c>
      <c r="RG10" s="5" t="n">
        <v>0</v>
      </c>
      <c r="RH10" s="5" t="n">
        <v>0</v>
      </c>
      <c r="RI10" s="5" t="n">
        <v>0</v>
      </c>
      <c r="RJ10" s="5" t="n">
        <v>0</v>
      </c>
      <c r="RK10" s="5" t="n">
        <v>0</v>
      </c>
      <c r="RL10" s="5" t="n">
        <v>0</v>
      </c>
      <c r="RM10" s="5" t="n">
        <v>0</v>
      </c>
      <c r="RN10" s="5" t="n">
        <v>0</v>
      </c>
      <c r="RO10" s="5" t="n">
        <v>0</v>
      </c>
      <c r="RP10" s="5" t="n">
        <v>0</v>
      </c>
      <c r="RQ10" s="5" t="n">
        <v>0</v>
      </c>
      <c r="RR10" s="5" t="n">
        <v>0</v>
      </c>
      <c r="RS10" s="5" t="n">
        <v>0</v>
      </c>
      <c r="RT10" s="5" t="n">
        <v>0</v>
      </c>
      <c r="RU10" s="5" t="n">
        <v>0</v>
      </c>
      <c r="RV10" s="5" t="n">
        <v>0</v>
      </c>
      <c r="RW10" s="5" t="n">
        <v>0</v>
      </c>
    </row>
    <row r="11">
      <c r="A11" t="inlineStr">
        <is>
          <t>REV_002.grid_charge_price_DKK_per_MWh</t>
        </is>
      </c>
      <c r="B11" t="inlineStr">
        <is>
          <t>kEUR</t>
        </is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  <c r="AT11" s="5" t="n">
        <v>0</v>
      </c>
      <c r="AU11" s="5" t="n">
        <v>0</v>
      </c>
      <c r="AV11" s="5" t="n">
        <v>0</v>
      </c>
      <c r="AW11" s="5" t="n">
        <v>0</v>
      </c>
      <c r="AX11" s="5" t="n">
        <v>0</v>
      </c>
      <c r="AY11" s="5" t="n">
        <v>0</v>
      </c>
      <c r="AZ11" s="5" t="n">
        <v>0</v>
      </c>
      <c r="BA11" s="5" t="n">
        <v>0</v>
      </c>
      <c r="BB11" s="5" t="n">
        <v>0</v>
      </c>
      <c r="BC11" s="5" t="n">
        <v>0</v>
      </c>
      <c r="BD11" s="5" t="n">
        <v>0</v>
      </c>
      <c r="BE11" s="5" t="n">
        <v>0</v>
      </c>
      <c r="BF11" s="5" t="n">
        <v>0</v>
      </c>
      <c r="BG11" s="5" t="n">
        <v>0</v>
      </c>
      <c r="BH11" s="5" t="n">
        <v>0</v>
      </c>
      <c r="BI11" s="5" t="n">
        <v>0</v>
      </c>
      <c r="BJ11" s="5" t="n">
        <v>0</v>
      </c>
      <c r="BK11" s="5" t="n">
        <v>0</v>
      </c>
      <c r="BL11" s="5" t="n">
        <v>0</v>
      </c>
      <c r="BM11" s="5" t="n">
        <v>0</v>
      </c>
      <c r="BN11" s="5" t="n">
        <v>0</v>
      </c>
      <c r="BO11" s="5" t="n">
        <v>0</v>
      </c>
      <c r="BP11" s="5" t="n">
        <v>0</v>
      </c>
      <c r="BQ11" s="5" t="n">
        <v>0</v>
      </c>
      <c r="BR11" s="5" t="n">
        <v>0</v>
      </c>
      <c r="BS11" s="5" t="n">
        <v>0</v>
      </c>
      <c r="BT11" s="5" t="n">
        <v>0</v>
      </c>
      <c r="BU11" s="5" t="n">
        <v>0</v>
      </c>
      <c r="BV11" s="5" t="n">
        <v>0</v>
      </c>
      <c r="BW11" s="5" t="n">
        <v>0</v>
      </c>
      <c r="BX11" s="5" t="n">
        <v>0</v>
      </c>
      <c r="BY11" s="5" t="n">
        <v>0</v>
      </c>
      <c r="BZ11" s="5" t="n">
        <v>0</v>
      </c>
      <c r="CA11" s="5" t="n">
        <v>0</v>
      </c>
      <c r="CB11" s="5" t="n">
        <v>0</v>
      </c>
      <c r="CC11" s="5" t="n">
        <v>0</v>
      </c>
      <c r="CD11" s="5" t="n">
        <v>0</v>
      </c>
      <c r="CE11" s="5" t="n">
        <v>0</v>
      </c>
      <c r="CF11" s="5" t="n">
        <v>0</v>
      </c>
      <c r="CG11" s="5" t="n">
        <v>0</v>
      </c>
      <c r="CH11" s="5" t="n">
        <v>0</v>
      </c>
      <c r="CI11" s="5" t="n">
        <v>0</v>
      </c>
      <c r="CJ11" s="5" t="n">
        <v>0</v>
      </c>
      <c r="CK11" s="5" t="n">
        <v>0</v>
      </c>
      <c r="CL11" s="5" t="n">
        <v>0</v>
      </c>
      <c r="CM11" s="5" t="n">
        <v>0</v>
      </c>
      <c r="CN11" s="5" t="n">
        <v>0</v>
      </c>
      <c r="CO11" s="5" t="n">
        <v>0</v>
      </c>
      <c r="CP11" s="5" t="n">
        <v>0</v>
      </c>
      <c r="CQ11" s="5" t="n">
        <v>0</v>
      </c>
      <c r="CR11" s="5" t="n">
        <v>0</v>
      </c>
      <c r="CS11" s="5" t="n">
        <v>0</v>
      </c>
      <c r="CT11" s="5" t="n">
        <v>0</v>
      </c>
      <c r="CU11" s="5" t="n">
        <v>0</v>
      </c>
      <c r="CV11" s="5" t="n">
        <v>0</v>
      </c>
      <c r="CW11" s="5" t="n">
        <v>0</v>
      </c>
      <c r="CX11" s="5" t="n">
        <v>0</v>
      </c>
      <c r="CY11" s="5" t="n">
        <v>0</v>
      </c>
      <c r="CZ11" s="5" t="n">
        <v>0</v>
      </c>
      <c r="DA11" s="5" t="n">
        <v>0</v>
      </c>
      <c r="DB11" s="5" t="n">
        <v>0</v>
      </c>
      <c r="DC11" s="5" t="n">
        <v>0</v>
      </c>
      <c r="DD11" s="5" t="n">
        <v>0</v>
      </c>
      <c r="DE11" s="5" t="n">
        <v>0</v>
      </c>
      <c r="DF11" s="5" t="n">
        <v>0</v>
      </c>
      <c r="DG11" s="5" t="n">
        <v>0</v>
      </c>
      <c r="DH11" s="5" t="n">
        <v>0</v>
      </c>
      <c r="DI11" s="5" t="n">
        <v>0</v>
      </c>
      <c r="DJ11" s="5" t="n">
        <v>0</v>
      </c>
      <c r="DK11" s="5" t="n">
        <v>0</v>
      </c>
      <c r="DL11" s="5" t="n">
        <v>0</v>
      </c>
      <c r="DM11" s="5" t="n">
        <v>0</v>
      </c>
      <c r="DN11" s="5" t="n">
        <v>0</v>
      </c>
      <c r="DO11" s="5" t="n">
        <v>0</v>
      </c>
      <c r="DP11" s="5" t="n">
        <v>0</v>
      </c>
      <c r="DQ11" s="5" t="n">
        <v>0</v>
      </c>
      <c r="DR11" s="5" t="n">
        <v>0</v>
      </c>
      <c r="DS11" s="5" t="n">
        <v>0</v>
      </c>
      <c r="DT11" s="5" t="n">
        <v>0</v>
      </c>
      <c r="DU11" s="5" t="n">
        <v>0</v>
      </c>
      <c r="DV11" s="5" t="n">
        <v>0</v>
      </c>
      <c r="DW11" s="5" t="n">
        <v>0</v>
      </c>
      <c r="DX11" s="5" t="n">
        <v>0</v>
      </c>
      <c r="DY11" s="5" t="n">
        <v>0</v>
      </c>
      <c r="DZ11" s="5" t="n">
        <v>0</v>
      </c>
      <c r="EA11" s="5" t="n">
        <v>0</v>
      </c>
      <c r="EB11" s="5" t="n">
        <v>0</v>
      </c>
      <c r="EC11" s="5" t="n">
        <v>0</v>
      </c>
      <c r="ED11" s="5" t="n">
        <v>0</v>
      </c>
      <c r="EE11" s="5" t="n">
        <v>0</v>
      </c>
      <c r="EF11" s="5" t="n">
        <v>0</v>
      </c>
      <c r="EG11" s="5" t="n">
        <v>0</v>
      </c>
      <c r="EH11" s="5" t="n">
        <v>0</v>
      </c>
      <c r="EI11" s="5" t="n">
        <v>0</v>
      </c>
      <c r="EJ11" s="5" t="n">
        <v>0</v>
      </c>
      <c r="EK11" s="5" t="n">
        <v>0</v>
      </c>
      <c r="EL11" s="5" t="n">
        <v>0</v>
      </c>
      <c r="EM11" s="5" t="n">
        <v>0</v>
      </c>
      <c r="EN11" s="5" t="n">
        <v>0</v>
      </c>
      <c r="EO11" s="5" t="n">
        <v>0</v>
      </c>
      <c r="EP11" s="5" t="n">
        <v>0</v>
      </c>
      <c r="EQ11" s="5" t="n">
        <v>0</v>
      </c>
      <c r="ER11" s="5" t="n">
        <v>0</v>
      </c>
      <c r="ES11" s="5" t="n">
        <v>0</v>
      </c>
      <c r="ET11" s="5" t="n">
        <v>0</v>
      </c>
      <c r="EU11" s="5" t="n">
        <v>0</v>
      </c>
      <c r="EV11" s="5" t="n">
        <v>0</v>
      </c>
      <c r="EW11" s="5" t="n">
        <v>0</v>
      </c>
      <c r="EX11" s="5" t="n">
        <v>0</v>
      </c>
      <c r="EY11" s="5" t="n">
        <v>0</v>
      </c>
      <c r="EZ11" s="5" t="n">
        <v>0</v>
      </c>
      <c r="FA11" s="5" t="n">
        <v>0</v>
      </c>
      <c r="FB11" s="5" t="n">
        <v>0</v>
      </c>
      <c r="FC11" s="5" t="n">
        <v>0</v>
      </c>
      <c r="FD11" s="5" t="n">
        <v>0</v>
      </c>
      <c r="FE11" s="5" t="n">
        <v>0</v>
      </c>
      <c r="FF11" s="5" t="n">
        <v>0</v>
      </c>
      <c r="FG11" s="5" t="n">
        <v>0</v>
      </c>
      <c r="FH11" s="5" t="n">
        <v>0</v>
      </c>
      <c r="FI11" s="5" t="n">
        <v>0</v>
      </c>
      <c r="FJ11" s="5" t="n">
        <v>0</v>
      </c>
      <c r="FK11" s="5" t="n">
        <v>0</v>
      </c>
      <c r="FL11" s="5" t="n">
        <v>0</v>
      </c>
      <c r="FM11" s="5" t="n">
        <v>0</v>
      </c>
      <c r="FN11" s="5" t="n">
        <v>0</v>
      </c>
      <c r="FO11" s="5" t="n">
        <v>0</v>
      </c>
      <c r="FP11" s="5" t="n">
        <v>0</v>
      </c>
      <c r="FQ11" s="5" t="n">
        <v>0</v>
      </c>
      <c r="FR11" s="5" t="n">
        <v>0</v>
      </c>
      <c r="FS11" s="5" t="n">
        <v>0</v>
      </c>
      <c r="FT11" s="5" t="n">
        <v>0</v>
      </c>
      <c r="FU11" s="5" t="n">
        <v>0</v>
      </c>
      <c r="FV11" s="5" t="n">
        <v>0</v>
      </c>
      <c r="FW11" s="5" t="n">
        <v>0</v>
      </c>
      <c r="FX11" s="5" t="n">
        <v>0</v>
      </c>
      <c r="FY11" s="5" t="n">
        <v>0</v>
      </c>
      <c r="FZ11" s="5" t="n">
        <v>0</v>
      </c>
      <c r="GA11" s="5" t="n">
        <v>0</v>
      </c>
      <c r="GB11" s="5" t="n">
        <v>0</v>
      </c>
      <c r="GC11" s="5" t="n">
        <v>0</v>
      </c>
      <c r="GD11" s="5" t="n">
        <v>0</v>
      </c>
      <c r="GE11" s="5" t="n">
        <v>0</v>
      </c>
      <c r="GF11" s="5" t="n">
        <v>0</v>
      </c>
      <c r="GG11" s="5" t="n">
        <v>0</v>
      </c>
      <c r="GH11" s="5" t="n">
        <v>0</v>
      </c>
      <c r="GI11" s="5" t="n">
        <v>0</v>
      </c>
      <c r="GJ11" s="5" t="n">
        <v>0</v>
      </c>
      <c r="GK11" s="5" t="n">
        <v>0</v>
      </c>
      <c r="GL11" s="5" t="n">
        <v>0</v>
      </c>
      <c r="GM11" s="5" t="n">
        <v>0</v>
      </c>
      <c r="GN11" s="5" t="n">
        <v>0</v>
      </c>
      <c r="GO11" s="5" t="n">
        <v>0</v>
      </c>
      <c r="GP11" s="5" t="n">
        <v>0</v>
      </c>
      <c r="GQ11" s="5" t="n">
        <v>0</v>
      </c>
      <c r="GR11" s="5" t="n">
        <v>0</v>
      </c>
      <c r="GS11" s="5" t="n">
        <v>0</v>
      </c>
      <c r="GT11" s="5" t="n">
        <v>0</v>
      </c>
      <c r="GU11" s="5" t="n">
        <v>0</v>
      </c>
      <c r="GV11" s="5" t="n">
        <v>0</v>
      </c>
      <c r="GW11" s="5" t="n">
        <v>0</v>
      </c>
      <c r="GX11" s="5" t="n">
        <v>0</v>
      </c>
      <c r="GY11" s="5" t="n">
        <v>0</v>
      </c>
      <c r="GZ11" s="5" t="n">
        <v>0</v>
      </c>
      <c r="HA11" s="5" t="n">
        <v>0</v>
      </c>
      <c r="HB11" s="5" t="n">
        <v>0</v>
      </c>
      <c r="HC11" s="5" t="n">
        <v>0</v>
      </c>
      <c r="HD11" s="5" t="n">
        <v>0</v>
      </c>
      <c r="HE11" s="5" t="n">
        <v>0</v>
      </c>
      <c r="HF11" s="5" t="n">
        <v>0</v>
      </c>
      <c r="HG11" s="5" t="n">
        <v>0</v>
      </c>
      <c r="HH11" s="5" t="n">
        <v>0</v>
      </c>
      <c r="HI11" s="5" t="n">
        <v>0</v>
      </c>
      <c r="HJ11" s="5" t="n">
        <v>0</v>
      </c>
      <c r="HK11" s="5" t="n">
        <v>0</v>
      </c>
      <c r="HL11" s="5" t="n">
        <v>0</v>
      </c>
      <c r="HM11" s="5" t="n">
        <v>0</v>
      </c>
      <c r="HN11" s="5" t="n">
        <v>0</v>
      </c>
      <c r="HO11" s="5" t="n">
        <v>0</v>
      </c>
      <c r="HP11" s="5" t="n">
        <v>0</v>
      </c>
      <c r="HQ11" s="5" t="n">
        <v>0</v>
      </c>
      <c r="HR11" s="5" t="n">
        <v>0</v>
      </c>
      <c r="HS11" s="5" t="n">
        <v>0</v>
      </c>
      <c r="HT11" s="5" t="n">
        <v>0</v>
      </c>
      <c r="HU11" s="5" t="n">
        <v>0</v>
      </c>
      <c r="HV11" s="5" t="n">
        <v>0</v>
      </c>
      <c r="HW11" s="5" t="n">
        <v>0</v>
      </c>
      <c r="HX11" s="5" t="n">
        <v>0</v>
      </c>
      <c r="HY11" s="5" t="n">
        <v>0</v>
      </c>
      <c r="HZ11" s="5" t="n">
        <v>0</v>
      </c>
      <c r="IA11" s="5" t="n">
        <v>0</v>
      </c>
      <c r="IB11" s="5" t="n">
        <v>0</v>
      </c>
      <c r="IC11" s="5" t="n">
        <v>0</v>
      </c>
      <c r="ID11" s="5" t="n">
        <v>0</v>
      </c>
      <c r="IE11" s="5" t="n">
        <v>0</v>
      </c>
      <c r="IF11" s="5" t="n">
        <v>0</v>
      </c>
      <c r="IG11" s="5" t="n">
        <v>0</v>
      </c>
      <c r="IH11" s="5" t="n">
        <v>0</v>
      </c>
      <c r="II11" s="5" t="n">
        <v>0</v>
      </c>
      <c r="IJ11" s="5" t="n">
        <v>0</v>
      </c>
      <c r="IK11" s="5" t="n">
        <v>0</v>
      </c>
      <c r="IL11" s="5" t="n">
        <v>0</v>
      </c>
      <c r="IM11" s="5" t="n">
        <v>0</v>
      </c>
      <c r="IN11" s="5" t="n">
        <v>0</v>
      </c>
      <c r="IO11" s="5" t="n">
        <v>0</v>
      </c>
      <c r="IP11" s="5" t="n">
        <v>0</v>
      </c>
      <c r="IQ11" s="5" t="n">
        <v>0</v>
      </c>
      <c r="IR11" s="5" t="n">
        <v>0</v>
      </c>
      <c r="IS11" s="5" t="n">
        <v>0</v>
      </c>
      <c r="IT11" s="5" t="n">
        <v>0</v>
      </c>
      <c r="IU11" s="5" t="n">
        <v>0</v>
      </c>
      <c r="IV11" s="5" t="n">
        <v>0</v>
      </c>
      <c r="IW11" s="5" t="n">
        <v>0</v>
      </c>
      <c r="IX11" s="5" t="n">
        <v>0</v>
      </c>
      <c r="IY11" s="5" t="n">
        <v>0</v>
      </c>
      <c r="IZ11" s="5" t="n">
        <v>0</v>
      </c>
      <c r="JA11" s="5" t="n">
        <v>0</v>
      </c>
      <c r="JB11" s="5" t="n">
        <v>0</v>
      </c>
      <c r="JC11" s="5" t="n">
        <v>0</v>
      </c>
      <c r="JD11" s="5" t="n">
        <v>0</v>
      </c>
      <c r="JE11" s="5" t="n">
        <v>0</v>
      </c>
      <c r="JF11" s="5" t="n">
        <v>0</v>
      </c>
      <c r="JG11" s="5" t="n">
        <v>0</v>
      </c>
      <c r="JH11" s="5" t="n">
        <v>0</v>
      </c>
      <c r="JI11" s="5" t="n">
        <v>0</v>
      </c>
      <c r="JJ11" s="5" t="n">
        <v>0</v>
      </c>
      <c r="JK11" s="5" t="n">
        <v>0</v>
      </c>
      <c r="JL11" s="5" t="n">
        <v>0</v>
      </c>
      <c r="JM11" s="5" t="n">
        <v>0</v>
      </c>
      <c r="JN11" s="5" t="n">
        <v>0</v>
      </c>
      <c r="JO11" s="5" t="n">
        <v>0</v>
      </c>
      <c r="JP11" s="5" t="n">
        <v>0</v>
      </c>
      <c r="JQ11" s="5" t="n">
        <v>0</v>
      </c>
      <c r="JR11" s="5" t="n">
        <v>0</v>
      </c>
      <c r="JS11" s="5" t="n">
        <v>0</v>
      </c>
      <c r="JT11" s="5" t="n">
        <v>0</v>
      </c>
      <c r="JU11" s="5" t="n">
        <v>0</v>
      </c>
      <c r="JV11" s="5" t="n">
        <v>0</v>
      </c>
      <c r="JW11" s="5" t="n">
        <v>0</v>
      </c>
      <c r="JX11" s="5" t="n">
        <v>0</v>
      </c>
      <c r="JY11" s="5" t="n">
        <v>0</v>
      </c>
      <c r="JZ11" s="5" t="n">
        <v>0</v>
      </c>
      <c r="KA11" s="5" t="n">
        <v>0</v>
      </c>
      <c r="KB11" s="5" t="n">
        <v>0</v>
      </c>
      <c r="KC11" s="5" t="n">
        <v>0</v>
      </c>
      <c r="KD11" s="5" t="n">
        <v>0</v>
      </c>
      <c r="KE11" s="5" t="n">
        <v>0</v>
      </c>
      <c r="KF11" s="5" t="n">
        <v>0</v>
      </c>
      <c r="KG11" s="5" t="n">
        <v>0</v>
      </c>
      <c r="KH11" s="5" t="n">
        <v>0</v>
      </c>
      <c r="KI11" s="5" t="n">
        <v>0</v>
      </c>
      <c r="KJ11" s="5" t="n">
        <v>0</v>
      </c>
      <c r="KK11" s="5" t="n">
        <v>0</v>
      </c>
      <c r="KL11" s="5" t="n">
        <v>0</v>
      </c>
      <c r="KM11" s="5" t="n">
        <v>0</v>
      </c>
      <c r="KN11" s="5" t="n">
        <v>0</v>
      </c>
      <c r="KO11" s="5" t="n">
        <v>0</v>
      </c>
      <c r="KP11" s="5" t="n">
        <v>0</v>
      </c>
      <c r="KQ11" s="5" t="n">
        <v>0</v>
      </c>
      <c r="KR11" s="5" t="n">
        <v>0</v>
      </c>
      <c r="KS11" s="5" t="n">
        <v>0</v>
      </c>
      <c r="KT11" s="5" t="n">
        <v>0</v>
      </c>
      <c r="KU11" s="5" t="n">
        <v>0</v>
      </c>
      <c r="KV11" s="5" t="n">
        <v>0</v>
      </c>
      <c r="KW11" s="5" t="n">
        <v>0</v>
      </c>
      <c r="KX11" s="5" t="n">
        <v>0</v>
      </c>
      <c r="KY11" s="5" t="n">
        <v>0</v>
      </c>
      <c r="KZ11" s="5" t="n">
        <v>0</v>
      </c>
      <c r="LA11" s="5" t="n">
        <v>0</v>
      </c>
      <c r="LB11" s="5" t="n">
        <v>0</v>
      </c>
      <c r="LC11" s="5" t="n">
        <v>0</v>
      </c>
      <c r="LD11" s="5" t="n">
        <v>0</v>
      </c>
      <c r="LE11" s="5" t="n">
        <v>0</v>
      </c>
      <c r="LF11" s="5" t="n">
        <v>0</v>
      </c>
      <c r="LG11" s="5" t="n">
        <v>0</v>
      </c>
      <c r="LH11" s="5" t="n">
        <v>0</v>
      </c>
      <c r="LI11" s="5" t="n">
        <v>0</v>
      </c>
      <c r="LJ11" s="5" t="n">
        <v>0</v>
      </c>
      <c r="LK11" s="5" t="n">
        <v>0</v>
      </c>
      <c r="LL11" s="5" t="n">
        <v>0</v>
      </c>
      <c r="LM11" s="5" t="n">
        <v>0</v>
      </c>
      <c r="LN11" s="5" t="n">
        <v>0</v>
      </c>
      <c r="LO11" s="5" t="n">
        <v>0</v>
      </c>
      <c r="LP11" s="5" t="n">
        <v>0</v>
      </c>
      <c r="LQ11" s="5" t="n">
        <v>0</v>
      </c>
      <c r="LR11" s="5" t="n">
        <v>0</v>
      </c>
      <c r="LS11" s="5" t="n">
        <v>0</v>
      </c>
      <c r="LT11" s="5" t="n">
        <v>0</v>
      </c>
      <c r="LU11" s="5" t="n">
        <v>0</v>
      </c>
      <c r="LV11" s="5" t="n">
        <v>0</v>
      </c>
      <c r="LW11" s="5" t="n">
        <v>0</v>
      </c>
      <c r="LX11" s="5" t="n">
        <v>0</v>
      </c>
      <c r="LY11" s="5" t="n">
        <v>0</v>
      </c>
      <c r="LZ11" s="5" t="n">
        <v>0</v>
      </c>
      <c r="MA11" s="5" t="n">
        <v>0</v>
      </c>
      <c r="MB11" s="5" t="n">
        <v>0</v>
      </c>
      <c r="MC11" s="5" t="n">
        <v>0</v>
      </c>
      <c r="MD11" s="5" t="n">
        <v>0</v>
      </c>
      <c r="ME11" s="5" t="n">
        <v>0</v>
      </c>
      <c r="MF11" s="5" t="n">
        <v>0</v>
      </c>
      <c r="MG11" s="5" t="n">
        <v>0</v>
      </c>
      <c r="MH11" s="5" t="n">
        <v>0</v>
      </c>
      <c r="MI11" s="5" t="n">
        <v>0</v>
      </c>
      <c r="MJ11" s="5" t="n">
        <v>0</v>
      </c>
      <c r="MK11" s="5" t="n">
        <v>0</v>
      </c>
      <c r="ML11" s="5" t="n">
        <v>0</v>
      </c>
      <c r="MM11" s="5" t="n">
        <v>0</v>
      </c>
      <c r="MN11" s="5" t="n">
        <v>0</v>
      </c>
      <c r="MO11" s="5" t="n">
        <v>0</v>
      </c>
      <c r="MP11" s="5" t="n">
        <v>0</v>
      </c>
      <c r="MQ11" s="5" t="n">
        <v>0</v>
      </c>
      <c r="MR11" s="5" t="n">
        <v>0</v>
      </c>
      <c r="MS11" s="5" t="n">
        <v>0</v>
      </c>
      <c r="MT11" s="5" t="n">
        <v>0</v>
      </c>
      <c r="MU11" s="5" t="n">
        <v>0</v>
      </c>
      <c r="MV11" s="5" t="n">
        <v>0</v>
      </c>
      <c r="MW11" s="5" t="n">
        <v>0</v>
      </c>
      <c r="MX11" s="5" t="n">
        <v>0</v>
      </c>
      <c r="MY11" s="5" t="n">
        <v>0</v>
      </c>
      <c r="MZ11" s="5" t="n">
        <v>0</v>
      </c>
      <c r="NA11" s="5" t="n">
        <v>0</v>
      </c>
      <c r="NB11" s="5" t="n">
        <v>0</v>
      </c>
      <c r="NC11" s="5" t="n">
        <v>0</v>
      </c>
      <c r="ND11" s="5" t="n">
        <v>0</v>
      </c>
      <c r="NE11" s="5" t="n">
        <v>0</v>
      </c>
      <c r="NF11" s="5" t="n">
        <v>0</v>
      </c>
      <c r="NG11" s="5" t="n">
        <v>0</v>
      </c>
      <c r="NH11" s="5" t="n">
        <v>0</v>
      </c>
      <c r="NI11" s="5" t="n">
        <v>0</v>
      </c>
      <c r="NJ11" s="5" t="n">
        <v>0</v>
      </c>
      <c r="NK11" s="5" t="n">
        <v>0</v>
      </c>
      <c r="NL11" s="5" t="n">
        <v>0</v>
      </c>
      <c r="NM11" s="5" t="n">
        <v>0</v>
      </c>
      <c r="NN11" s="5" t="n">
        <v>0</v>
      </c>
      <c r="NO11" s="5" t="n">
        <v>0</v>
      </c>
      <c r="NP11" s="5" t="n">
        <v>0</v>
      </c>
      <c r="NQ11" s="5" t="n">
        <v>0</v>
      </c>
      <c r="NR11" s="5" t="n">
        <v>0</v>
      </c>
      <c r="NS11" s="5" t="n">
        <v>0</v>
      </c>
      <c r="NT11" s="5" t="n">
        <v>0</v>
      </c>
      <c r="NU11" s="5" t="n">
        <v>0</v>
      </c>
      <c r="NV11" s="5" t="n">
        <v>0</v>
      </c>
      <c r="NW11" s="5" t="n">
        <v>0</v>
      </c>
      <c r="NX11" s="5" t="n">
        <v>0</v>
      </c>
      <c r="NY11" s="5" t="n">
        <v>0</v>
      </c>
      <c r="NZ11" s="5" t="n">
        <v>0</v>
      </c>
      <c r="OA11" s="5" t="n">
        <v>0</v>
      </c>
      <c r="OB11" s="5" t="n">
        <v>0</v>
      </c>
      <c r="OC11" s="5" t="n">
        <v>0</v>
      </c>
      <c r="OD11" s="5" t="n">
        <v>0</v>
      </c>
      <c r="OE11" s="5" t="n">
        <v>0</v>
      </c>
      <c r="OF11" s="5" t="n">
        <v>0</v>
      </c>
      <c r="OG11" s="5" t="n">
        <v>0</v>
      </c>
      <c r="OH11" s="5" t="n">
        <v>0</v>
      </c>
      <c r="OI11" s="5" t="n">
        <v>0</v>
      </c>
      <c r="OJ11" s="5" t="n">
        <v>0</v>
      </c>
      <c r="OK11" s="5" t="n">
        <v>0</v>
      </c>
      <c r="OL11" s="5" t="n">
        <v>0</v>
      </c>
      <c r="OM11" s="5" t="n">
        <v>0</v>
      </c>
      <c r="ON11" s="5" t="n">
        <v>0</v>
      </c>
      <c r="OO11" s="5" t="n">
        <v>0</v>
      </c>
      <c r="OP11" s="5" t="n">
        <v>0</v>
      </c>
      <c r="OQ11" s="5" t="n">
        <v>0</v>
      </c>
      <c r="OR11" s="5" t="n">
        <v>0</v>
      </c>
      <c r="OS11" s="5" t="n">
        <v>0</v>
      </c>
      <c r="OT11" s="5" t="n">
        <v>0</v>
      </c>
      <c r="OU11" s="5" t="n">
        <v>0</v>
      </c>
      <c r="OV11" s="5" t="n">
        <v>0</v>
      </c>
      <c r="OW11" s="5" t="n">
        <v>0</v>
      </c>
      <c r="OX11" s="5" t="n">
        <v>0</v>
      </c>
      <c r="OY11" s="5" t="n">
        <v>0</v>
      </c>
      <c r="OZ11" s="5" t="n">
        <v>0</v>
      </c>
      <c r="PA11" s="5" t="n">
        <v>0</v>
      </c>
      <c r="PB11" s="5" t="n">
        <v>0</v>
      </c>
      <c r="PC11" s="5" t="n">
        <v>0</v>
      </c>
      <c r="PD11" s="5" t="n">
        <v>0</v>
      </c>
      <c r="PE11" s="5" t="n">
        <v>0</v>
      </c>
      <c r="PF11" s="5" t="n">
        <v>0</v>
      </c>
      <c r="PG11" s="5" t="n">
        <v>0</v>
      </c>
      <c r="PH11" s="5" t="n">
        <v>0</v>
      </c>
      <c r="PI11" s="5" t="n">
        <v>0</v>
      </c>
      <c r="PJ11" s="5" t="n">
        <v>0</v>
      </c>
      <c r="PK11" s="5" t="n">
        <v>0</v>
      </c>
      <c r="PL11" s="5" t="n">
        <v>0</v>
      </c>
      <c r="PM11" s="5" t="n">
        <v>0</v>
      </c>
      <c r="PN11" s="5" t="n">
        <v>0</v>
      </c>
      <c r="PO11" s="5" t="n">
        <v>0</v>
      </c>
      <c r="PP11" s="5" t="n">
        <v>0</v>
      </c>
      <c r="PQ11" s="5" t="n">
        <v>0</v>
      </c>
      <c r="PR11" s="5" t="n">
        <v>0</v>
      </c>
      <c r="PS11" s="5" t="n">
        <v>0</v>
      </c>
      <c r="PT11" s="5" t="n">
        <v>0</v>
      </c>
      <c r="PU11" s="5" t="n">
        <v>0</v>
      </c>
      <c r="PV11" s="5" t="n">
        <v>0</v>
      </c>
      <c r="PW11" s="5" t="n">
        <v>0</v>
      </c>
      <c r="PX11" s="5" t="n">
        <v>0</v>
      </c>
      <c r="PY11" s="5" t="n">
        <v>0</v>
      </c>
      <c r="PZ11" s="5" t="n">
        <v>0</v>
      </c>
      <c r="QA11" s="5" t="n">
        <v>0</v>
      </c>
      <c r="QB11" s="5" t="n">
        <v>0</v>
      </c>
      <c r="QC11" s="5" t="n">
        <v>0</v>
      </c>
      <c r="QD11" s="5" t="n">
        <v>0</v>
      </c>
      <c r="QE11" s="5" t="n">
        <v>0</v>
      </c>
      <c r="QF11" s="5" t="n">
        <v>0</v>
      </c>
      <c r="QG11" s="5" t="n">
        <v>0</v>
      </c>
      <c r="QH11" s="5" t="n">
        <v>0</v>
      </c>
      <c r="QI11" s="5" t="n">
        <v>0</v>
      </c>
      <c r="QJ11" s="5" t="n">
        <v>0</v>
      </c>
      <c r="QK11" s="5" t="n">
        <v>0</v>
      </c>
      <c r="QL11" s="5" t="n">
        <v>0</v>
      </c>
      <c r="QM11" s="5" t="n">
        <v>0</v>
      </c>
      <c r="QN11" s="5" t="n">
        <v>0</v>
      </c>
      <c r="QO11" s="5" t="n">
        <v>0</v>
      </c>
      <c r="QP11" s="5" t="n">
        <v>0</v>
      </c>
      <c r="QQ11" s="5" t="n">
        <v>0</v>
      </c>
      <c r="QR11" s="5" t="n">
        <v>0</v>
      </c>
      <c r="QS11" s="5" t="n">
        <v>0</v>
      </c>
      <c r="QT11" s="5" t="n">
        <v>0</v>
      </c>
      <c r="QU11" s="5" t="n">
        <v>0</v>
      </c>
      <c r="QV11" s="5" t="n">
        <v>0</v>
      </c>
      <c r="QW11" s="5" t="n">
        <v>0</v>
      </c>
      <c r="QX11" s="5" t="n">
        <v>0</v>
      </c>
      <c r="QY11" s="5" t="n">
        <v>0</v>
      </c>
      <c r="QZ11" s="5" t="n">
        <v>0</v>
      </c>
      <c r="RA11" s="5" t="n">
        <v>0</v>
      </c>
      <c r="RB11" s="5" t="n">
        <v>0</v>
      </c>
      <c r="RC11" s="5" t="n">
        <v>0</v>
      </c>
      <c r="RD11" s="5" t="n">
        <v>0</v>
      </c>
      <c r="RE11" s="5" t="n">
        <v>0</v>
      </c>
      <c r="RF11" s="5" t="n">
        <v>0</v>
      </c>
      <c r="RG11" s="5" t="n">
        <v>0</v>
      </c>
      <c r="RH11" s="5" t="n">
        <v>0</v>
      </c>
      <c r="RI11" s="5" t="n">
        <v>0</v>
      </c>
      <c r="RJ11" s="5" t="n">
        <v>0</v>
      </c>
      <c r="RK11" s="5" t="n">
        <v>0</v>
      </c>
      <c r="RL11" s="5" t="n">
        <v>0</v>
      </c>
      <c r="RM11" s="5" t="n">
        <v>0</v>
      </c>
      <c r="RN11" s="5" t="n">
        <v>0</v>
      </c>
      <c r="RO11" s="5" t="n">
        <v>0</v>
      </c>
      <c r="RP11" s="5" t="n">
        <v>0</v>
      </c>
      <c r="RQ11" s="5" t="n">
        <v>0</v>
      </c>
      <c r="RR11" s="5" t="n">
        <v>0</v>
      </c>
      <c r="RS11" s="5" t="n">
        <v>0</v>
      </c>
      <c r="RT11" s="5" t="n">
        <v>0</v>
      </c>
      <c r="RU11" s="5" t="n">
        <v>0</v>
      </c>
      <c r="RV11" s="5" t="n">
        <v>0</v>
      </c>
      <c r="RW11" s="5" t="n">
        <v>0</v>
      </c>
    </row>
    <row r="12">
      <c r="A12" t="inlineStr">
        <is>
          <t>REV_002.pv_charge_volume_MWh</t>
        </is>
      </c>
      <c r="B12" t="inlineStr">
        <is>
          <t>kEUR</t>
        </is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  <c r="AT12" s="5" t="n">
        <v>0</v>
      </c>
      <c r="AU12" s="5" t="n">
        <v>0</v>
      </c>
      <c r="AV12" s="5" t="n">
        <v>0</v>
      </c>
      <c r="AW12" s="5" t="n">
        <v>0</v>
      </c>
      <c r="AX12" s="5" t="n">
        <v>0</v>
      </c>
      <c r="AY12" s="5" t="n">
        <v>0</v>
      </c>
      <c r="AZ12" s="5" t="n">
        <v>0</v>
      </c>
      <c r="BA12" s="5" t="n">
        <v>0</v>
      </c>
      <c r="BB12" s="5" t="n">
        <v>0</v>
      </c>
      <c r="BC12" s="5" t="n">
        <v>0</v>
      </c>
      <c r="BD12" s="5" t="n">
        <v>0</v>
      </c>
      <c r="BE12" s="5" t="n">
        <v>0</v>
      </c>
      <c r="BF12" s="5" t="n">
        <v>0</v>
      </c>
      <c r="BG12" s="5" t="n">
        <v>0</v>
      </c>
      <c r="BH12" s="5" t="n">
        <v>0</v>
      </c>
      <c r="BI12" s="5" t="n">
        <v>0</v>
      </c>
      <c r="BJ12" s="5" t="n">
        <v>0</v>
      </c>
      <c r="BK12" s="5" t="n">
        <v>0</v>
      </c>
      <c r="BL12" s="5" t="n">
        <v>0</v>
      </c>
      <c r="BM12" s="5" t="n">
        <v>0</v>
      </c>
      <c r="BN12" s="5" t="n">
        <v>0</v>
      </c>
      <c r="BO12" s="5" t="n">
        <v>0</v>
      </c>
      <c r="BP12" s="5" t="n">
        <v>0</v>
      </c>
      <c r="BQ12" s="5" t="n">
        <v>0</v>
      </c>
      <c r="BR12" s="5" t="n">
        <v>0</v>
      </c>
      <c r="BS12" s="5" t="n">
        <v>0</v>
      </c>
      <c r="BT12" s="5" t="n">
        <v>0</v>
      </c>
      <c r="BU12" s="5" t="n">
        <v>0</v>
      </c>
      <c r="BV12" s="5" t="n">
        <v>0</v>
      </c>
      <c r="BW12" s="5" t="n">
        <v>0</v>
      </c>
      <c r="BX12" s="5" t="n">
        <v>0</v>
      </c>
      <c r="BY12" s="5" t="n">
        <v>0</v>
      </c>
      <c r="BZ12" s="5" t="n">
        <v>0</v>
      </c>
      <c r="CA12" s="5" t="n">
        <v>0</v>
      </c>
      <c r="CB12" s="5" t="n">
        <v>0</v>
      </c>
      <c r="CC12" s="5" t="n">
        <v>0</v>
      </c>
      <c r="CD12" s="5" t="n">
        <v>0</v>
      </c>
      <c r="CE12" s="5" t="n">
        <v>0</v>
      </c>
      <c r="CF12" s="5" t="n">
        <v>0</v>
      </c>
      <c r="CG12" s="5" t="n">
        <v>0</v>
      </c>
      <c r="CH12" s="5" t="n">
        <v>0</v>
      </c>
      <c r="CI12" s="5" t="n">
        <v>0</v>
      </c>
      <c r="CJ12" s="5" t="n">
        <v>0</v>
      </c>
      <c r="CK12" s="5" t="n">
        <v>0</v>
      </c>
      <c r="CL12" s="5" t="n">
        <v>0</v>
      </c>
      <c r="CM12" s="5" t="n">
        <v>0</v>
      </c>
      <c r="CN12" s="5" t="n">
        <v>0</v>
      </c>
      <c r="CO12" s="5" t="n">
        <v>0</v>
      </c>
      <c r="CP12" s="5" t="n">
        <v>0</v>
      </c>
      <c r="CQ12" s="5" t="n">
        <v>0</v>
      </c>
      <c r="CR12" s="5" t="n">
        <v>0</v>
      </c>
      <c r="CS12" s="5" t="n">
        <v>0</v>
      </c>
      <c r="CT12" s="5" t="n">
        <v>0</v>
      </c>
      <c r="CU12" s="5" t="n">
        <v>0</v>
      </c>
      <c r="CV12" s="5" t="n">
        <v>0</v>
      </c>
      <c r="CW12" s="5" t="n">
        <v>0</v>
      </c>
      <c r="CX12" s="5" t="n">
        <v>0</v>
      </c>
      <c r="CY12" s="5" t="n">
        <v>0</v>
      </c>
      <c r="CZ12" s="5" t="n">
        <v>0</v>
      </c>
      <c r="DA12" s="5" t="n">
        <v>0</v>
      </c>
      <c r="DB12" s="5" t="n">
        <v>0</v>
      </c>
      <c r="DC12" s="5" t="n">
        <v>0</v>
      </c>
      <c r="DD12" s="5" t="n">
        <v>0</v>
      </c>
      <c r="DE12" s="5" t="n">
        <v>0</v>
      </c>
      <c r="DF12" s="5" t="n">
        <v>0</v>
      </c>
      <c r="DG12" s="5" t="n">
        <v>0</v>
      </c>
      <c r="DH12" s="5" t="n">
        <v>0</v>
      </c>
      <c r="DI12" s="5" t="n">
        <v>0</v>
      </c>
      <c r="DJ12" s="5" t="n">
        <v>0</v>
      </c>
      <c r="DK12" s="5" t="n">
        <v>0</v>
      </c>
      <c r="DL12" s="5" t="n">
        <v>0</v>
      </c>
      <c r="DM12" s="5" t="n">
        <v>0</v>
      </c>
      <c r="DN12" s="5" t="n">
        <v>0</v>
      </c>
      <c r="DO12" s="5" t="n">
        <v>0</v>
      </c>
      <c r="DP12" s="5" t="n">
        <v>0</v>
      </c>
      <c r="DQ12" s="5" t="n">
        <v>0</v>
      </c>
      <c r="DR12" s="5" t="n">
        <v>0</v>
      </c>
      <c r="DS12" s="5" t="n">
        <v>0</v>
      </c>
      <c r="DT12" s="5" t="n">
        <v>0</v>
      </c>
      <c r="DU12" s="5" t="n">
        <v>0</v>
      </c>
      <c r="DV12" s="5" t="n">
        <v>0</v>
      </c>
      <c r="DW12" s="5" t="n">
        <v>0</v>
      </c>
      <c r="DX12" s="5" t="n">
        <v>0</v>
      </c>
      <c r="DY12" s="5" t="n">
        <v>0</v>
      </c>
      <c r="DZ12" s="5" t="n">
        <v>0</v>
      </c>
      <c r="EA12" s="5" t="n">
        <v>0</v>
      </c>
      <c r="EB12" s="5" t="n">
        <v>0</v>
      </c>
      <c r="EC12" s="5" t="n">
        <v>0</v>
      </c>
      <c r="ED12" s="5" t="n">
        <v>0</v>
      </c>
      <c r="EE12" s="5" t="n">
        <v>0</v>
      </c>
      <c r="EF12" s="5" t="n">
        <v>0</v>
      </c>
      <c r="EG12" s="5" t="n">
        <v>0</v>
      </c>
      <c r="EH12" s="5" t="n">
        <v>0</v>
      </c>
      <c r="EI12" s="5" t="n">
        <v>0</v>
      </c>
      <c r="EJ12" s="5" t="n">
        <v>0</v>
      </c>
      <c r="EK12" s="5" t="n">
        <v>0</v>
      </c>
      <c r="EL12" s="5" t="n">
        <v>0</v>
      </c>
      <c r="EM12" s="5" t="n">
        <v>0</v>
      </c>
      <c r="EN12" s="5" t="n">
        <v>0</v>
      </c>
      <c r="EO12" s="5" t="n">
        <v>0</v>
      </c>
      <c r="EP12" s="5" t="n">
        <v>0</v>
      </c>
      <c r="EQ12" s="5" t="n">
        <v>0</v>
      </c>
      <c r="ER12" s="5" t="n">
        <v>0</v>
      </c>
      <c r="ES12" s="5" t="n">
        <v>0</v>
      </c>
      <c r="ET12" s="5" t="n">
        <v>0</v>
      </c>
      <c r="EU12" s="5" t="n">
        <v>0</v>
      </c>
      <c r="EV12" s="5" t="n">
        <v>0</v>
      </c>
      <c r="EW12" s="5" t="n">
        <v>0</v>
      </c>
      <c r="EX12" s="5" t="n">
        <v>0</v>
      </c>
      <c r="EY12" s="5" t="n">
        <v>0</v>
      </c>
      <c r="EZ12" s="5" t="n">
        <v>0</v>
      </c>
      <c r="FA12" s="5" t="n">
        <v>0</v>
      </c>
      <c r="FB12" s="5" t="n">
        <v>0</v>
      </c>
      <c r="FC12" s="5" t="n">
        <v>0</v>
      </c>
      <c r="FD12" s="5" t="n">
        <v>0</v>
      </c>
      <c r="FE12" s="5" t="n">
        <v>0</v>
      </c>
      <c r="FF12" s="5" t="n">
        <v>0</v>
      </c>
      <c r="FG12" s="5" t="n">
        <v>0</v>
      </c>
      <c r="FH12" s="5" t="n">
        <v>0</v>
      </c>
      <c r="FI12" s="5" t="n">
        <v>0</v>
      </c>
      <c r="FJ12" s="5" t="n">
        <v>0</v>
      </c>
      <c r="FK12" s="5" t="n">
        <v>0</v>
      </c>
      <c r="FL12" s="5" t="n">
        <v>0</v>
      </c>
      <c r="FM12" s="5" t="n">
        <v>0</v>
      </c>
      <c r="FN12" s="5" t="n">
        <v>0</v>
      </c>
      <c r="FO12" s="5" t="n">
        <v>0</v>
      </c>
      <c r="FP12" s="5" t="n">
        <v>0</v>
      </c>
      <c r="FQ12" s="5" t="n">
        <v>0</v>
      </c>
      <c r="FR12" s="5" t="n">
        <v>0</v>
      </c>
      <c r="FS12" s="5" t="n">
        <v>0</v>
      </c>
      <c r="FT12" s="5" t="n">
        <v>0</v>
      </c>
      <c r="FU12" s="5" t="n">
        <v>0</v>
      </c>
      <c r="FV12" s="5" t="n">
        <v>0</v>
      </c>
      <c r="FW12" s="5" t="n">
        <v>0</v>
      </c>
      <c r="FX12" s="5" t="n">
        <v>0</v>
      </c>
      <c r="FY12" s="5" t="n">
        <v>0</v>
      </c>
      <c r="FZ12" s="5" t="n">
        <v>0</v>
      </c>
      <c r="GA12" s="5" t="n">
        <v>0</v>
      </c>
      <c r="GB12" s="5" t="n">
        <v>0</v>
      </c>
      <c r="GC12" s="5" t="n">
        <v>0</v>
      </c>
      <c r="GD12" s="5" t="n">
        <v>0</v>
      </c>
      <c r="GE12" s="5" t="n">
        <v>0</v>
      </c>
      <c r="GF12" s="5" t="n">
        <v>0</v>
      </c>
      <c r="GG12" s="5" t="n">
        <v>0</v>
      </c>
      <c r="GH12" s="5" t="n">
        <v>0</v>
      </c>
      <c r="GI12" s="5" t="n">
        <v>0</v>
      </c>
      <c r="GJ12" s="5" t="n">
        <v>0</v>
      </c>
      <c r="GK12" s="5" t="n">
        <v>0</v>
      </c>
      <c r="GL12" s="5" t="n">
        <v>0</v>
      </c>
      <c r="GM12" s="5" t="n">
        <v>0</v>
      </c>
      <c r="GN12" s="5" t="n">
        <v>0</v>
      </c>
      <c r="GO12" s="5" t="n">
        <v>0</v>
      </c>
      <c r="GP12" s="5" t="n">
        <v>0</v>
      </c>
      <c r="GQ12" s="5" t="n">
        <v>0</v>
      </c>
      <c r="GR12" s="5" t="n">
        <v>0</v>
      </c>
      <c r="GS12" s="5" t="n">
        <v>0</v>
      </c>
      <c r="GT12" s="5" t="n">
        <v>0</v>
      </c>
      <c r="GU12" s="5" t="n">
        <v>0</v>
      </c>
      <c r="GV12" s="5" t="n">
        <v>0</v>
      </c>
      <c r="GW12" s="5" t="n">
        <v>0</v>
      </c>
      <c r="GX12" s="5" t="n">
        <v>0</v>
      </c>
      <c r="GY12" s="5" t="n">
        <v>0</v>
      </c>
      <c r="GZ12" s="5" t="n">
        <v>0</v>
      </c>
      <c r="HA12" s="5" t="n">
        <v>0</v>
      </c>
      <c r="HB12" s="5" t="n">
        <v>0</v>
      </c>
      <c r="HC12" s="5" t="n">
        <v>0</v>
      </c>
      <c r="HD12" s="5" t="n">
        <v>0</v>
      </c>
      <c r="HE12" s="5" t="n">
        <v>0</v>
      </c>
      <c r="HF12" s="5" t="n">
        <v>0</v>
      </c>
      <c r="HG12" s="5" t="n">
        <v>0</v>
      </c>
      <c r="HH12" s="5" t="n">
        <v>0</v>
      </c>
      <c r="HI12" s="5" t="n">
        <v>0</v>
      </c>
      <c r="HJ12" s="5" t="n">
        <v>0</v>
      </c>
      <c r="HK12" s="5" t="n">
        <v>0</v>
      </c>
      <c r="HL12" s="5" t="n">
        <v>0</v>
      </c>
      <c r="HM12" s="5" t="n">
        <v>0</v>
      </c>
      <c r="HN12" s="5" t="n">
        <v>0</v>
      </c>
      <c r="HO12" s="5" t="n">
        <v>0</v>
      </c>
      <c r="HP12" s="5" t="n">
        <v>0</v>
      </c>
      <c r="HQ12" s="5" t="n">
        <v>0</v>
      </c>
      <c r="HR12" s="5" t="n">
        <v>0</v>
      </c>
      <c r="HS12" s="5" t="n">
        <v>0</v>
      </c>
      <c r="HT12" s="5" t="n">
        <v>0</v>
      </c>
      <c r="HU12" s="5" t="n">
        <v>0</v>
      </c>
      <c r="HV12" s="5" t="n">
        <v>0</v>
      </c>
      <c r="HW12" s="5" t="n">
        <v>0</v>
      </c>
      <c r="HX12" s="5" t="n">
        <v>0</v>
      </c>
      <c r="HY12" s="5" t="n">
        <v>0</v>
      </c>
      <c r="HZ12" s="5" t="n">
        <v>0</v>
      </c>
      <c r="IA12" s="5" t="n">
        <v>0</v>
      </c>
      <c r="IB12" s="5" t="n">
        <v>0</v>
      </c>
      <c r="IC12" s="5" t="n">
        <v>0</v>
      </c>
      <c r="ID12" s="5" t="n">
        <v>0</v>
      </c>
      <c r="IE12" s="5" t="n">
        <v>0</v>
      </c>
      <c r="IF12" s="5" t="n">
        <v>0</v>
      </c>
      <c r="IG12" s="5" t="n">
        <v>0</v>
      </c>
      <c r="IH12" s="5" t="n">
        <v>0</v>
      </c>
      <c r="II12" s="5" t="n">
        <v>0</v>
      </c>
      <c r="IJ12" s="5" t="n">
        <v>0</v>
      </c>
      <c r="IK12" s="5" t="n">
        <v>0</v>
      </c>
      <c r="IL12" s="5" t="n">
        <v>0</v>
      </c>
      <c r="IM12" s="5" t="n">
        <v>0</v>
      </c>
      <c r="IN12" s="5" t="n">
        <v>0</v>
      </c>
      <c r="IO12" s="5" t="n">
        <v>0</v>
      </c>
      <c r="IP12" s="5" t="n">
        <v>0</v>
      </c>
      <c r="IQ12" s="5" t="n">
        <v>0</v>
      </c>
      <c r="IR12" s="5" t="n">
        <v>0</v>
      </c>
      <c r="IS12" s="5" t="n">
        <v>0</v>
      </c>
      <c r="IT12" s="5" t="n">
        <v>0</v>
      </c>
      <c r="IU12" s="5" t="n">
        <v>0</v>
      </c>
      <c r="IV12" s="5" t="n">
        <v>0</v>
      </c>
      <c r="IW12" s="5" t="n">
        <v>0</v>
      </c>
      <c r="IX12" s="5" t="n">
        <v>0</v>
      </c>
      <c r="IY12" s="5" t="n">
        <v>0</v>
      </c>
      <c r="IZ12" s="5" t="n">
        <v>0</v>
      </c>
      <c r="JA12" s="5" t="n">
        <v>0</v>
      </c>
      <c r="JB12" s="5" t="n">
        <v>0</v>
      </c>
      <c r="JC12" s="5" t="n">
        <v>0</v>
      </c>
      <c r="JD12" s="5" t="n">
        <v>0</v>
      </c>
      <c r="JE12" s="5" t="n">
        <v>0</v>
      </c>
      <c r="JF12" s="5" t="n">
        <v>0</v>
      </c>
      <c r="JG12" s="5" t="n">
        <v>0</v>
      </c>
      <c r="JH12" s="5" t="n">
        <v>0</v>
      </c>
      <c r="JI12" s="5" t="n">
        <v>0</v>
      </c>
      <c r="JJ12" s="5" t="n">
        <v>0</v>
      </c>
      <c r="JK12" s="5" t="n">
        <v>0</v>
      </c>
      <c r="JL12" s="5" t="n">
        <v>0</v>
      </c>
      <c r="JM12" s="5" t="n">
        <v>0</v>
      </c>
      <c r="JN12" s="5" t="n">
        <v>0</v>
      </c>
      <c r="JO12" s="5" t="n">
        <v>0</v>
      </c>
      <c r="JP12" s="5" t="n">
        <v>0</v>
      </c>
      <c r="JQ12" s="5" t="n">
        <v>0</v>
      </c>
      <c r="JR12" s="5" t="n">
        <v>0</v>
      </c>
      <c r="JS12" s="5" t="n">
        <v>0</v>
      </c>
      <c r="JT12" s="5" t="n">
        <v>0</v>
      </c>
      <c r="JU12" s="5" t="n">
        <v>0</v>
      </c>
      <c r="JV12" s="5" t="n">
        <v>0</v>
      </c>
      <c r="JW12" s="5" t="n">
        <v>0</v>
      </c>
      <c r="JX12" s="5" t="n">
        <v>0</v>
      </c>
      <c r="JY12" s="5" t="n">
        <v>0</v>
      </c>
      <c r="JZ12" s="5" t="n">
        <v>0</v>
      </c>
      <c r="KA12" s="5" t="n">
        <v>0</v>
      </c>
      <c r="KB12" s="5" t="n">
        <v>0</v>
      </c>
      <c r="KC12" s="5" t="n">
        <v>0</v>
      </c>
      <c r="KD12" s="5" t="n">
        <v>0</v>
      </c>
      <c r="KE12" s="5" t="n">
        <v>0</v>
      </c>
      <c r="KF12" s="5" t="n">
        <v>0</v>
      </c>
      <c r="KG12" s="5" t="n">
        <v>0</v>
      </c>
      <c r="KH12" s="5" t="n">
        <v>0</v>
      </c>
      <c r="KI12" s="5" t="n">
        <v>0</v>
      </c>
      <c r="KJ12" s="5" t="n">
        <v>0</v>
      </c>
      <c r="KK12" s="5" t="n">
        <v>0</v>
      </c>
      <c r="KL12" s="5" t="n">
        <v>0</v>
      </c>
      <c r="KM12" s="5" t="n">
        <v>0</v>
      </c>
      <c r="KN12" s="5" t="n">
        <v>0</v>
      </c>
      <c r="KO12" s="5" t="n">
        <v>0</v>
      </c>
      <c r="KP12" s="5" t="n">
        <v>0</v>
      </c>
      <c r="KQ12" s="5" t="n">
        <v>0</v>
      </c>
      <c r="KR12" s="5" t="n">
        <v>0</v>
      </c>
      <c r="KS12" s="5" t="n">
        <v>0</v>
      </c>
      <c r="KT12" s="5" t="n">
        <v>0</v>
      </c>
      <c r="KU12" s="5" t="n">
        <v>0</v>
      </c>
      <c r="KV12" s="5" t="n">
        <v>0</v>
      </c>
      <c r="KW12" s="5" t="n">
        <v>0</v>
      </c>
      <c r="KX12" s="5" t="n">
        <v>0</v>
      </c>
      <c r="KY12" s="5" t="n">
        <v>0</v>
      </c>
      <c r="KZ12" s="5" t="n">
        <v>0</v>
      </c>
      <c r="LA12" s="5" t="n">
        <v>0</v>
      </c>
      <c r="LB12" s="5" t="n">
        <v>0</v>
      </c>
      <c r="LC12" s="5" t="n">
        <v>0</v>
      </c>
      <c r="LD12" s="5" t="n">
        <v>0</v>
      </c>
      <c r="LE12" s="5" t="n">
        <v>0</v>
      </c>
      <c r="LF12" s="5" t="n">
        <v>0</v>
      </c>
      <c r="LG12" s="5" t="n">
        <v>0</v>
      </c>
      <c r="LH12" s="5" t="n">
        <v>0</v>
      </c>
      <c r="LI12" s="5" t="n">
        <v>0</v>
      </c>
      <c r="LJ12" s="5" t="n">
        <v>0</v>
      </c>
      <c r="LK12" s="5" t="n">
        <v>0</v>
      </c>
      <c r="LL12" s="5" t="n">
        <v>0</v>
      </c>
      <c r="LM12" s="5" t="n">
        <v>0</v>
      </c>
      <c r="LN12" s="5" t="n">
        <v>0</v>
      </c>
      <c r="LO12" s="5" t="n">
        <v>0</v>
      </c>
      <c r="LP12" s="5" t="n">
        <v>0</v>
      </c>
      <c r="LQ12" s="5" t="n">
        <v>0</v>
      </c>
      <c r="LR12" s="5" t="n">
        <v>0</v>
      </c>
      <c r="LS12" s="5" t="n">
        <v>0</v>
      </c>
      <c r="LT12" s="5" t="n">
        <v>0</v>
      </c>
      <c r="LU12" s="5" t="n">
        <v>0</v>
      </c>
      <c r="LV12" s="5" t="n">
        <v>0</v>
      </c>
      <c r="LW12" s="5" t="n">
        <v>0</v>
      </c>
      <c r="LX12" s="5" t="n">
        <v>0</v>
      </c>
      <c r="LY12" s="5" t="n">
        <v>0</v>
      </c>
      <c r="LZ12" s="5" t="n">
        <v>0</v>
      </c>
      <c r="MA12" s="5" t="n">
        <v>0</v>
      </c>
      <c r="MB12" s="5" t="n">
        <v>0</v>
      </c>
      <c r="MC12" s="5" t="n">
        <v>0</v>
      </c>
      <c r="MD12" s="5" t="n">
        <v>0</v>
      </c>
      <c r="ME12" s="5" t="n">
        <v>0</v>
      </c>
      <c r="MF12" s="5" t="n">
        <v>0</v>
      </c>
      <c r="MG12" s="5" t="n">
        <v>0</v>
      </c>
      <c r="MH12" s="5" t="n">
        <v>0</v>
      </c>
      <c r="MI12" s="5" t="n">
        <v>0</v>
      </c>
      <c r="MJ12" s="5" t="n">
        <v>0</v>
      </c>
      <c r="MK12" s="5" t="n">
        <v>0</v>
      </c>
      <c r="ML12" s="5" t="n">
        <v>0</v>
      </c>
      <c r="MM12" s="5" t="n">
        <v>0</v>
      </c>
      <c r="MN12" s="5" t="n">
        <v>0</v>
      </c>
      <c r="MO12" s="5" t="n">
        <v>0</v>
      </c>
      <c r="MP12" s="5" t="n">
        <v>0</v>
      </c>
      <c r="MQ12" s="5" t="n">
        <v>0</v>
      </c>
      <c r="MR12" s="5" t="n">
        <v>0</v>
      </c>
      <c r="MS12" s="5" t="n">
        <v>0</v>
      </c>
      <c r="MT12" s="5" t="n">
        <v>0</v>
      </c>
      <c r="MU12" s="5" t="n">
        <v>0</v>
      </c>
      <c r="MV12" s="5" t="n">
        <v>0</v>
      </c>
      <c r="MW12" s="5" t="n">
        <v>0</v>
      </c>
      <c r="MX12" s="5" t="n">
        <v>0</v>
      </c>
      <c r="MY12" s="5" t="n">
        <v>0</v>
      </c>
      <c r="MZ12" s="5" t="n">
        <v>0</v>
      </c>
      <c r="NA12" s="5" t="n">
        <v>0</v>
      </c>
      <c r="NB12" s="5" t="n">
        <v>0</v>
      </c>
      <c r="NC12" s="5" t="n">
        <v>0</v>
      </c>
      <c r="ND12" s="5" t="n">
        <v>0</v>
      </c>
      <c r="NE12" s="5" t="n">
        <v>0</v>
      </c>
      <c r="NF12" s="5" t="n">
        <v>0</v>
      </c>
      <c r="NG12" s="5" t="n">
        <v>0</v>
      </c>
      <c r="NH12" s="5" t="n">
        <v>0</v>
      </c>
      <c r="NI12" s="5" t="n">
        <v>0</v>
      </c>
      <c r="NJ12" s="5" t="n">
        <v>0</v>
      </c>
      <c r="NK12" s="5" t="n">
        <v>0</v>
      </c>
      <c r="NL12" s="5" t="n">
        <v>0</v>
      </c>
      <c r="NM12" s="5" t="n">
        <v>0</v>
      </c>
      <c r="NN12" s="5" t="n">
        <v>0</v>
      </c>
      <c r="NO12" s="5" t="n">
        <v>0</v>
      </c>
      <c r="NP12" s="5" t="n">
        <v>0</v>
      </c>
      <c r="NQ12" s="5" t="n">
        <v>0</v>
      </c>
      <c r="NR12" s="5" t="n">
        <v>0</v>
      </c>
      <c r="NS12" s="5" t="n">
        <v>0</v>
      </c>
      <c r="NT12" s="5" t="n">
        <v>0</v>
      </c>
      <c r="NU12" s="5" t="n">
        <v>0</v>
      </c>
      <c r="NV12" s="5" t="n">
        <v>0</v>
      </c>
      <c r="NW12" s="5" t="n">
        <v>0</v>
      </c>
      <c r="NX12" s="5" t="n">
        <v>0</v>
      </c>
      <c r="NY12" s="5" t="n">
        <v>0</v>
      </c>
      <c r="NZ12" s="5" t="n">
        <v>0</v>
      </c>
      <c r="OA12" s="5" t="n">
        <v>0</v>
      </c>
      <c r="OB12" s="5" t="n">
        <v>0</v>
      </c>
      <c r="OC12" s="5" t="n">
        <v>0</v>
      </c>
      <c r="OD12" s="5" t="n">
        <v>0</v>
      </c>
      <c r="OE12" s="5" t="n">
        <v>0</v>
      </c>
      <c r="OF12" s="5" t="n">
        <v>0</v>
      </c>
      <c r="OG12" s="5" t="n">
        <v>0</v>
      </c>
      <c r="OH12" s="5" t="n">
        <v>0</v>
      </c>
      <c r="OI12" s="5" t="n">
        <v>0</v>
      </c>
      <c r="OJ12" s="5" t="n">
        <v>0</v>
      </c>
      <c r="OK12" s="5" t="n">
        <v>0</v>
      </c>
      <c r="OL12" s="5" t="n">
        <v>0</v>
      </c>
      <c r="OM12" s="5" t="n">
        <v>0</v>
      </c>
      <c r="ON12" s="5" t="n">
        <v>0</v>
      </c>
      <c r="OO12" s="5" t="n">
        <v>0</v>
      </c>
      <c r="OP12" s="5" t="n">
        <v>0</v>
      </c>
      <c r="OQ12" s="5" t="n">
        <v>0</v>
      </c>
      <c r="OR12" s="5" t="n">
        <v>0</v>
      </c>
      <c r="OS12" s="5" t="n">
        <v>0</v>
      </c>
      <c r="OT12" s="5" t="n">
        <v>0</v>
      </c>
      <c r="OU12" s="5" t="n">
        <v>0</v>
      </c>
      <c r="OV12" s="5" t="n">
        <v>0</v>
      </c>
      <c r="OW12" s="5" t="n">
        <v>0</v>
      </c>
      <c r="OX12" s="5" t="n">
        <v>0</v>
      </c>
      <c r="OY12" s="5" t="n">
        <v>0</v>
      </c>
      <c r="OZ12" s="5" t="n">
        <v>0</v>
      </c>
      <c r="PA12" s="5" t="n">
        <v>0</v>
      </c>
      <c r="PB12" s="5" t="n">
        <v>0</v>
      </c>
      <c r="PC12" s="5" t="n">
        <v>0</v>
      </c>
      <c r="PD12" s="5" t="n">
        <v>0</v>
      </c>
      <c r="PE12" s="5" t="n">
        <v>0</v>
      </c>
      <c r="PF12" s="5" t="n">
        <v>0</v>
      </c>
      <c r="PG12" s="5" t="n">
        <v>0</v>
      </c>
      <c r="PH12" s="5" t="n">
        <v>0</v>
      </c>
      <c r="PI12" s="5" t="n">
        <v>0</v>
      </c>
      <c r="PJ12" s="5" t="n">
        <v>0</v>
      </c>
      <c r="PK12" s="5" t="n">
        <v>0</v>
      </c>
      <c r="PL12" s="5" t="n">
        <v>0</v>
      </c>
      <c r="PM12" s="5" t="n">
        <v>0</v>
      </c>
      <c r="PN12" s="5" t="n">
        <v>0</v>
      </c>
      <c r="PO12" s="5" t="n">
        <v>0</v>
      </c>
      <c r="PP12" s="5" t="n">
        <v>0</v>
      </c>
      <c r="PQ12" s="5" t="n">
        <v>0</v>
      </c>
      <c r="PR12" s="5" t="n">
        <v>0</v>
      </c>
      <c r="PS12" s="5" t="n">
        <v>0</v>
      </c>
      <c r="PT12" s="5" t="n">
        <v>0</v>
      </c>
      <c r="PU12" s="5" t="n">
        <v>0</v>
      </c>
      <c r="PV12" s="5" t="n">
        <v>0</v>
      </c>
      <c r="PW12" s="5" t="n">
        <v>0</v>
      </c>
      <c r="PX12" s="5" t="n">
        <v>0</v>
      </c>
      <c r="PY12" s="5" t="n">
        <v>0</v>
      </c>
      <c r="PZ12" s="5" t="n">
        <v>0</v>
      </c>
      <c r="QA12" s="5" t="n">
        <v>0</v>
      </c>
      <c r="QB12" s="5" t="n">
        <v>0</v>
      </c>
      <c r="QC12" s="5" t="n">
        <v>0</v>
      </c>
      <c r="QD12" s="5" t="n">
        <v>0</v>
      </c>
      <c r="QE12" s="5" t="n">
        <v>0</v>
      </c>
      <c r="QF12" s="5" t="n">
        <v>0</v>
      </c>
      <c r="QG12" s="5" t="n">
        <v>0</v>
      </c>
      <c r="QH12" s="5" t="n">
        <v>0</v>
      </c>
      <c r="QI12" s="5" t="n">
        <v>0</v>
      </c>
      <c r="QJ12" s="5" t="n">
        <v>0</v>
      </c>
      <c r="QK12" s="5" t="n">
        <v>0</v>
      </c>
      <c r="QL12" s="5" t="n">
        <v>0</v>
      </c>
      <c r="QM12" s="5" t="n">
        <v>0</v>
      </c>
      <c r="QN12" s="5" t="n">
        <v>0</v>
      </c>
      <c r="QO12" s="5" t="n">
        <v>0</v>
      </c>
      <c r="QP12" s="5" t="n">
        <v>0</v>
      </c>
      <c r="QQ12" s="5" t="n">
        <v>0</v>
      </c>
      <c r="QR12" s="5" t="n">
        <v>0</v>
      </c>
      <c r="QS12" s="5" t="n">
        <v>0</v>
      </c>
      <c r="QT12" s="5" t="n">
        <v>0</v>
      </c>
      <c r="QU12" s="5" t="n">
        <v>0</v>
      </c>
      <c r="QV12" s="5" t="n">
        <v>0</v>
      </c>
      <c r="QW12" s="5" t="n">
        <v>0</v>
      </c>
      <c r="QX12" s="5" t="n">
        <v>0</v>
      </c>
      <c r="QY12" s="5" t="n">
        <v>0</v>
      </c>
      <c r="QZ12" s="5" t="n">
        <v>0</v>
      </c>
      <c r="RA12" s="5" t="n">
        <v>0</v>
      </c>
      <c r="RB12" s="5" t="n">
        <v>0</v>
      </c>
      <c r="RC12" s="5" t="n">
        <v>0</v>
      </c>
      <c r="RD12" s="5" t="n">
        <v>0</v>
      </c>
      <c r="RE12" s="5" t="n">
        <v>0</v>
      </c>
      <c r="RF12" s="5" t="n">
        <v>0</v>
      </c>
      <c r="RG12" s="5" t="n">
        <v>0</v>
      </c>
      <c r="RH12" s="5" t="n">
        <v>0</v>
      </c>
      <c r="RI12" s="5" t="n">
        <v>0</v>
      </c>
      <c r="RJ12" s="5" t="n">
        <v>0</v>
      </c>
      <c r="RK12" s="5" t="n">
        <v>0</v>
      </c>
      <c r="RL12" s="5" t="n">
        <v>0</v>
      </c>
      <c r="RM12" s="5" t="n">
        <v>0</v>
      </c>
      <c r="RN12" s="5" t="n">
        <v>0</v>
      </c>
      <c r="RO12" s="5" t="n">
        <v>0</v>
      </c>
      <c r="RP12" s="5" t="n">
        <v>0</v>
      </c>
      <c r="RQ12" s="5" t="n">
        <v>0</v>
      </c>
      <c r="RR12" s="5" t="n">
        <v>0</v>
      </c>
      <c r="RS12" s="5" t="n">
        <v>0</v>
      </c>
      <c r="RT12" s="5" t="n">
        <v>0</v>
      </c>
      <c r="RU12" s="5" t="n">
        <v>0</v>
      </c>
      <c r="RV12" s="5" t="n">
        <v>0</v>
      </c>
      <c r="RW12" s="5" t="n">
        <v>0</v>
      </c>
    </row>
    <row r="13">
      <c r="A13" t="inlineStr">
        <is>
          <t>REV_002.pv_charge_price_DKK_per_MWh</t>
        </is>
      </c>
      <c r="B13" t="inlineStr">
        <is>
          <t>kEUR</t>
        </is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 t="n">
        <v>0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5" t="n">
        <v>0</v>
      </c>
      <c r="AI13" s="5" t="n">
        <v>0</v>
      </c>
      <c r="AJ13" s="5" t="n">
        <v>0</v>
      </c>
      <c r="AK13" s="5" t="n">
        <v>0</v>
      </c>
      <c r="AL13" s="5" t="n">
        <v>0</v>
      </c>
      <c r="AM13" s="5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R13" s="5" t="n">
        <v>0</v>
      </c>
      <c r="AS13" s="5" t="n">
        <v>0</v>
      </c>
      <c r="AT13" s="5" t="n">
        <v>0</v>
      </c>
      <c r="AU13" s="5" t="n">
        <v>0</v>
      </c>
      <c r="AV13" s="5" t="n">
        <v>0</v>
      </c>
      <c r="AW13" s="5" t="n">
        <v>0</v>
      </c>
      <c r="AX13" s="5" t="n">
        <v>0</v>
      </c>
      <c r="AY13" s="5" t="n">
        <v>0</v>
      </c>
      <c r="AZ13" s="5" t="n">
        <v>0</v>
      </c>
      <c r="BA13" s="5" t="n">
        <v>0</v>
      </c>
      <c r="BB13" s="5" t="n">
        <v>0</v>
      </c>
      <c r="BC13" s="5" t="n">
        <v>0</v>
      </c>
      <c r="BD13" s="5" t="n">
        <v>0</v>
      </c>
      <c r="BE13" s="5" t="n">
        <v>0</v>
      </c>
      <c r="BF13" s="5" t="n">
        <v>0</v>
      </c>
      <c r="BG13" s="5" t="n">
        <v>0</v>
      </c>
      <c r="BH13" s="5" t="n">
        <v>0</v>
      </c>
      <c r="BI13" s="5" t="n">
        <v>0</v>
      </c>
      <c r="BJ13" s="5" t="n">
        <v>0</v>
      </c>
      <c r="BK13" s="5" t="n">
        <v>0</v>
      </c>
      <c r="BL13" s="5" t="n">
        <v>0</v>
      </c>
      <c r="BM13" s="5" t="n">
        <v>0</v>
      </c>
      <c r="BN13" s="5" t="n">
        <v>0</v>
      </c>
      <c r="BO13" s="5" t="n">
        <v>0</v>
      </c>
      <c r="BP13" s="5" t="n">
        <v>0</v>
      </c>
      <c r="BQ13" s="5" t="n">
        <v>0</v>
      </c>
      <c r="BR13" s="5" t="n">
        <v>0</v>
      </c>
      <c r="BS13" s="5" t="n">
        <v>0</v>
      </c>
      <c r="BT13" s="5" t="n">
        <v>0</v>
      </c>
      <c r="BU13" s="5" t="n">
        <v>0</v>
      </c>
      <c r="BV13" s="5" t="n">
        <v>0</v>
      </c>
      <c r="BW13" s="5" t="n">
        <v>0</v>
      </c>
      <c r="BX13" s="5" t="n">
        <v>0</v>
      </c>
      <c r="BY13" s="5" t="n">
        <v>0</v>
      </c>
      <c r="BZ13" s="5" t="n">
        <v>0</v>
      </c>
      <c r="CA13" s="5" t="n">
        <v>0</v>
      </c>
      <c r="CB13" s="5" t="n">
        <v>0</v>
      </c>
      <c r="CC13" s="5" t="n">
        <v>0</v>
      </c>
      <c r="CD13" s="5" t="n">
        <v>0</v>
      </c>
      <c r="CE13" s="5" t="n">
        <v>0</v>
      </c>
      <c r="CF13" s="5" t="n">
        <v>0</v>
      </c>
      <c r="CG13" s="5" t="n">
        <v>0</v>
      </c>
      <c r="CH13" s="5" t="n">
        <v>0</v>
      </c>
      <c r="CI13" s="5" t="n">
        <v>0</v>
      </c>
      <c r="CJ13" s="5" t="n">
        <v>0</v>
      </c>
      <c r="CK13" s="5" t="n">
        <v>0</v>
      </c>
      <c r="CL13" s="5" t="n">
        <v>0</v>
      </c>
      <c r="CM13" s="5" t="n">
        <v>0</v>
      </c>
      <c r="CN13" s="5" t="n">
        <v>0</v>
      </c>
      <c r="CO13" s="5" t="n">
        <v>0</v>
      </c>
      <c r="CP13" s="5" t="n">
        <v>0</v>
      </c>
      <c r="CQ13" s="5" t="n">
        <v>0</v>
      </c>
      <c r="CR13" s="5" t="n">
        <v>0</v>
      </c>
      <c r="CS13" s="5" t="n">
        <v>0</v>
      </c>
      <c r="CT13" s="5" t="n">
        <v>0</v>
      </c>
      <c r="CU13" s="5" t="n">
        <v>0</v>
      </c>
      <c r="CV13" s="5" t="n">
        <v>0</v>
      </c>
      <c r="CW13" s="5" t="n">
        <v>0</v>
      </c>
      <c r="CX13" s="5" t="n">
        <v>0</v>
      </c>
      <c r="CY13" s="5" t="n">
        <v>0</v>
      </c>
      <c r="CZ13" s="5" t="n">
        <v>0</v>
      </c>
      <c r="DA13" s="5" t="n">
        <v>0</v>
      </c>
      <c r="DB13" s="5" t="n">
        <v>0</v>
      </c>
      <c r="DC13" s="5" t="n">
        <v>0</v>
      </c>
      <c r="DD13" s="5" t="n">
        <v>0</v>
      </c>
      <c r="DE13" s="5" t="n">
        <v>0</v>
      </c>
      <c r="DF13" s="5" t="n">
        <v>0</v>
      </c>
      <c r="DG13" s="5" t="n">
        <v>0</v>
      </c>
      <c r="DH13" s="5" t="n">
        <v>0</v>
      </c>
      <c r="DI13" s="5" t="n">
        <v>0</v>
      </c>
      <c r="DJ13" s="5" t="n">
        <v>0</v>
      </c>
      <c r="DK13" s="5" t="n">
        <v>0</v>
      </c>
      <c r="DL13" s="5" t="n">
        <v>0</v>
      </c>
      <c r="DM13" s="5" t="n">
        <v>0</v>
      </c>
      <c r="DN13" s="5" t="n">
        <v>0</v>
      </c>
      <c r="DO13" s="5" t="n">
        <v>0</v>
      </c>
      <c r="DP13" s="5" t="n">
        <v>0</v>
      </c>
      <c r="DQ13" s="5" t="n">
        <v>0</v>
      </c>
      <c r="DR13" s="5" t="n">
        <v>0</v>
      </c>
      <c r="DS13" s="5" t="n">
        <v>0</v>
      </c>
      <c r="DT13" s="5" t="n">
        <v>0</v>
      </c>
      <c r="DU13" s="5" t="n">
        <v>0</v>
      </c>
      <c r="DV13" s="5" t="n">
        <v>0</v>
      </c>
      <c r="DW13" s="5" t="n">
        <v>0</v>
      </c>
      <c r="DX13" s="5" t="n">
        <v>0</v>
      </c>
      <c r="DY13" s="5" t="n">
        <v>0</v>
      </c>
      <c r="DZ13" s="5" t="n">
        <v>0</v>
      </c>
      <c r="EA13" s="5" t="n">
        <v>0</v>
      </c>
      <c r="EB13" s="5" t="n">
        <v>0</v>
      </c>
      <c r="EC13" s="5" t="n">
        <v>0</v>
      </c>
      <c r="ED13" s="5" t="n">
        <v>0</v>
      </c>
      <c r="EE13" s="5" t="n">
        <v>0</v>
      </c>
      <c r="EF13" s="5" t="n">
        <v>0</v>
      </c>
      <c r="EG13" s="5" t="n">
        <v>0</v>
      </c>
      <c r="EH13" s="5" t="n">
        <v>0</v>
      </c>
      <c r="EI13" s="5" t="n">
        <v>0</v>
      </c>
      <c r="EJ13" s="5" t="n">
        <v>0</v>
      </c>
      <c r="EK13" s="5" t="n">
        <v>0</v>
      </c>
      <c r="EL13" s="5" t="n">
        <v>0</v>
      </c>
      <c r="EM13" s="5" t="n">
        <v>0</v>
      </c>
      <c r="EN13" s="5" t="n">
        <v>0</v>
      </c>
      <c r="EO13" s="5" t="n">
        <v>0</v>
      </c>
      <c r="EP13" s="5" t="n">
        <v>0</v>
      </c>
      <c r="EQ13" s="5" t="n">
        <v>0</v>
      </c>
      <c r="ER13" s="5" t="n">
        <v>0</v>
      </c>
      <c r="ES13" s="5" t="n">
        <v>0</v>
      </c>
      <c r="ET13" s="5" t="n">
        <v>0</v>
      </c>
      <c r="EU13" s="5" t="n">
        <v>0</v>
      </c>
      <c r="EV13" s="5" t="n">
        <v>0</v>
      </c>
      <c r="EW13" s="5" t="n">
        <v>0</v>
      </c>
      <c r="EX13" s="5" t="n">
        <v>0</v>
      </c>
      <c r="EY13" s="5" t="n">
        <v>0</v>
      </c>
      <c r="EZ13" s="5" t="n">
        <v>0</v>
      </c>
      <c r="FA13" s="5" t="n">
        <v>0</v>
      </c>
      <c r="FB13" s="5" t="n">
        <v>0</v>
      </c>
      <c r="FC13" s="5" t="n">
        <v>0</v>
      </c>
      <c r="FD13" s="5" t="n">
        <v>0</v>
      </c>
      <c r="FE13" s="5" t="n">
        <v>0</v>
      </c>
      <c r="FF13" s="5" t="n">
        <v>0</v>
      </c>
      <c r="FG13" s="5" t="n">
        <v>0</v>
      </c>
      <c r="FH13" s="5" t="n">
        <v>0</v>
      </c>
      <c r="FI13" s="5" t="n">
        <v>0</v>
      </c>
      <c r="FJ13" s="5" t="n">
        <v>0</v>
      </c>
      <c r="FK13" s="5" t="n">
        <v>0</v>
      </c>
      <c r="FL13" s="5" t="n">
        <v>0</v>
      </c>
      <c r="FM13" s="5" t="n">
        <v>0</v>
      </c>
      <c r="FN13" s="5" t="n">
        <v>0</v>
      </c>
      <c r="FO13" s="5" t="n">
        <v>0</v>
      </c>
      <c r="FP13" s="5" t="n">
        <v>0</v>
      </c>
      <c r="FQ13" s="5" t="n">
        <v>0</v>
      </c>
      <c r="FR13" s="5" t="n">
        <v>0</v>
      </c>
      <c r="FS13" s="5" t="n">
        <v>0</v>
      </c>
      <c r="FT13" s="5" t="n">
        <v>0</v>
      </c>
      <c r="FU13" s="5" t="n">
        <v>0</v>
      </c>
      <c r="FV13" s="5" t="n">
        <v>0</v>
      </c>
      <c r="FW13" s="5" t="n">
        <v>0</v>
      </c>
      <c r="FX13" s="5" t="n">
        <v>0</v>
      </c>
      <c r="FY13" s="5" t="n">
        <v>0</v>
      </c>
      <c r="FZ13" s="5" t="n">
        <v>0</v>
      </c>
      <c r="GA13" s="5" t="n">
        <v>0</v>
      </c>
      <c r="GB13" s="5" t="n">
        <v>0</v>
      </c>
      <c r="GC13" s="5" t="n">
        <v>0</v>
      </c>
      <c r="GD13" s="5" t="n">
        <v>0</v>
      </c>
      <c r="GE13" s="5" t="n">
        <v>0</v>
      </c>
      <c r="GF13" s="5" t="n">
        <v>0</v>
      </c>
      <c r="GG13" s="5" t="n">
        <v>0</v>
      </c>
      <c r="GH13" s="5" t="n">
        <v>0</v>
      </c>
      <c r="GI13" s="5" t="n">
        <v>0</v>
      </c>
      <c r="GJ13" s="5" t="n">
        <v>0</v>
      </c>
      <c r="GK13" s="5" t="n">
        <v>0</v>
      </c>
      <c r="GL13" s="5" t="n">
        <v>0</v>
      </c>
      <c r="GM13" s="5" t="n">
        <v>0</v>
      </c>
      <c r="GN13" s="5" t="n">
        <v>0</v>
      </c>
      <c r="GO13" s="5" t="n">
        <v>0</v>
      </c>
      <c r="GP13" s="5" t="n">
        <v>0</v>
      </c>
      <c r="GQ13" s="5" t="n">
        <v>0</v>
      </c>
      <c r="GR13" s="5" t="n">
        <v>0</v>
      </c>
      <c r="GS13" s="5" t="n">
        <v>0</v>
      </c>
      <c r="GT13" s="5" t="n">
        <v>0</v>
      </c>
      <c r="GU13" s="5" t="n">
        <v>0</v>
      </c>
      <c r="GV13" s="5" t="n">
        <v>0</v>
      </c>
      <c r="GW13" s="5" t="n">
        <v>0</v>
      </c>
      <c r="GX13" s="5" t="n">
        <v>0</v>
      </c>
      <c r="GY13" s="5" t="n">
        <v>0</v>
      </c>
      <c r="GZ13" s="5" t="n">
        <v>0</v>
      </c>
      <c r="HA13" s="5" t="n">
        <v>0</v>
      </c>
      <c r="HB13" s="5" t="n">
        <v>0</v>
      </c>
      <c r="HC13" s="5" t="n">
        <v>0</v>
      </c>
      <c r="HD13" s="5" t="n">
        <v>0</v>
      </c>
      <c r="HE13" s="5" t="n">
        <v>0</v>
      </c>
      <c r="HF13" s="5" t="n">
        <v>0</v>
      </c>
      <c r="HG13" s="5" t="n">
        <v>0</v>
      </c>
      <c r="HH13" s="5" t="n">
        <v>0</v>
      </c>
      <c r="HI13" s="5" t="n">
        <v>0</v>
      </c>
      <c r="HJ13" s="5" t="n">
        <v>0</v>
      </c>
      <c r="HK13" s="5" t="n">
        <v>0</v>
      </c>
      <c r="HL13" s="5" t="n">
        <v>0</v>
      </c>
      <c r="HM13" s="5" t="n">
        <v>0</v>
      </c>
      <c r="HN13" s="5" t="n">
        <v>0</v>
      </c>
      <c r="HO13" s="5" t="n">
        <v>0</v>
      </c>
      <c r="HP13" s="5" t="n">
        <v>0</v>
      </c>
      <c r="HQ13" s="5" t="n">
        <v>0</v>
      </c>
      <c r="HR13" s="5" t="n">
        <v>0</v>
      </c>
      <c r="HS13" s="5" t="n">
        <v>0</v>
      </c>
      <c r="HT13" s="5" t="n">
        <v>0</v>
      </c>
      <c r="HU13" s="5" t="n">
        <v>0</v>
      </c>
      <c r="HV13" s="5" t="n">
        <v>0</v>
      </c>
      <c r="HW13" s="5" t="n">
        <v>0</v>
      </c>
      <c r="HX13" s="5" t="n">
        <v>0</v>
      </c>
      <c r="HY13" s="5" t="n">
        <v>0</v>
      </c>
      <c r="HZ13" s="5" t="n">
        <v>0</v>
      </c>
      <c r="IA13" s="5" t="n">
        <v>0</v>
      </c>
      <c r="IB13" s="5" t="n">
        <v>0</v>
      </c>
      <c r="IC13" s="5" t="n">
        <v>0</v>
      </c>
      <c r="ID13" s="5" t="n">
        <v>0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0</v>
      </c>
      <c r="IP13" s="5" t="n">
        <v>0</v>
      </c>
      <c r="IQ13" s="5" t="n">
        <v>0</v>
      </c>
      <c r="IR13" s="5" t="n">
        <v>0</v>
      </c>
      <c r="IS13" s="5" t="n">
        <v>0</v>
      </c>
      <c r="IT13" s="5" t="n">
        <v>0</v>
      </c>
      <c r="IU13" s="5" t="n">
        <v>0</v>
      </c>
      <c r="IV13" s="5" t="n">
        <v>0</v>
      </c>
      <c r="IW13" s="5" t="n">
        <v>0</v>
      </c>
      <c r="IX13" s="5" t="n">
        <v>0</v>
      </c>
      <c r="IY13" s="5" t="n">
        <v>0</v>
      </c>
      <c r="IZ13" s="5" t="n">
        <v>0</v>
      </c>
      <c r="JA13" s="5" t="n">
        <v>0</v>
      </c>
      <c r="JB13" s="5" t="n">
        <v>0</v>
      </c>
      <c r="JC13" s="5" t="n">
        <v>0</v>
      </c>
      <c r="JD13" s="5" t="n">
        <v>0</v>
      </c>
      <c r="JE13" s="5" t="n">
        <v>0</v>
      </c>
      <c r="JF13" s="5" t="n">
        <v>0</v>
      </c>
      <c r="JG13" s="5" t="n">
        <v>0</v>
      </c>
      <c r="JH13" s="5" t="n">
        <v>0</v>
      </c>
      <c r="JI13" s="5" t="n">
        <v>0</v>
      </c>
      <c r="JJ13" s="5" t="n">
        <v>0</v>
      </c>
      <c r="JK13" s="5" t="n">
        <v>0</v>
      </c>
      <c r="JL13" s="5" t="n">
        <v>0</v>
      </c>
      <c r="JM13" s="5" t="n">
        <v>0</v>
      </c>
      <c r="JN13" s="5" t="n">
        <v>0</v>
      </c>
      <c r="JO13" s="5" t="n">
        <v>0</v>
      </c>
      <c r="JP13" s="5" t="n">
        <v>0</v>
      </c>
      <c r="JQ13" s="5" t="n">
        <v>0</v>
      </c>
      <c r="JR13" s="5" t="n">
        <v>0</v>
      </c>
      <c r="JS13" s="5" t="n">
        <v>0</v>
      </c>
      <c r="JT13" s="5" t="n">
        <v>0</v>
      </c>
      <c r="JU13" s="5" t="n">
        <v>0</v>
      </c>
      <c r="JV13" s="5" t="n">
        <v>0</v>
      </c>
      <c r="JW13" s="5" t="n">
        <v>0</v>
      </c>
      <c r="JX13" s="5" t="n">
        <v>0</v>
      </c>
      <c r="JY13" s="5" t="n">
        <v>0</v>
      </c>
      <c r="JZ13" s="5" t="n">
        <v>0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0</v>
      </c>
      <c r="KF13" s="5" t="n">
        <v>0</v>
      </c>
      <c r="KG13" s="5" t="n">
        <v>0</v>
      </c>
      <c r="KH13" s="5" t="n">
        <v>0</v>
      </c>
      <c r="KI13" s="5" t="n">
        <v>0</v>
      </c>
      <c r="KJ13" s="5" t="n">
        <v>0</v>
      </c>
      <c r="KK13" s="5" t="n">
        <v>0</v>
      </c>
      <c r="KL13" s="5" t="n">
        <v>0</v>
      </c>
      <c r="KM13" s="5" t="n">
        <v>0</v>
      </c>
      <c r="KN13" s="5" t="n">
        <v>0</v>
      </c>
      <c r="KO13" s="5" t="n">
        <v>0</v>
      </c>
      <c r="KP13" s="5" t="n">
        <v>0</v>
      </c>
      <c r="KQ13" s="5" t="n">
        <v>0</v>
      </c>
      <c r="KR13" s="5" t="n">
        <v>0</v>
      </c>
      <c r="KS13" s="5" t="n">
        <v>0</v>
      </c>
      <c r="KT13" s="5" t="n">
        <v>0</v>
      </c>
      <c r="KU13" s="5" t="n">
        <v>0</v>
      </c>
      <c r="KV13" s="5" t="n">
        <v>0</v>
      </c>
      <c r="KW13" s="5" t="n">
        <v>0</v>
      </c>
      <c r="KX13" s="5" t="n">
        <v>0</v>
      </c>
      <c r="KY13" s="5" t="n">
        <v>0</v>
      </c>
      <c r="KZ13" s="5" t="n">
        <v>0</v>
      </c>
      <c r="LA13" s="5" t="n">
        <v>0</v>
      </c>
      <c r="LB13" s="5" t="n">
        <v>0</v>
      </c>
      <c r="LC13" s="5" t="n">
        <v>0</v>
      </c>
      <c r="LD13" s="5" t="n">
        <v>0</v>
      </c>
      <c r="LE13" s="5" t="n">
        <v>0</v>
      </c>
      <c r="LF13" s="5" t="n">
        <v>0</v>
      </c>
      <c r="LG13" s="5" t="n">
        <v>0</v>
      </c>
      <c r="LH13" s="5" t="n">
        <v>0</v>
      </c>
      <c r="LI13" s="5" t="n">
        <v>0</v>
      </c>
      <c r="LJ13" s="5" t="n">
        <v>0</v>
      </c>
      <c r="LK13" s="5" t="n">
        <v>0</v>
      </c>
      <c r="LL13" s="5" t="n">
        <v>0</v>
      </c>
      <c r="LM13" s="5" t="n">
        <v>0</v>
      </c>
      <c r="LN13" s="5" t="n">
        <v>0</v>
      </c>
      <c r="LO13" s="5" t="n">
        <v>0</v>
      </c>
      <c r="LP13" s="5" t="n">
        <v>0</v>
      </c>
      <c r="LQ13" s="5" t="n">
        <v>0</v>
      </c>
      <c r="LR13" s="5" t="n">
        <v>0</v>
      </c>
      <c r="LS13" s="5" t="n">
        <v>0</v>
      </c>
      <c r="LT13" s="5" t="n">
        <v>0</v>
      </c>
      <c r="LU13" s="5" t="n">
        <v>0</v>
      </c>
      <c r="LV13" s="5" t="n">
        <v>0</v>
      </c>
      <c r="LW13" s="5" t="n">
        <v>0</v>
      </c>
      <c r="LX13" s="5" t="n">
        <v>0</v>
      </c>
      <c r="LY13" s="5" t="n">
        <v>0</v>
      </c>
      <c r="LZ13" s="5" t="n">
        <v>0</v>
      </c>
      <c r="MA13" s="5" t="n">
        <v>0</v>
      </c>
      <c r="MB13" s="5" t="n">
        <v>0</v>
      </c>
      <c r="MC13" s="5" t="n">
        <v>0</v>
      </c>
      <c r="MD13" s="5" t="n">
        <v>0</v>
      </c>
      <c r="ME13" s="5" t="n">
        <v>0</v>
      </c>
      <c r="MF13" s="5" t="n">
        <v>0</v>
      </c>
      <c r="MG13" s="5" t="n">
        <v>0</v>
      </c>
      <c r="MH13" s="5" t="n">
        <v>0</v>
      </c>
      <c r="MI13" s="5" t="n">
        <v>0</v>
      </c>
      <c r="MJ13" s="5" t="n">
        <v>0</v>
      </c>
      <c r="MK13" s="5" t="n">
        <v>0</v>
      </c>
      <c r="ML13" s="5" t="n">
        <v>0</v>
      </c>
      <c r="MM13" s="5" t="n">
        <v>0</v>
      </c>
      <c r="MN13" s="5" t="n">
        <v>0</v>
      </c>
      <c r="MO13" s="5" t="n">
        <v>0</v>
      </c>
      <c r="MP13" s="5" t="n">
        <v>0</v>
      </c>
      <c r="MQ13" s="5" t="n">
        <v>0</v>
      </c>
      <c r="MR13" s="5" t="n">
        <v>0</v>
      </c>
      <c r="MS13" s="5" t="n">
        <v>0</v>
      </c>
      <c r="MT13" s="5" t="n">
        <v>0</v>
      </c>
      <c r="MU13" s="5" t="n">
        <v>0</v>
      </c>
      <c r="MV13" s="5" t="n">
        <v>0</v>
      </c>
      <c r="MW13" s="5" t="n">
        <v>0</v>
      </c>
      <c r="MX13" s="5" t="n">
        <v>0</v>
      </c>
      <c r="MY13" s="5" t="n">
        <v>0</v>
      </c>
      <c r="MZ13" s="5" t="n">
        <v>0</v>
      </c>
      <c r="NA13" s="5" t="n">
        <v>0</v>
      </c>
      <c r="NB13" s="5" t="n">
        <v>0</v>
      </c>
      <c r="NC13" s="5" t="n">
        <v>0</v>
      </c>
      <c r="ND13" s="5" t="n">
        <v>0</v>
      </c>
      <c r="NE13" s="5" t="n">
        <v>0</v>
      </c>
      <c r="NF13" s="5" t="n">
        <v>0</v>
      </c>
      <c r="NG13" s="5" t="n">
        <v>0</v>
      </c>
      <c r="NH13" s="5" t="n">
        <v>0</v>
      </c>
      <c r="NI13" s="5" t="n">
        <v>0</v>
      </c>
      <c r="NJ13" s="5" t="n">
        <v>0</v>
      </c>
      <c r="NK13" s="5" t="n">
        <v>0</v>
      </c>
      <c r="NL13" s="5" t="n">
        <v>0</v>
      </c>
      <c r="NM13" s="5" t="n">
        <v>0</v>
      </c>
      <c r="NN13" s="5" t="n">
        <v>0</v>
      </c>
      <c r="NO13" s="5" t="n">
        <v>0</v>
      </c>
      <c r="NP13" s="5" t="n">
        <v>0</v>
      </c>
      <c r="NQ13" s="5" t="n">
        <v>0</v>
      </c>
      <c r="NR13" s="5" t="n">
        <v>0</v>
      </c>
      <c r="NS13" s="5" t="n">
        <v>0</v>
      </c>
      <c r="NT13" s="5" t="n">
        <v>0</v>
      </c>
      <c r="NU13" s="5" t="n">
        <v>0</v>
      </c>
      <c r="NV13" s="5" t="n">
        <v>0</v>
      </c>
      <c r="NW13" s="5" t="n">
        <v>0</v>
      </c>
      <c r="NX13" s="5" t="n">
        <v>0</v>
      </c>
      <c r="NY13" s="5" t="n">
        <v>0</v>
      </c>
      <c r="NZ13" s="5" t="n">
        <v>0</v>
      </c>
      <c r="OA13" s="5" t="n">
        <v>0</v>
      </c>
      <c r="OB13" s="5" t="n">
        <v>0</v>
      </c>
      <c r="OC13" s="5" t="n">
        <v>0</v>
      </c>
      <c r="OD13" s="5" t="n">
        <v>0</v>
      </c>
      <c r="OE13" s="5" t="n">
        <v>0</v>
      </c>
      <c r="OF13" s="5" t="n">
        <v>0</v>
      </c>
      <c r="OG13" s="5" t="n">
        <v>0</v>
      </c>
      <c r="OH13" s="5" t="n">
        <v>0</v>
      </c>
      <c r="OI13" s="5" t="n">
        <v>0</v>
      </c>
      <c r="OJ13" s="5" t="n">
        <v>0</v>
      </c>
      <c r="OK13" s="5" t="n">
        <v>0</v>
      </c>
      <c r="OL13" s="5" t="n">
        <v>0</v>
      </c>
      <c r="OM13" s="5" t="n">
        <v>0</v>
      </c>
      <c r="ON13" s="5" t="n">
        <v>0</v>
      </c>
      <c r="OO13" s="5" t="n">
        <v>0</v>
      </c>
      <c r="OP13" s="5" t="n">
        <v>0</v>
      </c>
      <c r="OQ13" s="5" t="n">
        <v>0</v>
      </c>
      <c r="OR13" s="5" t="n">
        <v>0</v>
      </c>
      <c r="OS13" s="5" t="n">
        <v>0</v>
      </c>
      <c r="OT13" s="5" t="n">
        <v>0</v>
      </c>
      <c r="OU13" s="5" t="n">
        <v>0</v>
      </c>
      <c r="OV13" s="5" t="n">
        <v>0</v>
      </c>
      <c r="OW13" s="5" t="n">
        <v>0</v>
      </c>
      <c r="OX13" s="5" t="n">
        <v>0</v>
      </c>
      <c r="OY13" s="5" t="n">
        <v>0</v>
      </c>
      <c r="OZ13" s="5" t="n">
        <v>0</v>
      </c>
      <c r="PA13" s="5" t="n">
        <v>0</v>
      </c>
      <c r="PB13" s="5" t="n">
        <v>0</v>
      </c>
      <c r="PC13" s="5" t="n">
        <v>0</v>
      </c>
      <c r="PD13" s="5" t="n">
        <v>0</v>
      </c>
      <c r="PE13" s="5" t="n">
        <v>0</v>
      </c>
      <c r="PF13" s="5" t="n">
        <v>0</v>
      </c>
      <c r="PG13" s="5" t="n">
        <v>0</v>
      </c>
      <c r="PH13" s="5" t="n">
        <v>0</v>
      </c>
      <c r="PI13" s="5" t="n">
        <v>0</v>
      </c>
      <c r="PJ13" s="5" t="n">
        <v>0</v>
      </c>
      <c r="PK13" s="5" t="n">
        <v>0</v>
      </c>
      <c r="PL13" s="5" t="n">
        <v>0</v>
      </c>
      <c r="PM13" s="5" t="n">
        <v>0</v>
      </c>
      <c r="PN13" s="5" t="n">
        <v>0</v>
      </c>
      <c r="PO13" s="5" t="n">
        <v>0</v>
      </c>
      <c r="PP13" s="5" t="n">
        <v>0</v>
      </c>
      <c r="PQ13" s="5" t="n">
        <v>0</v>
      </c>
      <c r="PR13" s="5" t="n">
        <v>0</v>
      </c>
      <c r="PS13" s="5" t="n">
        <v>0</v>
      </c>
      <c r="PT13" s="5" t="n">
        <v>0</v>
      </c>
      <c r="PU13" s="5" t="n">
        <v>0</v>
      </c>
      <c r="PV13" s="5" t="n">
        <v>0</v>
      </c>
      <c r="PW13" s="5" t="n">
        <v>0</v>
      </c>
      <c r="PX13" s="5" t="n">
        <v>0</v>
      </c>
      <c r="PY13" s="5" t="n">
        <v>0</v>
      </c>
      <c r="PZ13" s="5" t="n">
        <v>0</v>
      </c>
      <c r="QA13" s="5" t="n">
        <v>0</v>
      </c>
      <c r="QB13" s="5" t="n">
        <v>0</v>
      </c>
      <c r="QC13" s="5" t="n">
        <v>0</v>
      </c>
      <c r="QD13" s="5" t="n">
        <v>0</v>
      </c>
      <c r="QE13" s="5" t="n">
        <v>0</v>
      </c>
      <c r="QF13" s="5" t="n">
        <v>0</v>
      </c>
      <c r="QG13" s="5" t="n">
        <v>0</v>
      </c>
      <c r="QH13" s="5" t="n">
        <v>0</v>
      </c>
      <c r="QI13" s="5" t="n">
        <v>0</v>
      </c>
      <c r="QJ13" s="5" t="n">
        <v>0</v>
      </c>
      <c r="QK13" s="5" t="n">
        <v>0</v>
      </c>
      <c r="QL13" s="5" t="n">
        <v>0</v>
      </c>
      <c r="QM13" s="5" t="n">
        <v>0</v>
      </c>
      <c r="QN13" s="5" t="n">
        <v>0</v>
      </c>
      <c r="QO13" s="5" t="n">
        <v>0</v>
      </c>
      <c r="QP13" s="5" t="n">
        <v>0</v>
      </c>
      <c r="QQ13" s="5" t="n">
        <v>0</v>
      </c>
      <c r="QR13" s="5" t="n">
        <v>0</v>
      </c>
      <c r="QS13" s="5" t="n">
        <v>0</v>
      </c>
      <c r="QT13" s="5" t="n">
        <v>0</v>
      </c>
      <c r="QU13" s="5" t="n">
        <v>0</v>
      </c>
      <c r="QV13" s="5" t="n">
        <v>0</v>
      </c>
      <c r="QW13" s="5" t="n">
        <v>0</v>
      </c>
      <c r="QX13" s="5" t="n">
        <v>0</v>
      </c>
      <c r="QY13" s="5" t="n">
        <v>0</v>
      </c>
      <c r="QZ13" s="5" t="n">
        <v>0</v>
      </c>
      <c r="RA13" s="5" t="n">
        <v>0</v>
      </c>
      <c r="RB13" s="5" t="n">
        <v>0</v>
      </c>
      <c r="RC13" s="5" t="n">
        <v>0</v>
      </c>
      <c r="RD13" s="5" t="n">
        <v>0</v>
      </c>
      <c r="RE13" s="5" t="n">
        <v>0</v>
      </c>
      <c r="RF13" s="5" t="n">
        <v>0</v>
      </c>
      <c r="RG13" s="5" t="n">
        <v>0</v>
      </c>
      <c r="RH13" s="5" t="n">
        <v>0</v>
      </c>
      <c r="RI13" s="5" t="n">
        <v>0</v>
      </c>
      <c r="RJ13" s="5" t="n">
        <v>0</v>
      </c>
      <c r="RK13" s="5" t="n">
        <v>0</v>
      </c>
      <c r="RL13" s="5" t="n">
        <v>0</v>
      </c>
      <c r="RM13" s="5" t="n">
        <v>0</v>
      </c>
      <c r="RN13" s="5" t="n">
        <v>0</v>
      </c>
      <c r="RO13" s="5" t="n">
        <v>0</v>
      </c>
      <c r="RP13" s="5" t="n">
        <v>0</v>
      </c>
      <c r="RQ13" s="5" t="n">
        <v>0</v>
      </c>
      <c r="RR13" s="5" t="n">
        <v>0</v>
      </c>
      <c r="RS13" s="5" t="n">
        <v>0</v>
      </c>
      <c r="RT13" s="5" t="n">
        <v>0</v>
      </c>
      <c r="RU13" s="5" t="n">
        <v>0</v>
      </c>
      <c r="RV13" s="5" t="n">
        <v>0</v>
      </c>
      <c r="RW13" s="5" t="n">
        <v>0</v>
      </c>
    </row>
    <row r="14">
      <c r="A14" t="inlineStr">
        <is>
          <t>REV_002.goo_price_DKK_per_MWh</t>
        </is>
      </c>
      <c r="B14" t="inlineStr">
        <is>
          <t>kEUR</t>
        </is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R14" s="5" t="n">
        <v>0</v>
      </c>
      <c r="AS14" s="5" t="n">
        <v>0</v>
      </c>
      <c r="AT14" s="5" t="n">
        <v>0</v>
      </c>
      <c r="AU14" s="5" t="n">
        <v>0</v>
      </c>
      <c r="AV14" s="5" t="n">
        <v>0</v>
      </c>
      <c r="AW14" s="5" t="n">
        <v>0</v>
      </c>
      <c r="AX14" s="5" t="n">
        <v>0</v>
      </c>
      <c r="AY14" s="5" t="n">
        <v>0</v>
      </c>
      <c r="AZ14" s="5" t="n">
        <v>0</v>
      </c>
      <c r="BA14" s="5" t="n">
        <v>0</v>
      </c>
      <c r="BB14" s="5" t="n">
        <v>0</v>
      </c>
      <c r="BC14" s="5" t="n">
        <v>0</v>
      </c>
      <c r="BD14" s="5" t="n">
        <v>0</v>
      </c>
      <c r="BE14" s="5" t="n">
        <v>0</v>
      </c>
      <c r="BF14" s="5" t="n">
        <v>0</v>
      </c>
      <c r="BG14" s="5" t="n">
        <v>0</v>
      </c>
      <c r="BH14" s="5" t="n">
        <v>0</v>
      </c>
      <c r="BI14" s="5" t="n">
        <v>0</v>
      </c>
      <c r="BJ14" s="5" t="n">
        <v>0</v>
      </c>
      <c r="BK14" s="5" t="n">
        <v>0</v>
      </c>
      <c r="BL14" s="5" t="n">
        <v>0</v>
      </c>
      <c r="BM14" s="5" t="n">
        <v>0</v>
      </c>
      <c r="BN14" s="5" t="n">
        <v>0</v>
      </c>
      <c r="BO14" s="5" t="n">
        <v>0</v>
      </c>
      <c r="BP14" s="5" t="n">
        <v>0</v>
      </c>
      <c r="BQ14" s="5" t="n">
        <v>0</v>
      </c>
      <c r="BR14" s="5" t="n">
        <v>0</v>
      </c>
      <c r="BS14" s="5" t="n">
        <v>0</v>
      </c>
      <c r="BT14" s="5" t="n">
        <v>0</v>
      </c>
      <c r="BU14" s="5" t="n">
        <v>0</v>
      </c>
      <c r="BV14" s="5" t="n">
        <v>0</v>
      </c>
      <c r="BW14" s="5" t="n">
        <v>0</v>
      </c>
      <c r="BX14" s="5" t="n">
        <v>0</v>
      </c>
      <c r="BY14" s="5" t="n">
        <v>0</v>
      </c>
      <c r="BZ14" s="5" t="n">
        <v>0</v>
      </c>
      <c r="CA14" s="5" t="n">
        <v>0</v>
      </c>
      <c r="CB14" s="5" t="n">
        <v>0</v>
      </c>
      <c r="CC14" s="5" t="n">
        <v>0</v>
      </c>
      <c r="CD14" s="5" t="n">
        <v>0</v>
      </c>
      <c r="CE14" s="5" t="n">
        <v>0</v>
      </c>
      <c r="CF14" s="5" t="n">
        <v>0</v>
      </c>
      <c r="CG14" s="5" t="n">
        <v>0</v>
      </c>
      <c r="CH14" s="5" t="n">
        <v>0</v>
      </c>
      <c r="CI14" s="5" t="n">
        <v>0</v>
      </c>
      <c r="CJ14" s="5" t="n">
        <v>0</v>
      </c>
      <c r="CK14" s="5" t="n">
        <v>0</v>
      </c>
      <c r="CL14" s="5" t="n">
        <v>0</v>
      </c>
      <c r="CM14" s="5" t="n">
        <v>0</v>
      </c>
      <c r="CN14" s="5" t="n">
        <v>0</v>
      </c>
      <c r="CO14" s="5" t="n">
        <v>0</v>
      </c>
      <c r="CP14" s="5" t="n">
        <v>0</v>
      </c>
      <c r="CQ14" s="5" t="n">
        <v>0</v>
      </c>
      <c r="CR14" s="5" t="n">
        <v>0</v>
      </c>
      <c r="CS14" s="5" t="n">
        <v>0</v>
      </c>
      <c r="CT14" s="5" t="n">
        <v>0</v>
      </c>
      <c r="CU14" s="5" t="n">
        <v>0</v>
      </c>
      <c r="CV14" s="5" t="n">
        <v>0</v>
      </c>
      <c r="CW14" s="5" t="n">
        <v>0</v>
      </c>
      <c r="CX14" s="5" t="n">
        <v>0</v>
      </c>
      <c r="CY14" s="5" t="n">
        <v>0</v>
      </c>
      <c r="CZ14" s="5" t="n">
        <v>0</v>
      </c>
      <c r="DA14" s="5" t="n">
        <v>0</v>
      </c>
      <c r="DB14" s="5" t="n">
        <v>0</v>
      </c>
      <c r="DC14" s="5" t="n">
        <v>0</v>
      </c>
      <c r="DD14" s="5" t="n">
        <v>0</v>
      </c>
      <c r="DE14" s="5" t="n">
        <v>0</v>
      </c>
      <c r="DF14" s="5" t="n">
        <v>0</v>
      </c>
      <c r="DG14" s="5" t="n">
        <v>0</v>
      </c>
      <c r="DH14" s="5" t="n">
        <v>0</v>
      </c>
      <c r="DI14" s="5" t="n">
        <v>0</v>
      </c>
      <c r="DJ14" s="5" t="n">
        <v>0</v>
      </c>
      <c r="DK14" s="5" t="n">
        <v>0</v>
      </c>
      <c r="DL14" s="5" t="n">
        <v>0</v>
      </c>
      <c r="DM14" s="5" t="n">
        <v>0</v>
      </c>
      <c r="DN14" s="5" t="n">
        <v>0</v>
      </c>
      <c r="DO14" s="5" t="n">
        <v>0</v>
      </c>
      <c r="DP14" s="5" t="n">
        <v>0</v>
      </c>
      <c r="DQ14" s="5" t="n">
        <v>0</v>
      </c>
      <c r="DR14" s="5" t="n">
        <v>0</v>
      </c>
      <c r="DS14" s="5" t="n">
        <v>0</v>
      </c>
      <c r="DT14" s="5" t="n">
        <v>0</v>
      </c>
      <c r="DU14" s="5" t="n">
        <v>0</v>
      </c>
      <c r="DV14" s="5" t="n">
        <v>0</v>
      </c>
      <c r="DW14" s="5" t="n">
        <v>0</v>
      </c>
      <c r="DX14" s="5" t="n">
        <v>0</v>
      </c>
      <c r="DY14" s="5" t="n">
        <v>0</v>
      </c>
      <c r="DZ14" s="5" t="n">
        <v>0</v>
      </c>
      <c r="EA14" s="5" t="n">
        <v>0</v>
      </c>
      <c r="EB14" s="5" t="n">
        <v>0</v>
      </c>
      <c r="EC14" s="5" t="n">
        <v>0</v>
      </c>
      <c r="ED14" s="5" t="n">
        <v>0</v>
      </c>
      <c r="EE14" s="5" t="n">
        <v>0</v>
      </c>
      <c r="EF14" s="5" t="n">
        <v>0</v>
      </c>
      <c r="EG14" s="5" t="n">
        <v>0</v>
      </c>
      <c r="EH14" s="5" t="n">
        <v>0</v>
      </c>
      <c r="EI14" s="5" t="n">
        <v>0</v>
      </c>
      <c r="EJ14" s="5" t="n">
        <v>0</v>
      </c>
      <c r="EK14" s="5" t="n">
        <v>0</v>
      </c>
      <c r="EL14" s="5" t="n">
        <v>0</v>
      </c>
      <c r="EM14" s="5" t="n">
        <v>0</v>
      </c>
      <c r="EN14" s="5" t="n">
        <v>0</v>
      </c>
      <c r="EO14" s="5" t="n">
        <v>0</v>
      </c>
      <c r="EP14" s="5" t="n">
        <v>0</v>
      </c>
      <c r="EQ14" s="5" t="n">
        <v>0</v>
      </c>
      <c r="ER14" s="5" t="n">
        <v>0</v>
      </c>
      <c r="ES14" s="5" t="n">
        <v>0</v>
      </c>
      <c r="ET14" s="5" t="n">
        <v>0</v>
      </c>
      <c r="EU14" s="5" t="n">
        <v>0</v>
      </c>
      <c r="EV14" s="5" t="n">
        <v>0</v>
      </c>
      <c r="EW14" s="5" t="n">
        <v>0</v>
      </c>
      <c r="EX14" s="5" t="n">
        <v>0</v>
      </c>
      <c r="EY14" s="5" t="n">
        <v>0</v>
      </c>
      <c r="EZ14" s="5" t="n">
        <v>0</v>
      </c>
      <c r="FA14" s="5" t="n">
        <v>0</v>
      </c>
      <c r="FB14" s="5" t="n">
        <v>0</v>
      </c>
      <c r="FC14" s="5" t="n">
        <v>0</v>
      </c>
      <c r="FD14" s="5" t="n">
        <v>0</v>
      </c>
      <c r="FE14" s="5" t="n">
        <v>0</v>
      </c>
      <c r="FF14" s="5" t="n">
        <v>0</v>
      </c>
      <c r="FG14" s="5" t="n">
        <v>0</v>
      </c>
      <c r="FH14" s="5" t="n">
        <v>0</v>
      </c>
      <c r="FI14" s="5" t="n">
        <v>0</v>
      </c>
      <c r="FJ14" s="5" t="n">
        <v>0</v>
      </c>
      <c r="FK14" s="5" t="n">
        <v>0</v>
      </c>
      <c r="FL14" s="5" t="n">
        <v>0</v>
      </c>
      <c r="FM14" s="5" t="n">
        <v>0</v>
      </c>
      <c r="FN14" s="5" t="n">
        <v>0</v>
      </c>
      <c r="FO14" s="5" t="n">
        <v>0</v>
      </c>
      <c r="FP14" s="5" t="n">
        <v>0</v>
      </c>
      <c r="FQ14" s="5" t="n">
        <v>0</v>
      </c>
      <c r="FR14" s="5" t="n">
        <v>0</v>
      </c>
      <c r="FS14" s="5" t="n">
        <v>0</v>
      </c>
      <c r="FT14" s="5" t="n">
        <v>0</v>
      </c>
      <c r="FU14" s="5" t="n">
        <v>0</v>
      </c>
      <c r="FV14" s="5" t="n">
        <v>0</v>
      </c>
      <c r="FW14" s="5" t="n">
        <v>0</v>
      </c>
      <c r="FX14" s="5" t="n">
        <v>0</v>
      </c>
      <c r="FY14" s="5" t="n">
        <v>0</v>
      </c>
      <c r="FZ14" s="5" t="n">
        <v>0</v>
      </c>
      <c r="GA14" s="5" t="n">
        <v>0</v>
      </c>
      <c r="GB14" s="5" t="n">
        <v>0</v>
      </c>
      <c r="GC14" s="5" t="n">
        <v>0</v>
      </c>
      <c r="GD14" s="5" t="n">
        <v>0</v>
      </c>
      <c r="GE14" s="5" t="n">
        <v>0</v>
      </c>
      <c r="GF14" s="5" t="n">
        <v>0</v>
      </c>
      <c r="GG14" s="5" t="n">
        <v>0</v>
      </c>
      <c r="GH14" s="5" t="n">
        <v>0</v>
      </c>
      <c r="GI14" s="5" t="n">
        <v>0</v>
      </c>
      <c r="GJ14" s="5" t="n">
        <v>0</v>
      </c>
      <c r="GK14" s="5" t="n">
        <v>0</v>
      </c>
      <c r="GL14" s="5" t="n">
        <v>0</v>
      </c>
      <c r="GM14" s="5" t="n">
        <v>0</v>
      </c>
      <c r="GN14" s="5" t="n">
        <v>0</v>
      </c>
      <c r="GO14" s="5" t="n">
        <v>0</v>
      </c>
      <c r="GP14" s="5" t="n">
        <v>0</v>
      </c>
      <c r="GQ14" s="5" t="n">
        <v>0</v>
      </c>
      <c r="GR14" s="5" t="n">
        <v>0</v>
      </c>
      <c r="GS14" s="5" t="n">
        <v>0</v>
      </c>
      <c r="GT14" s="5" t="n">
        <v>0</v>
      </c>
      <c r="GU14" s="5" t="n">
        <v>0</v>
      </c>
      <c r="GV14" s="5" t="n">
        <v>0</v>
      </c>
      <c r="GW14" s="5" t="n">
        <v>0</v>
      </c>
      <c r="GX14" s="5" t="n">
        <v>0</v>
      </c>
      <c r="GY14" s="5" t="n">
        <v>0</v>
      </c>
      <c r="GZ14" s="5" t="n">
        <v>0</v>
      </c>
      <c r="HA14" s="5" t="n">
        <v>0</v>
      </c>
      <c r="HB14" s="5" t="n">
        <v>0</v>
      </c>
      <c r="HC14" s="5" t="n">
        <v>0</v>
      </c>
      <c r="HD14" s="5" t="n">
        <v>0</v>
      </c>
      <c r="HE14" s="5" t="n">
        <v>0</v>
      </c>
      <c r="HF14" s="5" t="n">
        <v>0</v>
      </c>
      <c r="HG14" s="5" t="n">
        <v>0</v>
      </c>
      <c r="HH14" s="5" t="n">
        <v>0</v>
      </c>
      <c r="HI14" s="5" t="n">
        <v>0</v>
      </c>
      <c r="HJ14" s="5" t="n">
        <v>0</v>
      </c>
      <c r="HK14" s="5" t="n">
        <v>0</v>
      </c>
      <c r="HL14" s="5" t="n">
        <v>0</v>
      </c>
      <c r="HM14" s="5" t="n">
        <v>0</v>
      </c>
      <c r="HN14" s="5" t="n">
        <v>0</v>
      </c>
      <c r="HO14" s="5" t="n">
        <v>0</v>
      </c>
      <c r="HP14" s="5" t="n">
        <v>0</v>
      </c>
      <c r="HQ14" s="5" t="n">
        <v>0</v>
      </c>
      <c r="HR14" s="5" t="n">
        <v>0</v>
      </c>
      <c r="HS14" s="5" t="n">
        <v>0</v>
      </c>
      <c r="HT14" s="5" t="n">
        <v>0</v>
      </c>
      <c r="HU14" s="5" t="n">
        <v>0</v>
      </c>
      <c r="HV14" s="5" t="n">
        <v>0</v>
      </c>
      <c r="HW14" s="5" t="n">
        <v>0</v>
      </c>
      <c r="HX14" s="5" t="n">
        <v>0</v>
      </c>
      <c r="HY14" s="5" t="n">
        <v>0</v>
      </c>
      <c r="HZ14" s="5" t="n">
        <v>0</v>
      </c>
      <c r="IA14" s="5" t="n">
        <v>0</v>
      </c>
      <c r="IB14" s="5" t="n">
        <v>0</v>
      </c>
      <c r="IC14" s="5" t="n">
        <v>0</v>
      </c>
      <c r="ID14" s="5" t="n">
        <v>0</v>
      </c>
      <c r="IE14" s="5" t="n">
        <v>0</v>
      </c>
      <c r="IF14" s="5" t="n">
        <v>0</v>
      </c>
      <c r="IG14" s="5" t="n">
        <v>0</v>
      </c>
      <c r="IH14" s="5" t="n">
        <v>0</v>
      </c>
      <c r="II14" s="5" t="n">
        <v>0</v>
      </c>
      <c r="IJ14" s="5" t="n">
        <v>0</v>
      </c>
      <c r="IK14" s="5" t="n">
        <v>0</v>
      </c>
      <c r="IL14" s="5" t="n">
        <v>0</v>
      </c>
      <c r="IM14" s="5" t="n">
        <v>0</v>
      </c>
      <c r="IN14" s="5" t="n">
        <v>0</v>
      </c>
      <c r="IO14" s="5" t="n">
        <v>0</v>
      </c>
      <c r="IP14" s="5" t="n">
        <v>0</v>
      </c>
      <c r="IQ14" s="5" t="n">
        <v>0</v>
      </c>
      <c r="IR14" s="5" t="n">
        <v>0</v>
      </c>
      <c r="IS14" s="5" t="n">
        <v>0</v>
      </c>
      <c r="IT14" s="5" t="n">
        <v>0</v>
      </c>
      <c r="IU14" s="5" t="n">
        <v>0</v>
      </c>
      <c r="IV14" s="5" t="n">
        <v>0</v>
      </c>
      <c r="IW14" s="5" t="n">
        <v>0</v>
      </c>
      <c r="IX14" s="5" t="n">
        <v>0</v>
      </c>
      <c r="IY14" s="5" t="n">
        <v>0</v>
      </c>
      <c r="IZ14" s="5" t="n">
        <v>0</v>
      </c>
      <c r="JA14" s="5" t="n">
        <v>0</v>
      </c>
      <c r="JB14" s="5" t="n">
        <v>0</v>
      </c>
      <c r="JC14" s="5" t="n">
        <v>0</v>
      </c>
      <c r="JD14" s="5" t="n">
        <v>0</v>
      </c>
      <c r="JE14" s="5" t="n">
        <v>0</v>
      </c>
      <c r="JF14" s="5" t="n">
        <v>0</v>
      </c>
      <c r="JG14" s="5" t="n">
        <v>0</v>
      </c>
      <c r="JH14" s="5" t="n">
        <v>0</v>
      </c>
      <c r="JI14" s="5" t="n">
        <v>0</v>
      </c>
      <c r="JJ14" s="5" t="n">
        <v>0</v>
      </c>
      <c r="JK14" s="5" t="n">
        <v>0</v>
      </c>
      <c r="JL14" s="5" t="n">
        <v>0</v>
      </c>
      <c r="JM14" s="5" t="n">
        <v>0</v>
      </c>
      <c r="JN14" s="5" t="n">
        <v>0</v>
      </c>
      <c r="JO14" s="5" t="n">
        <v>0</v>
      </c>
      <c r="JP14" s="5" t="n">
        <v>0</v>
      </c>
      <c r="JQ14" s="5" t="n">
        <v>0</v>
      </c>
      <c r="JR14" s="5" t="n">
        <v>0</v>
      </c>
      <c r="JS14" s="5" t="n">
        <v>0</v>
      </c>
      <c r="JT14" s="5" t="n">
        <v>0</v>
      </c>
      <c r="JU14" s="5" t="n">
        <v>0</v>
      </c>
      <c r="JV14" s="5" t="n">
        <v>0</v>
      </c>
      <c r="JW14" s="5" t="n">
        <v>0</v>
      </c>
      <c r="JX14" s="5" t="n">
        <v>0</v>
      </c>
      <c r="JY14" s="5" t="n">
        <v>0</v>
      </c>
      <c r="JZ14" s="5" t="n">
        <v>0</v>
      </c>
      <c r="KA14" s="5" t="n">
        <v>0</v>
      </c>
      <c r="KB14" s="5" t="n">
        <v>0</v>
      </c>
      <c r="KC14" s="5" t="n">
        <v>0</v>
      </c>
      <c r="KD14" s="5" t="n">
        <v>0</v>
      </c>
      <c r="KE14" s="5" t="n">
        <v>0</v>
      </c>
      <c r="KF14" s="5" t="n">
        <v>0</v>
      </c>
      <c r="KG14" s="5" t="n">
        <v>0</v>
      </c>
      <c r="KH14" s="5" t="n">
        <v>0</v>
      </c>
      <c r="KI14" s="5" t="n">
        <v>0</v>
      </c>
      <c r="KJ14" s="5" t="n">
        <v>0</v>
      </c>
      <c r="KK14" s="5" t="n">
        <v>0</v>
      </c>
      <c r="KL14" s="5" t="n">
        <v>0</v>
      </c>
      <c r="KM14" s="5" t="n">
        <v>0</v>
      </c>
      <c r="KN14" s="5" t="n">
        <v>0</v>
      </c>
      <c r="KO14" s="5" t="n">
        <v>0</v>
      </c>
      <c r="KP14" s="5" t="n">
        <v>0</v>
      </c>
      <c r="KQ14" s="5" t="n">
        <v>0</v>
      </c>
      <c r="KR14" s="5" t="n">
        <v>0</v>
      </c>
      <c r="KS14" s="5" t="n">
        <v>0</v>
      </c>
      <c r="KT14" s="5" t="n">
        <v>0</v>
      </c>
      <c r="KU14" s="5" t="n">
        <v>0</v>
      </c>
      <c r="KV14" s="5" t="n">
        <v>0</v>
      </c>
      <c r="KW14" s="5" t="n">
        <v>0</v>
      </c>
      <c r="KX14" s="5" t="n">
        <v>0</v>
      </c>
      <c r="KY14" s="5" t="n">
        <v>0</v>
      </c>
      <c r="KZ14" s="5" t="n">
        <v>0</v>
      </c>
      <c r="LA14" s="5" t="n">
        <v>0</v>
      </c>
      <c r="LB14" s="5" t="n">
        <v>0</v>
      </c>
      <c r="LC14" s="5" t="n">
        <v>0</v>
      </c>
      <c r="LD14" s="5" t="n">
        <v>0</v>
      </c>
      <c r="LE14" s="5" t="n">
        <v>0</v>
      </c>
      <c r="LF14" s="5" t="n">
        <v>0</v>
      </c>
      <c r="LG14" s="5" t="n">
        <v>0</v>
      </c>
      <c r="LH14" s="5" t="n">
        <v>0</v>
      </c>
      <c r="LI14" s="5" t="n">
        <v>0</v>
      </c>
      <c r="LJ14" s="5" t="n">
        <v>0</v>
      </c>
      <c r="LK14" s="5" t="n">
        <v>0</v>
      </c>
      <c r="LL14" s="5" t="n">
        <v>0</v>
      </c>
      <c r="LM14" s="5" t="n">
        <v>0</v>
      </c>
      <c r="LN14" s="5" t="n">
        <v>0</v>
      </c>
      <c r="LO14" s="5" t="n">
        <v>0</v>
      </c>
      <c r="LP14" s="5" t="n">
        <v>0</v>
      </c>
      <c r="LQ14" s="5" t="n">
        <v>0</v>
      </c>
      <c r="LR14" s="5" t="n">
        <v>0</v>
      </c>
      <c r="LS14" s="5" t="n">
        <v>0</v>
      </c>
      <c r="LT14" s="5" t="n">
        <v>0</v>
      </c>
      <c r="LU14" s="5" t="n">
        <v>0</v>
      </c>
      <c r="LV14" s="5" t="n">
        <v>0</v>
      </c>
      <c r="LW14" s="5" t="n">
        <v>0</v>
      </c>
      <c r="LX14" s="5" t="n">
        <v>0</v>
      </c>
      <c r="LY14" s="5" t="n">
        <v>0</v>
      </c>
      <c r="LZ14" s="5" t="n">
        <v>0</v>
      </c>
      <c r="MA14" s="5" t="n">
        <v>0</v>
      </c>
      <c r="MB14" s="5" t="n">
        <v>0</v>
      </c>
      <c r="MC14" s="5" t="n">
        <v>0</v>
      </c>
      <c r="MD14" s="5" t="n">
        <v>0</v>
      </c>
      <c r="ME14" s="5" t="n">
        <v>0</v>
      </c>
      <c r="MF14" s="5" t="n">
        <v>0</v>
      </c>
      <c r="MG14" s="5" t="n">
        <v>0</v>
      </c>
      <c r="MH14" s="5" t="n">
        <v>0</v>
      </c>
      <c r="MI14" s="5" t="n">
        <v>0</v>
      </c>
      <c r="MJ14" s="5" t="n">
        <v>0</v>
      </c>
      <c r="MK14" s="5" t="n">
        <v>0</v>
      </c>
      <c r="ML14" s="5" t="n">
        <v>0</v>
      </c>
      <c r="MM14" s="5" t="n">
        <v>0</v>
      </c>
      <c r="MN14" s="5" t="n">
        <v>0</v>
      </c>
      <c r="MO14" s="5" t="n">
        <v>0</v>
      </c>
      <c r="MP14" s="5" t="n">
        <v>0</v>
      </c>
      <c r="MQ14" s="5" t="n">
        <v>0</v>
      </c>
      <c r="MR14" s="5" t="n">
        <v>0</v>
      </c>
      <c r="MS14" s="5" t="n">
        <v>0</v>
      </c>
      <c r="MT14" s="5" t="n">
        <v>0</v>
      </c>
      <c r="MU14" s="5" t="n">
        <v>0</v>
      </c>
      <c r="MV14" s="5" t="n">
        <v>0</v>
      </c>
      <c r="MW14" s="5" t="n">
        <v>0</v>
      </c>
      <c r="MX14" s="5" t="n">
        <v>0</v>
      </c>
      <c r="MY14" s="5" t="n">
        <v>0</v>
      </c>
      <c r="MZ14" s="5" t="n">
        <v>0</v>
      </c>
      <c r="NA14" s="5" t="n">
        <v>0</v>
      </c>
      <c r="NB14" s="5" t="n">
        <v>0</v>
      </c>
      <c r="NC14" s="5" t="n">
        <v>0</v>
      </c>
      <c r="ND14" s="5" t="n">
        <v>0</v>
      </c>
      <c r="NE14" s="5" t="n">
        <v>0</v>
      </c>
      <c r="NF14" s="5" t="n">
        <v>0</v>
      </c>
      <c r="NG14" s="5" t="n">
        <v>0</v>
      </c>
      <c r="NH14" s="5" t="n">
        <v>0</v>
      </c>
      <c r="NI14" s="5" t="n">
        <v>0</v>
      </c>
      <c r="NJ14" s="5" t="n">
        <v>0</v>
      </c>
      <c r="NK14" s="5" t="n">
        <v>0</v>
      </c>
      <c r="NL14" s="5" t="n">
        <v>0</v>
      </c>
      <c r="NM14" s="5" t="n">
        <v>0</v>
      </c>
      <c r="NN14" s="5" t="n">
        <v>0</v>
      </c>
      <c r="NO14" s="5" t="n">
        <v>0</v>
      </c>
      <c r="NP14" s="5" t="n">
        <v>0</v>
      </c>
      <c r="NQ14" s="5" t="n">
        <v>0</v>
      </c>
      <c r="NR14" s="5" t="n">
        <v>0</v>
      </c>
      <c r="NS14" s="5" t="n">
        <v>0</v>
      </c>
      <c r="NT14" s="5" t="n">
        <v>0</v>
      </c>
      <c r="NU14" s="5" t="n">
        <v>0</v>
      </c>
      <c r="NV14" s="5" t="n">
        <v>0</v>
      </c>
      <c r="NW14" s="5" t="n">
        <v>0</v>
      </c>
      <c r="NX14" s="5" t="n">
        <v>0</v>
      </c>
      <c r="NY14" s="5" t="n">
        <v>0</v>
      </c>
      <c r="NZ14" s="5" t="n">
        <v>0</v>
      </c>
      <c r="OA14" s="5" t="n">
        <v>0</v>
      </c>
      <c r="OB14" s="5" t="n">
        <v>0</v>
      </c>
      <c r="OC14" s="5" t="n">
        <v>0</v>
      </c>
      <c r="OD14" s="5" t="n">
        <v>0</v>
      </c>
      <c r="OE14" s="5" t="n">
        <v>0</v>
      </c>
      <c r="OF14" s="5" t="n">
        <v>0</v>
      </c>
      <c r="OG14" s="5" t="n">
        <v>0</v>
      </c>
      <c r="OH14" s="5" t="n">
        <v>0</v>
      </c>
      <c r="OI14" s="5" t="n">
        <v>0</v>
      </c>
      <c r="OJ14" s="5" t="n">
        <v>0</v>
      </c>
      <c r="OK14" s="5" t="n">
        <v>0</v>
      </c>
      <c r="OL14" s="5" t="n">
        <v>0</v>
      </c>
      <c r="OM14" s="5" t="n">
        <v>0</v>
      </c>
      <c r="ON14" s="5" t="n">
        <v>0</v>
      </c>
      <c r="OO14" s="5" t="n">
        <v>0</v>
      </c>
      <c r="OP14" s="5" t="n">
        <v>0</v>
      </c>
      <c r="OQ14" s="5" t="n">
        <v>0</v>
      </c>
      <c r="OR14" s="5" t="n">
        <v>0</v>
      </c>
      <c r="OS14" s="5" t="n">
        <v>0</v>
      </c>
      <c r="OT14" s="5" t="n">
        <v>0</v>
      </c>
      <c r="OU14" s="5" t="n">
        <v>0</v>
      </c>
      <c r="OV14" s="5" t="n">
        <v>0</v>
      </c>
      <c r="OW14" s="5" t="n">
        <v>0</v>
      </c>
      <c r="OX14" s="5" t="n">
        <v>0</v>
      </c>
      <c r="OY14" s="5" t="n">
        <v>0</v>
      </c>
      <c r="OZ14" s="5" t="n">
        <v>0</v>
      </c>
      <c r="PA14" s="5" t="n">
        <v>0</v>
      </c>
      <c r="PB14" s="5" t="n">
        <v>0</v>
      </c>
      <c r="PC14" s="5" t="n">
        <v>0</v>
      </c>
      <c r="PD14" s="5" t="n">
        <v>0</v>
      </c>
      <c r="PE14" s="5" t="n">
        <v>0</v>
      </c>
      <c r="PF14" s="5" t="n">
        <v>0</v>
      </c>
      <c r="PG14" s="5" t="n">
        <v>0</v>
      </c>
      <c r="PH14" s="5" t="n">
        <v>0</v>
      </c>
      <c r="PI14" s="5" t="n">
        <v>0</v>
      </c>
      <c r="PJ14" s="5" t="n">
        <v>0</v>
      </c>
      <c r="PK14" s="5" t="n">
        <v>0</v>
      </c>
      <c r="PL14" s="5" t="n">
        <v>0</v>
      </c>
      <c r="PM14" s="5" t="n">
        <v>0</v>
      </c>
      <c r="PN14" s="5" t="n">
        <v>0</v>
      </c>
      <c r="PO14" s="5" t="n">
        <v>0</v>
      </c>
      <c r="PP14" s="5" t="n">
        <v>0</v>
      </c>
      <c r="PQ14" s="5" t="n">
        <v>0</v>
      </c>
      <c r="PR14" s="5" t="n">
        <v>0</v>
      </c>
      <c r="PS14" s="5" t="n">
        <v>0</v>
      </c>
      <c r="PT14" s="5" t="n">
        <v>0</v>
      </c>
      <c r="PU14" s="5" t="n">
        <v>0</v>
      </c>
      <c r="PV14" s="5" t="n">
        <v>0</v>
      </c>
      <c r="PW14" s="5" t="n">
        <v>0</v>
      </c>
      <c r="PX14" s="5" t="n">
        <v>0</v>
      </c>
      <c r="PY14" s="5" t="n">
        <v>0</v>
      </c>
      <c r="PZ14" s="5" t="n">
        <v>0</v>
      </c>
      <c r="QA14" s="5" t="n">
        <v>0</v>
      </c>
      <c r="QB14" s="5" t="n">
        <v>0</v>
      </c>
      <c r="QC14" s="5" t="n">
        <v>0</v>
      </c>
      <c r="QD14" s="5" t="n">
        <v>0</v>
      </c>
      <c r="QE14" s="5" t="n">
        <v>0</v>
      </c>
      <c r="QF14" s="5" t="n">
        <v>0</v>
      </c>
      <c r="QG14" s="5" t="n">
        <v>0</v>
      </c>
      <c r="QH14" s="5" t="n">
        <v>0</v>
      </c>
      <c r="QI14" s="5" t="n">
        <v>0</v>
      </c>
      <c r="QJ14" s="5" t="n">
        <v>0</v>
      </c>
      <c r="QK14" s="5" t="n">
        <v>0</v>
      </c>
      <c r="QL14" s="5" t="n">
        <v>0</v>
      </c>
      <c r="QM14" s="5" t="n">
        <v>0</v>
      </c>
      <c r="QN14" s="5" t="n">
        <v>0</v>
      </c>
      <c r="QO14" s="5" t="n">
        <v>0</v>
      </c>
      <c r="QP14" s="5" t="n">
        <v>0</v>
      </c>
      <c r="QQ14" s="5" t="n">
        <v>0</v>
      </c>
      <c r="QR14" s="5" t="n">
        <v>0</v>
      </c>
      <c r="QS14" s="5" t="n">
        <v>0</v>
      </c>
      <c r="QT14" s="5" t="n">
        <v>0</v>
      </c>
      <c r="QU14" s="5" t="n">
        <v>0</v>
      </c>
      <c r="QV14" s="5" t="n">
        <v>0</v>
      </c>
      <c r="QW14" s="5" t="n">
        <v>0</v>
      </c>
      <c r="QX14" s="5" t="n">
        <v>0</v>
      </c>
      <c r="QY14" s="5" t="n">
        <v>0</v>
      </c>
      <c r="QZ14" s="5" t="n">
        <v>0</v>
      </c>
      <c r="RA14" s="5" t="n">
        <v>0</v>
      </c>
      <c r="RB14" s="5" t="n">
        <v>0</v>
      </c>
      <c r="RC14" s="5" t="n">
        <v>0</v>
      </c>
      <c r="RD14" s="5" t="n">
        <v>0</v>
      </c>
      <c r="RE14" s="5" t="n">
        <v>0</v>
      </c>
      <c r="RF14" s="5" t="n">
        <v>0</v>
      </c>
      <c r="RG14" s="5" t="n">
        <v>0</v>
      </c>
      <c r="RH14" s="5" t="n">
        <v>0</v>
      </c>
      <c r="RI14" s="5" t="n">
        <v>0</v>
      </c>
      <c r="RJ14" s="5" t="n">
        <v>0</v>
      </c>
      <c r="RK14" s="5" t="n">
        <v>0</v>
      </c>
      <c r="RL14" s="5" t="n">
        <v>0</v>
      </c>
      <c r="RM14" s="5" t="n">
        <v>0</v>
      </c>
      <c r="RN14" s="5" t="n">
        <v>0</v>
      </c>
      <c r="RO14" s="5" t="n">
        <v>0</v>
      </c>
      <c r="RP14" s="5" t="n">
        <v>0</v>
      </c>
      <c r="RQ14" s="5" t="n">
        <v>0</v>
      </c>
      <c r="RR14" s="5" t="n">
        <v>0</v>
      </c>
      <c r="RS14" s="5" t="n">
        <v>0</v>
      </c>
      <c r="RT14" s="5" t="n">
        <v>0</v>
      </c>
      <c r="RU14" s="5" t="n">
        <v>0</v>
      </c>
      <c r="RV14" s="5" t="n">
        <v>0</v>
      </c>
      <c r="RW14" s="5" t="n">
        <v>0</v>
      </c>
    </row>
    <row r="15">
      <c r="A15" t="inlineStr">
        <is>
          <t>REV_002.multimarket_pct</t>
        </is>
      </c>
      <c r="B15" t="inlineStr">
        <is>
          <t>kEUR</t>
        </is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 t="n">
        <v>0</v>
      </c>
      <c r="AC15" s="5" t="n">
        <v>0</v>
      </c>
      <c r="AD15" s="5" t="n">
        <v>0</v>
      </c>
      <c r="AE15" s="5" t="n">
        <v>0</v>
      </c>
      <c r="AF15" s="5" t="n">
        <v>0</v>
      </c>
      <c r="AG15" s="5" t="n">
        <v>0</v>
      </c>
      <c r="AH15" s="5" t="n">
        <v>0</v>
      </c>
      <c r="AI15" s="5" t="n">
        <v>0</v>
      </c>
      <c r="AJ15" s="5" t="n">
        <v>0</v>
      </c>
      <c r="AK15" s="5" t="n">
        <v>0</v>
      </c>
      <c r="AL15" s="5" t="n">
        <v>0</v>
      </c>
      <c r="AM15" s="5" t="n">
        <v>0</v>
      </c>
      <c r="AN15" s="5" t="n">
        <v>0</v>
      </c>
      <c r="AO15" s="5" t="n">
        <v>0</v>
      </c>
      <c r="AP15" s="5" t="n">
        <v>0</v>
      </c>
      <c r="AQ15" s="5" t="n">
        <v>0</v>
      </c>
      <c r="AR15" s="5" t="n">
        <v>0</v>
      </c>
      <c r="AS15" s="5" t="n">
        <v>0</v>
      </c>
      <c r="AT15" s="5" t="n">
        <v>0</v>
      </c>
      <c r="AU15" s="5" t="n">
        <v>0</v>
      </c>
      <c r="AV15" s="5" t="n">
        <v>0</v>
      </c>
      <c r="AW15" s="5" t="n">
        <v>0</v>
      </c>
      <c r="AX15" s="5" t="n">
        <v>0</v>
      </c>
      <c r="AY15" s="5" t="n">
        <v>0</v>
      </c>
      <c r="AZ15" s="5" t="n">
        <v>0</v>
      </c>
      <c r="BA15" s="5" t="n">
        <v>0</v>
      </c>
      <c r="BB15" s="5" t="n">
        <v>0</v>
      </c>
      <c r="BC15" s="5" t="n">
        <v>0</v>
      </c>
      <c r="BD15" s="5" t="n">
        <v>0</v>
      </c>
      <c r="BE15" s="5" t="n">
        <v>0</v>
      </c>
      <c r="BF15" s="5" t="n">
        <v>0</v>
      </c>
      <c r="BG15" s="5" t="n">
        <v>0</v>
      </c>
      <c r="BH15" s="5" t="n">
        <v>0</v>
      </c>
      <c r="BI15" s="5" t="n">
        <v>0</v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  <c r="DR15" s="5" t="n">
        <v>0</v>
      </c>
      <c r="DS15" s="5" t="n">
        <v>0</v>
      </c>
      <c r="DT15" s="5" t="n">
        <v>0</v>
      </c>
      <c r="DU15" s="5" t="n">
        <v>0</v>
      </c>
      <c r="DV15" s="5" t="n">
        <v>0</v>
      </c>
      <c r="DW15" s="5" t="n">
        <v>0</v>
      </c>
      <c r="DX15" s="5" t="n">
        <v>0</v>
      </c>
      <c r="DY15" s="5" t="n">
        <v>0</v>
      </c>
      <c r="DZ15" s="5" t="n">
        <v>0</v>
      </c>
      <c r="EA15" s="5" t="n">
        <v>0</v>
      </c>
      <c r="EB15" s="5" t="n">
        <v>0</v>
      </c>
      <c r="EC15" s="5" t="n">
        <v>0</v>
      </c>
      <c r="ED15" s="5" t="n">
        <v>0</v>
      </c>
      <c r="EE15" s="5" t="n">
        <v>0</v>
      </c>
      <c r="EF15" s="5" t="n">
        <v>0</v>
      </c>
      <c r="EG15" s="5" t="n">
        <v>0</v>
      </c>
      <c r="EH15" s="5" t="n">
        <v>0</v>
      </c>
      <c r="EI15" s="5" t="n">
        <v>0</v>
      </c>
      <c r="EJ15" s="5" t="n">
        <v>0</v>
      </c>
      <c r="EK15" s="5" t="n">
        <v>0</v>
      </c>
      <c r="EL15" s="5" t="n">
        <v>0</v>
      </c>
      <c r="EM15" s="5" t="n">
        <v>0</v>
      </c>
      <c r="EN15" s="5" t="n">
        <v>0</v>
      </c>
      <c r="EO15" s="5" t="n">
        <v>0</v>
      </c>
      <c r="EP15" s="5" t="n">
        <v>0</v>
      </c>
      <c r="EQ15" s="5" t="n">
        <v>0</v>
      </c>
      <c r="ER15" s="5" t="n">
        <v>0</v>
      </c>
      <c r="ES15" s="5" t="n">
        <v>0</v>
      </c>
      <c r="ET15" s="5" t="n">
        <v>0</v>
      </c>
      <c r="EU15" s="5" t="n">
        <v>0</v>
      </c>
      <c r="EV15" s="5" t="n">
        <v>0</v>
      </c>
      <c r="EW15" s="5" t="n">
        <v>0</v>
      </c>
      <c r="EX15" s="5" t="n">
        <v>0</v>
      </c>
      <c r="EY15" s="5" t="n">
        <v>0</v>
      </c>
      <c r="EZ15" s="5" t="n">
        <v>0</v>
      </c>
      <c r="FA15" s="5" t="n">
        <v>0</v>
      </c>
      <c r="FB15" s="5" t="n">
        <v>0</v>
      </c>
      <c r="FC15" s="5" t="n">
        <v>0</v>
      </c>
      <c r="FD15" s="5" t="n">
        <v>0</v>
      </c>
      <c r="FE15" s="5" t="n">
        <v>0</v>
      </c>
      <c r="FF15" s="5" t="n">
        <v>0</v>
      </c>
      <c r="FG15" s="5" t="n">
        <v>0</v>
      </c>
      <c r="FH15" s="5" t="n">
        <v>0</v>
      </c>
      <c r="FI15" s="5" t="n">
        <v>0</v>
      </c>
      <c r="FJ15" s="5" t="n">
        <v>0</v>
      </c>
      <c r="FK15" s="5" t="n">
        <v>0</v>
      </c>
      <c r="FL15" s="5" t="n">
        <v>0</v>
      </c>
      <c r="FM15" s="5" t="n">
        <v>0</v>
      </c>
      <c r="FN15" s="5" t="n">
        <v>0</v>
      </c>
      <c r="FO15" s="5" t="n">
        <v>0</v>
      </c>
      <c r="FP15" s="5" t="n">
        <v>0</v>
      </c>
      <c r="FQ15" s="5" t="n">
        <v>0</v>
      </c>
      <c r="FR15" s="5" t="n">
        <v>0</v>
      </c>
      <c r="FS15" s="5" t="n">
        <v>0</v>
      </c>
      <c r="FT15" s="5" t="n">
        <v>0</v>
      </c>
      <c r="FU15" s="5" t="n">
        <v>0</v>
      </c>
      <c r="FV15" s="5" t="n">
        <v>0</v>
      </c>
      <c r="FW15" s="5" t="n">
        <v>0</v>
      </c>
      <c r="FX15" s="5" t="n">
        <v>0</v>
      </c>
      <c r="FY15" s="5" t="n">
        <v>0</v>
      </c>
      <c r="FZ15" s="5" t="n">
        <v>0</v>
      </c>
      <c r="GA15" s="5" t="n">
        <v>0</v>
      </c>
      <c r="GB15" s="5" t="n">
        <v>0</v>
      </c>
      <c r="GC15" s="5" t="n">
        <v>0</v>
      </c>
      <c r="GD15" s="5" t="n">
        <v>0</v>
      </c>
      <c r="GE15" s="5" t="n">
        <v>0</v>
      </c>
      <c r="GF15" s="5" t="n">
        <v>0</v>
      </c>
      <c r="GG15" s="5" t="n">
        <v>0</v>
      </c>
      <c r="GH15" s="5" t="n">
        <v>0</v>
      </c>
      <c r="GI15" s="5" t="n">
        <v>0</v>
      </c>
      <c r="GJ15" s="5" t="n">
        <v>0</v>
      </c>
      <c r="GK15" s="5" t="n">
        <v>0</v>
      </c>
      <c r="GL15" s="5" t="n">
        <v>0</v>
      </c>
      <c r="GM15" s="5" t="n">
        <v>0</v>
      </c>
      <c r="GN15" s="5" t="n">
        <v>0</v>
      </c>
      <c r="GO15" s="5" t="n">
        <v>0</v>
      </c>
      <c r="GP15" s="5" t="n">
        <v>0</v>
      </c>
      <c r="GQ15" s="5" t="n">
        <v>0</v>
      </c>
      <c r="GR15" s="5" t="n">
        <v>0</v>
      </c>
      <c r="GS15" s="5" t="n">
        <v>0</v>
      </c>
      <c r="GT15" s="5" t="n">
        <v>0</v>
      </c>
      <c r="GU15" s="5" t="n">
        <v>0</v>
      </c>
      <c r="GV15" s="5" t="n">
        <v>0</v>
      </c>
      <c r="GW15" s="5" t="n">
        <v>0</v>
      </c>
      <c r="GX15" s="5" t="n">
        <v>0</v>
      </c>
      <c r="GY15" s="5" t="n">
        <v>0</v>
      </c>
      <c r="GZ15" s="5" t="n">
        <v>0</v>
      </c>
      <c r="HA15" s="5" t="n">
        <v>0</v>
      </c>
      <c r="HB15" s="5" t="n">
        <v>0</v>
      </c>
      <c r="HC15" s="5" t="n">
        <v>0</v>
      </c>
      <c r="HD15" s="5" t="n">
        <v>0</v>
      </c>
      <c r="HE15" s="5" t="n">
        <v>0</v>
      </c>
      <c r="HF15" s="5" t="n">
        <v>0</v>
      </c>
      <c r="HG15" s="5" t="n">
        <v>0</v>
      </c>
      <c r="HH15" s="5" t="n">
        <v>0</v>
      </c>
      <c r="HI15" s="5" t="n">
        <v>0</v>
      </c>
      <c r="HJ15" s="5" t="n">
        <v>0</v>
      </c>
      <c r="HK15" s="5" t="n">
        <v>0</v>
      </c>
      <c r="HL15" s="5" t="n">
        <v>0</v>
      </c>
      <c r="HM15" s="5" t="n">
        <v>0</v>
      </c>
      <c r="HN15" s="5" t="n">
        <v>0</v>
      </c>
      <c r="HO15" s="5" t="n">
        <v>0</v>
      </c>
      <c r="HP15" s="5" t="n">
        <v>0</v>
      </c>
      <c r="HQ15" s="5" t="n">
        <v>0</v>
      </c>
      <c r="HR15" s="5" t="n">
        <v>0</v>
      </c>
      <c r="HS15" s="5" t="n">
        <v>0</v>
      </c>
      <c r="HT15" s="5" t="n">
        <v>0</v>
      </c>
      <c r="HU15" s="5" t="n">
        <v>0</v>
      </c>
      <c r="HV15" s="5" t="n">
        <v>0</v>
      </c>
      <c r="HW15" s="5" t="n">
        <v>0</v>
      </c>
      <c r="HX15" s="5" t="n">
        <v>0</v>
      </c>
      <c r="HY15" s="5" t="n">
        <v>0</v>
      </c>
      <c r="HZ15" s="5" t="n">
        <v>0</v>
      </c>
      <c r="IA15" s="5" t="n">
        <v>0</v>
      </c>
      <c r="IB15" s="5" t="n">
        <v>0</v>
      </c>
      <c r="IC15" s="5" t="n">
        <v>0</v>
      </c>
      <c r="ID15" s="5" t="n">
        <v>0</v>
      </c>
      <c r="IE15" s="5" t="n">
        <v>0</v>
      </c>
      <c r="IF15" s="5" t="n">
        <v>0</v>
      </c>
      <c r="IG15" s="5" t="n">
        <v>0</v>
      </c>
      <c r="IH15" s="5" t="n">
        <v>0</v>
      </c>
      <c r="II15" s="5" t="n">
        <v>0</v>
      </c>
      <c r="IJ15" s="5" t="n">
        <v>0</v>
      </c>
      <c r="IK15" s="5" t="n">
        <v>0</v>
      </c>
      <c r="IL15" s="5" t="n">
        <v>0</v>
      </c>
      <c r="IM15" s="5" t="n">
        <v>0</v>
      </c>
      <c r="IN15" s="5" t="n">
        <v>0</v>
      </c>
      <c r="IO15" s="5" t="n">
        <v>0</v>
      </c>
      <c r="IP15" s="5" t="n">
        <v>0</v>
      </c>
      <c r="IQ15" s="5" t="n">
        <v>0</v>
      </c>
      <c r="IR15" s="5" t="n">
        <v>0</v>
      </c>
      <c r="IS15" s="5" t="n">
        <v>0</v>
      </c>
      <c r="IT15" s="5" t="n">
        <v>0</v>
      </c>
      <c r="IU15" s="5" t="n">
        <v>0</v>
      </c>
      <c r="IV15" s="5" t="n">
        <v>0</v>
      </c>
      <c r="IW15" s="5" t="n">
        <v>0</v>
      </c>
      <c r="IX15" s="5" t="n">
        <v>0</v>
      </c>
      <c r="IY15" s="5" t="n">
        <v>0</v>
      </c>
      <c r="IZ15" s="5" t="n">
        <v>0</v>
      </c>
      <c r="JA15" s="5" t="n">
        <v>0</v>
      </c>
      <c r="JB15" s="5" t="n">
        <v>0</v>
      </c>
      <c r="JC15" s="5" t="n">
        <v>0</v>
      </c>
      <c r="JD15" s="5" t="n">
        <v>0</v>
      </c>
      <c r="JE15" s="5" t="n">
        <v>0</v>
      </c>
      <c r="JF15" s="5" t="n">
        <v>0</v>
      </c>
      <c r="JG15" s="5" t="n">
        <v>0</v>
      </c>
      <c r="JH15" s="5" t="n">
        <v>0</v>
      </c>
      <c r="JI15" s="5" t="n">
        <v>0</v>
      </c>
      <c r="JJ15" s="5" t="n">
        <v>0</v>
      </c>
      <c r="JK15" s="5" t="n">
        <v>0</v>
      </c>
      <c r="JL15" s="5" t="n">
        <v>0</v>
      </c>
      <c r="JM15" s="5" t="n">
        <v>0</v>
      </c>
      <c r="JN15" s="5" t="n">
        <v>0</v>
      </c>
      <c r="JO15" s="5" t="n">
        <v>0</v>
      </c>
      <c r="JP15" s="5" t="n">
        <v>0</v>
      </c>
      <c r="JQ15" s="5" t="n">
        <v>0</v>
      </c>
      <c r="JR15" s="5" t="n">
        <v>0</v>
      </c>
      <c r="JS15" s="5" t="n">
        <v>0</v>
      </c>
      <c r="JT15" s="5" t="n">
        <v>0</v>
      </c>
      <c r="JU15" s="5" t="n">
        <v>0</v>
      </c>
      <c r="JV15" s="5" t="n">
        <v>0</v>
      </c>
      <c r="JW15" s="5" t="n">
        <v>0</v>
      </c>
      <c r="JX15" s="5" t="n">
        <v>0</v>
      </c>
      <c r="JY15" s="5" t="n">
        <v>0</v>
      </c>
      <c r="JZ15" s="5" t="n">
        <v>0</v>
      </c>
      <c r="KA15" s="5" t="n">
        <v>0</v>
      </c>
      <c r="KB15" s="5" t="n">
        <v>0</v>
      </c>
      <c r="KC15" s="5" t="n">
        <v>0</v>
      </c>
      <c r="KD15" s="5" t="n">
        <v>0</v>
      </c>
      <c r="KE15" s="5" t="n">
        <v>0</v>
      </c>
      <c r="KF15" s="5" t="n">
        <v>0</v>
      </c>
      <c r="KG15" s="5" t="n">
        <v>0</v>
      </c>
      <c r="KH15" s="5" t="n">
        <v>0</v>
      </c>
      <c r="KI15" s="5" t="n">
        <v>0</v>
      </c>
      <c r="KJ15" s="5" t="n">
        <v>0</v>
      </c>
      <c r="KK15" s="5" t="n">
        <v>0</v>
      </c>
      <c r="KL15" s="5" t="n">
        <v>0</v>
      </c>
      <c r="KM15" s="5" t="n">
        <v>0</v>
      </c>
      <c r="KN15" s="5" t="n">
        <v>0</v>
      </c>
      <c r="KO15" s="5" t="n">
        <v>0</v>
      </c>
      <c r="KP15" s="5" t="n">
        <v>0</v>
      </c>
      <c r="KQ15" s="5" t="n">
        <v>0</v>
      </c>
      <c r="KR15" s="5" t="n">
        <v>0</v>
      </c>
      <c r="KS15" s="5" t="n">
        <v>0</v>
      </c>
      <c r="KT15" s="5" t="n">
        <v>0</v>
      </c>
      <c r="KU15" s="5" t="n">
        <v>0</v>
      </c>
      <c r="KV15" s="5" t="n">
        <v>0</v>
      </c>
      <c r="KW15" s="5" t="n">
        <v>0</v>
      </c>
      <c r="KX15" s="5" t="n">
        <v>0</v>
      </c>
      <c r="KY15" s="5" t="n">
        <v>0</v>
      </c>
      <c r="KZ15" s="5" t="n">
        <v>0</v>
      </c>
      <c r="LA15" s="5" t="n">
        <v>0</v>
      </c>
      <c r="LB15" s="5" t="n">
        <v>0</v>
      </c>
      <c r="LC15" s="5" t="n">
        <v>0</v>
      </c>
      <c r="LD15" s="5" t="n">
        <v>0</v>
      </c>
      <c r="LE15" s="5" t="n">
        <v>0</v>
      </c>
      <c r="LF15" s="5" t="n">
        <v>0</v>
      </c>
      <c r="LG15" s="5" t="n">
        <v>0</v>
      </c>
      <c r="LH15" s="5" t="n">
        <v>0</v>
      </c>
      <c r="LI15" s="5" t="n">
        <v>0</v>
      </c>
      <c r="LJ15" s="5" t="n">
        <v>0</v>
      </c>
      <c r="LK15" s="5" t="n">
        <v>0</v>
      </c>
      <c r="LL15" s="5" t="n">
        <v>0</v>
      </c>
      <c r="LM15" s="5" t="n">
        <v>0</v>
      </c>
      <c r="LN15" s="5" t="n">
        <v>0</v>
      </c>
      <c r="LO15" s="5" t="n">
        <v>0</v>
      </c>
      <c r="LP15" s="5" t="n">
        <v>0</v>
      </c>
      <c r="LQ15" s="5" t="n">
        <v>0</v>
      </c>
      <c r="LR15" s="5" t="n">
        <v>0</v>
      </c>
      <c r="LS15" s="5" t="n">
        <v>0</v>
      </c>
      <c r="LT15" s="5" t="n">
        <v>0</v>
      </c>
      <c r="LU15" s="5" t="n">
        <v>0</v>
      </c>
      <c r="LV15" s="5" t="n">
        <v>0</v>
      </c>
      <c r="LW15" s="5" t="n">
        <v>0</v>
      </c>
      <c r="LX15" s="5" t="n">
        <v>0</v>
      </c>
      <c r="LY15" s="5" t="n">
        <v>0</v>
      </c>
      <c r="LZ15" s="5" t="n">
        <v>0</v>
      </c>
      <c r="MA15" s="5" t="n">
        <v>0</v>
      </c>
      <c r="MB15" s="5" t="n">
        <v>0</v>
      </c>
      <c r="MC15" s="5" t="n">
        <v>0</v>
      </c>
      <c r="MD15" s="5" t="n">
        <v>0</v>
      </c>
      <c r="ME15" s="5" t="n">
        <v>0</v>
      </c>
      <c r="MF15" s="5" t="n">
        <v>0</v>
      </c>
      <c r="MG15" s="5" t="n">
        <v>0</v>
      </c>
      <c r="MH15" s="5" t="n">
        <v>0</v>
      </c>
      <c r="MI15" s="5" t="n">
        <v>0</v>
      </c>
      <c r="MJ15" s="5" t="n">
        <v>0</v>
      </c>
      <c r="MK15" s="5" t="n">
        <v>0</v>
      </c>
      <c r="ML15" s="5" t="n">
        <v>0</v>
      </c>
      <c r="MM15" s="5" t="n">
        <v>0</v>
      </c>
      <c r="MN15" s="5" t="n">
        <v>0</v>
      </c>
      <c r="MO15" s="5" t="n">
        <v>0</v>
      </c>
      <c r="MP15" s="5" t="n">
        <v>0</v>
      </c>
      <c r="MQ15" s="5" t="n">
        <v>0</v>
      </c>
      <c r="MR15" s="5" t="n">
        <v>0</v>
      </c>
      <c r="MS15" s="5" t="n">
        <v>0</v>
      </c>
      <c r="MT15" s="5" t="n">
        <v>0</v>
      </c>
      <c r="MU15" s="5" t="n">
        <v>0</v>
      </c>
      <c r="MV15" s="5" t="n">
        <v>0</v>
      </c>
      <c r="MW15" s="5" t="n">
        <v>0</v>
      </c>
      <c r="MX15" s="5" t="n">
        <v>0</v>
      </c>
      <c r="MY15" s="5" t="n">
        <v>0</v>
      </c>
      <c r="MZ15" s="5" t="n">
        <v>0</v>
      </c>
      <c r="NA15" s="5" t="n">
        <v>0</v>
      </c>
      <c r="NB15" s="5" t="n">
        <v>0</v>
      </c>
      <c r="NC15" s="5" t="n">
        <v>0</v>
      </c>
      <c r="ND15" s="5" t="n">
        <v>0</v>
      </c>
      <c r="NE15" s="5" t="n">
        <v>0</v>
      </c>
      <c r="NF15" s="5" t="n">
        <v>0</v>
      </c>
      <c r="NG15" s="5" t="n">
        <v>0</v>
      </c>
      <c r="NH15" s="5" t="n">
        <v>0</v>
      </c>
      <c r="NI15" s="5" t="n">
        <v>0</v>
      </c>
      <c r="NJ15" s="5" t="n">
        <v>0</v>
      </c>
      <c r="NK15" s="5" t="n">
        <v>0</v>
      </c>
      <c r="NL15" s="5" t="n">
        <v>0</v>
      </c>
      <c r="NM15" s="5" t="n">
        <v>0</v>
      </c>
      <c r="NN15" s="5" t="n">
        <v>0</v>
      </c>
      <c r="NO15" s="5" t="n">
        <v>0</v>
      </c>
      <c r="NP15" s="5" t="n">
        <v>0</v>
      </c>
      <c r="NQ15" s="5" t="n">
        <v>0</v>
      </c>
      <c r="NR15" s="5" t="n">
        <v>0</v>
      </c>
      <c r="NS15" s="5" t="n">
        <v>0</v>
      </c>
      <c r="NT15" s="5" t="n">
        <v>0</v>
      </c>
      <c r="NU15" s="5" t="n">
        <v>0</v>
      </c>
      <c r="NV15" s="5" t="n">
        <v>0</v>
      </c>
      <c r="NW15" s="5" t="n">
        <v>0</v>
      </c>
      <c r="NX15" s="5" t="n">
        <v>0</v>
      </c>
      <c r="NY15" s="5" t="n">
        <v>0</v>
      </c>
      <c r="NZ15" s="5" t="n">
        <v>0</v>
      </c>
      <c r="OA15" s="5" t="n">
        <v>0</v>
      </c>
      <c r="OB15" s="5" t="n">
        <v>0</v>
      </c>
      <c r="OC15" s="5" t="n">
        <v>0</v>
      </c>
      <c r="OD15" s="5" t="n">
        <v>0</v>
      </c>
      <c r="OE15" s="5" t="n">
        <v>0</v>
      </c>
      <c r="OF15" s="5" t="n">
        <v>0</v>
      </c>
      <c r="OG15" s="5" t="n">
        <v>0</v>
      </c>
      <c r="OH15" s="5" t="n">
        <v>0</v>
      </c>
      <c r="OI15" s="5" t="n">
        <v>0</v>
      </c>
      <c r="OJ15" s="5" t="n">
        <v>0</v>
      </c>
      <c r="OK15" s="5" t="n">
        <v>0</v>
      </c>
      <c r="OL15" s="5" t="n">
        <v>0</v>
      </c>
      <c r="OM15" s="5" t="n">
        <v>0</v>
      </c>
      <c r="ON15" s="5" t="n">
        <v>0</v>
      </c>
      <c r="OO15" s="5" t="n">
        <v>0</v>
      </c>
      <c r="OP15" s="5" t="n">
        <v>0</v>
      </c>
      <c r="OQ15" s="5" t="n">
        <v>0</v>
      </c>
      <c r="OR15" s="5" t="n">
        <v>0</v>
      </c>
      <c r="OS15" s="5" t="n">
        <v>0</v>
      </c>
      <c r="OT15" s="5" t="n">
        <v>0</v>
      </c>
      <c r="OU15" s="5" t="n">
        <v>0</v>
      </c>
      <c r="OV15" s="5" t="n">
        <v>0</v>
      </c>
      <c r="OW15" s="5" t="n">
        <v>0</v>
      </c>
      <c r="OX15" s="5" t="n">
        <v>0</v>
      </c>
      <c r="OY15" s="5" t="n">
        <v>0</v>
      </c>
      <c r="OZ15" s="5" t="n">
        <v>0</v>
      </c>
      <c r="PA15" s="5" t="n">
        <v>0</v>
      </c>
      <c r="PB15" s="5" t="n">
        <v>0</v>
      </c>
      <c r="PC15" s="5" t="n">
        <v>0</v>
      </c>
      <c r="PD15" s="5" t="n">
        <v>0</v>
      </c>
      <c r="PE15" s="5" t="n">
        <v>0</v>
      </c>
      <c r="PF15" s="5" t="n">
        <v>0</v>
      </c>
      <c r="PG15" s="5" t="n">
        <v>0</v>
      </c>
      <c r="PH15" s="5" t="n">
        <v>0</v>
      </c>
      <c r="PI15" s="5" t="n">
        <v>0</v>
      </c>
      <c r="PJ15" s="5" t="n">
        <v>0</v>
      </c>
      <c r="PK15" s="5" t="n">
        <v>0</v>
      </c>
      <c r="PL15" s="5" t="n">
        <v>0</v>
      </c>
      <c r="PM15" s="5" t="n">
        <v>0</v>
      </c>
      <c r="PN15" s="5" t="n">
        <v>0</v>
      </c>
      <c r="PO15" s="5" t="n">
        <v>0</v>
      </c>
      <c r="PP15" s="5" t="n">
        <v>0</v>
      </c>
      <c r="PQ15" s="5" t="n">
        <v>0</v>
      </c>
      <c r="PR15" s="5" t="n">
        <v>0</v>
      </c>
      <c r="PS15" s="5" t="n">
        <v>0</v>
      </c>
      <c r="PT15" s="5" t="n">
        <v>0</v>
      </c>
      <c r="PU15" s="5" t="n">
        <v>0</v>
      </c>
      <c r="PV15" s="5" t="n">
        <v>0</v>
      </c>
      <c r="PW15" s="5" t="n">
        <v>0</v>
      </c>
      <c r="PX15" s="5" t="n">
        <v>0</v>
      </c>
      <c r="PY15" s="5" t="n">
        <v>0</v>
      </c>
      <c r="PZ15" s="5" t="n">
        <v>0</v>
      </c>
      <c r="QA15" s="5" t="n">
        <v>0</v>
      </c>
      <c r="QB15" s="5" t="n">
        <v>0</v>
      </c>
      <c r="QC15" s="5" t="n">
        <v>0</v>
      </c>
      <c r="QD15" s="5" t="n">
        <v>0</v>
      </c>
      <c r="QE15" s="5" t="n">
        <v>0</v>
      </c>
      <c r="QF15" s="5" t="n">
        <v>0</v>
      </c>
      <c r="QG15" s="5" t="n">
        <v>0</v>
      </c>
      <c r="QH15" s="5" t="n">
        <v>0</v>
      </c>
      <c r="QI15" s="5" t="n">
        <v>0</v>
      </c>
      <c r="QJ15" s="5" t="n">
        <v>0</v>
      </c>
      <c r="QK15" s="5" t="n">
        <v>0</v>
      </c>
      <c r="QL15" s="5" t="n">
        <v>0</v>
      </c>
      <c r="QM15" s="5" t="n">
        <v>0</v>
      </c>
      <c r="QN15" s="5" t="n">
        <v>0</v>
      </c>
      <c r="QO15" s="5" t="n">
        <v>0</v>
      </c>
      <c r="QP15" s="5" t="n">
        <v>0</v>
      </c>
      <c r="QQ15" s="5" t="n">
        <v>0</v>
      </c>
      <c r="QR15" s="5" t="n">
        <v>0</v>
      </c>
      <c r="QS15" s="5" t="n">
        <v>0</v>
      </c>
      <c r="QT15" s="5" t="n">
        <v>0</v>
      </c>
      <c r="QU15" s="5" t="n">
        <v>0</v>
      </c>
      <c r="QV15" s="5" t="n">
        <v>0</v>
      </c>
      <c r="QW15" s="5" t="n">
        <v>0</v>
      </c>
      <c r="QX15" s="5" t="n">
        <v>0</v>
      </c>
      <c r="QY15" s="5" t="n">
        <v>0</v>
      </c>
      <c r="QZ15" s="5" t="n">
        <v>0</v>
      </c>
      <c r="RA15" s="5" t="n">
        <v>0</v>
      </c>
      <c r="RB15" s="5" t="n">
        <v>0</v>
      </c>
      <c r="RC15" s="5" t="n">
        <v>0</v>
      </c>
      <c r="RD15" s="5" t="n">
        <v>0</v>
      </c>
      <c r="RE15" s="5" t="n">
        <v>0</v>
      </c>
      <c r="RF15" s="5" t="n">
        <v>0</v>
      </c>
      <c r="RG15" s="5" t="n">
        <v>0</v>
      </c>
      <c r="RH15" s="5" t="n">
        <v>0</v>
      </c>
      <c r="RI15" s="5" t="n">
        <v>0</v>
      </c>
      <c r="RJ15" s="5" t="n">
        <v>0</v>
      </c>
      <c r="RK15" s="5" t="n">
        <v>0</v>
      </c>
      <c r="RL15" s="5" t="n">
        <v>0</v>
      </c>
      <c r="RM15" s="5" t="n">
        <v>0</v>
      </c>
      <c r="RN15" s="5" t="n">
        <v>0</v>
      </c>
      <c r="RO15" s="5" t="n">
        <v>0</v>
      </c>
      <c r="RP15" s="5" t="n">
        <v>0</v>
      </c>
      <c r="RQ15" s="5" t="n">
        <v>0</v>
      </c>
      <c r="RR15" s="5" t="n">
        <v>0</v>
      </c>
      <c r="RS15" s="5" t="n">
        <v>0</v>
      </c>
      <c r="RT15" s="5" t="n">
        <v>0</v>
      </c>
      <c r="RU15" s="5" t="n">
        <v>0</v>
      </c>
      <c r="RV15" s="5" t="n">
        <v>0</v>
      </c>
      <c r="RW15" s="5" t="n">
        <v>0</v>
      </c>
    </row>
    <row r="16">
      <c r="A16" t="inlineStr">
        <is>
          <t>REV_002.external_bess_revenue_DKKk</t>
        </is>
      </c>
      <c r="B16" t="inlineStr">
        <is>
          <t>kEUR</t>
        </is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5" t="n">
        <v>0</v>
      </c>
      <c r="AF16" s="5" t="n">
        <v>0</v>
      </c>
      <c r="AG16" s="5" t="n">
        <v>0</v>
      </c>
      <c r="AH16" s="5" t="n">
        <v>0</v>
      </c>
      <c r="AI16" s="5" t="n">
        <v>0</v>
      </c>
      <c r="AJ16" s="5" t="n">
        <v>0</v>
      </c>
      <c r="AK16" s="5" t="n">
        <v>0</v>
      </c>
      <c r="AL16" s="5" t="n">
        <v>0</v>
      </c>
      <c r="AM16" s="5" t="n">
        <v>0</v>
      </c>
      <c r="AN16" s="5" t="n">
        <v>0</v>
      </c>
      <c r="AO16" s="5" t="n">
        <v>0</v>
      </c>
      <c r="AP16" s="5" t="n">
        <v>0</v>
      </c>
      <c r="AQ16" s="5" t="n">
        <v>0</v>
      </c>
      <c r="AR16" s="5" t="n">
        <v>0</v>
      </c>
      <c r="AS16" s="5" t="n">
        <v>0</v>
      </c>
      <c r="AT16" s="5" t="n">
        <v>0</v>
      </c>
      <c r="AU16" s="5" t="n">
        <v>0</v>
      </c>
      <c r="AV16" s="5" t="n">
        <v>0</v>
      </c>
      <c r="AW16" s="5" t="n">
        <v>0</v>
      </c>
      <c r="AX16" s="5" t="n">
        <v>0</v>
      </c>
      <c r="AY16" s="5" t="n">
        <v>0</v>
      </c>
      <c r="AZ16" s="5" t="n">
        <v>0</v>
      </c>
      <c r="BA16" s="5" t="n">
        <v>0</v>
      </c>
      <c r="BB16" s="5" t="n">
        <v>0</v>
      </c>
      <c r="BC16" s="5" t="n">
        <v>0</v>
      </c>
      <c r="BD16" s="5" t="n">
        <v>0</v>
      </c>
      <c r="BE16" s="5" t="n">
        <v>0</v>
      </c>
      <c r="BF16" s="5" t="n">
        <v>0</v>
      </c>
      <c r="BG16" s="5" t="n">
        <v>0</v>
      </c>
      <c r="BH16" s="5" t="n">
        <v>0</v>
      </c>
      <c r="BI16" s="5" t="n">
        <v>0</v>
      </c>
      <c r="BJ16" s="5" t="n">
        <v>0</v>
      </c>
      <c r="BK16" s="5" t="n">
        <v>0</v>
      </c>
      <c r="BL16" s="5" t="n">
        <v>0</v>
      </c>
      <c r="BM16" s="5" t="n">
        <v>0</v>
      </c>
      <c r="BN16" s="5" t="n">
        <v>0</v>
      </c>
      <c r="BO16" s="5" t="n">
        <v>0</v>
      </c>
      <c r="BP16" s="5" t="n">
        <v>0</v>
      </c>
      <c r="BQ16" s="5" t="n">
        <v>0</v>
      </c>
      <c r="BR16" s="5" t="n">
        <v>0</v>
      </c>
      <c r="BS16" s="5" t="n">
        <v>0</v>
      </c>
      <c r="BT16" s="5" t="n">
        <v>0</v>
      </c>
      <c r="BU16" s="5" t="n">
        <v>0</v>
      </c>
      <c r="BV16" s="5" t="n">
        <v>0</v>
      </c>
      <c r="BW16" s="5" t="n">
        <v>0</v>
      </c>
      <c r="BX16" s="5" t="n">
        <v>0</v>
      </c>
      <c r="BY16" s="5" t="n">
        <v>0</v>
      </c>
      <c r="BZ16" s="5" t="n">
        <v>0</v>
      </c>
      <c r="CA16" s="5" t="n">
        <v>0</v>
      </c>
      <c r="CB16" s="5" t="n">
        <v>0</v>
      </c>
      <c r="CC16" s="5" t="n">
        <v>0</v>
      </c>
      <c r="CD16" s="5" t="n">
        <v>0</v>
      </c>
      <c r="CE16" s="5" t="n">
        <v>0</v>
      </c>
      <c r="CF16" s="5" t="n">
        <v>0</v>
      </c>
      <c r="CG16" s="5" t="n">
        <v>0</v>
      </c>
      <c r="CH16" s="5" t="n">
        <v>0</v>
      </c>
      <c r="CI16" s="5" t="n">
        <v>0</v>
      </c>
      <c r="CJ16" s="5" t="n">
        <v>0</v>
      </c>
      <c r="CK16" s="5" t="n">
        <v>0</v>
      </c>
      <c r="CL16" s="5" t="n">
        <v>0</v>
      </c>
      <c r="CM16" s="5" t="n">
        <v>0</v>
      </c>
      <c r="CN16" s="5" t="n">
        <v>0</v>
      </c>
      <c r="CO16" s="5" t="n">
        <v>0</v>
      </c>
      <c r="CP16" s="5" t="n">
        <v>0</v>
      </c>
      <c r="CQ16" s="5" t="n">
        <v>0</v>
      </c>
      <c r="CR16" s="5" t="n">
        <v>14573.16666666667</v>
      </c>
      <c r="CS16" s="5" t="n">
        <v>14573.16666666667</v>
      </c>
      <c r="CT16" s="5" t="n">
        <v>14573.16666666667</v>
      </c>
      <c r="CU16" s="5" t="n">
        <v>14573.16666666667</v>
      </c>
      <c r="CV16" s="5" t="n">
        <v>14573.16666666667</v>
      </c>
      <c r="CW16" s="5" t="n">
        <v>14573.16666666667</v>
      </c>
      <c r="CX16" s="5" t="n">
        <v>14573.16666666667</v>
      </c>
      <c r="CY16" s="5" t="n">
        <v>14573.16666666667</v>
      </c>
      <c r="CZ16" s="5" t="n">
        <v>14573.16666666667</v>
      </c>
      <c r="DA16" s="5" t="n">
        <v>14573.16666666667</v>
      </c>
      <c r="DB16" s="5" t="n">
        <v>14573.16666666667</v>
      </c>
      <c r="DC16" s="5" t="n">
        <v>14573.16666666667</v>
      </c>
      <c r="DD16" s="5" t="n">
        <v>5843.666666666667</v>
      </c>
      <c r="DE16" s="5" t="n">
        <v>5843.666666666667</v>
      </c>
      <c r="DF16" s="5" t="n">
        <v>5843.666666666667</v>
      </c>
      <c r="DG16" s="5" t="n">
        <v>5843.666666666667</v>
      </c>
      <c r="DH16" s="5" t="n">
        <v>5843.666666666667</v>
      </c>
      <c r="DI16" s="5" t="n">
        <v>5843.666666666667</v>
      </c>
      <c r="DJ16" s="5" t="n">
        <v>5843.666666666667</v>
      </c>
      <c r="DK16" s="5" t="n">
        <v>5843.666666666667</v>
      </c>
      <c r="DL16" s="5" t="n">
        <v>5843.666666666667</v>
      </c>
      <c r="DM16" s="5" t="n">
        <v>5843.666666666667</v>
      </c>
      <c r="DN16" s="5" t="n">
        <v>5843.666666666667</v>
      </c>
      <c r="DO16" s="5" t="n">
        <v>5843.666666666667</v>
      </c>
      <c r="DP16" s="5" t="n">
        <v>6092.25</v>
      </c>
      <c r="DQ16" s="5" t="n">
        <v>6092.25</v>
      </c>
      <c r="DR16" s="5" t="n">
        <v>6092.25</v>
      </c>
      <c r="DS16" s="5" t="n">
        <v>6092.25</v>
      </c>
      <c r="DT16" s="5" t="n">
        <v>6092.25</v>
      </c>
      <c r="DU16" s="5" t="n">
        <v>6092.25</v>
      </c>
      <c r="DV16" s="5" t="n">
        <v>6092.25</v>
      </c>
      <c r="DW16" s="5" t="n">
        <v>6092.25</v>
      </c>
      <c r="DX16" s="5" t="n">
        <v>6092.25</v>
      </c>
      <c r="DY16" s="5" t="n">
        <v>6092.25</v>
      </c>
      <c r="DZ16" s="5" t="n">
        <v>6092.25</v>
      </c>
      <c r="EA16" s="5" t="n">
        <v>6092.25</v>
      </c>
      <c r="EB16" s="5" t="n">
        <v>7547.75</v>
      </c>
      <c r="EC16" s="5" t="n">
        <v>7547.75</v>
      </c>
      <c r="ED16" s="5" t="n">
        <v>7547.75</v>
      </c>
      <c r="EE16" s="5" t="n">
        <v>7547.75</v>
      </c>
      <c r="EF16" s="5" t="n">
        <v>7547.75</v>
      </c>
      <c r="EG16" s="5" t="n">
        <v>7547.75</v>
      </c>
      <c r="EH16" s="5" t="n">
        <v>7547.75</v>
      </c>
      <c r="EI16" s="5" t="n">
        <v>7547.75</v>
      </c>
      <c r="EJ16" s="5" t="n">
        <v>7547.75</v>
      </c>
      <c r="EK16" s="5" t="n">
        <v>7547.75</v>
      </c>
      <c r="EL16" s="5" t="n">
        <v>7547.75</v>
      </c>
      <c r="EM16" s="5" t="n">
        <v>7547.75</v>
      </c>
      <c r="EN16" s="5" t="n">
        <v>5439.333333333333</v>
      </c>
      <c r="EO16" s="5" t="n">
        <v>5439.333333333333</v>
      </c>
      <c r="EP16" s="5" t="n">
        <v>5439.333333333333</v>
      </c>
      <c r="EQ16" s="5" t="n">
        <v>5439.333333333333</v>
      </c>
      <c r="ER16" s="5" t="n">
        <v>5439.333333333333</v>
      </c>
      <c r="ES16" s="5" t="n">
        <v>5439.333333333333</v>
      </c>
      <c r="ET16" s="5" t="n">
        <v>5439.333333333333</v>
      </c>
      <c r="EU16" s="5" t="n">
        <v>5439.333333333333</v>
      </c>
      <c r="EV16" s="5" t="n">
        <v>5439.333333333333</v>
      </c>
      <c r="EW16" s="5" t="n">
        <v>5439.333333333333</v>
      </c>
      <c r="EX16" s="5" t="n">
        <v>5439.333333333333</v>
      </c>
      <c r="EY16" s="5" t="n">
        <v>5439.333333333333</v>
      </c>
      <c r="EZ16" s="5" t="n">
        <v>6333.25</v>
      </c>
      <c r="FA16" s="5" t="n">
        <v>6333.25</v>
      </c>
      <c r="FB16" s="5" t="n">
        <v>6333.25</v>
      </c>
      <c r="FC16" s="5" t="n">
        <v>6333.25</v>
      </c>
      <c r="FD16" s="5" t="n">
        <v>6333.25</v>
      </c>
      <c r="FE16" s="5" t="n">
        <v>6333.25</v>
      </c>
      <c r="FF16" s="5" t="n">
        <v>6333.25</v>
      </c>
      <c r="FG16" s="5" t="n">
        <v>6333.25</v>
      </c>
      <c r="FH16" s="5" t="n">
        <v>6333.25</v>
      </c>
      <c r="FI16" s="5" t="n">
        <v>6333.25</v>
      </c>
      <c r="FJ16" s="5" t="n">
        <v>6333.25</v>
      </c>
      <c r="FK16" s="5" t="n">
        <v>6333.25</v>
      </c>
      <c r="FL16" s="5" t="n">
        <v>8570.416666666666</v>
      </c>
      <c r="FM16" s="5" t="n">
        <v>8570.416666666666</v>
      </c>
      <c r="FN16" s="5" t="n">
        <v>8570.416666666666</v>
      </c>
      <c r="FO16" s="5" t="n">
        <v>8570.416666666666</v>
      </c>
      <c r="FP16" s="5" t="n">
        <v>8570.416666666666</v>
      </c>
      <c r="FQ16" s="5" t="n">
        <v>8570.416666666666</v>
      </c>
      <c r="FR16" s="5" t="n">
        <v>8570.416666666666</v>
      </c>
      <c r="FS16" s="5" t="n">
        <v>8570.416666666666</v>
      </c>
      <c r="FT16" s="5" t="n">
        <v>8570.416666666666</v>
      </c>
      <c r="FU16" s="5" t="n">
        <v>8570.416666666666</v>
      </c>
      <c r="FV16" s="5" t="n">
        <v>8570.416666666666</v>
      </c>
      <c r="FW16" s="5" t="n">
        <v>8570.416666666666</v>
      </c>
      <c r="FX16" s="5" t="n">
        <v>5819.25</v>
      </c>
      <c r="FY16" s="5" t="n">
        <v>5819.25</v>
      </c>
      <c r="FZ16" s="5" t="n">
        <v>5819.25</v>
      </c>
      <c r="GA16" s="5" t="n">
        <v>5819.25</v>
      </c>
      <c r="GB16" s="5" t="n">
        <v>5819.25</v>
      </c>
      <c r="GC16" s="5" t="n">
        <v>5819.25</v>
      </c>
      <c r="GD16" s="5" t="n">
        <v>5819.25</v>
      </c>
      <c r="GE16" s="5" t="n">
        <v>5819.25</v>
      </c>
      <c r="GF16" s="5" t="n">
        <v>5819.25</v>
      </c>
      <c r="GG16" s="5" t="n">
        <v>5819.25</v>
      </c>
      <c r="GH16" s="5" t="n">
        <v>5819.25</v>
      </c>
      <c r="GI16" s="5" t="n">
        <v>5819.25</v>
      </c>
      <c r="GJ16" s="5" t="n">
        <v>5581.583333333333</v>
      </c>
      <c r="GK16" s="5" t="n">
        <v>5581.583333333333</v>
      </c>
      <c r="GL16" s="5" t="n">
        <v>5581.583333333333</v>
      </c>
      <c r="GM16" s="5" t="n">
        <v>5581.583333333333</v>
      </c>
      <c r="GN16" s="5" t="n">
        <v>5581.583333333333</v>
      </c>
      <c r="GO16" s="5" t="n">
        <v>5581.583333333333</v>
      </c>
      <c r="GP16" s="5" t="n">
        <v>5581.583333333333</v>
      </c>
      <c r="GQ16" s="5" t="n">
        <v>5581.583333333333</v>
      </c>
      <c r="GR16" s="5" t="n">
        <v>5581.583333333333</v>
      </c>
      <c r="GS16" s="5" t="n">
        <v>5581.583333333333</v>
      </c>
      <c r="GT16" s="5" t="n">
        <v>5581.583333333333</v>
      </c>
      <c r="GU16" s="5" t="n">
        <v>5581.583333333333</v>
      </c>
      <c r="GV16" s="5" t="n">
        <v>8526.833333333334</v>
      </c>
      <c r="GW16" s="5" t="n">
        <v>8526.833333333334</v>
      </c>
      <c r="GX16" s="5" t="n">
        <v>8526.833333333334</v>
      </c>
      <c r="GY16" s="5" t="n">
        <v>8526.833333333334</v>
      </c>
      <c r="GZ16" s="5" t="n">
        <v>8526.833333333334</v>
      </c>
      <c r="HA16" s="5" t="n">
        <v>8526.833333333334</v>
      </c>
      <c r="HB16" s="5" t="n">
        <v>8526.833333333334</v>
      </c>
      <c r="HC16" s="5" t="n">
        <v>8526.833333333334</v>
      </c>
      <c r="HD16" s="5" t="n">
        <v>8526.833333333334</v>
      </c>
      <c r="HE16" s="5" t="n">
        <v>8526.833333333334</v>
      </c>
      <c r="HF16" s="5" t="n">
        <v>8526.833333333334</v>
      </c>
      <c r="HG16" s="5" t="n">
        <v>8526.833333333334</v>
      </c>
      <c r="HH16" s="5" t="n">
        <v>5934.083333333333</v>
      </c>
      <c r="HI16" s="5" t="n">
        <v>5934.083333333333</v>
      </c>
      <c r="HJ16" s="5" t="n">
        <v>5934.083333333333</v>
      </c>
      <c r="HK16" s="5" t="n">
        <v>5934.083333333333</v>
      </c>
      <c r="HL16" s="5" t="n">
        <v>5934.083333333333</v>
      </c>
      <c r="HM16" s="5" t="n">
        <v>5934.083333333333</v>
      </c>
      <c r="HN16" s="5" t="n">
        <v>5934.083333333333</v>
      </c>
      <c r="HO16" s="5" t="n">
        <v>5934.083333333333</v>
      </c>
      <c r="HP16" s="5" t="n">
        <v>5934.083333333333</v>
      </c>
      <c r="HQ16" s="5" t="n">
        <v>5934.083333333333</v>
      </c>
      <c r="HR16" s="5" t="n">
        <v>5934.083333333333</v>
      </c>
      <c r="HS16" s="5" t="n">
        <v>5934.083333333333</v>
      </c>
      <c r="HT16" s="5" t="n">
        <v>5902.75</v>
      </c>
      <c r="HU16" s="5" t="n">
        <v>5902.75</v>
      </c>
      <c r="HV16" s="5" t="n">
        <v>5902.75</v>
      </c>
      <c r="HW16" s="5" t="n">
        <v>5902.75</v>
      </c>
      <c r="HX16" s="5" t="n">
        <v>5902.75</v>
      </c>
      <c r="HY16" s="5" t="n">
        <v>5902.75</v>
      </c>
      <c r="HZ16" s="5" t="n">
        <v>5902.75</v>
      </c>
      <c r="IA16" s="5" t="n">
        <v>5902.75</v>
      </c>
      <c r="IB16" s="5" t="n">
        <v>5902.75</v>
      </c>
      <c r="IC16" s="5" t="n">
        <v>5902.75</v>
      </c>
      <c r="ID16" s="5" t="n">
        <v>5902.75</v>
      </c>
      <c r="IE16" s="5" t="n">
        <v>5902.75</v>
      </c>
      <c r="IF16" s="5" t="n">
        <v>8060.333333333333</v>
      </c>
      <c r="IG16" s="5" t="n">
        <v>8060.333333333333</v>
      </c>
      <c r="IH16" s="5" t="n">
        <v>8060.333333333333</v>
      </c>
      <c r="II16" s="5" t="n">
        <v>8060.333333333333</v>
      </c>
      <c r="IJ16" s="5" t="n">
        <v>8060.333333333333</v>
      </c>
      <c r="IK16" s="5" t="n">
        <v>8060.333333333333</v>
      </c>
      <c r="IL16" s="5" t="n">
        <v>8060.333333333333</v>
      </c>
      <c r="IM16" s="5" t="n">
        <v>8060.333333333333</v>
      </c>
      <c r="IN16" s="5" t="n">
        <v>8060.333333333333</v>
      </c>
      <c r="IO16" s="5" t="n">
        <v>8060.333333333333</v>
      </c>
      <c r="IP16" s="5" t="n">
        <v>8060.333333333333</v>
      </c>
      <c r="IQ16" s="5" t="n">
        <v>8060.333333333333</v>
      </c>
      <c r="IR16" s="5" t="n">
        <v>5454.083333333333</v>
      </c>
      <c r="IS16" s="5" t="n">
        <v>5454.083333333333</v>
      </c>
      <c r="IT16" s="5" t="n">
        <v>5454.083333333333</v>
      </c>
      <c r="IU16" s="5" t="n">
        <v>5454.083333333333</v>
      </c>
      <c r="IV16" s="5" t="n">
        <v>5454.083333333333</v>
      </c>
      <c r="IW16" s="5" t="n">
        <v>5454.083333333333</v>
      </c>
      <c r="IX16" s="5" t="n">
        <v>5454.083333333333</v>
      </c>
      <c r="IY16" s="5" t="n">
        <v>5454.083333333333</v>
      </c>
      <c r="IZ16" s="5" t="n">
        <v>5454.083333333333</v>
      </c>
      <c r="JA16" s="5" t="n">
        <v>5454.083333333333</v>
      </c>
      <c r="JB16" s="5" t="n">
        <v>5454.083333333333</v>
      </c>
      <c r="JC16" s="5" t="n">
        <v>5454.083333333333</v>
      </c>
      <c r="JD16" s="5" t="n">
        <v>5862.5</v>
      </c>
      <c r="JE16" s="5" t="n">
        <v>5862.5</v>
      </c>
      <c r="JF16" s="5" t="n">
        <v>5862.5</v>
      </c>
      <c r="JG16" s="5" t="n">
        <v>5862.5</v>
      </c>
      <c r="JH16" s="5" t="n">
        <v>5862.5</v>
      </c>
      <c r="JI16" s="5" t="n">
        <v>5862.5</v>
      </c>
      <c r="JJ16" s="5" t="n">
        <v>5862.5</v>
      </c>
      <c r="JK16" s="5" t="n">
        <v>5862.5</v>
      </c>
      <c r="JL16" s="5" t="n">
        <v>5862.5</v>
      </c>
      <c r="JM16" s="5" t="n">
        <v>5862.5</v>
      </c>
      <c r="JN16" s="5" t="n">
        <v>5862.5</v>
      </c>
      <c r="JO16" s="5" t="n">
        <v>5862.5</v>
      </c>
      <c r="JP16" s="5" t="n">
        <v>8309.916666666666</v>
      </c>
      <c r="JQ16" s="5" t="n">
        <v>8309.916666666666</v>
      </c>
      <c r="JR16" s="5" t="n">
        <v>8309.916666666666</v>
      </c>
      <c r="JS16" s="5" t="n">
        <v>8309.916666666666</v>
      </c>
      <c r="JT16" s="5" t="n">
        <v>8309.916666666666</v>
      </c>
      <c r="JU16" s="5" t="n">
        <v>8309.916666666666</v>
      </c>
      <c r="JV16" s="5" t="n">
        <v>8309.916666666666</v>
      </c>
      <c r="JW16" s="5" t="n">
        <v>8309.916666666666</v>
      </c>
      <c r="JX16" s="5" t="n">
        <v>8309.916666666666</v>
      </c>
      <c r="JY16" s="5" t="n">
        <v>8309.916666666666</v>
      </c>
      <c r="JZ16" s="5" t="n">
        <v>8309.916666666666</v>
      </c>
      <c r="KA16" s="5" t="n">
        <v>8309.916666666666</v>
      </c>
      <c r="KB16" s="5" t="n">
        <v>5143.583333333333</v>
      </c>
      <c r="KC16" s="5" t="n">
        <v>5143.583333333333</v>
      </c>
      <c r="KD16" s="5" t="n">
        <v>5143.583333333333</v>
      </c>
      <c r="KE16" s="5" t="n">
        <v>5143.583333333333</v>
      </c>
      <c r="KF16" s="5" t="n">
        <v>5143.583333333333</v>
      </c>
      <c r="KG16" s="5" t="n">
        <v>5143.583333333333</v>
      </c>
      <c r="KH16" s="5" t="n">
        <v>5143.583333333333</v>
      </c>
      <c r="KI16" s="5" t="n">
        <v>5143.583333333333</v>
      </c>
      <c r="KJ16" s="5" t="n">
        <v>5143.583333333333</v>
      </c>
      <c r="KK16" s="5" t="n">
        <v>5143.583333333333</v>
      </c>
      <c r="KL16" s="5" t="n">
        <v>5143.583333333333</v>
      </c>
      <c r="KM16" s="5" t="n">
        <v>5143.583333333333</v>
      </c>
      <c r="KN16" s="5" t="n">
        <v>5062.166666666667</v>
      </c>
      <c r="KO16" s="5" t="n">
        <v>5062.166666666667</v>
      </c>
      <c r="KP16" s="5" t="n">
        <v>5062.166666666667</v>
      </c>
      <c r="KQ16" s="5" t="n">
        <v>5062.166666666667</v>
      </c>
      <c r="KR16" s="5" t="n">
        <v>5062.166666666667</v>
      </c>
      <c r="KS16" s="5" t="n">
        <v>5062.166666666667</v>
      </c>
      <c r="KT16" s="5" t="n">
        <v>5062.166666666667</v>
      </c>
      <c r="KU16" s="5" t="n">
        <v>5062.166666666667</v>
      </c>
      <c r="KV16" s="5" t="n">
        <v>5062.166666666667</v>
      </c>
      <c r="KW16" s="5" t="n">
        <v>5062.166666666667</v>
      </c>
      <c r="KX16" s="5" t="n">
        <v>5062.166666666667</v>
      </c>
      <c r="KY16" s="5" t="n">
        <v>5062.166666666667</v>
      </c>
      <c r="KZ16" s="5" t="n">
        <v>8152.416666666667</v>
      </c>
      <c r="LA16" s="5" t="n">
        <v>8152.416666666667</v>
      </c>
      <c r="LB16" s="5" t="n">
        <v>8152.416666666667</v>
      </c>
      <c r="LC16" s="5" t="n">
        <v>8152.416666666667</v>
      </c>
      <c r="LD16" s="5" t="n">
        <v>8152.416666666667</v>
      </c>
      <c r="LE16" s="5" t="n">
        <v>8152.416666666667</v>
      </c>
      <c r="LF16" s="5" t="n">
        <v>8152.416666666667</v>
      </c>
      <c r="LG16" s="5" t="n">
        <v>8152.416666666667</v>
      </c>
      <c r="LH16" s="5" t="n">
        <v>8152.416666666667</v>
      </c>
      <c r="LI16" s="5" t="n">
        <v>8152.416666666667</v>
      </c>
      <c r="LJ16" s="5" t="n">
        <v>8152.416666666667</v>
      </c>
      <c r="LK16" s="5" t="n">
        <v>8152.416666666667</v>
      </c>
      <c r="LL16" s="5" t="n">
        <v>4770</v>
      </c>
      <c r="LM16" s="5" t="n">
        <v>4770</v>
      </c>
      <c r="LN16" s="5" t="n">
        <v>4770</v>
      </c>
      <c r="LO16" s="5" t="n">
        <v>4770</v>
      </c>
      <c r="LP16" s="5" t="n">
        <v>4770</v>
      </c>
      <c r="LQ16" s="5" t="n">
        <v>4770</v>
      </c>
      <c r="LR16" s="5" t="n">
        <v>4770</v>
      </c>
      <c r="LS16" s="5" t="n">
        <v>4770</v>
      </c>
      <c r="LT16" s="5" t="n">
        <v>4770</v>
      </c>
      <c r="LU16" s="5" t="n">
        <v>4770</v>
      </c>
      <c r="LV16" s="5" t="n">
        <v>4770</v>
      </c>
      <c r="LW16" s="5" t="n">
        <v>0</v>
      </c>
      <c r="LX16" s="5" t="n">
        <v>0</v>
      </c>
      <c r="LY16" s="5" t="n">
        <v>0</v>
      </c>
      <c r="LZ16" s="5" t="n">
        <v>0</v>
      </c>
      <c r="MA16" s="5" t="n">
        <v>0</v>
      </c>
      <c r="MB16" s="5" t="n">
        <v>0</v>
      </c>
      <c r="MC16" s="5" t="n">
        <v>0</v>
      </c>
      <c r="MD16" s="5" t="n">
        <v>0</v>
      </c>
      <c r="ME16" s="5" t="n">
        <v>0</v>
      </c>
      <c r="MF16" s="5" t="n">
        <v>0</v>
      </c>
      <c r="MG16" s="5" t="n">
        <v>0</v>
      </c>
      <c r="MH16" s="5" t="n">
        <v>0</v>
      </c>
      <c r="MI16" s="5" t="n">
        <v>0</v>
      </c>
      <c r="MJ16" s="5" t="n">
        <v>0</v>
      </c>
      <c r="MK16" s="5" t="n">
        <v>0</v>
      </c>
      <c r="ML16" s="5" t="n">
        <v>0</v>
      </c>
      <c r="MM16" s="5" t="n">
        <v>0</v>
      </c>
      <c r="MN16" s="5" t="n">
        <v>0</v>
      </c>
      <c r="MO16" s="5" t="n">
        <v>0</v>
      </c>
      <c r="MP16" s="5" t="n">
        <v>0</v>
      </c>
      <c r="MQ16" s="5" t="n">
        <v>0</v>
      </c>
      <c r="MR16" s="5" t="n">
        <v>0</v>
      </c>
      <c r="MS16" s="5" t="n">
        <v>0</v>
      </c>
      <c r="MT16" s="5" t="n">
        <v>0</v>
      </c>
      <c r="MU16" s="5" t="n">
        <v>0</v>
      </c>
      <c r="MV16" s="5" t="n">
        <v>0</v>
      </c>
      <c r="MW16" s="5" t="n">
        <v>0</v>
      </c>
      <c r="MX16" s="5" t="n">
        <v>0</v>
      </c>
      <c r="MY16" s="5" t="n">
        <v>0</v>
      </c>
      <c r="MZ16" s="5" t="n">
        <v>0</v>
      </c>
      <c r="NA16" s="5" t="n">
        <v>0</v>
      </c>
      <c r="NB16" s="5" t="n">
        <v>0</v>
      </c>
      <c r="NC16" s="5" t="n">
        <v>0</v>
      </c>
      <c r="ND16" s="5" t="n">
        <v>0</v>
      </c>
      <c r="NE16" s="5" t="n">
        <v>0</v>
      </c>
      <c r="NF16" s="5" t="n">
        <v>0</v>
      </c>
      <c r="NG16" s="5" t="n">
        <v>0</v>
      </c>
      <c r="NH16" s="5" t="n">
        <v>0</v>
      </c>
      <c r="NI16" s="5" t="n">
        <v>0</v>
      </c>
      <c r="NJ16" s="5" t="n">
        <v>0</v>
      </c>
      <c r="NK16" s="5" t="n">
        <v>0</v>
      </c>
      <c r="NL16" s="5" t="n">
        <v>0</v>
      </c>
      <c r="NM16" s="5" t="n">
        <v>0</v>
      </c>
      <c r="NN16" s="5" t="n">
        <v>0</v>
      </c>
      <c r="NO16" s="5" t="n">
        <v>0</v>
      </c>
      <c r="NP16" s="5" t="n">
        <v>0</v>
      </c>
      <c r="NQ16" s="5" t="n">
        <v>0</v>
      </c>
      <c r="NR16" s="5" t="n">
        <v>0</v>
      </c>
      <c r="NS16" s="5" t="n">
        <v>0</v>
      </c>
      <c r="NT16" s="5" t="n">
        <v>0</v>
      </c>
      <c r="NU16" s="5" t="n">
        <v>0</v>
      </c>
      <c r="NV16" s="5" t="n">
        <v>0</v>
      </c>
      <c r="NW16" s="5" t="n">
        <v>0</v>
      </c>
      <c r="NX16" s="5" t="n">
        <v>0</v>
      </c>
      <c r="NY16" s="5" t="n">
        <v>0</v>
      </c>
      <c r="NZ16" s="5" t="n">
        <v>0</v>
      </c>
      <c r="OA16" s="5" t="n">
        <v>0</v>
      </c>
      <c r="OB16" s="5" t="n">
        <v>0</v>
      </c>
      <c r="OC16" s="5" t="n">
        <v>0</v>
      </c>
      <c r="OD16" s="5" t="n">
        <v>0</v>
      </c>
      <c r="OE16" s="5" t="n">
        <v>0</v>
      </c>
      <c r="OF16" s="5" t="n">
        <v>0</v>
      </c>
      <c r="OG16" s="5" t="n">
        <v>0</v>
      </c>
      <c r="OH16" s="5" t="n">
        <v>0</v>
      </c>
      <c r="OI16" s="5" t="n">
        <v>0</v>
      </c>
      <c r="OJ16" s="5" t="n">
        <v>0</v>
      </c>
      <c r="OK16" s="5" t="n">
        <v>0</v>
      </c>
      <c r="OL16" s="5" t="n">
        <v>0</v>
      </c>
      <c r="OM16" s="5" t="n">
        <v>0</v>
      </c>
      <c r="ON16" s="5" t="n">
        <v>0</v>
      </c>
      <c r="OO16" s="5" t="n">
        <v>0</v>
      </c>
      <c r="OP16" s="5" t="n">
        <v>0</v>
      </c>
      <c r="OQ16" s="5" t="n">
        <v>0</v>
      </c>
      <c r="OR16" s="5" t="n">
        <v>0</v>
      </c>
      <c r="OS16" s="5" t="n">
        <v>0</v>
      </c>
      <c r="OT16" s="5" t="n">
        <v>0</v>
      </c>
      <c r="OU16" s="5" t="n">
        <v>0</v>
      </c>
      <c r="OV16" s="5" t="n">
        <v>0</v>
      </c>
      <c r="OW16" s="5" t="n">
        <v>0</v>
      </c>
      <c r="OX16" s="5" t="n">
        <v>0</v>
      </c>
      <c r="OY16" s="5" t="n">
        <v>0</v>
      </c>
      <c r="OZ16" s="5" t="n">
        <v>0</v>
      </c>
      <c r="PA16" s="5" t="n">
        <v>0</v>
      </c>
      <c r="PB16" s="5" t="n">
        <v>0</v>
      </c>
      <c r="PC16" s="5" t="n">
        <v>0</v>
      </c>
      <c r="PD16" s="5" t="n">
        <v>0</v>
      </c>
      <c r="PE16" s="5" t="n">
        <v>0</v>
      </c>
      <c r="PF16" s="5" t="n">
        <v>0</v>
      </c>
      <c r="PG16" s="5" t="n">
        <v>0</v>
      </c>
      <c r="PH16" s="5" t="n">
        <v>0</v>
      </c>
      <c r="PI16" s="5" t="n">
        <v>0</v>
      </c>
      <c r="PJ16" s="5" t="n">
        <v>0</v>
      </c>
      <c r="PK16" s="5" t="n">
        <v>0</v>
      </c>
      <c r="PL16" s="5" t="n">
        <v>0</v>
      </c>
      <c r="PM16" s="5" t="n">
        <v>0</v>
      </c>
      <c r="PN16" s="5" t="n">
        <v>0</v>
      </c>
      <c r="PO16" s="5" t="n">
        <v>0</v>
      </c>
      <c r="PP16" s="5" t="n">
        <v>0</v>
      </c>
      <c r="PQ16" s="5" t="n">
        <v>0</v>
      </c>
      <c r="PR16" s="5" t="n">
        <v>0</v>
      </c>
      <c r="PS16" s="5" t="n">
        <v>0</v>
      </c>
      <c r="PT16" s="5" t="n">
        <v>0</v>
      </c>
      <c r="PU16" s="5" t="n">
        <v>0</v>
      </c>
      <c r="PV16" s="5" t="n">
        <v>0</v>
      </c>
      <c r="PW16" s="5" t="n">
        <v>0</v>
      </c>
      <c r="PX16" s="5" t="n">
        <v>0</v>
      </c>
      <c r="PY16" s="5" t="n">
        <v>0</v>
      </c>
      <c r="PZ16" s="5" t="n">
        <v>0</v>
      </c>
      <c r="QA16" s="5" t="n">
        <v>0</v>
      </c>
      <c r="QB16" s="5" t="n">
        <v>0</v>
      </c>
      <c r="QC16" s="5" t="n">
        <v>0</v>
      </c>
      <c r="QD16" s="5" t="n">
        <v>0</v>
      </c>
      <c r="QE16" s="5" t="n">
        <v>0</v>
      </c>
      <c r="QF16" s="5" t="n">
        <v>0</v>
      </c>
      <c r="QG16" s="5" t="n">
        <v>0</v>
      </c>
      <c r="QH16" s="5" t="n">
        <v>0</v>
      </c>
      <c r="QI16" s="5" t="n">
        <v>0</v>
      </c>
      <c r="QJ16" s="5" t="n">
        <v>0</v>
      </c>
      <c r="QK16" s="5" t="n">
        <v>0</v>
      </c>
      <c r="QL16" s="5" t="n">
        <v>0</v>
      </c>
      <c r="QM16" s="5" t="n">
        <v>0</v>
      </c>
      <c r="QN16" s="5" t="n">
        <v>0</v>
      </c>
      <c r="QO16" s="5" t="n">
        <v>0</v>
      </c>
      <c r="QP16" s="5" t="n">
        <v>0</v>
      </c>
      <c r="QQ16" s="5" t="n">
        <v>0</v>
      </c>
      <c r="QR16" s="5" t="n">
        <v>0</v>
      </c>
      <c r="QS16" s="5" t="n">
        <v>0</v>
      </c>
      <c r="QT16" s="5" t="n">
        <v>0</v>
      </c>
      <c r="QU16" s="5" t="n">
        <v>0</v>
      </c>
      <c r="QV16" s="5" t="n">
        <v>0</v>
      </c>
      <c r="QW16" s="5" t="n">
        <v>0</v>
      </c>
      <c r="QX16" s="5" t="n">
        <v>0</v>
      </c>
      <c r="QY16" s="5" t="n">
        <v>0</v>
      </c>
      <c r="QZ16" s="5" t="n">
        <v>0</v>
      </c>
      <c r="RA16" s="5" t="n">
        <v>0</v>
      </c>
      <c r="RB16" s="5" t="n">
        <v>0</v>
      </c>
      <c r="RC16" s="5" t="n">
        <v>0</v>
      </c>
      <c r="RD16" s="5" t="n">
        <v>0</v>
      </c>
      <c r="RE16" s="5" t="n">
        <v>0</v>
      </c>
      <c r="RF16" s="5" t="n">
        <v>0</v>
      </c>
      <c r="RG16" s="5" t="n">
        <v>0</v>
      </c>
      <c r="RH16" s="5" t="n">
        <v>0</v>
      </c>
      <c r="RI16" s="5" t="n">
        <v>0</v>
      </c>
      <c r="RJ16" s="5" t="n">
        <v>0</v>
      </c>
      <c r="RK16" s="5" t="n">
        <v>0</v>
      </c>
      <c r="RL16" s="5" t="n">
        <v>0</v>
      </c>
      <c r="RM16" s="5" t="n">
        <v>0</v>
      </c>
      <c r="RN16" s="5" t="n">
        <v>0</v>
      </c>
      <c r="RO16" s="5" t="n">
        <v>0</v>
      </c>
      <c r="RP16" s="5" t="n">
        <v>0</v>
      </c>
      <c r="RQ16" s="5" t="n">
        <v>0</v>
      </c>
      <c r="RR16" s="5" t="n">
        <v>0</v>
      </c>
      <c r="RS16" s="5" t="n">
        <v>0</v>
      </c>
      <c r="RT16" s="5" t="n">
        <v>0</v>
      </c>
      <c r="RU16" s="5" t="n">
        <v>0</v>
      </c>
      <c r="RV16" s="5" t="n">
        <v>0</v>
      </c>
      <c r="RW16" s="5" t="n">
        <v>0</v>
      </c>
    </row>
    <row r="17">
      <c r="A17" t="inlineStr">
        <is>
          <t>CAPEX_001.drawdown_profile</t>
        </is>
      </c>
      <c r="B17" t="inlineStr">
        <is>
          <t>kEUR</t>
        </is>
      </c>
      <c r="L17" s="5" t="n">
        <v>0.02777777777777778</v>
      </c>
      <c r="M17" s="5" t="n">
        <v>0.02777777777777778</v>
      </c>
      <c r="N17" s="5" t="n">
        <v>0.02777777777777778</v>
      </c>
      <c r="O17" s="5" t="n">
        <v>0.02777777777777778</v>
      </c>
      <c r="P17" s="5" t="n">
        <v>0.02777777777777778</v>
      </c>
      <c r="Q17" s="5" t="n">
        <v>0.02777777777777778</v>
      </c>
      <c r="R17" s="5" t="n">
        <v>0.02777777777777778</v>
      </c>
      <c r="S17" s="5" t="n">
        <v>0.02777777777777778</v>
      </c>
      <c r="T17" s="5" t="n">
        <v>0.02777777777777778</v>
      </c>
      <c r="U17" s="5" t="n">
        <v>0.02777777777777778</v>
      </c>
      <c r="V17" s="5" t="n">
        <v>0.02777777777777778</v>
      </c>
      <c r="W17" s="5" t="n">
        <v>0.02777777777777778</v>
      </c>
      <c r="X17" s="5" t="n">
        <v>0.02777777777777778</v>
      </c>
      <c r="Y17" s="5" t="n">
        <v>0.02777777777777778</v>
      </c>
      <c r="Z17" s="5" t="n">
        <v>0.02777777777777778</v>
      </c>
      <c r="AA17" s="5" t="n">
        <v>0.02777777777777778</v>
      </c>
      <c r="AB17" s="5" t="n">
        <v>0.02777777777777778</v>
      </c>
      <c r="AC17" s="5" t="n">
        <v>0.02777777777777778</v>
      </c>
      <c r="AD17" s="5" t="n">
        <v>0.02777777777777778</v>
      </c>
      <c r="AE17" s="5" t="n">
        <v>0.02777777777777778</v>
      </c>
      <c r="AF17" s="5" t="n">
        <v>0.02777777777777778</v>
      </c>
      <c r="AG17" s="5" t="n">
        <v>0.02777777777777778</v>
      </c>
      <c r="AH17" s="5" t="n">
        <v>0.02777777777777778</v>
      </c>
      <c r="AI17" s="5" t="n">
        <v>0.02777777777777778</v>
      </c>
      <c r="AJ17" s="5" t="n">
        <v>0.02777777777777778</v>
      </c>
      <c r="AK17" s="5" t="n">
        <v>0.02777777777777778</v>
      </c>
      <c r="AL17" s="5" t="n">
        <v>0.02777777777777778</v>
      </c>
      <c r="AM17" s="5" t="n">
        <v>0.02777777777777778</v>
      </c>
      <c r="AN17" s="5" t="n">
        <v>0.02777777777777778</v>
      </c>
      <c r="AO17" s="5" t="n">
        <v>0.02777777777777778</v>
      </c>
      <c r="AP17" s="5" t="n">
        <v>0.02777777777777778</v>
      </c>
      <c r="AQ17" s="5" t="n">
        <v>0.02777777777777778</v>
      </c>
      <c r="AR17" s="5" t="n">
        <v>0.02777777777777778</v>
      </c>
      <c r="AS17" s="5" t="n">
        <v>0.02777777777777778</v>
      </c>
      <c r="AT17" s="5" t="n">
        <v>0.02777777777777778</v>
      </c>
      <c r="AU17" s="5" t="n">
        <v>0.02777777777777778</v>
      </c>
    </row>
    <row r="18">
      <c r="A18" t="inlineStr">
        <is>
          <t>DEBT_001.drawdowns</t>
        </is>
      </c>
      <c r="B18" t="inlineStr">
        <is>
          <t>kEUR</t>
        </is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  <c r="AE18" s="5" t="n">
        <v>0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0</v>
      </c>
      <c r="AR18" s="5" t="n">
        <v>0</v>
      </c>
      <c r="AS18" s="5" t="n">
        <v>0</v>
      </c>
      <c r="AT18" s="5" t="n">
        <v>0</v>
      </c>
      <c r="AU18" s="5" t="n">
        <v>0</v>
      </c>
      <c r="AV18" s="5" t="n">
        <v>0</v>
      </c>
      <c r="AW18" s="5" t="n">
        <v>0</v>
      </c>
      <c r="AX18" s="5" t="n">
        <v>0</v>
      </c>
      <c r="AY18" s="5" t="n">
        <v>0</v>
      </c>
      <c r="AZ18" s="5" t="n">
        <v>0</v>
      </c>
      <c r="BA18" s="5" t="n">
        <v>0</v>
      </c>
      <c r="BB18" s="5" t="n">
        <v>0</v>
      </c>
      <c r="BC18" s="5" t="n">
        <v>0</v>
      </c>
      <c r="BD18" s="5" t="n">
        <v>0</v>
      </c>
      <c r="BE18" s="5" t="n">
        <v>0</v>
      </c>
      <c r="BF18" s="5" t="n">
        <v>0</v>
      </c>
      <c r="BG18" s="5" t="n">
        <v>0</v>
      </c>
      <c r="BH18" s="5" t="n">
        <v>23505.11111111111</v>
      </c>
      <c r="BI18" s="5" t="n">
        <v>23505.11111111111</v>
      </c>
      <c r="BJ18" s="5" t="n">
        <v>23505.11111111111</v>
      </c>
      <c r="BK18" s="5" t="n">
        <v>23505.11111111111</v>
      </c>
      <c r="BL18" s="5" t="n">
        <v>23505.11111111111</v>
      </c>
      <c r="BM18" s="5" t="n">
        <v>23505.11111111111</v>
      </c>
      <c r="BN18" s="5" t="n">
        <v>23505.11111111111</v>
      </c>
      <c r="BO18" s="5" t="n">
        <v>23505.11111111111</v>
      </c>
      <c r="BP18" s="5" t="n">
        <v>23505.11111111111</v>
      </c>
      <c r="BQ18" s="5" t="n">
        <v>23505.11111111111</v>
      </c>
      <c r="BR18" s="5" t="n">
        <v>23505.11111111111</v>
      </c>
      <c r="BS18" s="5" t="n">
        <v>23505.11111111111</v>
      </c>
      <c r="BT18" s="5" t="n">
        <v>23505.11111111111</v>
      </c>
      <c r="BU18" s="5" t="n">
        <v>23505.11111111111</v>
      </c>
      <c r="BV18" s="5" t="n">
        <v>23505.11111111111</v>
      </c>
      <c r="BW18" s="5" t="n">
        <v>23505.11111111111</v>
      </c>
      <c r="BX18" s="5" t="n">
        <v>23505.11111111111</v>
      </c>
      <c r="BY18" s="5" t="n">
        <v>23505.11111111111</v>
      </c>
      <c r="BZ18" s="5" t="n">
        <v>23505.11111111111</v>
      </c>
      <c r="CA18" s="5" t="n">
        <v>23505.11111111111</v>
      </c>
      <c r="CB18" s="5" t="n">
        <v>23505.11111111111</v>
      </c>
      <c r="CC18" s="5" t="n">
        <v>23505.11111111111</v>
      </c>
      <c r="CD18" s="5" t="n">
        <v>23505.11111111111</v>
      </c>
      <c r="CE18" s="5" t="n">
        <v>23505.11111111111</v>
      </c>
      <c r="CF18" s="5" t="n">
        <v>23505.11111111111</v>
      </c>
      <c r="CG18" s="5" t="n">
        <v>23505.11111111111</v>
      </c>
      <c r="CH18" s="5" t="n">
        <v>23505.11111111111</v>
      </c>
      <c r="CI18" s="5" t="n">
        <v>23505.11111111111</v>
      </c>
      <c r="CJ18" s="5" t="n">
        <v>23505.11111111111</v>
      </c>
      <c r="CK18" s="5" t="n">
        <v>23505.11111111111</v>
      </c>
      <c r="CL18" s="5" t="n">
        <v>23505.11111111111</v>
      </c>
      <c r="CM18" s="5" t="n">
        <v>23505.11111111111</v>
      </c>
      <c r="CN18" s="5" t="n">
        <v>23505.11111111111</v>
      </c>
      <c r="CO18" s="5" t="n">
        <v>23505.11111111111</v>
      </c>
      <c r="CP18" s="5" t="n">
        <v>23505.11111111111</v>
      </c>
      <c r="CQ18" s="5" t="n">
        <v>23505.11111111111</v>
      </c>
      <c r="CR18" s="5" t="n">
        <v>0</v>
      </c>
      <c r="CS18" s="5" t="n">
        <v>0</v>
      </c>
      <c r="CT18" s="5" t="n">
        <v>0</v>
      </c>
      <c r="CU18" s="5" t="n">
        <v>0</v>
      </c>
      <c r="CV18" s="5" t="n">
        <v>0</v>
      </c>
      <c r="CW18" s="5" t="n">
        <v>0</v>
      </c>
      <c r="CX18" s="5" t="n">
        <v>0</v>
      </c>
      <c r="CY18" s="5" t="n">
        <v>0</v>
      </c>
      <c r="CZ18" s="5" t="n">
        <v>0</v>
      </c>
      <c r="DA18" s="5" t="n">
        <v>0</v>
      </c>
      <c r="DB18" s="5" t="n">
        <v>0</v>
      </c>
      <c r="DC18" s="5" t="n">
        <v>0</v>
      </c>
      <c r="DD18" s="5" t="n">
        <v>0</v>
      </c>
      <c r="DE18" s="5" t="n">
        <v>0</v>
      </c>
      <c r="DF18" s="5" t="n">
        <v>0</v>
      </c>
      <c r="DG18" s="5" t="n">
        <v>0</v>
      </c>
      <c r="DH18" s="5" t="n">
        <v>0</v>
      </c>
      <c r="DI18" s="5" t="n">
        <v>0</v>
      </c>
      <c r="DJ18" s="5" t="n">
        <v>0</v>
      </c>
      <c r="DK18" s="5" t="n">
        <v>0</v>
      </c>
      <c r="DL18" s="5" t="n">
        <v>0</v>
      </c>
      <c r="DM18" s="5" t="n">
        <v>0</v>
      </c>
      <c r="DN18" s="5" t="n">
        <v>0</v>
      </c>
      <c r="DO18" s="5" t="n">
        <v>0</v>
      </c>
      <c r="DP18" s="5" t="n">
        <v>0</v>
      </c>
      <c r="DQ18" s="5" t="n">
        <v>0</v>
      </c>
      <c r="DR18" s="5" t="n">
        <v>0</v>
      </c>
      <c r="DS18" s="5" t="n">
        <v>0</v>
      </c>
      <c r="DT18" s="5" t="n">
        <v>0</v>
      </c>
      <c r="DU18" s="5" t="n">
        <v>0</v>
      </c>
      <c r="DV18" s="5" t="n">
        <v>0</v>
      </c>
      <c r="DW18" s="5" t="n">
        <v>0</v>
      </c>
      <c r="DX18" s="5" t="n">
        <v>0</v>
      </c>
      <c r="DY18" s="5" t="n">
        <v>0</v>
      </c>
      <c r="DZ18" s="5" t="n">
        <v>0</v>
      </c>
      <c r="EA18" s="5" t="n">
        <v>0</v>
      </c>
      <c r="EB18" s="5" t="n">
        <v>0</v>
      </c>
      <c r="EC18" s="5" t="n">
        <v>0</v>
      </c>
      <c r="ED18" s="5" t="n">
        <v>0</v>
      </c>
      <c r="EE18" s="5" t="n">
        <v>0</v>
      </c>
      <c r="EF18" s="5" t="n">
        <v>0</v>
      </c>
      <c r="EG18" s="5" t="n">
        <v>0</v>
      </c>
      <c r="EH18" s="5" t="n">
        <v>0</v>
      </c>
      <c r="EI18" s="5" t="n">
        <v>0</v>
      </c>
      <c r="EJ18" s="5" t="n">
        <v>0</v>
      </c>
      <c r="EK18" s="5" t="n">
        <v>0</v>
      </c>
      <c r="EL18" s="5" t="n">
        <v>0</v>
      </c>
      <c r="EM18" s="5" t="n">
        <v>0</v>
      </c>
      <c r="EN18" s="5" t="n">
        <v>0</v>
      </c>
      <c r="EO18" s="5" t="n">
        <v>0</v>
      </c>
      <c r="EP18" s="5" t="n">
        <v>0</v>
      </c>
      <c r="EQ18" s="5" t="n">
        <v>0</v>
      </c>
      <c r="ER18" s="5" t="n">
        <v>0</v>
      </c>
      <c r="ES18" s="5" t="n">
        <v>0</v>
      </c>
      <c r="ET18" s="5" t="n">
        <v>0</v>
      </c>
      <c r="EU18" s="5" t="n">
        <v>0</v>
      </c>
      <c r="EV18" s="5" t="n">
        <v>0</v>
      </c>
      <c r="EW18" s="5" t="n">
        <v>0</v>
      </c>
      <c r="EX18" s="5" t="n">
        <v>0</v>
      </c>
      <c r="EY18" s="5" t="n">
        <v>0</v>
      </c>
      <c r="EZ18" s="5" t="n">
        <v>0</v>
      </c>
      <c r="FA18" s="5" t="n">
        <v>0</v>
      </c>
      <c r="FB18" s="5" t="n">
        <v>0</v>
      </c>
      <c r="FC18" s="5" t="n">
        <v>0</v>
      </c>
      <c r="FD18" s="5" t="n">
        <v>0</v>
      </c>
      <c r="FE18" s="5" t="n">
        <v>0</v>
      </c>
      <c r="FF18" s="5" t="n">
        <v>0</v>
      </c>
      <c r="FG18" s="5" t="n">
        <v>0</v>
      </c>
      <c r="FH18" s="5" t="n">
        <v>0</v>
      </c>
      <c r="FI18" s="5" t="n">
        <v>0</v>
      </c>
      <c r="FJ18" s="5" t="n">
        <v>0</v>
      </c>
      <c r="FK18" s="5" t="n">
        <v>0</v>
      </c>
      <c r="FL18" s="5" t="n">
        <v>0</v>
      </c>
      <c r="FM18" s="5" t="n">
        <v>0</v>
      </c>
      <c r="FN18" s="5" t="n">
        <v>0</v>
      </c>
      <c r="FO18" s="5" t="n">
        <v>0</v>
      </c>
      <c r="FP18" s="5" t="n">
        <v>0</v>
      </c>
      <c r="FQ18" s="5" t="n">
        <v>0</v>
      </c>
      <c r="FR18" s="5" t="n">
        <v>0</v>
      </c>
      <c r="FS18" s="5" t="n">
        <v>0</v>
      </c>
      <c r="FT18" s="5" t="n">
        <v>0</v>
      </c>
      <c r="FU18" s="5" t="n">
        <v>0</v>
      </c>
      <c r="FV18" s="5" t="n">
        <v>0</v>
      </c>
      <c r="FW18" s="5" t="n">
        <v>0</v>
      </c>
      <c r="FX18" s="5" t="n">
        <v>0</v>
      </c>
      <c r="FY18" s="5" t="n">
        <v>0</v>
      </c>
      <c r="FZ18" s="5" t="n">
        <v>0</v>
      </c>
      <c r="GA18" s="5" t="n">
        <v>0</v>
      </c>
      <c r="GB18" s="5" t="n">
        <v>0</v>
      </c>
      <c r="GC18" s="5" t="n">
        <v>0</v>
      </c>
      <c r="GD18" s="5" t="n">
        <v>0</v>
      </c>
      <c r="GE18" s="5" t="n">
        <v>0</v>
      </c>
      <c r="GF18" s="5" t="n">
        <v>0</v>
      </c>
      <c r="GG18" s="5" t="n">
        <v>0</v>
      </c>
      <c r="GH18" s="5" t="n">
        <v>0</v>
      </c>
      <c r="GI18" s="5" t="n">
        <v>0</v>
      </c>
      <c r="GJ18" s="5" t="n">
        <v>0</v>
      </c>
      <c r="GK18" s="5" t="n">
        <v>0</v>
      </c>
      <c r="GL18" s="5" t="n">
        <v>0</v>
      </c>
      <c r="GM18" s="5" t="n">
        <v>0</v>
      </c>
      <c r="GN18" s="5" t="n">
        <v>0</v>
      </c>
      <c r="GO18" s="5" t="n">
        <v>0</v>
      </c>
      <c r="GP18" s="5" t="n">
        <v>0</v>
      </c>
      <c r="GQ18" s="5" t="n">
        <v>0</v>
      </c>
      <c r="GR18" s="5" t="n">
        <v>0</v>
      </c>
      <c r="GS18" s="5" t="n">
        <v>0</v>
      </c>
      <c r="GT18" s="5" t="n">
        <v>0</v>
      </c>
      <c r="GU18" s="5" t="n">
        <v>0</v>
      </c>
      <c r="GV18" s="5" t="n">
        <v>0</v>
      </c>
      <c r="GW18" s="5" t="n">
        <v>0</v>
      </c>
      <c r="GX18" s="5" t="n">
        <v>0</v>
      </c>
      <c r="GY18" s="5" t="n">
        <v>0</v>
      </c>
      <c r="GZ18" s="5" t="n">
        <v>0</v>
      </c>
      <c r="HA18" s="5" t="n">
        <v>0</v>
      </c>
      <c r="HB18" s="5" t="n">
        <v>0</v>
      </c>
      <c r="HC18" s="5" t="n">
        <v>0</v>
      </c>
      <c r="HD18" s="5" t="n">
        <v>0</v>
      </c>
      <c r="HE18" s="5" t="n">
        <v>0</v>
      </c>
      <c r="HF18" s="5" t="n">
        <v>0</v>
      </c>
      <c r="HG18" s="5" t="n">
        <v>0</v>
      </c>
      <c r="HH18" s="5" t="n">
        <v>0</v>
      </c>
      <c r="HI18" s="5" t="n">
        <v>0</v>
      </c>
      <c r="HJ18" s="5" t="n">
        <v>0</v>
      </c>
      <c r="HK18" s="5" t="n">
        <v>0</v>
      </c>
      <c r="HL18" s="5" t="n">
        <v>0</v>
      </c>
      <c r="HM18" s="5" t="n">
        <v>0</v>
      </c>
      <c r="HN18" s="5" t="n">
        <v>0</v>
      </c>
      <c r="HO18" s="5" t="n">
        <v>0</v>
      </c>
      <c r="HP18" s="5" t="n">
        <v>0</v>
      </c>
      <c r="HQ18" s="5" t="n">
        <v>0</v>
      </c>
      <c r="HR18" s="5" t="n">
        <v>0</v>
      </c>
      <c r="HS18" s="5" t="n">
        <v>0</v>
      </c>
      <c r="HT18" s="5" t="n">
        <v>0</v>
      </c>
      <c r="HU18" s="5" t="n">
        <v>0</v>
      </c>
      <c r="HV18" s="5" t="n">
        <v>0</v>
      </c>
      <c r="HW18" s="5" t="n">
        <v>0</v>
      </c>
      <c r="HX18" s="5" t="n">
        <v>0</v>
      </c>
      <c r="HY18" s="5" t="n">
        <v>0</v>
      </c>
      <c r="HZ18" s="5" t="n">
        <v>0</v>
      </c>
      <c r="IA18" s="5" t="n">
        <v>0</v>
      </c>
      <c r="IB18" s="5" t="n">
        <v>0</v>
      </c>
      <c r="IC18" s="5" t="n">
        <v>0</v>
      </c>
      <c r="ID18" s="5" t="n">
        <v>0</v>
      </c>
      <c r="IE18" s="5" t="n">
        <v>0</v>
      </c>
      <c r="IF18" s="5" t="n">
        <v>0</v>
      </c>
      <c r="IG18" s="5" t="n">
        <v>0</v>
      </c>
      <c r="IH18" s="5" t="n">
        <v>0</v>
      </c>
      <c r="II18" s="5" t="n">
        <v>0</v>
      </c>
      <c r="IJ18" s="5" t="n">
        <v>0</v>
      </c>
      <c r="IK18" s="5" t="n">
        <v>0</v>
      </c>
      <c r="IL18" s="5" t="n">
        <v>0</v>
      </c>
      <c r="IM18" s="5" t="n">
        <v>0</v>
      </c>
      <c r="IN18" s="5" t="n">
        <v>0</v>
      </c>
      <c r="IO18" s="5" t="n">
        <v>0</v>
      </c>
      <c r="IP18" s="5" t="n">
        <v>0</v>
      </c>
      <c r="IQ18" s="5" t="n">
        <v>0</v>
      </c>
      <c r="IR18" s="5" t="n">
        <v>0</v>
      </c>
      <c r="IS18" s="5" t="n">
        <v>0</v>
      </c>
      <c r="IT18" s="5" t="n">
        <v>0</v>
      </c>
      <c r="IU18" s="5" t="n">
        <v>0</v>
      </c>
      <c r="IV18" s="5" t="n">
        <v>0</v>
      </c>
      <c r="IW18" s="5" t="n">
        <v>0</v>
      </c>
      <c r="IX18" s="5" t="n">
        <v>0</v>
      </c>
      <c r="IY18" s="5" t="n">
        <v>0</v>
      </c>
      <c r="IZ18" s="5" t="n">
        <v>0</v>
      </c>
      <c r="JA18" s="5" t="n">
        <v>0</v>
      </c>
      <c r="JB18" s="5" t="n">
        <v>0</v>
      </c>
      <c r="JC18" s="5" t="n">
        <v>0</v>
      </c>
      <c r="JD18" s="5" t="n">
        <v>0</v>
      </c>
      <c r="JE18" s="5" t="n">
        <v>0</v>
      </c>
      <c r="JF18" s="5" t="n">
        <v>0</v>
      </c>
      <c r="JG18" s="5" t="n">
        <v>0</v>
      </c>
      <c r="JH18" s="5" t="n">
        <v>0</v>
      </c>
      <c r="JI18" s="5" t="n">
        <v>0</v>
      </c>
      <c r="JJ18" s="5" t="n">
        <v>0</v>
      </c>
      <c r="JK18" s="5" t="n">
        <v>0</v>
      </c>
      <c r="JL18" s="5" t="n">
        <v>0</v>
      </c>
      <c r="JM18" s="5" t="n">
        <v>0</v>
      </c>
      <c r="JN18" s="5" t="n">
        <v>0</v>
      </c>
      <c r="JO18" s="5" t="n">
        <v>0</v>
      </c>
      <c r="JP18" s="5" t="n">
        <v>0</v>
      </c>
      <c r="JQ18" s="5" t="n">
        <v>0</v>
      </c>
      <c r="JR18" s="5" t="n">
        <v>0</v>
      </c>
      <c r="JS18" s="5" t="n">
        <v>0</v>
      </c>
      <c r="JT18" s="5" t="n">
        <v>0</v>
      </c>
      <c r="JU18" s="5" t="n">
        <v>0</v>
      </c>
      <c r="JV18" s="5" t="n">
        <v>0</v>
      </c>
      <c r="JW18" s="5" t="n">
        <v>0</v>
      </c>
      <c r="JX18" s="5" t="n">
        <v>0</v>
      </c>
      <c r="JY18" s="5" t="n">
        <v>0</v>
      </c>
      <c r="JZ18" s="5" t="n">
        <v>0</v>
      </c>
      <c r="KA18" s="5" t="n">
        <v>0</v>
      </c>
      <c r="KB18" s="5" t="n">
        <v>0</v>
      </c>
      <c r="KC18" s="5" t="n">
        <v>0</v>
      </c>
      <c r="KD18" s="5" t="n">
        <v>0</v>
      </c>
      <c r="KE18" s="5" t="n">
        <v>0</v>
      </c>
      <c r="KF18" s="5" t="n">
        <v>0</v>
      </c>
      <c r="KG18" s="5" t="n">
        <v>0</v>
      </c>
      <c r="KH18" s="5" t="n">
        <v>0</v>
      </c>
      <c r="KI18" s="5" t="n">
        <v>0</v>
      </c>
      <c r="KJ18" s="5" t="n">
        <v>0</v>
      </c>
      <c r="KK18" s="5" t="n">
        <v>0</v>
      </c>
      <c r="KL18" s="5" t="n">
        <v>0</v>
      </c>
      <c r="KM18" s="5" t="n">
        <v>0</v>
      </c>
      <c r="KN18" s="5" t="n">
        <v>0</v>
      </c>
      <c r="KO18" s="5" t="n">
        <v>0</v>
      </c>
      <c r="KP18" s="5" t="n">
        <v>0</v>
      </c>
      <c r="KQ18" s="5" t="n">
        <v>0</v>
      </c>
      <c r="KR18" s="5" t="n">
        <v>0</v>
      </c>
      <c r="KS18" s="5" t="n">
        <v>0</v>
      </c>
      <c r="KT18" s="5" t="n">
        <v>0</v>
      </c>
      <c r="KU18" s="5" t="n">
        <v>0</v>
      </c>
      <c r="KV18" s="5" t="n">
        <v>0</v>
      </c>
      <c r="KW18" s="5" t="n">
        <v>0</v>
      </c>
      <c r="KX18" s="5" t="n">
        <v>0</v>
      </c>
      <c r="KY18" s="5" t="n">
        <v>0</v>
      </c>
      <c r="KZ18" s="5" t="n">
        <v>0</v>
      </c>
      <c r="LA18" s="5" t="n">
        <v>0</v>
      </c>
      <c r="LB18" s="5" t="n">
        <v>0</v>
      </c>
      <c r="LC18" s="5" t="n">
        <v>0</v>
      </c>
      <c r="LD18" s="5" t="n">
        <v>0</v>
      </c>
      <c r="LE18" s="5" t="n">
        <v>0</v>
      </c>
      <c r="LF18" s="5" t="n">
        <v>0</v>
      </c>
      <c r="LG18" s="5" t="n">
        <v>0</v>
      </c>
      <c r="LH18" s="5" t="n">
        <v>0</v>
      </c>
      <c r="LI18" s="5" t="n">
        <v>0</v>
      </c>
      <c r="LJ18" s="5" t="n">
        <v>0</v>
      </c>
      <c r="LK18" s="5" t="n">
        <v>0</v>
      </c>
      <c r="LL18" s="5" t="n">
        <v>0</v>
      </c>
      <c r="LM18" s="5" t="n">
        <v>0</v>
      </c>
      <c r="LN18" s="5" t="n">
        <v>0</v>
      </c>
      <c r="LO18" s="5" t="n">
        <v>0</v>
      </c>
      <c r="LP18" s="5" t="n">
        <v>0</v>
      </c>
      <c r="LQ18" s="5" t="n">
        <v>0</v>
      </c>
      <c r="LR18" s="5" t="n">
        <v>0</v>
      </c>
      <c r="LS18" s="5" t="n">
        <v>0</v>
      </c>
      <c r="LT18" s="5" t="n">
        <v>0</v>
      </c>
      <c r="LU18" s="5" t="n">
        <v>0</v>
      </c>
      <c r="LV18" s="5" t="n">
        <v>0</v>
      </c>
      <c r="LW18" s="5" t="n">
        <v>0</v>
      </c>
      <c r="LX18" s="5" t="n">
        <v>0</v>
      </c>
      <c r="LY18" s="5" t="n">
        <v>0</v>
      </c>
      <c r="LZ18" s="5" t="n">
        <v>0</v>
      </c>
      <c r="MA18" s="5" t="n">
        <v>0</v>
      </c>
      <c r="MB18" s="5" t="n">
        <v>0</v>
      </c>
      <c r="MC18" s="5" t="n">
        <v>0</v>
      </c>
      <c r="MD18" s="5" t="n">
        <v>0</v>
      </c>
      <c r="ME18" s="5" t="n">
        <v>0</v>
      </c>
      <c r="MF18" s="5" t="n">
        <v>0</v>
      </c>
      <c r="MG18" s="5" t="n">
        <v>0</v>
      </c>
      <c r="MH18" s="5" t="n">
        <v>0</v>
      </c>
      <c r="MI18" s="5" t="n">
        <v>0</v>
      </c>
      <c r="MJ18" s="5" t="n">
        <v>0</v>
      </c>
      <c r="MK18" s="5" t="n">
        <v>0</v>
      </c>
      <c r="ML18" s="5" t="n">
        <v>0</v>
      </c>
      <c r="MM18" s="5" t="n">
        <v>0</v>
      </c>
      <c r="MN18" s="5" t="n">
        <v>0</v>
      </c>
      <c r="MO18" s="5" t="n">
        <v>0</v>
      </c>
      <c r="MP18" s="5" t="n">
        <v>0</v>
      </c>
      <c r="MQ18" s="5" t="n">
        <v>0</v>
      </c>
      <c r="MR18" s="5" t="n">
        <v>0</v>
      </c>
      <c r="MS18" s="5" t="n">
        <v>0</v>
      </c>
      <c r="MT18" s="5" t="n">
        <v>0</v>
      </c>
      <c r="MU18" s="5" t="n">
        <v>0</v>
      </c>
      <c r="MV18" s="5" t="n">
        <v>0</v>
      </c>
      <c r="MW18" s="5" t="n">
        <v>0</v>
      </c>
      <c r="MX18" s="5" t="n">
        <v>0</v>
      </c>
      <c r="MY18" s="5" t="n">
        <v>0</v>
      </c>
      <c r="MZ18" s="5" t="n">
        <v>0</v>
      </c>
      <c r="NA18" s="5" t="n">
        <v>0</v>
      </c>
      <c r="NB18" s="5" t="n">
        <v>0</v>
      </c>
      <c r="NC18" s="5" t="n">
        <v>0</v>
      </c>
      <c r="ND18" s="5" t="n">
        <v>0</v>
      </c>
      <c r="NE18" s="5" t="n">
        <v>0</v>
      </c>
      <c r="NF18" s="5" t="n">
        <v>0</v>
      </c>
      <c r="NG18" s="5" t="n">
        <v>0</v>
      </c>
      <c r="NH18" s="5" t="n">
        <v>0</v>
      </c>
      <c r="NI18" s="5" t="n">
        <v>0</v>
      </c>
      <c r="NJ18" s="5" t="n">
        <v>0</v>
      </c>
      <c r="NK18" s="5" t="n">
        <v>0</v>
      </c>
      <c r="NL18" s="5" t="n">
        <v>0</v>
      </c>
      <c r="NM18" s="5" t="n">
        <v>0</v>
      </c>
      <c r="NN18" s="5" t="n">
        <v>0</v>
      </c>
      <c r="NO18" s="5" t="n">
        <v>0</v>
      </c>
      <c r="NP18" s="5" t="n">
        <v>0</v>
      </c>
      <c r="NQ18" s="5" t="n">
        <v>0</v>
      </c>
      <c r="NR18" s="5" t="n">
        <v>0</v>
      </c>
      <c r="NS18" s="5" t="n">
        <v>0</v>
      </c>
      <c r="NT18" s="5" t="n">
        <v>0</v>
      </c>
      <c r="NU18" s="5" t="n">
        <v>0</v>
      </c>
      <c r="NV18" s="5" t="n">
        <v>0</v>
      </c>
      <c r="NW18" s="5" t="n">
        <v>0</v>
      </c>
      <c r="NX18" s="5" t="n">
        <v>0</v>
      </c>
      <c r="NY18" s="5" t="n">
        <v>0</v>
      </c>
      <c r="NZ18" s="5" t="n">
        <v>0</v>
      </c>
      <c r="OA18" s="5" t="n">
        <v>0</v>
      </c>
      <c r="OB18" s="5" t="n">
        <v>0</v>
      </c>
      <c r="OC18" s="5" t="n">
        <v>0</v>
      </c>
      <c r="OD18" s="5" t="n">
        <v>0</v>
      </c>
      <c r="OE18" s="5" t="n">
        <v>0</v>
      </c>
      <c r="OF18" s="5" t="n">
        <v>0</v>
      </c>
      <c r="OG18" s="5" t="n">
        <v>0</v>
      </c>
      <c r="OH18" s="5" t="n">
        <v>0</v>
      </c>
      <c r="OI18" s="5" t="n">
        <v>0</v>
      </c>
      <c r="OJ18" s="5" t="n">
        <v>0</v>
      </c>
      <c r="OK18" s="5" t="n">
        <v>0</v>
      </c>
      <c r="OL18" s="5" t="n">
        <v>0</v>
      </c>
      <c r="OM18" s="5" t="n">
        <v>0</v>
      </c>
      <c r="ON18" s="5" t="n">
        <v>0</v>
      </c>
      <c r="OO18" s="5" t="n">
        <v>0</v>
      </c>
      <c r="OP18" s="5" t="n">
        <v>0</v>
      </c>
      <c r="OQ18" s="5" t="n">
        <v>0</v>
      </c>
      <c r="OR18" s="5" t="n">
        <v>0</v>
      </c>
      <c r="OS18" s="5" t="n">
        <v>0</v>
      </c>
      <c r="OT18" s="5" t="n">
        <v>0</v>
      </c>
      <c r="OU18" s="5" t="n">
        <v>0</v>
      </c>
      <c r="OV18" s="5" t="n">
        <v>0</v>
      </c>
      <c r="OW18" s="5" t="n">
        <v>0</v>
      </c>
      <c r="OX18" s="5" t="n">
        <v>0</v>
      </c>
      <c r="OY18" s="5" t="n">
        <v>0</v>
      </c>
      <c r="OZ18" s="5" t="n">
        <v>0</v>
      </c>
      <c r="PA18" s="5" t="n">
        <v>0</v>
      </c>
      <c r="PB18" s="5" t="n">
        <v>0</v>
      </c>
      <c r="PC18" s="5" t="n">
        <v>0</v>
      </c>
      <c r="PD18" s="5" t="n">
        <v>0</v>
      </c>
      <c r="PE18" s="5" t="n">
        <v>0</v>
      </c>
      <c r="PF18" s="5" t="n">
        <v>0</v>
      </c>
      <c r="PG18" s="5" t="n">
        <v>0</v>
      </c>
      <c r="PH18" s="5" t="n">
        <v>0</v>
      </c>
      <c r="PI18" s="5" t="n">
        <v>0</v>
      </c>
      <c r="PJ18" s="5" t="n">
        <v>0</v>
      </c>
      <c r="PK18" s="5" t="n">
        <v>0</v>
      </c>
      <c r="PL18" s="5" t="n">
        <v>0</v>
      </c>
      <c r="PM18" s="5" t="n">
        <v>0</v>
      </c>
      <c r="PN18" s="5" t="n">
        <v>0</v>
      </c>
      <c r="PO18" s="5" t="n">
        <v>0</v>
      </c>
      <c r="PP18" s="5" t="n">
        <v>0</v>
      </c>
      <c r="PQ18" s="5" t="n">
        <v>0</v>
      </c>
      <c r="PR18" s="5" t="n">
        <v>0</v>
      </c>
      <c r="PS18" s="5" t="n">
        <v>0</v>
      </c>
      <c r="PT18" s="5" t="n">
        <v>0</v>
      </c>
      <c r="PU18" s="5" t="n">
        <v>0</v>
      </c>
      <c r="PV18" s="5" t="n">
        <v>0</v>
      </c>
      <c r="PW18" s="5" t="n">
        <v>0</v>
      </c>
      <c r="PX18" s="5" t="n">
        <v>0</v>
      </c>
      <c r="PY18" s="5" t="n">
        <v>0</v>
      </c>
      <c r="PZ18" s="5" t="n">
        <v>0</v>
      </c>
      <c r="QA18" s="5" t="n">
        <v>0</v>
      </c>
      <c r="QB18" s="5" t="n">
        <v>0</v>
      </c>
      <c r="QC18" s="5" t="n">
        <v>0</v>
      </c>
      <c r="QD18" s="5" t="n">
        <v>0</v>
      </c>
      <c r="QE18" s="5" t="n">
        <v>0</v>
      </c>
      <c r="QF18" s="5" t="n">
        <v>0</v>
      </c>
      <c r="QG18" s="5" t="n">
        <v>0</v>
      </c>
      <c r="QH18" s="5" t="n">
        <v>0</v>
      </c>
      <c r="QI18" s="5" t="n">
        <v>0</v>
      </c>
      <c r="QJ18" s="5" t="n">
        <v>0</v>
      </c>
      <c r="QK18" s="5" t="n">
        <v>0</v>
      </c>
      <c r="QL18" s="5" t="n">
        <v>0</v>
      </c>
      <c r="QM18" s="5" t="n">
        <v>0</v>
      </c>
      <c r="QN18" s="5" t="n">
        <v>0</v>
      </c>
      <c r="QO18" s="5" t="n">
        <v>0</v>
      </c>
      <c r="QP18" s="5" t="n">
        <v>0</v>
      </c>
      <c r="QQ18" s="5" t="n">
        <v>0</v>
      </c>
      <c r="QR18" s="5" t="n">
        <v>0</v>
      </c>
      <c r="QS18" s="5" t="n">
        <v>0</v>
      </c>
      <c r="QT18" s="5" t="n">
        <v>0</v>
      </c>
      <c r="QU18" s="5" t="n">
        <v>0</v>
      </c>
      <c r="QV18" s="5" t="n">
        <v>0</v>
      </c>
      <c r="QW18" s="5" t="n">
        <v>0</v>
      </c>
      <c r="QX18" s="5" t="n">
        <v>0</v>
      </c>
      <c r="QY18" s="5" t="n">
        <v>0</v>
      </c>
      <c r="QZ18" s="5" t="n">
        <v>0</v>
      </c>
      <c r="RA18" s="5" t="n">
        <v>0</v>
      </c>
      <c r="RB18" s="5" t="n">
        <v>0</v>
      </c>
      <c r="RC18" s="5" t="n">
        <v>0</v>
      </c>
      <c r="RD18" s="5" t="n">
        <v>0</v>
      </c>
      <c r="RE18" s="5" t="n">
        <v>0</v>
      </c>
      <c r="RF18" s="5" t="n">
        <v>0</v>
      </c>
      <c r="RG18" s="5" t="n">
        <v>0</v>
      </c>
      <c r="RH18" s="5" t="n">
        <v>0</v>
      </c>
      <c r="RI18" s="5" t="n">
        <v>0</v>
      </c>
      <c r="RJ18" s="5" t="n">
        <v>0</v>
      </c>
      <c r="RK18" s="5" t="n">
        <v>0</v>
      </c>
      <c r="RL18" s="5" t="n">
        <v>0</v>
      </c>
      <c r="RM18" s="5" t="n">
        <v>0</v>
      </c>
      <c r="RN18" s="5" t="n">
        <v>0</v>
      </c>
      <c r="RO18" s="5" t="n">
        <v>0</v>
      </c>
      <c r="RP18" s="5" t="n">
        <v>0</v>
      </c>
      <c r="RQ18" s="5" t="n">
        <v>0</v>
      </c>
      <c r="RR18" s="5" t="n">
        <v>0</v>
      </c>
      <c r="RS18" s="5" t="n">
        <v>0</v>
      </c>
      <c r="RT18" s="5" t="n">
        <v>0</v>
      </c>
      <c r="RU18" s="5" t="n">
        <v>0</v>
      </c>
      <c r="RV18" s="5" t="n">
        <v>0</v>
      </c>
      <c r="RW18" s="5" t="n">
        <v>0</v>
      </c>
    </row>
    <row r="19">
      <c r="A19" t="inlineStr">
        <is>
          <t>TAX_AU_001.ebitda</t>
        </is>
      </c>
      <c r="B19" t="inlineStr">
        <is>
          <t>kEUR</t>
        </is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5" t="n">
        <v>0</v>
      </c>
      <c r="AG19" s="5" t="n">
        <v>0</v>
      </c>
      <c r="AH19" s="5" t="n">
        <v>0</v>
      </c>
      <c r="AI19" s="5" t="n">
        <v>0</v>
      </c>
      <c r="AJ19" s="5" t="n">
        <v>0</v>
      </c>
      <c r="AK19" s="5" t="n">
        <v>0</v>
      </c>
      <c r="AL19" s="5" t="n">
        <v>0</v>
      </c>
      <c r="AM19" s="5" t="n">
        <v>0</v>
      </c>
      <c r="AN19" s="5" t="n">
        <v>0</v>
      </c>
      <c r="AO19" s="5" t="n">
        <v>0</v>
      </c>
      <c r="AP19" s="5" t="n">
        <v>0</v>
      </c>
      <c r="AQ19" s="5" t="n">
        <v>0</v>
      </c>
      <c r="AR19" s="5" t="n">
        <v>0</v>
      </c>
      <c r="AS19" s="5" t="n">
        <v>0</v>
      </c>
      <c r="AT19" s="5" t="n">
        <v>0</v>
      </c>
      <c r="AU19" s="5" t="n">
        <v>0</v>
      </c>
      <c r="AV19" s="5" t="n">
        <v>0</v>
      </c>
      <c r="AW19" s="5" t="n">
        <v>0</v>
      </c>
      <c r="AX19" s="5" t="n">
        <v>0</v>
      </c>
      <c r="AY19" s="5" t="n">
        <v>0</v>
      </c>
      <c r="AZ19" s="5" t="n">
        <v>0</v>
      </c>
      <c r="BA19" s="5" t="n">
        <v>0</v>
      </c>
      <c r="BB19" s="5" t="n">
        <v>0</v>
      </c>
      <c r="BC19" s="5" t="n">
        <v>0</v>
      </c>
      <c r="BD19" s="5" t="n">
        <v>0</v>
      </c>
      <c r="BE19" s="5" t="n">
        <v>0</v>
      </c>
      <c r="BF19" s="5" t="n">
        <v>0</v>
      </c>
      <c r="BG19" s="5" t="n">
        <v>0</v>
      </c>
      <c r="BH19" s="5" t="n">
        <v>0</v>
      </c>
      <c r="BI19" s="5" t="n">
        <v>0</v>
      </c>
      <c r="BJ19" s="5" t="n">
        <v>0</v>
      </c>
      <c r="BK19" s="5" t="n">
        <v>0</v>
      </c>
      <c r="BL19" s="5" t="n">
        <v>0</v>
      </c>
      <c r="BM19" s="5" t="n">
        <v>0</v>
      </c>
      <c r="BN19" s="5" t="n">
        <v>0</v>
      </c>
      <c r="BO19" s="5" t="n">
        <v>0</v>
      </c>
      <c r="BP19" s="5" t="n">
        <v>0</v>
      </c>
      <c r="BQ19" s="5" t="n">
        <v>0</v>
      </c>
      <c r="BR19" s="5" t="n">
        <v>0</v>
      </c>
      <c r="BS19" s="5" t="n">
        <v>0</v>
      </c>
      <c r="BT19" s="5" t="n">
        <v>0</v>
      </c>
      <c r="BU19" s="5" t="n">
        <v>0</v>
      </c>
      <c r="BV19" s="5" t="n">
        <v>0</v>
      </c>
      <c r="BW19" s="5" t="n">
        <v>0</v>
      </c>
      <c r="BX19" s="5" t="n">
        <v>0</v>
      </c>
      <c r="BY19" s="5" t="n">
        <v>0</v>
      </c>
      <c r="BZ19" s="5" t="n">
        <v>0</v>
      </c>
      <c r="CA19" s="5" t="n">
        <v>0</v>
      </c>
      <c r="CB19" s="5" t="n">
        <v>0</v>
      </c>
      <c r="CC19" s="5" t="n">
        <v>0</v>
      </c>
      <c r="CD19" s="5" t="n">
        <v>0</v>
      </c>
      <c r="CE19" s="5" t="n">
        <v>0</v>
      </c>
      <c r="CF19" s="5" t="n">
        <v>0</v>
      </c>
      <c r="CG19" s="5" t="n">
        <v>0</v>
      </c>
      <c r="CH19" s="5" t="n">
        <v>0</v>
      </c>
      <c r="CI19" s="5" t="n">
        <v>0</v>
      </c>
      <c r="CJ19" s="5" t="n">
        <v>0</v>
      </c>
      <c r="CK19" s="5" t="n">
        <v>0</v>
      </c>
      <c r="CL19" s="5" t="n">
        <v>0</v>
      </c>
      <c r="CM19" s="5" t="n">
        <v>0</v>
      </c>
      <c r="CN19" s="5" t="n">
        <v>0</v>
      </c>
      <c r="CO19" s="5" t="n">
        <v>0</v>
      </c>
      <c r="CP19" s="5" t="n">
        <v>0</v>
      </c>
      <c r="CQ19" s="5" t="n">
        <v>0</v>
      </c>
      <c r="CR19" s="5" t="n">
        <v>0</v>
      </c>
      <c r="CS19" s="5" t="n">
        <v>0</v>
      </c>
      <c r="CT19" s="5" t="n">
        <v>0</v>
      </c>
      <c r="CU19" s="5" t="n">
        <v>0</v>
      </c>
      <c r="CV19" s="5" t="n">
        <v>0</v>
      </c>
      <c r="CW19" s="5" t="n">
        <v>0</v>
      </c>
      <c r="CX19" s="5" t="n">
        <v>0</v>
      </c>
      <c r="CY19" s="5" t="n">
        <v>0</v>
      </c>
      <c r="CZ19" s="5" t="n">
        <v>0</v>
      </c>
      <c r="DA19" s="5" t="n">
        <v>0</v>
      </c>
      <c r="DB19" s="5" t="n">
        <v>0</v>
      </c>
      <c r="DC19" s="5" t="n">
        <v>0</v>
      </c>
      <c r="DD19" s="5" t="n">
        <v>0</v>
      </c>
      <c r="DE19" s="5" t="n">
        <v>0</v>
      </c>
      <c r="DF19" s="5" t="n">
        <v>0</v>
      </c>
      <c r="DG19" s="5" t="n">
        <v>0</v>
      </c>
      <c r="DH19" s="5" t="n">
        <v>0</v>
      </c>
      <c r="DI19" s="5" t="n">
        <v>0</v>
      </c>
      <c r="DJ19" s="5" t="n">
        <v>0</v>
      </c>
      <c r="DK19" s="5" t="n">
        <v>0</v>
      </c>
      <c r="DL19" s="5" t="n">
        <v>0</v>
      </c>
      <c r="DM19" s="5" t="n">
        <v>0</v>
      </c>
      <c r="DN19" s="5" t="n">
        <v>0</v>
      </c>
      <c r="DO19" s="5" t="n">
        <v>0</v>
      </c>
      <c r="DP19" s="5" t="n">
        <v>0</v>
      </c>
      <c r="DQ19" s="5" t="n">
        <v>0</v>
      </c>
      <c r="DR19" s="5" t="n">
        <v>0</v>
      </c>
      <c r="DS19" s="5" t="n">
        <v>0</v>
      </c>
      <c r="DT19" s="5" t="n">
        <v>0</v>
      </c>
      <c r="DU19" s="5" t="n">
        <v>0</v>
      </c>
      <c r="DV19" s="5" t="n">
        <v>0</v>
      </c>
      <c r="DW19" s="5" t="n">
        <v>0</v>
      </c>
      <c r="DX19" s="5" t="n">
        <v>0</v>
      </c>
      <c r="DY19" s="5" t="n">
        <v>0</v>
      </c>
      <c r="DZ19" s="5" t="n">
        <v>0</v>
      </c>
      <c r="EA19" s="5" t="n">
        <v>0</v>
      </c>
      <c r="EB19" s="5" t="n">
        <v>0</v>
      </c>
      <c r="EC19" s="5" t="n">
        <v>0</v>
      </c>
      <c r="ED19" s="5" t="n">
        <v>0</v>
      </c>
      <c r="EE19" s="5" t="n">
        <v>0</v>
      </c>
      <c r="EF19" s="5" t="n">
        <v>0</v>
      </c>
      <c r="EG19" s="5" t="n">
        <v>0</v>
      </c>
      <c r="EH19" s="5" t="n">
        <v>0</v>
      </c>
      <c r="EI19" s="5" t="n">
        <v>0</v>
      </c>
      <c r="EJ19" s="5" t="n">
        <v>0</v>
      </c>
      <c r="EK19" s="5" t="n">
        <v>0</v>
      </c>
      <c r="EL19" s="5" t="n">
        <v>0</v>
      </c>
      <c r="EM19" s="5" t="n">
        <v>0</v>
      </c>
      <c r="EN19" s="5" t="n">
        <v>0</v>
      </c>
      <c r="EO19" s="5" t="n">
        <v>0</v>
      </c>
      <c r="EP19" s="5" t="n">
        <v>0</v>
      </c>
      <c r="EQ19" s="5" t="n">
        <v>0</v>
      </c>
      <c r="ER19" s="5" t="n">
        <v>0</v>
      </c>
      <c r="ES19" s="5" t="n">
        <v>0</v>
      </c>
      <c r="ET19" s="5" t="n">
        <v>0</v>
      </c>
      <c r="EU19" s="5" t="n">
        <v>0</v>
      </c>
      <c r="EV19" s="5" t="n">
        <v>0</v>
      </c>
      <c r="EW19" s="5" t="n">
        <v>0</v>
      </c>
      <c r="EX19" s="5" t="n">
        <v>0</v>
      </c>
      <c r="EY19" s="5" t="n">
        <v>0</v>
      </c>
      <c r="EZ19" s="5" t="n">
        <v>0</v>
      </c>
      <c r="FA19" s="5" t="n">
        <v>0</v>
      </c>
      <c r="FB19" s="5" t="n">
        <v>0</v>
      </c>
      <c r="FC19" s="5" t="n">
        <v>0</v>
      </c>
      <c r="FD19" s="5" t="n">
        <v>0</v>
      </c>
      <c r="FE19" s="5" t="n">
        <v>0</v>
      </c>
      <c r="FF19" s="5" t="n">
        <v>0</v>
      </c>
      <c r="FG19" s="5" t="n">
        <v>0</v>
      </c>
      <c r="FH19" s="5" t="n">
        <v>0</v>
      </c>
      <c r="FI19" s="5" t="n">
        <v>0</v>
      </c>
      <c r="FJ19" s="5" t="n">
        <v>0</v>
      </c>
      <c r="FK19" s="5" t="n">
        <v>0</v>
      </c>
      <c r="FL19" s="5" t="n">
        <v>0</v>
      </c>
      <c r="FM19" s="5" t="n">
        <v>0</v>
      </c>
      <c r="FN19" s="5" t="n">
        <v>0</v>
      </c>
      <c r="FO19" s="5" t="n">
        <v>0</v>
      </c>
      <c r="FP19" s="5" t="n">
        <v>0</v>
      </c>
      <c r="FQ19" s="5" t="n">
        <v>0</v>
      </c>
      <c r="FR19" s="5" t="n">
        <v>0</v>
      </c>
      <c r="FS19" s="5" t="n">
        <v>0</v>
      </c>
      <c r="FT19" s="5" t="n">
        <v>0</v>
      </c>
      <c r="FU19" s="5" t="n">
        <v>0</v>
      </c>
      <c r="FV19" s="5" t="n">
        <v>0</v>
      </c>
      <c r="FW19" s="5" t="n">
        <v>0</v>
      </c>
      <c r="FX19" s="5" t="n">
        <v>0</v>
      </c>
      <c r="FY19" s="5" t="n">
        <v>0</v>
      </c>
      <c r="FZ19" s="5" t="n">
        <v>0</v>
      </c>
      <c r="GA19" s="5" t="n">
        <v>0</v>
      </c>
      <c r="GB19" s="5" t="n">
        <v>0</v>
      </c>
      <c r="GC19" s="5" t="n">
        <v>0</v>
      </c>
      <c r="GD19" s="5" t="n">
        <v>0</v>
      </c>
      <c r="GE19" s="5" t="n">
        <v>0</v>
      </c>
      <c r="GF19" s="5" t="n">
        <v>0</v>
      </c>
      <c r="GG19" s="5" t="n">
        <v>0</v>
      </c>
      <c r="GH19" s="5" t="n">
        <v>0</v>
      </c>
      <c r="GI19" s="5" t="n">
        <v>0</v>
      </c>
      <c r="GJ19" s="5" t="n">
        <v>0</v>
      </c>
      <c r="GK19" s="5" t="n">
        <v>0</v>
      </c>
      <c r="GL19" s="5" t="n">
        <v>0</v>
      </c>
      <c r="GM19" s="5" t="n">
        <v>0</v>
      </c>
      <c r="GN19" s="5" t="n">
        <v>0</v>
      </c>
      <c r="GO19" s="5" t="n">
        <v>0</v>
      </c>
      <c r="GP19" s="5" t="n">
        <v>0</v>
      </c>
      <c r="GQ19" s="5" t="n">
        <v>0</v>
      </c>
      <c r="GR19" s="5" t="n">
        <v>0</v>
      </c>
      <c r="GS19" s="5" t="n">
        <v>0</v>
      </c>
      <c r="GT19" s="5" t="n">
        <v>0</v>
      </c>
      <c r="GU19" s="5" t="n">
        <v>0</v>
      </c>
      <c r="GV19" s="5" t="n">
        <v>0</v>
      </c>
      <c r="GW19" s="5" t="n">
        <v>0</v>
      </c>
      <c r="GX19" s="5" t="n">
        <v>0</v>
      </c>
      <c r="GY19" s="5" t="n">
        <v>0</v>
      </c>
      <c r="GZ19" s="5" t="n">
        <v>0</v>
      </c>
      <c r="HA19" s="5" t="n">
        <v>0</v>
      </c>
      <c r="HB19" s="5" t="n">
        <v>0</v>
      </c>
      <c r="HC19" s="5" t="n">
        <v>0</v>
      </c>
      <c r="HD19" s="5" t="n">
        <v>0</v>
      </c>
      <c r="HE19" s="5" t="n">
        <v>0</v>
      </c>
      <c r="HF19" s="5" t="n">
        <v>0</v>
      </c>
      <c r="HG19" s="5" t="n">
        <v>0</v>
      </c>
      <c r="HH19" s="5" t="n">
        <v>0</v>
      </c>
      <c r="HI19" s="5" t="n">
        <v>0</v>
      </c>
      <c r="HJ19" s="5" t="n">
        <v>0</v>
      </c>
      <c r="HK19" s="5" t="n">
        <v>0</v>
      </c>
      <c r="HL19" s="5" t="n">
        <v>0</v>
      </c>
      <c r="HM19" s="5" t="n">
        <v>0</v>
      </c>
      <c r="HN19" s="5" t="n">
        <v>0</v>
      </c>
      <c r="HO19" s="5" t="n">
        <v>0</v>
      </c>
      <c r="HP19" s="5" t="n">
        <v>0</v>
      </c>
      <c r="HQ19" s="5" t="n">
        <v>0</v>
      </c>
      <c r="HR19" s="5" t="n">
        <v>0</v>
      </c>
      <c r="HS19" s="5" t="n">
        <v>0</v>
      </c>
      <c r="HT19" s="5" t="n">
        <v>0</v>
      </c>
      <c r="HU19" s="5" t="n">
        <v>0</v>
      </c>
      <c r="HV19" s="5" t="n">
        <v>0</v>
      </c>
      <c r="HW19" s="5" t="n">
        <v>0</v>
      </c>
      <c r="HX19" s="5" t="n">
        <v>0</v>
      </c>
      <c r="HY19" s="5" t="n">
        <v>0</v>
      </c>
      <c r="HZ19" s="5" t="n">
        <v>0</v>
      </c>
      <c r="IA19" s="5" t="n">
        <v>0</v>
      </c>
      <c r="IB19" s="5" t="n">
        <v>0</v>
      </c>
      <c r="IC19" s="5" t="n">
        <v>0</v>
      </c>
      <c r="ID19" s="5" t="n">
        <v>0</v>
      </c>
      <c r="IE19" s="5" t="n">
        <v>0</v>
      </c>
      <c r="IF19" s="5" t="n">
        <v>0</v>
      </c>
      <c r="IG19" s="5" t="n">
        <v>0</v>
      </c>
      <c r="IH19" s="5" t="n">
        <v>0</v>
      </c>
      <c r="II19" s="5" t="n">
        <v>0</v>
      </c>
      <c r="IJ19" s="5" t="n">
        <v>0</v>
      </c>
      <c r="IK19" s="5" t="n">
        <v>0</v>
      </c>
      <c r="IL19" s="5" t="n">
        <v>0</v>
      </c>
      <c r="IM19" s="5" t="n">
        <v>0</v>
      </c>
      <c r="IN19" s="5" t="n">
        <v>0</v>
      </c>
      <c r="IO19" s="5" t="n">
        <v>0</v>
      </c>
      <c r="IP19" s="5" t="n">
        <v>0</v>
      </c>
      <c r="IQ19" s="5" t="n">
        <v>0</v>
      </c>
      <c r="IR19" s="5" t="n">
        <v>0</v>
      </c>
      <c r="IS19" s="5" t="n">
        <v>0</v>
      </c>
      <c r="IT19" s="5" t="n">
        <v>0</v>
      </c>
      <c r="IU19" s="5" t="n">
        <v>0</v>
      </c>
      <c r="IV19" s="5" t="n">
        <v>0</v>
      </c>
      <c r="IW19" s="5" t="n">
        <v>0</v>
      </c>
      <c r="IX19" s="5" t="n">
        <v>0</v>
      </c>
      <c r="IY19" s="5" t="n">
        <v>0</v>
      </c>
      <c r="IZ19" s="5" t="n">
        <v>0</v>
      </c>
      <c r="JA19" s="5" t="n">
        <v>0</v>
      </c>
      <c r="JB19" s="5" t="n">
        <v>0</v>
      </c>
      <c r="JC19" s="5" t="n">
        <v>0</v>
      </c>
      <c r="JD19" s="5" t="n">
        <v>0</v>
      </c>
      <c r="JE19" s="5" t="n">
        <v>0</v>
      </c>
      <c r="JF19" s="5" t="n">
        <v>0</v>
      </c>
      <c r="JG19" s="5" t="n">
        <v>0</v>
      </c>
      <c r="JH19" s="5" t="n">
        <v>0</v>
      </c>
      <c r="JI19" s="5" t="n">
        <v>0</v>
      </c>
      <c r="JJ19" s="5" t="n">
        <v>0</v>
      </c>
      <c r="JK19" s="5" t="n">
        <v>0</v>
      </c>
      <c r="JL19" s="5" t="n">
        <v>0</v>
      </c>
      <c r="JM19" s="5" t="n">
        <v>0</v>
      </c>
      <c r="JN19" s="5" t="n">
        <v>0</v>
      </c>
      <c r="JO19" s="5" t="n">
        <v>0</v>
      </c>
      <c r="JP19" s="5" t="n">
        <v>0</v>
      </c>
      <c r="JQ19" s="5" t="n">
        <v>0</v>
      </c>
      <c r="JR19" s="5" t="n">
        <v>0</v>
      </c>
      <c r="JS19" s="5" t="n">
        <v>0</v>
      </c>
      <c r="JT19" s="5" t="n">
        <v>0</v>
      </c>
      <c r="JU19" s="5" t="n">
        <v>0</v>
      </c>
      <c r="JV19" s="5" t="n">
        <v>0</v>
      </c>
      <c r="JW19" s="5" t="n">
        <v>0</v>
      </c>
      <c r="JX19" s="5" t="n">
        <v>0</v>
      </c>
      <c r="JY19" s="5" t="n">
        <v>0</v>
      </c>
      <c r="JZ19" s="5" t="n">
        <v>0</v>
      </c>
      <c r="KA19" s="5" t="n">
        <v>0</v>
      </c>
      <c r="KB19" s="5" t="n">
        <v>0</v>
      </c>
      <c r="KC19" s="5" t="n">
        <v>0</v>
      </c>
      <c r="KD19" s="5" t="n">
        <v>0</v>
      </c>
      <c r="KE19" s="5" t="n">
        <v>0</v>
      </c>
      <c r="KF19" s="5" t="n">
        <v>0</v>
      </c>
      <c r="KG19" s="5" t="n">
        <v>0</v>
      </c>
      <c r="KH19" s="5" t="n">
        <v>0</v>
      </c>
      <c r="KI19" s="5" t="n">
        <v>0</v>
      </c>
      <c r="KJ19" s="5" t="n">
        <v>0</v>
      </c>
      <c r="KK19" s="5" t="n">
        <v>0</v>
      </c>
      <c r="KL19" s="5" t="n">
        <v>0</v>
      </c>
      <c r="KM19" s="5" t="n">
        <v>0</v>
      </c>
      <c r="KN19" s="5" t="n">
        <v>0</v>
      </c>
      <c r="KO19" s="5" t="n">
        <v>0</v>
      </c>
      <c r="KP19" s="5" t="n">
        <v>0</v>
      </c>
      <c r="KQ19" s="5" t="n">
        <v>0</v>
      </c>
      <c r="KR19" s="5" t="n">
        <v>0</v>
      </c>
      <c r="KS19" s="5" t="n">
        <v>0</v>
      </c>
      <c r="KT19" s="5" t="n">
        <v>0</v>
      </c>
      <c r="KU19" s="5" t="n">
        <v>0</v>
      </c>
      <c r="KV19" s="5" t="n">
        <v>0</v>
      </c>
      <c r="KW19" s="5" t="n">
        <v>0</v>
      </c>
      <c r="KX19" s="5" t="n">
        <v>0</v>
      </c>
      <c r="KY19" s="5" t="n">
        <v>0</v>
      </c>
      <c r="KZ19" s="5" t="n">
        <v>0</v>
      </c>
      <c r="LA19" s="5" t="n">
        <v>0</v>
      </c>
      <c r="LB19" s="5" t="n">
        <v>0</v>
      </c>
      <c r="LC19" s="5" t="n">
        <v>0</v>
      </c>
      <c r="LD19" s="5" t="n">
        <v>0</v>
      </c>
      <c r="LE19" s="5" t="n">
        <v>0</v>
      </c>
      <c r="LF19" s="5" t="n">
        <v>0</v>
      </c>
      <c r="LG19" s="5" t="n">
        <v>0</v>
      </c>
      <c r="LH19" s="5" t="n">
        <v>0</v>
      </c>
      <c r="LI19" s="5" t="n">
        <v>0</v>
      </c>
      <c r="LJ19" s="5" t="n">
        <v>0</v>
      </c>
      <c r="LK19" s="5" t="n">
        <v>0</v>
      </c>
      <c r="LL19" s="5" t="n">
        <v>0</v>
      </c>
      <c r="LM19" s="5" t="n">
        <v>0</v>
      </c>
      <c r="LN19" s="5" t="n">
        <v>0</v>
      </c>
      <c r="LO19" s="5" t="n">
        <v>0</v>
      </c>
      <c r="LP19" s="5" t="n">
        <v>0</v>
      </c>
      <c r="LQ19" s="5" t="n">
        <v>0</v>
      </c>
      <c r="LR19" s="5" t="n">
        <v>0</v>
      </c>
      <c r="LS19" s="5" t="n">
        <v>0</v>
      </c>
      <c r="LT19" s="5" t="n">
        <v>0</v>
      </c>
      <c r="LU19" s="5" t="n">
        <v>0</v>
      </c>
      <c r="LV19" s="5" t="n">
        <v>0</v>
      </c>
      <c r="LW19" s="5" t="n">
        <v>0</v>
      </c>
      <c r="LX19" s="5" t="n">
        <v>0</v>
      </c>
      <c r="LY19" s="5" t="n">
        <v>0</v>
      </c>
      <c r="LZ19" s="5" t="n">
        <v>0</v>
      </c>
      <c r="MA19" s="5" t="n">
        <v>0</v>
      </c>
      <c r="MB19" s="5" t="n">
        <v>0</v>
      </c>
      <c r="MC19" s="5" t="n">
        <v>0</v>
      </c>
      <c r="MD19" s="5" t="n">
        <v>0</v>
      </c>
      <c r="ME19" s="5" t="n">
        <v>0</v>
      </c>
      <c r="MF19" s="5" t="n">
        <v>0</v>
      </c>
      <c r="MG19" s="5" t="n">
        <v>0</v>
      </c>
      <c r="MH19" s="5" t="n">
        <v>0</v>
      </c>
      <c r="MI19" s="5" t="n">
        <v>0</v>
      </c>
      <c r="MJ19" s="5" t="n">
        <v>0</v>
      </c>
      <c r="MK19" s="5" t="n">
        <v>0</v>
      </c>
      <c r="ML19" s="5" t="n">
        <v>0</v>
      </c>
      <c r="MM19" s="5" t="n">
        <v>0</v>
      </c>
      <c r="MN19" s="5" t="n">
        <v>0</v>
      </c>
      <c r="MO19" s="5" t="n">
        <v>0</v>
      </c>
      <c r="MP19" s="5" t="n">
        <v>0</v>
      </c>
      <c r="MQ19" s="5" t="n">
        <v>0</v>
      </c>
      <c r="MR19" s="5" t="n">
        <v>0</v>
      </c>
      <c r="MS19" s="5" t="n">
        <v>0</v>
      </c>
      <c r="MT19" s="5" t="n">
        <v>0</v>
      </c>
      <c r="MU19" s="5" t="n">
        <v>0</v>
      </c>
      <c r="MV19" s="5" t="n">
        <v>0</v>
      </c>
      <c r="MW19" s="5" t="n">
        <v>0</v>
      </c>
      <c r="MX19" s="5" t="n">
        <v>0</v>
      </c>
      <c r="MY19" s="5" t="n">
        <v>0</v>
      </c>
      <c r="MZ19" s="5" t="n">
        <v>0</v>
      </c>
      <c r="NA19" s="5" t="n">
        <v>0</v>
      </c>
      <c r="NB19" s="5" t="n">
        <v>0</v>
      </c>
      <c r="NC19" s="5" t="n">
        <v>0</v>
      </c>
      <c r="ND19" s="5" t="n">
        <v>0</v>
      </c>
      <c r="NE19" s="5" t="n">
        <v>0</v>
      </c>
      <c r="NF19" s="5" t="n">
        <v>0</v>
      </c>
      <c r="NG19" s="5" t="n">
        <v>0</v>
      </c>
      <c r="NH19" s="5" t="n">
        <v>0</v>
      </c>
      <c r="NI19" s="5" t="n">
        <v>0</v>
      </c>
      <c r="NJ19" s="5" t="n">
        <v>0</v>
      </c>
      <c r="NK19" s="5" t="n">
        <v>0</v>
      </c>
      <c r="NL19" s="5" t="n">
        <v>0</v>
      </c>
      <c r="NM19" s="5" t="n">
        <v>0</v>
      </c>
      <c r="NN19" s="5" t="n">
        <v>0</v>
      </c>
      <c r="NO19" s="5" t="n">
        <v>0</v>
      </c>
      <c r="NP19" s="5" t="n">
        <v>0</v>
      </c>
      <c r="NQ19" s="5" t="n">
        <v>0</v>
      </c>
      <c r="NR19" s="5" t="n">
        <v>0</v>
      </c>
      <c r="NS19" s="5" t="n">
        <v>0</v>
      </c>
      <c r="NT19" s="5" t="n">
        <v>0</v>
      </c>
      <c r="NU19" s="5" t="n">
        <v>0</v>
      </c>
      <c r="NV19" s="5" t="n">
        <v>0</v>
      </c>
      <c r="NW19" s="5" t="n">
        <v>0</v>
      </c>
      <c r="NX19" s="5" t="n">
        <v>0</v>
      </c>
      <c r="NY19" s="5" t="n">
        <v>0</v>
      </c>
      <c r="NZ19" s="5" t="n">
        <v>0</v>
      </c>
      <c r="OA19" s="5" t="n">
        <v>0</v>
      </c>
      <c r="OB19" s="5" t="n">
        <v>0</v>
      </c>
      <c r="OC19" s="5" t="n">
        <v>0</v>
      </c>
      <c r="OD19" s="5" t="n">
        <v>0</v>
      </c>
      <c r="OE19" s="5" t="n">
        <v>0</v>
      </c>
      <c r="OF19" s="5" t="n">
        <v>0</v>
      </c>
      <c r="OG19" s="5" t="n">
        <v>0</v>
      </c>
      <c r="OH19" s="5" t="n">
        <v>0</v>
      </c>
      <c r="OI19" s="5" t="n">
        <v>0</v>
      </c>
      <c r="OJ19" s="5" t="n">
        <v>0</v>
      </c>
      <c r="OK19" s="5" t="n">
        <v>0</v>
      </c>
      <c r="OL19" s="5" t="n">
        <v>0</v>
      </c>
      <c r="OM19" s="5" t="n">
        <v>0</v>
      </c>
      <c r="ON19" s="5" t="n">
        <v>0</v>
      </c>
      <c r="OO19" s="5" t="n">
        <v>0</v>
      </c>
      <c r="OP19" s="5" t="n">
        <v>0</v>
      </c>
      <c r="OQ19" s="5" t="n">
        <v>0</v>
      </c>
      <c r="OR19" s="5" t="n">
        <v>0</v>
      </c>
      <c r="OS19" s="5" t="n">
        <v>0</v>
      </c>
      <c r="OT19" s="5" t="n">
        <v>0</v>
      </c>
      <c r="OU19" s="5" t="n">
        <v>0</v>
      </c>
      <c r="OV19" s="5" t="n">
        <v>0</v>
      </c>
      <c r="OW19" s="5" t="n">
        <v>0</v>
      </c>
      <c r="OX19" s="5" t="n">
        <v>0</v>
      </c>
      <c r="OY19" s="5" t="n">
        <v>0</v>
      </c>
      <c r="OZ19" s="5" t="n">
        <v>0</v>
      </c>
      <c r="PA19" s="5" t="n">
        <v>0</v>
      </c>
      <c r="PB19" s="5" t="n">
        <v>0</v>
      </c>
      <c r="PC19" s="5" t="n">
        <v>0</v>
      </c>
      <c r="PD19" s="5" t="n">
        <v>0</v>
      </c>
      <c r="PE19" s="5" t="n">
        <v>0</v>
      </c>
      <c r="PF19" s="5" t="n">
        <v>0</v>
      </c>
      <c r="PG19" s="5" t="n">
        <v>0</v>
      </c>
      <c r="PH19" s="5" t="n">
        <v>0</v>
      </c>
      <c r="PI19" s="5" t="n">
        <v>0</v>
      </c>
      <c r="PJ19" s="5" t="n">
        <v>0</v>
      </c>
      <c r="PK19" s="5" t="n">
        <v>0</v>
      </c>
      <c r="PL19" s="5" t="n">
        <v>0</v>
      </c>
      <c r="PM19" s="5" t="n">
        <v>0</v>
      </c>
      <c r="PN19" s="5" t="n">
        <v>0</v>
      </c>
      <c r="PO19" s="5" t="n">
        <v>0</v>
      </c>
      <c r="PP19" s="5" t="n">
        <v>0</v>
      </c>
      <c r="PQ19" s="5" t="n">
        <v>0</v>
      </c>
      <c r="PR19" s="5" t="n">
        <v>0</v>
      </c>
      <c r="PS19" s="5" t="n">
        <v>0</v>
      </c>
      <c r="PT19" s="5" t="n">
        <v>0</v>
      </c>
      <c r="PU19" s="5" t="n">
        <v>0</v>
      </c>
      <c r="PV19" s="5" t="n">
        <v>0</v>
      </c>
      <c r="PW19" s="5" t="n">
        <v>0</v>
      </c>
      <c r="PX19" s="5" t="n">
        <v>0</v>
      </c>
      <c r="PY19" s="5" t="n">
        <v>0</v>
      </c>
      <c r="PZ19" s="5" t="n">
        <v>0</v>
      </c>
      <c r="QA19" s="5" t="n">
        <v>0</v>
      </c>
      <c r="QB19" s="5" t="n">
        <v>0</v>
      </c>
      <c r="QC19" s="5" t="n">
        <v>0</v>
      </c>
      <c r="QD19" s="5" t="n">
        <v>0</v>
      </c>
      <c r="QE19" s="5" t="n">
        <v>0</v>
      </c>
      <c r="QF19" s="5" t="n">
        <v>0</v>
      </c>
      <c r="QG19" s="5" t="n">
        <v>0</v>
      </c>
      <c r="QH19" s="5" t="n">
        <v>0</v>
      </c>
      <c r="QI19" s="5" t="n">
        <v>0</v>
      </c>
      <c r="QJ19" s="5" t="n">
        <v>0</v>
      </c>
      <c r="QK19" s="5" t="n">
        <v>0</v>
      </c>
      <c r="QL19" s="5" t="n">
        <v>0</v>
      </c>
      <c r="QM19" s="5" t="n">
        <v>0</v>
      </c>
      <c r="QN19" s="5" t="n">
        <v>0</v>
      </c>
      <c r="QO19" s="5" t="n">
        <v>0</v>
      </c>
      <c r="QP19" s="5" t="n">
        <v>0</v>
      </c>
      <c r="QQ19" s="5" t="n">
        <v>0</v>
      </c>
      <c r="QR19" s="5" t="n">
        <v>0</v>
      </c>
      <c r="QS19" s="5" t="n">
        <v>0</v>
      </c>
      <c r="QT19" s="5" t="n">
        <v>0</v>
      </c>
      <c r="QU19" s="5" t="n">
        <v>0</v>
      </c>
      <c r="QV19" s="5" t="n">
        <v>0</v>
      </c>
      <c r="QW19" s="5" t="n">
        <v>0</v>
      </c>
      <c r="QX19" s="5" t="n">
        <v>0</v>
      </c>
      <c r="QY19" s="5" t="n">
        <v>0</v>
      </c>
      <c r="QZ19" s="5" t="n">
        <v>0</v>
      </c>
      <c r="RA19" s="5" t="n">
        <v>0</v>
      </c>
      <c r="RB19" s="5" t="n">
        <v>0</v>
      </c>
      <c r="RC19" s="5" t="n">
        <v>0</v>
      </c>
      <c r="RD19" s="5" t="n">
        <v>0</v>
      </c>
      <c r="RE19" s="5" t="n">
        <v>0</v>
      </c>
      <c r="RF19" s="5" t="n">
        <v>0</v>
      </c>
      <c r="RG19" s="5" t="n">
        <v>0</v>
      </c>
      <c r="RH19" s="5" t="n">
        <v>0</v>
      </c>
      <c r="RI19" s="5" t="n">
        <v>0</v>
      </c>
      <c r="RJ19" s="5" t="n">
        <v>0</v>
      </c>
      <c r="RK19" s="5" t="n">
        <v>0</v>
      </c>
      <c r="RL19" s="5" t="n">
        <v>0</v>
      </c>
      <c r="RM19" s="5" t="n">
        <v>0</v>
      </c>
      <c r="RN19" s="5" t="n">
        <v>0</v>
      </c>
      <c r="RO19" s="5" t="n">
        <v>0</v>
      </c>
      <c r="RP19" s="5" t="n">
        <v>0</v>
      </c>
      <c r="RQ19" s="5" t="n">
        <v>0</v>
      </c>
      <c r="RR19" s="5" t="n">
        <v>0</v>
      </c>
      <c r="RS19" s="5" t="n">
        <v>0</v>
      </c>
      <c r="RT19" s="5" t="n">
        <v>0</v>
      </c>
      <c r="RU19" s="5" t="n">
        <v>0</v>
      </c>
      <c r="RV19" s="5" t="n">
        <v>0</v>
      </c>
      <c r="RW19" s="5" t="n">
        <v>0</v>
      </c>
    </row>
    <row r="20">
      <c r="A20" t="inlineStr">
        <is>
          <t>TAX_AU_001.interest_expense</t>
        </is>
      </c>
      <c r="B20" t="inlineStr">
        <is>
          <t>kEUR</t>
        </is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5" t="n">
        <v>0</v>
      </c>
      <c r="AK20" s="5" t="n">
        <v>0</v>
      </c>
      <c r="AL20" s="5" t="n">
        <v>0</v>
      </c>
      <c r="AM20" s="5" t="n">
        <v>0</v>
      </c>
      <c r="AN20" s="5" t="n">
        <v>0</v>
      </c>
      <c r="AO20" s="5" t="n">
        <v>0</v>
      </c>
      <c r="AP20" s="5" t="n">
        <v>0</v>
      </c>
      <c r="AQ20" s="5" t="n">
        <v>0</v>
      </c>
      <c r="AR20" s="5" t="n">
        <v>0</v>
      </c>
      <c r="AS20" s="5" t="n">
        <v>0</v>
      </c>
      <c r="AT20" s="5" t="n">
        <v>0</v>
      </c>
      <c r="AU20" s="5" t="n">
        <v>0</v>
      </c>
      <c r="AV20" s="5" t="n">
        <v>0</v>
      </c>
      <c r="AW20" s="5" t="n">
        <v>0</v>
      </c>
      <c r="AX20" s="5" t="n">
        <v>0</v>
      </c>
      <c r="AY20" s="5" t="n">
        <v>0</v>
      </c>
      <c r="AZ20" s="5" t="n">
        <v>0</v>
      </c>
      <c r="BA20" s="5" t="n">
        <v>0</v>
      </c>
      <c r="BB20" s="5" t="n">
        <v>0</v>
      </c>
      <c r="BC20" s="5" t="n">
        <v>0</v>
      </c>
      <c r="BD20" s="5" t="n">
        <v>0</v>
      </c>
      <c r="BE20" s="5" t="n">
        <v>0</v>
      </c>
      <c r="BF20" s="5" t="n">
        <v>0</v>
      </c>
      <c r="BG20" s="5" t="n">
        <v>0</v>
      </c>
      <c r="BH20" s="5" t="n">
        <v>0</v>
      </c>
      <c r="BI20" s="5" t="n">
        <v>0</v>
      </c>
      <c r="BJ20" s="5" t="n">
        <v>0</v>
      </c>
      <c r="BK20" s="5" t="n">
        <v>0</v>
      </c>
      <c r="BL20" s="5" t="n">
        <v>0</v>
      </c>
      <c r="BM20" s="5" t="n">
        <v>0</v>
      </c>
      <c r="BN20" s="5" t="n">
        <v>0</v>
      </c>
      <c r="BO20" s="5" t="n">
        <v>0</v>
      </c>
      <c r="BP20" s="5" t="n">
        <v>0</v>
      </c>
      <c r="BQ20" s="5" t="n">
        <v>0</v>
      </c>
      <c r="BR20" s="5" t="n">
        <v>0</v>
      </c>
      <c r="BS20" s="5" t="n">
        <v>0</v>
      </c>
      <c r="BT20" s="5" t="n">
        <v>0</v>
      </c>
      <c r="BU20" s="5" t="n">
        <v>0</v>
      </c>
      <c r="BV20" s="5" t="n">
        <v>0</v>
      </c>
      <c r="BW20" s="5" t="n">
        <v>0</v>
      </c>
      <c r="BX20" s="5" t="n">
        <v>0</v>
      </c>
      <c r="BY20" s="5" t="n">
        <v>0</v>
      </c>
      <c r="BZ20" s="5" t="n">
        <v>0</v>
      </c>
      <c r="CA20" s="5" t="n">
        <v>0</v>
      </c>
      <c r="CB20" s="5" t="n">
        <v>0</v>
      </c>
      <c r="CC20" s="5" t="n">
        <v>0</v>
      </c>
      <c r="CD20" s="5" t="n">
        <v>0</v>
      </c>
      <c r="CE20" s="5" t="n">
        <v>0</v>
      </c>
      <c r="CF20" s="5" t="n">
        <v>0</v>
      </c>
      <c r="CG20" s="5" t="n">
        <v>0</v>
      </c>
      <c r="CH20" s="5" t="n">
        <v>0</v>
      </c>
      <c r="CI20" s="5" t="n">
        <v>0</v>
      </c>
      <c r="CJ20" s="5" t="n">
        <v>0</v>
      </c>
      <c r="CK20" s="5" t="n">
        <v>0</v>
      </c>
      <c r="CL20" s="5" t="n">
        <v>0</v>
      </c>
      <c r="CM20" s="5" t="n">
        <v>0</v>
      </c>
      <c r="CN20" s="5" t="n">
        <v>0</v>
      </c>
      <c r="CO20" s="5" t="n">
        <v>0</v>
      </c>
      <c r="CP20" s="5" t="n">
        <v>0</v>
      </c>
      <c r="CQ20" s="5" t="n">
        <v>0</v>
      </c>
      <c r="CR20" s="5" t="n">
        <v>0</v>
      </c>
      <c r="CS20" s="5" t="n">
        <v>0</v>
      </c>
      <c r="CT20" s="5" t="n">
        <v>0</v>
      </c>
      <c r="CU20" s="5" t="n">
        <v>0</v>
      </c>
      <c r="CV20" s="5" t="n">
        <v>0</v>
      </c>
      <c r="CW20" s="5" t="n">
        <v>0</v>
      </c>
      <c r="CX20" s="5" t="n">
        <v>0</v>
      </c>
      <c r="CY20" s="5" t="n">
        <v>0</v>
      </c>
      <c r="CZ20" s="5" t="n">
        <v>0</v>
      </c>
      <c r="DA20" s="5" t="n">
        <v>0</v>
      </c>
      <c r="DB20" s="5" t="n">
        <v>0</v>
      </c>
      <c r="DC20" s="5" t="n">
        <v>0</v>
      </c>
      <c r="DD20" s="5" t="n">
        <v>0</v>
      </c>
      <c r="DE20" s="5" t="n">
        <v>0</v>
      </c>
      <c r="DF20" s="5" t="n">
        <v>0</v>
      </c>
      <c r="DG20" s="5" t="n">
        <v>0</v>
      </c>
      <c r="DH20" s="5" t="n">
        <v>0</v>
      </c>
      <c r="DI20" s="5" t="n">
        <v>0</v>
      </c>
      <c r="DJ20" s="5" t="n">
        <v>0</v>
      </c>
      <c r="DK20" s="5" t="n">
        <v>0</v>
      </c>
      <c r="DL20" s="5" t="n">
        <v>0</v>
      </c>
      <c r="DM20" s="5" t="n">
        <v>0</v>
      </c>
      <c r="DN20" s="5" t="n">
        <v>0</v>
      </c>
      <c r="DO20" s="5" t="n">
        <v>0</v>
      </c>
      <c r="DP20" s="5" t="n">
        <v>0</v>
      </c>
      <c r="DQ20" s="5" t="n">
        <v>0</v>
      </c>
      <c r="DR20" s="5" t="n">
        <v>0</v>
      </c>
      <c r="DS20" s="5" t="n">
        <v>0</v>
      </c>
      <c r="DT20" s="5" t="n">
        <v>0</v>
      </c>
      <c r="DU20" s="5" t="n">
        <v>0</v>
      </c>
      <c r="DV20" s="5" t="n">
        <v>0</v>
      </c>
      <c r="DW20" s="5" t="n">
        <v>0</v>
      </c>
      <c r="DX20" s="5" t="n">
        <v>0</v>
      </c>
      <c r="DY20" s="5" t="n">
        <v>0</v>
      </c>
      <c r="DZ20" s="5" t="n">
        <v>0</v>
      </c>
      <c r="EA20" s="5" t="n">
        <v>0</v>
      </c>
      <c r="EB20" s="5" t="n">
        <v>0</v>
      </c>
      <c r="EC20" s="5" t="n">
        <v>0</v>
      </c>
      <c r="ED20" s="5" t="n">
        <v>0</v>
      </c>
      <c r="EE20" s="5" t="n">
        <v>0</v>
      </c>
      <c r="EF20" s="5" t="n">
        <v>0</v>
      </c>
      <c r="EG20" s="5" t="n">
        <v>0</v>
      </c>
      <c r="EH20" s="5" t="n">
        <v>0</v>
      </c>
      <c r="EI20" s="5" t="n">
        <v>0</v>
      </c>
      <c r="EJ20" s="5" t="n">
        <v>0</v>
      </c>
      <c r="EK20" s="5" t="n">
        <v>0</v>
      </c>
      <c r="EL20" s="5" t="n">
        <v>0</v>
      </c>
      <c r="EM20" s="5" t="n">
        <v>0</v>
      </c>
      <c r="EN20" s="5" t="n">
        <v>0</v>
      </c>
      <c r="EO20" s="5" t="n">
        <v>0</v>
      </c>
      <c r="EP20" s="5" t="n">
        <v>0</v>
      </c>
      <c r="EQ20" s="5" t="n">
        <v>0</v>
      </c>
      <c r="ER20" s="5" t="n">
        <v>0</v>
      </c>
      <c r="ES20" s="5" t="n">
        <v>0</v>
      </c>
      <c r="ET20" s="5" t="n">
        <v>0</v>
      </c>
      <c r="EU20" s="5" t="n">
        <v>0</v>
      </c>
      <c r="EV20" s="5" t="n">
        <v>0</v>
      </c>
      <c r="EW20" s="5" t="n">
        <v>0</v>
      </c>
      <c r="EX20" s="5" t="n">
        <v>0</v>
      </c>
      <c r="EY20" s="5" t="n">
        <v>0</v>
      </c>
      <c r="EZ20" s="5" t="n">
        <v>0</v>
      </c>
      <c r="FA20" s="5" t="n">
        <v>0</v>
      </c>
      <c r="FB20" s="5" t="n">
        <v>0</v>
      </c>
      <c r="FC20" s="5" t="n">
        <v>0</v>
      </c>
      <c r="FD20" s="5" t="n">
        <v>0</v>
      </c>
      <c r="FE20" s="5" t="n">
        <v>0</v>
      </c>
      <c r="FF20" s="5" t="n">
        <v>0</v>
      </c>
      <c r="FG20" s="5" t="n">
        <v>0</v>
      </c>
      <c r="FH20" s="5" t="n">
        <v>0</v>
      </c>
      <c r="FI20" s="5" t="n">
        <v>0</v>
      </c>
      <c r="FJ20" s="5" t="n">
        <v>0</v>
      </c>
      <c r="FK20" s="5" t="n">
        <v>0</v>
      </c>
      <c r="FL20" s="5" t="n">
        <v>0</v>
      </c>
      <c r="FM20" s="5" t="n">
        <v>0</v>
      </c>
      <c r="FN20" s="5" t="n">
        <v>0</v>
      </c>
      <c r="FO20" s="5" t="n">
        <v>0</v>
      </c>
      <c r="FP20" s="5" t="n">
        <v>0</v>
      </c>
      <c r="FQ20" s="5" t="n">
        <v>0</v>
      </c>
      <c r="FR20" s="5" t="n">
        <v>0</v>
      </c>
      <c r="FS20" s="5" t="n">
        <v>0</v>
      </c>
      <c r="FT20" s="5" t="n">
        <v>0</v>
      </c>
      <c r="FU20" s="5" t="n">
        <v>0</v>
      </c>
      <c r="FV20" s="5" t="n">
        <v>0</v>
      </c>
      <c r="FW20" s="5" t="n">
        <v>0</v>
      </c>
      <c r="FX20" s="5" t="n">
        <v>0</v>
      </c>
      <c r="FY20" s="5" t="n">
        <v>0</v>
      </c>
      <c r="FZ20" s="5" t="n">
        <v>0</v>
      </c>
      <c r="GA20" s="5" t="n">
        <v>0</v>
      </c>
      <c r="GB20" s="5" t="n">
        <v>0</v>
      </c>
      <c r="GC20" s="5" t="n">
        <v>0</v>
      </c>
      <c r="GD20" s="5" t="n">
        <v>0</v>
      </c>
      <c r="GE20" s="5" t="n">
        <v>0</v>
      </c>
      <c r="GF20" s="5" t="n">
        <v>0</v>
      </c>
      <c r="GG20" s="5" t="n">
        <v>0</v>
      </c>
      <c r="GH20" s="5" t="n">
        <v>0</v>
      </c>
      <c r="GI20" s="5" t="n">
        <v>0</v>
      </c>
      <c r="GJ20" s="5" t="n">
        <v>0</v>
      </c>
      <c r="GK20" s="5" t="n">
        <v>0</v>
      </c>
      <c r="GL20" s="5" t="n">
        <v>0</v>
      </c>
      <c r="GM20" s="5" t="n">
        <v>0</v>
      </c>
      <c r="GN20" s="5" t="n">
        <v>0</v>
      </c>
      <c r="GO20" s="5" t="n">
        <v>0</v>
      </c>
      <c r="GP20" s="5" t="n">
        <v>0</v>
      </c>
      <c r="GQ20" s="5" t="n">
        <v>0</v>
      </c>
      <c r="GR20" s="5" t="n">
        <v>0</v>
      </c>
      <c r="GS20" s="5" t="n">
        <v>0</v>
      </c>
      <c r="GT20" s="5" t="n">
        <v>0</v>
      </c>
      <c r="GU20" s="5" t="n">
        <v>0</v>
      </c>
      <c r="GV20" s="5" t="n">
        <v>0</v>
      </c>
      <c r="GW20" s="5" t="n">
        <v>0</v>
      </c>
      <c r="GX20" s="5" t="n">
        <v>0</v>
      </c>
      <c r="GY20" s="5" t="n">
        <v>0</v>
      </c>
      <c r="GZ20" s="5" t="n">
        <v>0</v>
      </c>
      <c r="HA20" s="5" t="n">
        <v>0</v>
      </c>
      <c r="HB20" s="5" t="n">
        <v>0</v>
      </c>
      <c r="HC20" s="5" t="n">
        <v>0</v>
      </c>
      <c r="HD20" s="5" t="n">
        <v>0</v>
      </c>
      <c r="HE20" s="5" t="n">
        <v>0</v>
      </c>
      <c r="HF20" s="5" t="n">
        <v>0</v>
      </c>
      <c r="HG20" s="5" t="n">
        <v>0</v>
      </c>
      <c r="HH20" s="5" t="n">
        <v>0</v>
      </c>
      <c r="HI20" s="5" t="n">
        <v>0</v>
      </c>
      <c r="HJ20" s="5" t="n">
        <v>0</v>
      </c>
      <c r="HK20" s="5" t="n">
        <v>0</v>
      </c>
      <c r="HL20" s="5" t="n">
        <v>0</v>
      </c>
      <c r="HM20" s="5" t="n">
        <v>0</v>
      </c>
      <c r="HN20" s="5" t="n">
        <v>0</v>
      </c>
      <c r="HO20" s="5" t="n">
        <v>0</v>
      </c>
      <c r="HP20" s="5" t="n">
        <v>0</v>
      </c>
      <c r="HQ20" s="5" t="n">
        <v>0</v>
      </c>
      <c r="HR20" s="5" t="n">
        <v>0</v>
      </c>
      <c r="HS20" s="5" t="n">
        <v>0</v>
      </c>
      <c r="HT20" s="5" t="n">
        <v>0</v>
      </c>
      <c r="HU20" s="5" t="n">
        <v>0</v>
      </c>
      <c r="HV20" s="5" t="n">
        <v>0</v>
      </c>
      <c r="HW20" s="5" t="n">
        <v>0</v>
      </c>
      <c r="HX20" s="5" t="n">
        <v>0</v>
      </c>
      <c r="HY20" s="5" t="n">
        <v>0</v>
      </c>
      <c r="HZ20" s="5" t="n">
        <v>0</v>
      </c>
      <c r="IA20" s="5" t="n">
        <v>0</v>
      </c>
      <c r="IB20" s="5" t="n">
        <v>0</v>
      </c>
      <c r="IC20" s="5" t="n">
        <v>0</v>
      </c>
      <c r="ID20" s="5" t="n">
        <v>0</v>
      </c>
      <c r="IE20" s="5" t="n">
        <v>0</v>
      </c>
      <c r="IF20" s="5" t="n">
        <v>0</v>
      </c>
      <c r="IG20" s="5" t="n">
        <v>0</v>
      </c>
      <c r="IH20" s="5" t="n">
        <v>0</v>
      </c>
      <c r="II20" s="5" t="n">
        <v>0</v>
      </c>
      <c r="IJ20" s="5" t="n">
        <v>0</v>
      </c>
      <c r="IK20" s="5" t="n">
        <v>0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>
        <v>0</v>
      </c>
      <c r="JB20" s="5" t="n">
        <v>0</v>
      </c>
      <c r="JC20" s="5" t="n">
        <v>0</v>
      </c>
      <c r="JD20" s="5" t="n">
        <v>0</v>
      </c>
      <c r="JE20" s="5" t="n">
        <v>0</v>
      </c>
      <c r="JF20" s="5" t="n">
        <v>0</v>
      </c>
      <c r="JG20" s="5" t="n">
        <v>0</v>
      </c>
      <c r="JH20" s="5" t="n">
        <v>0</v>
      </c>
      <c r="JI20" s="5" t="n">
        <v>0</v>
      </c>
      <c r="JJ20" s="5" t="n">
        <v>0</v>
      </c>
      <c r="JK20" s="5" t="n">
        <v>0</v>
      </c>
      <c r="JL20" s="5" t="n">
        <v>0</v>
      </c>
      <c r="JM20" s="5" t="n">
        <v>0</v>
      </c>
      <c r="JN20" s="5" t="n">
        <v>0</v>
      </c>
      <c r="JO20" s="5" t="n">
        <v>0</v>
      </c>
      <c r="JP20" s="5" t="n">
        <v>0</v>
      </c>
      <c r="JQ20" s="5" t="n">
        <v>0</v>
      </c>
      <c r="JR20" s="5" t="n">
        <v>0</v>
      </c>
      <c r="JS20" s="5" t="n">
        <v>0</v>
      </c>
      <c r="JT20" s="5" t="n">
        <v>0</v>
      </c>
      <c r="JU20" s="5" t="n">
        <v>0</v>
      </c>
      <c r="JV20" s="5" t="n">
        <v>0</v>
      </c>
      <c r="JW20" s="5" t="n">
        <v>0</v>
      </c>
      <c r="JX20" s="5" t="n">
        <v>0</v>
      </c>
      <c r="JY20" s="5" t="n">
        <v>0</v>
      </c>
      <c r="JZ20" s="5" t="n">
        <v>0</v>
      </c>
      <c r="KA20" s="5" t="n">
        <v>0</v>
      </c>
      <c r="KB20" s="5" t="n">
        <v>0</v>
      </c>
      <c r="KC20" s="5" t="n">
        <v>0</v>
      </c>
      <c r="KD20" s="5" t="n">
        <v>0</v>
      </c>
      <c r="KE20" s="5" t="n">
        <v>0</v>
      </c>
      <c r="KF20" s="5" t="n">
        <v>0</v>
      </c>
      <c r="KG20" s="5" t="n">
        <v>0</v>
      </c>
      <c r="KH20" s="5" t="n">
        <v>0</v>
      </c>
      <c r="KI20" s="5" t="n">
        <v>0</v>
      </c>
      <c r="KJ20" s="5" t="n">
        <v>0</v>
      </c>
      <c r="KK20" s="5" t="n">
        <v>0</v>
      </c>
      <c r="KL20" s="5" t="n">
        <v>0</v>
      </c>
      <c r="KM20" s="5" t="n">
        <v>0</v>
      </c>
      <c r="KN20" s="5" t="n">
        <v>0</v>
      </c>
      <c r="KO20" s="5" t="n">
        <v>0</v>
      </c>
      <c r="KP20" s="5" t="n">
        <v>0</v>
      </c>
      <c r="KQ20" s="5" t="n">
        <v>0</v>
      </c>
      <c r="KR20" s="5" t="n">
        <v>0</v>
      </c>
      <c r="KS20" s="5" t="n">
        <v>0</v>
      </c>
      <c r="KT20" s="5" t="n">
        <v>0</v>
      </c>
      <c r="KU20" s="5" t="n">
        <v>0</v>
      </c>
      <c r="KV20" s="5" t="n">
        <v>0</v>
      </c>
      <c r="KW20" s="5" t="n">
        <v>0</v>
      </c>
      <c r="KX20" s="5" t="n">
        <v>0</v>
      </c>
      <c r="KY20" s="5" t="n">
        <v>0</v>
      </c>
      <c r="KZ20" s="5" t="n">
        <v>0</v>
      </c>
      <c r="LA20" s="5" t="n">
        <v>0</v>
      </c>
      <c r="LB20" s="5" t="n">
        <v>0</v>
      </c>
      <c r="LC20" s="5" t="n">
        <v>0</v>
      </c>
      <c r="LD20" s="5" t="n">
        <v>0</v>
      </c>
      <c r="LE20" s="5" t="n">
        <v>0</v>
      </c>
      <c r="LF20" s="5" t="n">
        <v>0</v>
      </c>
      <c r="LG20" s="5" t="n">
        <v>0</v>
      </c>
      <c r="LH20" s="5" t="n">
        <v>0</v>
      </c>
      <c r="LI20" s="5" t="n">
        <v>0</v>
      </c>
      <c r="LJ20" s="5" t="n">
        <v>0</v>
      </c>
      <c r="LK20" s="5" t="n">
        <v>0</v>
      </c>
      <c r="LL20" s="5" t="n">
        <v>0</v>
      </c>
      <c r="LM20" s="5" t="n">
        <v>0</v>
      </c>
      <c r="LN20" s="5" t="n">
        <v>0</v>
      </c>
      <c r="LO20" s="5" t="n">
        <v>0</v>
      </c>
      <c r="LP20" s="5" t="n">
        <v>0</v>
      </c>
      <c r="LQ20" s="5" t="n">
        <v>0</v>
      </c>
      <c r="LR20" s="5" t="n">
        <v>0</v>
      </c>
      <c r="LS20" s="5" t="n">
        <v>0</v>
      </c>
      <c r="LT20" s="5" t="n">
        <v>0</v>
      </c>
      <c r="LU20" s="5" t="n">
        <v>0</v>
      </c>
      <c r="LV20" s="5" t="n">
        <v>0</v>
      </c>
      <c r="LW20" s="5" t="n">
        <v>0</v>
      </c>
      <c r="LX20" s="5" t="n">
        <v>0</v>
      </c>
      <c r="LY20" s="5" t="n">
        <v>0</v>
      </c>
      <c r="LZ20" s="5" t="n">
        <v>0</v>
      </c>
      <c r="MA20" s="5" t="n">
        <v>0</v>
      </c>
      <c r="MB20" s="5" t="n">
        <v>0</v>
      </c>
      <c r="MC20" s="5" t="n">
        <v>0</v>
      </c>
      <c r="MD20" s="5" t="n">
        <v>0</v>
      </c>
      <c r="ME20" s="5" t="n">
        <v>0</v>
      </c>
      <c r="MF20" s="5" t="n">
        <v>0</v>
      </c>
      <c r="MG20" s="5" t="n">
        <v>0</v>
      </c>
      <c r="MH20" s="5" t="n">
        <v>0</v>
      </c>
      <c r="MI20" s="5" t="n">
        <v>0</v>
      </c>
      <c r="MJ20" s="5" t="n">
        <v>0</v>
      </c>
      <c r="MK20" s="5" t="n">
        <v>0</v>
      </c>
      <c r="ML20" s="5" t="n">
        <v>0</v>
      </c>
      <c r="MM20" s="5" t="n">
        <v>0</v>
      </c>
      <c r="MN20" s="5" t="n">
        <v>0</v>
      </c>
      <c r="MO20" s="5" t="n">
        <v>0</v>
      </c>
      <c r="MP20" s="5" t="n">
        <v>0</v>
      </c>
      <c r="MQ20" s="5" t="n">
        <v>0</v>
      </c>
      <c r="MR20" s="5" t="n">
        <v>0</v>
      </c>
      <c r="MS20" s="5" t="n">
        <v>0</v>
      </c>
      <c r="MT20" s="5" t="n">
        <v>0</v>
      </c>
      <c r="MU20" s="5" t="n">
        <v>0</v>
      </c>
      <c r="MV20" s="5" t="n">
        <v>0</v>
      </c>
      <c r="MW20" s="5" t="n">
        <v>0</v>
      </c>
      <c r="MX20" s="5" t="n">
        <v>0</v>
      </c>
      <c r="MY20" s="5" t="n">
        <v>0</v>
      </c>
      <c r="MZ20" s="5" t="n">
        <v>0</v>
      </c>
      <c r="NA20" s="5" t="n">
        <v>0</v>
      </c>
      <c r="NB20" s="5" t="n">
        <v>0</v>
      </c>
      <c r="NC20" s="5" t="n">
        <v>0</v>
      </c>
      <c r="ND20" s="5" t="n">
        <v>0</v>
      </c>
      <c r="NE20" s="5" t="n">
        <v>0</v>
      </c>
      <c r="NF20" s="5" t="n">
        <v>0</v>
      </c>
      <c r="NG20" s="5" t="n">
        <v>0</v>
      </c>
      <c r="NH20" s="5" t="n">
        <v>0</v>
      </c>
      <c r="NI20" s="5" t="n">
        <v>0</v>
      </c>
      <c r="NJ20" s="5" t="n">
        <v>0</v>
      </c>
      <c r="NK20" s="5" t="n">
        <v>0</v>
      </c>
      <c r="NL20" s="5" t="n">
        <v>0</v>
      </c>
      <c r="NM20" s="5" t="n">
        <v>0</v>
      </c>
      <c r="NN20" s="5" t="n">
        <v>0</v>
      </c>
      <c r="NO20" s="5" t="n">
        <v>0</v>
      </c>
      <c r="NP20" s="5" t="n">
        <v>0</v>
      </c>
      <c r="NQ20" s="5" t="n">
        <v>0</v>
      </c>
      <c r="NR20" s="5" t="n">
        <v>0</v>
      </c>
      <c r="NS20" s="5" t="n">
        <v>0</v>
      </c>
      <c r="NT20" s="5" t="n">
        <v>0</v>
      </c>
      <c r="NU20" s="5" t="n">
        <v>0</v>
      </c>
      <c r="NV20" s="5" t="n">
        <v>0</v>
      </c>
      <c r="NW20" s="5" t="n">
        <v>0</v>
      </c>
      <c r="NX20" s="5" t="n">
        <v>0</v>
      </c>
      <c r="NY20" s="5" t="n">
        <v>0</v>
      </c>
      <c r="NZ20" s="5" t="n">
        <v>0</v>
      </c>
      <c r="OA20" s="5" t="n">
        <v>0</v>
      </c>
      <c r="OB20" s="5" t="n">
        <v>0</v>
      </c>
      <c r="OC20" s="5" t="n">
        <v>0</v>
      </c>
      <c r="OD20" s="5" t="n">
        <v>0</v>
      </c>
      <c r="OE20" s="5" t="n">
        <v>0</v>
      </c>
      <c r="OF20" s="5" t="n">
        <v>0</v>
      </c>
      <c r="OG20" s="5" t="n">
        <v>0</v>
      </c>
      <c r="OH20" s="5" t="n">
        <v>0</v>
      </c>
      <c r="OI20" s="5" t="n">
        <v>0</v>
      </c>
      <c r="OJ20" s="5" t="n">
        <v>0</v>
      </c>
      <c r="OK20" s="5" t="n">
        <v>0</v>
      </c>
      <c r="OL20" s="5" t="n">
        <v>0</v>
      </c>
      <c r="OM20" s="5" t="n">
        <v>0</v>
      </c>
      <c r="ON20" s="5" t="n">
        <v>0</v>
      </c>
      <c r="OO20" s="5" t="n">
        <v>0</v>
      </c>
      <c r="OP20" s="5" t="n">
        <v>0</v>
      </c>
      <c r="OQ20" s="5" t="n">
        <v>0</v>
      </c>
      <c r="OR20" s="5" t="n">
        <v>0</v>
      </c>
      <c r="OS20" s="5" t="n">
        <v>0</v>
      </c>
      <c r="OT20" s="5" t="n">
        <v>0</v>
      </c>
      <c r="OU20" s="5" t="n">
        <v>0</v>
      </c>
      <c r="OV20" s="5" t="n">
        <v>0</v>
      </c>
      <c r="OW20" s="5" t="n">
        <v>0</v>
      </c>
      <c r="OX20" s="5" t="n">
        <v>0</v>
      </c>
      <c r="OY20" s="5" t="n">
        <v>0</v>
      </c>
      <c r="OZ20" s="5" t="n">
        <v>0</v>
      </c>
      <c r="PA20" s="5" t="n">
        <v>0</v>
      </c>
      <c r="PB20" s="5" t="n">
        <v>0</v>
      </c>
      <c r="PC20" s="5" t="n">
        <v>0</v>
      </c>
      <c r="PD20" s="5" t="n">
        <v>0</v>
      </c>
      <c r="PE20" s="5" t="n">
        <v>0</v>
      </c>
      <c r="PF20" s="5" t="n">
        <v>0</v>
      </c>
      <c r="PG20" s="5" t="n">
        <v>0</v>
      </c>
      <c r="PH20" s="5" t="n">
        <v>0</v>
      </c>
      <c r="PI20" s="5" t="n">
        <v>0</v>
      </c>
      <c r="PJ20" s="5" t="n">
        <v>0</v>
      </c>
      <c r="PK20" s="5" t="n">
        <v>0</v>
      </c>
      <c r="PL20" s="5" t="n">
        <v>0</v>
      </c>
      <c r="PM20" s="5" t="n">
        <v>0</v>
      </c>
      <c r="PN20" s="5" t="n">
        <v>0</v>
      </c>
      <c r="PO20" s="5" t="n">
        <v>0</v>
      </c>
      <c r="PP20" s="5" t="n">
        <v>0</v>
      </c>
      <c r="PQ20" s="5" t="n">
        <v>0</v>
      </c>
      <c r="PR20" s="5" t="n">
        <v>0</v>
      </c>
      <c r="PS20" s="5" t="n">
        <v>0</v>
      </c>
      <c r="PT20" s="5" t="n">
        <v>0</v>
      </c>
      <c r="PU20" s="5" t="n">
        <v>0</v>
      </c>
      <c r="PV20" s="5" t="n">
        <v>0</v>
      </c>
      <c r="PW20" s="5" t="n">
        <v>0</v>
      </c>
      <c r="PX20" s="5" t="n">
        <v>0</v>
      </c>
      <c r="PY20" s="5" t="n">
        <v>0</v>
      </c>
      <c r="PZ20" s="5" t="n">
        <v>0</v>
      </c>
      <c r="QA20" s="5" t="n">
        <v>0</v>
      </c>
      <c r="QB20" s="5" t="n">
        <v>0</v>
      </c>
      <c r="QC20" s="5" t="n">
        <v>0</v>
      </c>
      <c r="QD20" s="5" t="n">
        <v>0</v>
      </c>
      <c r="QE20" s="5" t="n">
        <v>0</v>
      </c>
      <c r="QF20" s="5" t="n">
        <v>0</v>
      </c>
      <c r="QG20" s="5" t="n">
        <v>0</v>
      </c>
      <c r="QH20" s="5" t="n">
        <v>0</v>
      </c>
      <c r="QI20" s="5" t="n">
        <v>0</v>
      </c>
      <c r="QJ20" s="5" t="n">
        <v>0</v>
      </c>
      <c r="QK20" s="5" t="n">
        <v>0</v>
      </c>
      <c r="QL20" s="5" t="n">
        <v>0</v>
      </c>
      <c r="QM20" s="5" t="n">
        <v>0</v>
      </c>
      <c r="QN20" s="5" t="n">
        <v>0</v>
      </c>
      <c r="QO20" s="5" t="n">
        <v>0</v>
      </c>
      <c r="QP20" s="5" t="n">
        <v>0</v>
      </c>
      <c r="QQ20" s="5" t="n">
        <v>0</v>
      </c>
      <c r="QR20" s="5" t="n">
        <v>0</v>
      </c>
      <c r="QS20" s="5" t="n">
        <v>0</v>
      </c>
      <c r="QT20" s="5" t="n">
        <v>0</v>
      </c>
      <c r="QU20" s="5" t="n">
        <v>0</v>
      </c>
      <c r="QV20" s="5" t="n">
        <v>0</v>
      </c>
      <c r="QW20" s="5" t="n">
        <v>0</v>
      </c>
      <c r="QX20" s="5" t="n">
        <v>0</v>
      </c>
      <c r="QY20" s="5" t="n">
        <v>0</v>
      </c>
      <c r="QZ20" s="5" t="n">
        <v>0</v>
      </c>
      <c r="RA20" s="5" t="n">
        <v>0</v>
      </c>
      <c r="RB20" s="5" t="n">
        <v>0</v>
      </c>
      <c r="RC20" s="5" t="n">
        <v>0</v>
      </c>
      <c r="RD20" s="5" t="n">
        <v>0</v>
      </c>
      <c r="RE20" s="5" t="n">
        <v>0</v>
      </c>
      <c r="RF20" s="5" t="n">
        <v>0</v>
      </c>
      <c r="RG20" s="5" t="n">
        <v>0</v>
      </c>
      <c r="RH20" s="5" t="n">
        <v>0</v>
      </c>
      <c r="RI20" s="5" t="n">
        <v>0</v>
      </c>
      <c r="RJ20" s="5" t="n">
        <v>0</v>
      </c>
      <c r="RK20" s="5" t="n">
        <v>0</v>
      </c>
      <c r="RL20" s="5" t="n">
        <v>0</v>
      </c>
      <c r="RM20" s="5" t="n">
        <v>0</v>
      </c>
      <c r="RN20" s="5" t="n">
        <v>0</v>
      </c>
      <c r="RO20" s="5" t="n">
        <v>0</v>
      </c>
      <c r="RP20" s="5" t="n">
        <v>0</v>
      </c>
      <c r="RQ20" s="5" t="n">
        <v>0</v>
      </c>
      <c r="RR20" s="5" t="n">
        <v>0</v>
      </c>
      <c r="RS20" s="5" t="n">
        <v>0</v>
      </c>
      <c r="RT20" s="5" t="n">
        <v>0</v>
      </c>
      <c r="RU20" s="5" t="n">
        <v>0</v>
      </c>
      <c r="RV20" s="5" t="n">
        <v>0</v>
      </c>
      <c r="RW20" s="5" t="n">
        <v>0</v>
      </c>
    </row>
    <row r="21">
      <c r="A21" t="inlineStr">
        <is>
          <t>TAX_AU_001.opening_balances</t>
        </is>
      </c>
      <c r="B21" t="inlineStr">
        <is>
          <t>kEUR</t>
        </is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</row>
    <row r="22">
      <c r="A22" t="inlineStr">
        <is>
          <t>TAX_AU_001.depreciation_lifetimes</t>
        </is>
      </c>
      <c r="B22" t="inlineStr">
        <is>
          <t>kEUR</t>
        </is>
      </c>
      <c r="L22" s="5" t="n">
        <v>30</v>
      </c>
      <c r="M22" s="5" t="n">
        <v>30</v>
      </c>
      <c r="N22" s="5" t="n">
        <v>30</v>
      </c>
      <c r="O22" s="5" t="n">
        <v>30</v>
      </c>
      <c r="P22" s="5" t="n">
        <v>30</v>
      </c>
      <c r="Q22" s="5" t="n">
        <v>30</v>
      </c>
      <c r="R22" s="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FF"/>
    <outlinePr summaryBelow="1" summaryRight="1"/>
    <pageSetUpPr fitToPage="1"/>
  </sheetPr>
  <dimension ref="A1:J36"/>
  <sheetViews>
    <sheetView showGridLines="0" zoomScale="80" workbookViewId="0">
      <selection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28" customWidth="1" min="5" max="5"/>
    <col width="18" customWidth="1" min="6" max="6"/>
    <col width="22" customWidth="1" min="7" max="7"/>
    <col width="2" customWidth="1" min="8" max="8"/>
    <col width="14" customWidth="1" min="9" max="9"/>
    <col width="10" customWidth="1" min="10" max="10"/>
  </cols>
  <sheetData>
    <row r="1">
      <c r="A1" s="6" t="n"/>
      <c r="B1" s="6" t="n"/>
      <c r="C1" s="6" t="n"/>
      <c r="D1" s="6" t="n"/>
      <c r="E1" s="6" t="inlineStr">
        <is>
          <t>Upper Calliope PV+BESS</t>
        </is>
      </c>
      <c r="F1" s="6" t="n"/>
      <c r="G1" s="6" t="n"/>
      <c r="H1" s="6" t="n"/>
      <c r="I1" s="6" t="n"/>
      <c r="J1" s="6" t="n"/>
    </row>
    <row r="2">
      <c r="A2" s="6" t="n"/>
      <c r="B2" s="6" t="n"/>
      <c r="C2" s="6" t="n"/>
      <c r="D2" s="6" t="n"/>
      <c r="E2" s="6" t="inlineStr">
        <is>
          <t>PV | AU</t>
        </is>
      </c>
      <c r="F2" s="6" t="n"/>
      <c r="G2" s="6" t="n"/>
      <c r="H2" s="6" t="n"/>
      <c r="I2" s="7" t="inlineStr">
        <is>
          <t>DKK/EUR rate:</t>
        </is>
      </c>
      <c r="J2" s="8" t="n">
        <v>7.46</v>
      </c>
    </row>
    <row r="3">
      <c r="A3" s="6" t="n"/>
      <c r="B3" s="6" t="n"/>
      <c r="C3" s="6" t="n"/>
      <c r="D3" s="6" t="n"/>
      <c r="E3" s="6" t="inlineStr">
        <is>
          <t>EE Model Library v1.0</t>
        </is>
      </c>
      <c r="F3" s="6" t="n"/>
      <c r="G3" s="6" t="n"/>
      <c r="H3" s="6" t="n"/>
      <c r="I3" s="6" t="n"/>
      <c r="J3" s="6" t="n"/>
    </row>
    <row r="5">
      <c r="E5" s="9" t="inlineStr">
        <is>
          <t>Active view:</t>
        </is>
      </c>
      <c r="F5" s="10" t="n">
        <v>2</v>
      </c>
      <c r="G5" s="11" t="inlineStr">
        <is>
          <t>(1=Bank  2=IC  3=Audit)</t>
        </is>
      </c>
    </row>
    <row r="7">
      <c r="E7" s="12" t="inlineStr">
        <is>
          <t>Project details</t>
        </is>
      </c>
      <c r="F7" s="12" t="n"/>
      <c r="G7" s="12" t="n"/>
      <c r="H7" s="12" t="n"/>
      <c r="I7" s="12" t="n"/>
      <c r="J7" s="12" t="n"/>
    </row>
    <row r="8">
      <c r="E8" s="13" t="inlineStr">
        <is>
          <t>Project name</t>
        </is>
      </c>
      <c r="F8" t="inlineStr">
        <is>
          <t>Upper Calliope PV+BESS</t>
        </is>
      </c>
      <c r="G8" t="inlineStr"/>
    </row>
    <row r="9">
      <c r="E9" s="13" t="inlineStr">
        <is>
          <t>Technology</t>
        </is>
      </c>
      <c r="F9" t="inlineStr">
        <is>
          <t>PV</t>
        </is>
      </c>
      <c r="G9" t="inlineStr"/>
    </row>
    <row r="10">
      <c r="E10" s="13" t="inlineStr">
        <is>
          <t>Market</t>
        </is>
      </c>
      <c r="F10" t="inlineStr">
        <is>
          <t>AU</t>
        </is>
      </c>
      <c r="G10" t="inlineStr"/>
    </row>
    <row r="11">
      <c r="E11" s="13" t="inlineStr">
        <is>
          <t>Capacity</t>
        </is>
      </c>
      <c r="F11" t="n">
        <v>1500</v>
      </c>
      <c r="G11" t="inlineStr">
        <is>
          <t>MW AC</t>
        </is>
      </c>
    </row>
    <row r="12">
      <c r="E12" s="13" t="inlineStr">
        <is>
          <t>COD</t>
        </is>
      </c>
      <c r="F12" s="4" t="n">
        <v>47484</v>
      </c>
      <c r="G12" t="inlineStr"/>
    </row>
    <row r="13">
      <c r="E13" s="13" t="inlineStr">
        <is>
          <t>Project life</t>
        </is>
      </c>
      <c r="F13" t="n">
        <v>40</v>
      </c>
      <c r="G13" t="inlineStr">
        <is>
          <t>years</t>
        </is>
      </c>
    </row>
    <row r="14">
      <c r="E14" s="13" t="inlineStr">
        <is>
          <t>Model version</t>
        </is>
      </c>
      <c r="F14" t="inlineStr">
        <is>
          <t>1.0</t>
        </is>
      </c>
      <c r="G14" t="inlineStr"/>
    </row>
    <row r="16">
      <c r="E16" s="12">
        <f>IF($F$5=1,"Bank / Lender KPIs",IF($F$5=2,"IC KPIs","Model Audit"))</f>
        <v/>
      </c>
      <c r="F16" s="12" t="n"/>
      <c r="G16" s="12" t="n"/>
      <c r="H16" s="12" t="n"/>
      <c r="I16" s="12" t="n"/>
      <c r="J16" s="12" t="n"/>
    </row>
    <row r="17">
      <c r="E17" s="14">
        <f>IF($F$5=1,"Min DSCR",IF($F$5=2,"Project IRR","Model checks"))</f>
        <v/>
      </c>
      <c r="F17" s="14">
        <f>IF($F$5=1,Summary!$F$10,IF($F$5=2,Summary!$F$4,""))</f>
        <v/>
      </c>
      <c r="G17" s="14">
        <f>IF($F$5=1,"x",IF($F$5=2,"%","#"))</f>
        <v/>
      </c>
    </row>
    <row r="18">
      <c r="E18" s="14">
        <f>IF($F$5=1,"Avg DSCR",IF($F$5=2,"Equity IRR","BS balance"))</f>
        <v/>
      </c>
      <c r="F18" s="14">
        <f>IF($F$5=1,"",IF($F$5=2,Summary!$F$5,""))</f>
        <v/>
      </c>
      <c r="G18" s="14">
        <f>IF($F$5=1,"x",IF($F$5=2,"%","OK/FAIL"))</f>
        <v/>
      </c>
    </row>
    <row r="19">
      <c r="E19" s="14">
        <f>IF($F$5=1,"LLCR",IF($F$5=2,"IRR spread vs WACC","DSCR breaches"))</f>
        <v/>
      </c>
      <c r="F19" s="14">
        <f>IF($F$5=1,"",IF($F$5=2,"",""))</f>
        <v/>
      </c>
      <c r="G19" s="14">
        <f>IF($F$5=1,"x",IF($F$5=2,"bps","#"))</f>
        <v/>
      </c>
    </row>
    <row r="20">
      <c r="E20" s="14">
        <f>IF($F$5=1,"Debt quantum",IF($F$5=2,"Project NPV","Sum check"))</f>
        <v/>
      </c>
      <c r="F20" s="14">
        <f>IF($F$5=1,"",IF($F$5=2,Summary!$F$6/1000,""))</f>
        <v/>
      </c>
      <c r="G20" s="14">
        <f>IF($F$5=1,"DKKm",IF($F$5=2,"DKKm","OK/FAIL"))</f>
        <v/>
      </c>
    </row>
    <row r="21">
      <c r="E21" s="14">
        <f>IF($F$5=1,"Gearing",IF($F$5=2,"Project NPV",""))</f>
        <v/>
      </c>
      <c r="F21" s="14">
        <f>IF($F$5=1,"",IF($F$5=2,Summary!$F$6/1000/Cover!$J$2,""))</f>
        <v/>
      </c>
      <c r="G21" s="14">
        <f>IF($F$5=1,"%",IF($F$5=2,"EURm",""))</f>
        <v/>
      </c>
    </row>
    <row r="22">
      <c r="E22" s="14">
        <f>IF($F$5=1,"Debt tenor",IF($F$5=2,"Project NPV",""))</f>
        <v/>
      </c>
      <c r="F22" s="14">
        <f>IF($F$5=1,"",IF($F$5=2,Summary!$F$6/Cover!$J$2/(1500.0*1000)*1000000,""))</f>
        <v/>
      </c>
      <c r="G22" s="14">
        <f>IF($F$5=1,"years",IF($F$5=2,"EUR/kW",""))</f>
        <v/>
      </c>
    </row>
    <row r="23">
      <c r="E23" s="14">
        <f>IF($F$5=1,"",IF($F$5=2,"Total revenue",""))</f>
        <v/>
      </c>
      <c r="F23" s="14">
        <f>IF($F$5=1,"",IF($F$5=2,"",""))</f>
        <v/>
      </c>
      <c r="G23" s="14">
        <f>IF($F$5=1,"",IF($F$5=2,"DKKm",""))</f>
        <v/>
      </c>
    </row>
    <row r="24">
      <c r="E24" s="14">
        <f>IF($F$5=1,"",IF($F$5=2,"Total OPEX",""))</f>
        <v/>
      </c>
      <c r="F24" s="14">
        <f>IF($F$5=1,"",IF($F$5=2,"",""))</f>
        <v/>
      </c>
      <c r="G24" s="14">
        <f>IF($F$5=1,"",IF($F$5=2,"DKKm",""))</f>
        <v/>
      </c>
    </row>
    <row r="25">
      <c r="E25" s="14">
        <f>IF($F$5=1,"",IF($F$5=2,"Total CAPEX",""))</f>
        <v/>
      </c>
      <c r="F25" s="14">
        <f>IF($F$5=1,Summary!$F$9,IF($F$5=2,Summary!$F$9/1000,""))</f>
        <v/>
      </c>
      <c r="G25" s="14">
        <f>IF($F$5=1,"",IF($F$5=2,"DKKm",""))</f>
        <v/>
      </c>
    </row>
    <row r="26">
      <c r="E26" s="14">
        <f>IF($F$5=1,"",IF($F$5=2,"EBITDA margin",""))</f>
        <v/>
      </c>
      <c r="F26" s="14">
        <f>IF($F$5=1,"",IF($F$5=2,"",""))</f>
        <v/>
      </c>
      <c r="G26" s="14">
        <f>IF($F$5=1,"",IF($F$5=2,"%",""))</f>
        <v/>
      </c>
    </row>
    <row r="27">
      <c r="E27" s="14">
        <f>IF($F$5=1,"",IF($F$5=2,"WACC",""))</f>
        <v/>
      </c>
      <c r="F27" s="14">
        <f>IF($F$5=1,"",IF($F$5=2,"",""))</f>
        <v/>
      </c>
      <c r="G27" s="14">
        <f>IF($F$5=1,"",IF($F$5=2,"%",""))</f>
        <v/>
      </c>
    </row>
    <row r="29">
      <c r="E29" s="9" t="inlineStr">
        <is>
          <t>Color coding key</t>
        </is>
      </c>
    </row>
    <row r="30">
      <c r="E30" s="3" t="inlineStr">
        <is>
          <t xml:space="preserve">  ■</t>
        </is>
      </c>
      <c r="F30" s="15" t="inlineStr">
        <is>
          <t>Input cell</t>
        </is>
      </c>
      <c r="G30" s="15" t="inlineStr">
        <is>
          <t>Editable assumption</t>
        </is>
      </c>
    </row>
    <row r="31">
      <c r="E31" s="16" t="inlineStr">
        <is>
          <t xml:space="preserve">  ■</t>
        </is>
      </c>
      <c r="F31" s="15" t="inlineStr">
        <is>
          <t>Imported value</t>
        </is>
      </c>
      <c r="G31" s="15" t="inlineStr">
        <is>
          <t>Pulled from calc sheet</t>
        </is>
      </c>
    </row>
    <row r="32">
      <c r="E32" s="16" t="inlineStr">
        <is>
          <t xml:space="preserve">  ■</t>
        </is>
      </c>
      <c r="F32" s="15" t="inlineStr">
        <is>
          <t>Exported value</t>
        </is>
      </c>
      <c r="G32" s="15" t="inlineStr">
        <is>
          <t>Used by other sheets</t>
        </is>
      </c>
    </row>
    <row r="33">
      <c r="E33" s="17" t="inlineStr">
        <is>
          <t xml:space="preserve">  ■</t>
        </is>
      </c>
      <c r="F33" s="15" t="inlineStr">
        <is>
          <t>Section header</t>
        </is>
      </c>
      <c r="G33" s="15" t="inlineStr">
        <is>
          <t>Group label</t>
        </is>
      </c>
    </row>
    <row r="34">
      <c r="E34" s="18" t="inlineStr">
        <is>
          <t xml:space="preserve">  —</t>
        </is>
      </c>
      <c r="F34" s="15" t="inlineStr">
        <is>
          <t>Subtotal</t>
        </is>
      </c>
      <c r="G34" s="15" t="inlineStr">
        <is>
          <t>Thin top+bottom border</t>
        </is>
      </c>
    </row>
    <row r="36">
      <c r="E36" s="19" t="inlineStr">
        <is>
          <t>European Energy A/S  |  EE Model Library</t>
        </is>
      </c>
    </row>
  </sheetData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W94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Revenue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5" t="inlineStr">
        <is>
          <t>Net Production</t>
        </is>
      </c>
      <c r="F6" s="26" t="n"/>
      <c r="G6" s="26" t="inlineStr">
        <is>
          <t>MWh</t>
        </is>
      </c>
      <c r="H6" s="26" t="n"/>
      <c r="I6" s="26" t="n"/>
      <c r="J6" s="27" t="n">
        <v>86066728.9963574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251831.25</v>
      </c>
      <c r="CR6" s="28" t="n">
        <v>251757.6811273059</v>
      </c>
      <c r="CS6" s="28" t="n">
        <v>251684.1337466984</v>
      </c>
      <c r="CT6" s="28" t="n">
        <v>251610.6078518989</v>
      </c>
      <c r="CU6" s="28" t="n">
        <v>251537.1034366305</v>
      </c>
      <c r="CV6" s="28" t="n">
        <v>251463.6204946185</v>
      </c>
      <c r="CW6" s="28" t="n">
        <v>251390.1590195896</v>
      </c>
      <c r="CX6" s="28" t="n">
        <v>251316.7190052726</v>
      </c>
      <c r="CY6" s="28" t="n">
        <v>251243.3004453981</v>
      </c>
      <c r="CZ6" s="28" t="n">
        <v>251169.9033336984</v>
      </c>
      <c r="DA6" s="28" t="n">
        <v>251096.5276639079</v>
      </c>
      <c r="DB6" s="28" t="n">
        <v>251023.1734297624</v>
      </c>
      <c r="DC6" s="28" t="n">
        <v>250949.840625</v>
      </c>
      <c r="DD6" s="28" t="n">
        <v>250876.5292433604</v>
      </c>
      <c r="DE6" s="28" t="n">
        <v>250803.2392785849</v>
      </c>
      <c r="DF6" s="28" t="n">
        <v>250729.9707244172</v>
      </c>
      <c r="DG6" s="28" t="n">
        <v>250656.7235746023</v>
      </c>
      <c r="DH6" s="28" t="n">
        <v>250583.4978228873</v>
      </c>
      <c r="DI6" s="28" t="n">
        <v>250510.293463021</v>
      </c>
      <c r="DJ6" s="28" t="n">
        <v>250437.1104887541</v>
      </c>
      <c r="DK6" s="28" t="n">
        <v>250363.9488938392</v>
      </c>
      <c r="DL6" s="28" t="n">
        <v>250290.8086720305</v>
      </c>
      <c r="DM6" s="28" t="n">
        <v>250217.6898170842</v>
      </c>
      <c r="DN6" s="28" t="n">
        <v>250144.5923227583</v>
      </c>
      <c r="DO6" s="28" t="n">
        <v>250071.5161828125</v>
      </c>
      <c r="DP6" s="28" t="n">
        <v>249998.4613910086</v>
      </c>
      <c r="DQ6" s="28" t="n">
        <v>249925.4279411099</v>
      </c>
      <c r="DR6" s="28" t="n">
        <v>249852.4158268817</v>
      </c>
      <c r="DS6" s="28" t="n">
        <v>249779.4250420912</v>
      </c>
      <c r="DT6" s="28" t="n">
        <v>249706.4555805072</v>
      </c>
      <c r="DU6" s="28" t="n">
        <v>249633.5074359005</v>
      </c>
      <c r="DV6" s="28" t="n">
        <v>249560.5806020435</v>
      </c>
      <c r="DW6" s="28" t="n">
        <v>249487.6750727108</v>
      </c>
      <c r="DX6" s="28" t="n">
        <v>249414.7908416784</v>
      </c>
      <c r="DY6" s="28" t="n">
        <v>249341.9279027244</v>
      </c>
      <c r="DZ6" s="28" t="n">
        <v>249269.0862496286</v>
      </c>
      <c r="EA6" s="28" t="n">
        <v>249196.2658761727</v>
      </c>
      <c r="EB6" s="28" t="n">
        <v>249123.4667761401</v>
      </c>
      <c r="EC6" s="28" t="n">
        <v>249050.688943316</v>
      </c>
      <c r="ED6" s="28" t="n">
        <v>248977.9323714877</v>
      </c>
      <c r="EE6" s="28" t="n">
        <v>248905.1970544439</v>
      </c>
      <c r="EF6" s="28" t="n">
        <v>248832.4829859755</v>
      </c>
      <c r="EG6" s="28" t="n">
        <v>248759.7901598748</v>
      </c>
      <c r="EH6" s="28" t="n">
        <v>248687.1185699364</v>
      </c>
      <c r="EI6" s="28" t="n">
        <v>248614.4682099563</v>
      </c>
      <c r="EJ6" s="28" t="n">
        <v>248541.8390737326</v>
      </c>
      <c r="EK6" s="28" t="n">
        <v>248469.2311550649</v>
      </c>
      <c r="EL6" s="28" t="n">
        <v>248396.644447755</v>
      </c>
      <c r="EM6" s="28" t="n">
        <v>248324.0789456061</v>
      </c>
      <c r="EN6" s="28" t="n">
        <v>248251.5346424236</v>
      </c>
      <c r="EO6" s="28" t="n">
        <v>248179.0115320144</v>
      </c>
      <c r="EP6" s="28" t="n">
        <v>248106.5096081875</v>
      </c>
      <c r="EQ6" s="28" t="n">
        <v>248034.0288647534</v>
      </c>
      <c r="ER6" s="28" t="n">
        <v>247961.5692955246</v>
      </c>
      <c r="ES6" s="28" t="n">
        <v>247889.1308943153</v>
      </c>
      <c r="ET6" s="28" t="n">
        <v>247816.7136549416</v>
      </c>
      <c r="EU6" s="28" t="n">
        <v>247744.3175712215</v>
      </c>
      <c r="EV6" s="28" t="n">
        <v>247671.9426369745</v>
      </c>
      <c r="EW6" s="28" t="n">
        <v>247599.5888460222</v>
      </c>
      <c r="EX6" s="28" t="n">
        <v>247527.2561921878</v>
      </c>
      <c r="EY6" s="28" t="n">
        <v>247454.9446692965</v>
      </c>
      <c r="EZ6" s="28" t="n">
        <v>247382.6542711752</v>
      </c>
      <c r="FA6" s="28" t="n">
        <v>247310.3849916524</v>
      </c>
      <c r="FB6" s="28" t="n">
        <v>247238.1368245588</v>
      </c>
      <c r="FC6" s="28" t="n">
        <v>247165.9097637267</v>
      </c>
      <c r="FD6" s="28" t="n">
        <v>247093.7038029902</v>
      </c>
      <c r="FE6" s="28" t="n">
        <v>247021.5189361852</v>
      </c>
      <c r="FF6" s="28" t="n">
        <v>246949.3551571493</v>
      </c>
      <c r="FG6" s="28" t="n">
        <v>246877.2124597222</v>
      </c>
      <c r="FH6" s="28" t="n">
        <v>246805.0908377451</v>
      </c>
      <c r="FI6" s="28" t="n">
        <v>246732.9902850611</v>
      </c>
      <c r="FJ6" s="28" t="n">
        <v>246660.9107955151</v>
      </c>
      <c r="FK6" s="28" t="n">
        <v>246588.852362954</v>
      </c>
      <c r="FL6" s="28" t="n">
        <v>246516.814981226</v>
      </c>
      <c r="FM6" s="28" t="n">
        <v>246444.7986441816</v>
      </c>
      <c r="FN6" s="28" t="n">
        <v>246372.8033456729</v>
      </c>
      <c r="FO6" s="28" t="n">
        <v>246300.8290795537</v>
      </c>
      <c r="FP6" s="28" t="n">
        <v>246228.8758396798</v>
      </c>
      <c r="FQ6" s="28" t="n">
        <v>246156.9436199085</v>
      </c>
      <c r="FR6" s="28" t="n">
        <v>246085.0324140993</v>
      </c>
      <c r="FS6" s="28" t="n">
        <v>246013.1422161132</v>
      </c>
      <c r="FT6" s="28" t="n">
        <v>245941.273019813</v>
      </c>
      <c r="FU6" s="28" t="n">
        <v>245869.4248190634</v>
      </c>
      <c r="FV6" s="28" t="n">
        <v>245797.5976077309</v>
      </c>
      <c r="FW6" s="28" t="n">
        <v>245725.7913796837</v>
      </c>
      <c r="FX6" s="28" t="n">
        <v>245654.0061287917</v>
      </c>
      <c r="FY6" s="28" t="n">
        <v>245582.241848927</v>
      </c>
      <c r="FZ6" s="28" t="n">
        <v>245510.4985339631</v>
      </c>
      <c r="GA6" s="28" t="n">
        <v>245438.7761777753</v>
      </c>
      <c r="GB6" s="28" t="n">
        <v>245367.0747742409</v>
      </c>
      <c r="GC6" s="28" t="n">
        <v>245295.3943172389</v>
      </c>
      <c r="GD6" s="28" t="n">
        <v>245223.73480065</v>
      </c>
      <c r="GE6" s="28" t="n">
        <v>245152.0962183568</v>
      </c>
      <c r="GF6" s="28" t="n">
        <v>245080.4785642436</v>
      </c>
      <c r="GG6" s="28" t="n">
        <v>245008.8818321967</v>
      </c>
      <c r="GH6" s="28" t="n">
        <v>244937.3060161038</v>
      </c>
      <c r="GI6" s="28" t="n">
        <v>244865.7511098548</v>
      </c>
      <c r="GJ6" s="28" t="n">
        <v>244794.217107341</v>
      </c>
      <c r="GK6" s="28" t="n">
        <v>244722.7040024558</v>
      </c>
      <c r="GL6" s="28" t="n">
        <v>244651.2117890942</v>
      </c>
      <c r="GM6" s="28" t="n">
        <v>244579.7404611531</v>
      </c>
      <c r="GN6" s="28" t="n">
        <v>244508.2900125311</v>
      </c>
      <c r="GO6" s="28" t="n">
        <v>244436.8604371285</v>
      </c>
      <c r="GP6" s="28" t="n">
        <v>244365.4517288477</v>
      </c>
      <c r="GQ6" s="28" t="n">
        <v>244294.0638815926</v>
      </c>
      <c r="GR6" s="28" t="n">
        <v>244222.6968892688</v>
      </c>
      <c r="GS6" s="28" t="n">
        <v>244151.350745784</v>
      </c>
      <c r="GT6" s="28" t="n">
        <v>244080.0254450475</v>
      </c>
      <c r="GU6" s="28" t="n">
        <v>244008.7209809703</v>
      </c>
      <c r="GV6" s="28" t="n">
        <v>243937.4373474653</v>
      </c>
      <c r="GW6" s="28" t="n">
        <v>243866.1745384472</v>
      </c>
      <c r="GX6" s="28" t="n">
        <v>243794.9325478324</v>
      </c>
      <c r="GY6" s="28" t="n">
        <v>243723.7113695391</v>
      </c>
      <c r="GZ6" s="28" t="n">
        <v>243652.5109974872</v>
      </c>
      <c r="HA6" s="28" t="n">
        <v>243581.3314255986</v>
      </c>
      <c r="HB6" s="28" t="n">
        <v>243510.1726477968</v>
      </c>
      <c r="HC6" s="28" t="n">
        <v>243439.034658007</v>
      </c>
      <c r="HD6" s="28" t="n">
        <v>243367.9174501564</v>
      </c>
      <c r="HE6" s="28" t="n">
        <v>243296.8210181738</v>
      </c>
      <c r="HF6" s="28" t="n">
        <v>243225.7453559898</v>
      </c>
      <c r="HG6" s="28" t="n">
        <v>243154.6904575369</v>
      </c>
      <c r="HH6" s="28" t="n">
        <v>243083.6563167492</v>
      </c>
      <c r="HI6" s="28" t="n">
        <v>243012.6429275626</v>
      </c>
      <c r="HJ6" s="28" t="n">
        <v>242941.650283915</v>
      </c>
      <c r="HK6" s="28" t="n">
        <v>242870.6783797457</v>
      </c>
      <c r="HL6" s="28" t="n">
        <v>242799.727208996</v>
      </c>
      <c r="HM6" s="28" t="n">
        <v>242728.796765609</v>
      </c>
      <c r="HN6" s="28" t="n">
        <v>242657.8870435295</v>
      </c>
      <c r="HO6" s="28" t="n">
        <v>242586.998036704</v>
      </c>
      <c r="HP6" s="28" t="n">
        <v>242516.1297390809</v>
      </c>
      <c r="HQ6" s="28" t="n">
        <v>242445.2821446102</v>
      </c>
      <c r="HR6" s="28" t="n">
        <v>242374.4552472439</v>
      </c>
      <c r="HS6" s="28" t="n">
        <v>242303.6490409355</v>
      </c>
      <c r="HT6" s="28" t="n">
        <v>242232.8635196406</v>
      </c>
      <c r="HU6" s="28" t="n">
        <v>242162.0986773162</v>
      </c>
      <c r="HV6" s="28" t="n">
        <v>242091.3545079213</v>
      </c>
      <c r="HW6" s="28" t="n">
        <v>242020.6310054166</v>
      </c>
      <c r="HX6" s="28" t="n">
        <v>241949.9281637646</v>
      </c>
      <c r="HY6" s="28" t="n">
        <v>241879.2459769294</v>
      </c>
      <c r="HZ6" s="28" t="n">
        <v>241808.5844388772</v>
      </c>
      <c r="IA6" s="28" t="n">
        <v>241737.9435435756</v>
      </c>
      <c r="IB6" s="28" t="n">
        <v>241667.3232849941</v>
      </c>
      <c r="IC6" s="28" t="n">
        <v>241596.7236571041</v>
      </c>
      <c r="ID6" s="28" t="n">
        <v>241526.1446538785</v>
      </c>
      <c r="IE6" s="28" t="n">
        <v>241455.5862692923</v>
      </c>
      <c r="IF6" s="28" t="n">
        <v>241385.0484973218</v>
      </c>
      <c r="IG6" s="28" t="n">
        <v>241314.5313319456</v>
      </c>
      <c r="IH6" s="28" t="n">
        <v>241244.0347671436</v>
      </c>
      <c r="II6" s="28" t="n">
        <v>241173.5587968976</v>
      </c>
      <c r="IJ6" s="28" t="n">
        <v>241103.1034151914</v>
      </c>
      <c r="IK6" s="28" t="n">
        <v>241032.6686160102</v>
      </c>
      <c r="IL6" s="28" t="n">
        <v>240962.2543933411</v>
      </c>
      <c r="IM6" s="28" t="n">
        <v>240891.860741173</v>
      </c>
      <c r="IN6" s="28" t="n">
        <v>240821.4876534966</v>
      </c>
      <c r="IO6" s="28" t="n">
        <v>240751.1351243042</v>
      </c>
      <c r="IP6" s="28" t="n">
        <v>240680.80314759</v>
      </c>
      <c r="IQ6" s="28" t="n">
        <v>240610.4917173498</v>
      </c>
      <c r="IR6" s="28" t="n">
        <v>240540.2008275812</v>
      </c>
      <c r="IS6" s="28" t="n">
        <v>240469.9304722838</v>
      </c>
      <c r="IT6" s="28" t="n">
        <v>240399.6806454586</v>
      </c>
      <c r="IU6" s="28" t="n">
        <v>240329.4513411085</v>
      </c>
      <c r="IV6" s="28" t="n">
        <v>240259.2425532383</v>
      </c>
      <c r="IW6" s="28" t="n">
        <v>240189.0542758542</v>
      </c>
      <c r="IX6" s="28" t="n">
        <v>240118.8865029644</v>
      </c>
      <c r="IY6" s="28" t="n">
        <v>240048.739228579</v>
      </c>
      <c r="IZ6" s="28" t="n">
        <v>239978.6124467094</v>
      </c>
      <c r="JA6" s="28" t="n">
        <v>239908.5061513692</v>
      </c>
      <c r="JB6" s="28" t="n">
        <v>239838.4203365734</v>
      </c>
      <c r="JC6" s="28" t="n">
        <v>239768.354996339</v>
      </c>
      <c r="JD6" s="28" t="n">
        <v>239698.3101246847</v>
      </c>
      <c r="JE6" s="28" t="n">
        <v>239628.2857156308</v>
      </c>
      <c r="JF6" s="28" t="n">
        <v>239558.2817631995</v>
      </c>
      <c r="JG6" s="28" t="n">
        <v>239488.2982614147</v>
      </c>
      <c r="JH6" s="28" t="n">
        <v>239418.3352043019</v>
      </c>
      <c r="JI6" s="28" t="n">
        <v>239348.3925858887</v>
      </c>
      <c r="JJ6" s="28" t="n">
        <v>239278.4704002041</v>
      </c>
      <c r="JK6" s="28" t="n">
        <v>239208.568641279</v>
      </c>
      <c r="JL6" s="28" t="n">
        <v>239138.6873031459</v>
      </c>
      <c r="JM6" s="28" t="n">
        <v>239068.8263798394</v>
      </c>
      <c r="JN6" s="28" t="n">
        <v>238998.9858653954</v>
      </c>
      <c r="JO6" s="28" t="n">
        <v>238929.1657538519</v>
      </c>
      <c r="JP6" s="28" t="n">
        <v>238859.3660392483</v>
      </c>
      <c r="JQ6" s="28" t="n">
        <v>238789.5867156261</v>
      </c>
      <c r="JR6" s="28" t="n">
        <v>238719.8277770283</v>
      </c>
      <c r="JS6" s="28" t="n">
        <v>238650.0892174997</v>
      </c>
      <c r="JT6" s="28" t="n">
        <v>238580.3710310869</v>
      </c>
      <c r="JU6" s="28" t="n">
        <v>238510.6732118381</v>
      </c>
      <c r="JV6" s="28" t="n">
        <v>238440.9957538033</v>
      </c>
      <c r="JW6" s="28" t="n">
        <v>238371.3386510345</v>
      </c>
      <c r="JX6" s="28" t="n">
        <v>238301.7018975849</v>
      </c>
      <c r="JY6" s="28" t="n">
        <v>238232.08548751</v>
      </c>
      <c r="JZ6" s="28" t="n">
        <v>238162.4894148665</v>
      </c>
      <c r="KA6" s="28" t="n">
        <v>238092.9136737134</v>
      </c>
      <c r="KB6" s="28" t="n">
        <v>238023.358258111</v>
      </c>
      <c r="KC6" s="28" t="n">
        <v>237953.8231621214</v>
      </c>
      <c r="KD6" s="28" t="n">
        <v>237884.3083798087</v>
      </c>
      <c r="KE6" s="28" t="n">
        <v>237814.8139052385</v>
      </c>
      <c r="KF6" s="28" t="n">
        <v>237745.3397324781</v>
      </c>
      <c r="KG6" s="28" t="n">
        <v>237675.8858555967</v>
      </c>
      <c r="KH6" s="28" t="n">
        <v>237606.4522686651</v>
      </c>
      <c r="KI6" s="28" t="n">
        <v>237537.0389657559</v>
      </c>
      <c r="KJ6" s="28" t="n">
        <v>237467.6459409434</v>
      </c>
      <c r="KK6" s="28" t="n">
        <v>237398.2731883037</v>
      </c>
      <c r="KL6" s="28" t="n">
        <v>237328.9207019145</v>
      </c>
      <c r="KM6" s="28" t="n">
        <v>237259.5884758554</v>
      </c>
      <c r="KN6" s="28" t="n">
        <v>237190.2765042076</v>
      </c>
      <c r="KO6" s="28" t="n">
        <v>237120.984781054</v>
      </c>
      <c r="KP6" s="28" t="n">
        <v>237051.7133004794</v>
      </c>
      <c r="KQ6" s="28" t="n">
        <v>236982.4620565702</v>
      </c>
      <c r="KR6" s="28" t="n">
        <v>236913.2310434144</v>
      </c>
      <c r="KS6" s="28" t="n">
        <v>236844.0202551021</v>
      </c>
      <c r="KT6" s="28" t="n">
        <v>236774.8296857247</v>
      </c>
      <c r="KU6" s="28" t="n">
        <v>236705.6593293757</v>
      </c>
      <c r="KV6" s="28" t="n">
        <v>236636.5091801501</v>
      </c>
      <c r="KW6" s="28" t="n">
        <v>236567.3792321447</v>
      </c>
      <c r="KX6" s="28" t="n">
        <v>236498.2694794579</v>
      </c>
      <c r="KY6" s="28" t="n">
        <v>236429.17991619</v>
      </c>
      <c r="KZ6" s="28" t="n">
        <v>236360.1105364429</v>
      </c>
      <c r="LA6" s="28" t="n">
        <v>236291.0613343203</v>
      </c>
      <c r="LB6" s="28" t="n">
        <v>236222.0323039278</v>
      </c>
      <c r="LC6" s="28" t="n">
        <v>236153.0234393722</v>
      </c>
      <c r="LD6" s="28" t="n">
        <v>236084.0347347625</v>
      </c>
      <c r="LE6" s="28" t="n">
        <v>236015.0661842093</v>
      </c>
      <c r="LF6" s="28" t="n">
        <v>235946.1177818248</v>
      </c>
      <c r="LG6" s="28" t="n">
        <v>235877.1895217229</v>
      </c>
      <c r="LH6" s="28" t="n">
        <v>235808.2813980196</v>
      </c>
      <c r="LI6" s="28" t="n">
        <v>235739.3934048321</v>
      </c>
      <c r="LJ6" s="28" t="n">
        <v>235670.5255362798</v>
      </c>
      <c r="LK6" s="28" t="n">
        <v>235601.6777864833</v>
      </c>
      <c r="LL6" s="28" t="n">
        <v>235532.8501495654</v>
      </c>
      <c r="LM6" s="28" t="n">
        <v>235464.0426196502</v>
      </c>
      <c r="LN6" s="28" t="n">
        <v>235395.255190864</v>
      </c>
      <c r="LO6" s="28" t="n">
        <v>235326.4878573344</v>
      </c>
      <c r="LP6" s="28" t="n">
        <v>235257.7406131908</v>
      </c>
      <c r="LQ6" s="28" t="n">
        <v>235189.0134525645</v>
      </c>
      <c r="LR6" s="28" t="n">
        <v>235120.3063695884</v>
      </c>
      <c r="LS6" s="28" t="n">
        <v>235051.6193583969</v>
      </c>
      <c r="LT6" s="28" t="n">
        <v>234982.9524131266</v>
      </c>
      <c r="LU6" s="28" t="n">
        <v>234914.3055279152</v>
      </c>
      <c r="LV6" s="28" t="n">
        <v>234845.6786969028</v>
      </c>
      <c r="LW6" s="28" t="n">
        <v>234777.0719142306</v>
      </c>
      <c r="LX6" s="28" t="n">
        <v>234708.4851740419</v>
      </c>
      <c r="LY6" s="28" t="n">
        <v>234639.9184704815</v>
      </c>
      <c r="LZ6" s="28" t="n">
        <v>234571.371797696</v>
      </c>
      <c r="MA6" s="28" t="n">
        <v>234502.8451498337</v>
      </c>
      <c r="MB6" s="28" t="n">
        <v>234434.3385210447</v>
      </c>
      <c r="MC6" s="28" t="n">
        <v>234365.8519054806</v>
      </c>
      <c r="MD6" s="28" t="n">
        <v>234297.3852972948</v>
      </c>
      <c r="ME6" s="28" t="n">
        <v>234228.9386906425</v>
      </c>
      <c r="MF6" s="28" t="n">
        <v>234160.5120796806</v>
      </c>
      <c r="MG6" s="28" t="n">
        <v>234092.1054585676</v>
      </c>
      <c r="MH6" s="28" t="n">
        <v>234023.7188214636</v>
      </c>
      <c r="MI6" s="28" t="n">
        <v>233955.3521625308</v>
      </c>
      <c r="MJ6" s="28" t="n">
        <v>233887.0054759328</v>
      </c>
      <c r="MK6" s="28" t="n">
        <v>233818.6787558348</v>
      </c>
      <c r="ML6" s="28" t="n">
        <v>233750.3719964041</v>
      </c>
      <c r="MM6" s="28" t="n">
        <v>233682.0851918093</v>
      </c>
      <c r="MN6" s="28" t="n">
        <v>233613.818336221</v>
      </c>
      <c r="MO6" s="28" t="n">
        <v>233545.5714238114</v>
      </c>
      <c r="MP6" s="28" t="n">
        <v>233477.3444487543</v>
      </c>
      <c r="MQ6" s="28" t="n">
        <v>233409.1374052253</v>
      </c>
      <c r="MR6" s="28" t="n">
        <v>233340.9502874017</v>
      </c>
      <c r="MS6" s="28" t="n">
        <v>233272.7830894626</v>
      </c>
      <c r="MT6" s="28" t="n">
        <v>233204.6358055885</v>
      </c>
      <c r="MU6" s="28" t="n">
        <v>233136.508429962</v>
      </c>
      <c r="MV6" s="28" t="n">
        <v>233068.400956767</v>
      </c>
      <c r="MW6" s="28" t="n">
        <v>233000.3133801894</v>
      </c>
      <c r="MX6" s="28" t="n">
        <v>232932.2456944167</v>
      </c>
      <c r="MY6" s="28" t="n">
        <v>232864.197893638</v>
      </c>
      <c r="MZ6" s="28" t="n">
        <v>232796.1699720443</v>
      </c>
      <c r="NA6" s="28" t="n">
        <v>232728.1619238281</v>
      </c>
      <c r="NB6" s="28" t="n">
        <v>232660.1737431837</v>
      </c>
      <c r="NC6" s="28" t="n">
        <v>232592.205424307</v>
      </c>
      <c r="ND6" s="28" t="n">
        <v>232524.2569613958</v>
      </c>
      <c r="NE6" s="28" t="n">
        <v>232456.3283486495</v>
      </c>
      <c r="NF6" s="28" t="n">
        <v>232388.419580269</v>
      </c>
      <c r="NG6" s="28" t="n">
        <v>232320.5306504571</v>
      </c>
      <c r="NH6" s="28" t="n">
        <v>232252.6615534184</v>
      </c>
      <c r="NI6" s="28" t="n">
        <v>232184.8122833587</v>
      </c>
      <c r="NJ6" s="28" t="n">
        <v>232116.9828344862</v>
      </c>
      <c r="NK6" s="28" t="n">
        <v>232049.1732010103</v>
      </c>
      <c r="NL6" s="28" t="n">
        <v>231981.3833771421</v>
      </c>
      <c r="NM6" s="28" t="n">
        <v>231913.6133570947</v>
      </c>
      <c r="NN6" s="28" t="n">
        <v>231845.8631350825</v>
      </c>
      <c r="NO6" s="28" t="n">
        <v>231778.1327053219</v>
      </c>
      <c r="NP6" s="28" t="n">
        <v>231710.422062031</v>
      </c>
      <c r="NQ6" s="28" t="n">
        <v>231642.7311994292</v>
      </c>
      <c r="NR6" s="28" t="n">
        <v>231575.060111738</v>
      </c>
      <c r="NS6" s="28" t="n">
        <v>231507.4087931805</v>
      </c>
      <c r="NT6" s="28" t="n">
        <v>231439.7772379814</v>
      </c>
      <c r="NU6" s="28" t="n">
        <v>231372.165440367</v>
      </c>
      <c r="NV6" s="28" t="n">
        <v>231304.5733945656</v>
      </c>
      <c r="NW6" s="28" t="n">
        <v>231237.0010948068</v>
      </c>
      <c r="NX6" s="28" t="n">
        <v>231169.4485353222</v>
      </c>
      <c r="NY6" s="28" t="n">
        <v>231101.9157103449</v>
      </c>
      <c r="NZ6" s="28" t="n">
        <v>231034.4026141097</v>
      </c>
      <c r="OA6" s="28" t="n">
        <v>230966.9092408533</v>
      </c>
      <c r="OB6" s="28" t="n">
        <v>230899.4355848139</v>
      </c>
      <c r="OC6" s="28" t="n">
        <v>230831.9816402312</v>
      </c>
      <c r="OD6" s="28" t="n">
        <v>230764.547401347</v>
      </c>
      <c r="OE6" s="28" t="n">
        <v>230697.1328624044</v>
      </c>
      <c r="OF6" s="28" t="n">
        <v>230629.7380176485</v>
      </c>
      <c r="OG6" s="28" t="n">
        <v>230562.3628613257</v>
      </c>
      <c r="OH6" s="28" t="n">
        <v>230495.0073876846</v>
      </c>
      <c r="OI6" s="28" t="n">
        <v>230427.6715909749</v>
      </c>
      <c r="OJ6" s="28" t="n">
        <v>230360.3554654485</v>
      </c>
      <c r="OK6" s="28" t="n">
        <v>230293.0590053587</v>
      </c>
      <c r="OL6" s="28" t="n">
        <v>230225.7822049604</v>
      </c>
      <c r="OM6" s="28" t="n">
        <v>230158.5250585104</v>
      </c>
      <c r="ON6" s="28" t="n">
        <v>230091.2875602671</v>
      </c>
      <c r="OO6" s="28" t="n">
        <v>230024.0697044905</v>
      </c>
      <c r="OP6" s="28" t="n">
        <v>229956.8714854423</v>
      </c>
      <c r="OQ6" s="28" t="n">
        <v>229889.692897386</v>
      </c>
      <c r="OR6" s="28" t="n">
        <v>229822.5339345867</v>
      </c>
      <c r="OS6" s="28" t="n">
        <v>229755.3945913111</v>
      </c>
      <c r="OT6" s="28" t="n">
        <v>229688.2748618277</v>
      </c>
      <c r="OU6" s="28" t="n">
        <v>229621.1747404065</v>
      </c>
      <c r="OV6" s="28" t="n">
        <v>229554.0942213195</v>
      </c>
      <c r="OW6" s="28" t="n">
        <v>229487.0332988399</v>
      </c>
      <c r="OX6" s="28" t="n">
        <v>229419.9919672431</v>
      </c>
      <c r="OY6" s="28" t="n">
        <v>229352.9702208056</v>
      </c>
      <c r="OZ6" s="28" t="n">
        <v>229285.9680538061</v>
      </c>
      <c r="PA6" s="28" t="n">
        <v>229218.9854605247</v>
      </c>
      <c r="PB6" s="28" t="n">
        <v>229152.0224352432</v>
      </c>
      <c r="PC6" s="28" t="n">
        <v>229085.0789722452</v>
      </c>
      <c r="PD6" s="28" t="n">
        <v>229018.1550658157</v>
      </c>
      <c r="PE6" s="28" t="n">
        <v>228951.2507102415</v>
      </c>
      <c r="PF6" s="28" t="n">
        <v>228884.3658998113</v>
      </c>
      <c r="PG6" s="28" t="n">
        <v>228817.5006288151</v>
      </c>
      <c r="PH6" s="28" t="n">
        <v>228750.6548915449</v>
      </c>
      <c r="PI6" s="28" t="n">
        <v>228683.828682294</v>
      </c>
      <c r="PJ6" s="28" t="n">
        <v>228617.0219953577</v>
      </c>
      <c r="PK6" s="28" t="n">
        <v>228550.2348250328</v>
      </c>
      <c r="PL6" s="28" t="n">
        <v>228483.4671656178</v>
      </c>
      <c r="PM6" s="28" t="n">
        <v>228416.7190114129</v>
      </c>
      <c r="PN6" s="28" t="n">
        <v>228349.9903567199</v>
      </c>
      <c r="PO6" s="28" t="n">
        <v>228283.2811958423</v>
      </c>
      <c r="PP6" s="28" t="n">
        <v>228216.5915230853</v>
      </c>
      <c r="PQ6" s="28" t="n">
        <v>228149.9213327557</v>
      </c>
      <c r="PR6" s="28" t="n">
        <v>228083.270619162</v>
      </c>
      <c r="PS6" s="28" t="n">
        <v>228016.6393766143</v>
      </c>
      <c r="PT6" s="28" t="n">
        <v>227950.0275994245</v>
      </c>
      <c r="PU6" s="28" t="n">
        <v>227883.435281906</v>
      </c>
      <c r="PV6" s="28" t="n">
        <v>227816.862418374</v>
      </c>
      <c r="PW6" s="28" t="n">
        <v>227750.3090031452</v>
      </c>
      <c r="PX6" s="28" t="n">
        <v>227683.7750305381</v>
      </c>
      <c r="PY6" s="28" t="n">
        <v>227617.260494873</v>
      </c>
      <c r="PZ6" s="28" t="n">
        <v>227550.7653904714</v>
      </c>
      <c r="QA6" s="28" t="n">
        <v>227484.2897116569</v>
      </c>
      <c r="QB6" s="28" t="n">
        <v>227417.8334527545</v>
      </c>
      <c r="QC6" s="28" t="n">
        <v>227351.3966080911</v>
      </c>
      <c r="QD6" s="28" t="n">
        <v>227284.9791719949</v>
      </c>
      <c r="QE6" s="28" t="n">
        <v>227218.5811387962</v>
      </c>
      <c r="QF6" s="28" t="n">
        <v>227152.2025028265</v>
      </c>
      <c r="QG6" s="28" t="n">
        <v>227085.8432584193</v>
      </c>
      <c r="QH6" s="28" t="n">
        <v>227019.5033999096</v>
      </c>
      <c r="QI6" s="28" t="n">
        <v>226953.1829216342</v>
      </c>
      <c r="QJ6" s="28" t="n">
        <v>226886.8818179313</v>
      </c>
      <c r="QK6" s="28" t="n">
        <v>226820.6000831409</v>
      </c>
      <c r="QL6" s="28" t="n">
        <v>226754.3377116047</v>
      </c>
      <c r="QM6" s="28" t="n">
        <v>0</v>
      </c>
      <c r="QN6" s="28" t="n">
        <v>0</v>
      </c>
      <c r="QO6" s="28" t="n">
        <v>0</v>
      </c>
      <c r="QP6" s="28" t="n">
        <v>0</v>
      </c>
      <c r="QQ6" s="28" t="n">
        <v>0</v>
      </c>
      <c r="QR6" s="28" t="n">
        <v>0</v>
      </c>
      <c r="QS6" s="28" t="n">
        <v>0</v>
      </c>
      <c r="QT6" s="28" t="n">
        <v>0</v>
      </c>
      <c r="QU6" s="28" t="n">
        <v>0</v>
      </c>
      <c r="QV6" s="28" t="n">
        <v>0</v>
      </c>
      <c r="QW6" s="28" t="n">
        <v>0</v>
      </c>
      <c r="QX6" s="28" t="n">
        <v>0</v>
      </c>
      <c r="QY6" s="28" t="n">
        <v>0</v>
      </c>
      <c r="QZ6" s="28" t="n">
        <v>0</v>
      </c>
      <c r="RA6" s="28" t="n">
        <v>0</v>
      </c>
      <c r="RB6" s="28" t="n">
        <v>0</v>
      </c>
      <c r="RC6" s="28" t="n">
        <v>0</v>
      </c>
      <c r="RD6" s="28" t="n">
        <v>0</v>
      </c>
      <c r="RE6" s="28" t="n">
        <v>0</v>
      </c>
      <c r="RF6" s="28" t="n">
        <v>0</v>
      </c>
      <c r="RG6" s="28" t="n">
        <v>0</v>
      </c>
      <c r="RH6" s="28" t="n">
        <v>0</v>
      </c>
      <c r="RI6" s="28" t="n">
        <v>0</v>
      </c>
      <c r="RJ6" s="28" t="n">
        <v>0</v>
      </c>
      <c r="RK6" s="28" t="n">
        <v>0</v>
      </c>
      <c r="RL6" s="28" t="n">
        <v>0</v>
      </c>
      <c r="RM6" s="28" t="n">
        <v>0</v>
      </c>
      <c r="RN6" s="28" t="n">
        <v>0</v>
      </c>
      <c r="RO6" s="28" t="n">
        <v>0</v>
      </c>
      <c r="RP6" s="28" t="n">
        <v>0</v>
      </c>
      <c r="RQ6" s="28" t="n">
        <v>0</v>
      </c>
      <c r="RR6" s="28" t="n">
        <v>0</v>
      </c>
      <c r="RS6" s="28" t="n">
        <v>0</v>
      </c>
      <c r="RT6" s="28" t="n">
        <v>0</v>
      </c>
      <c r="RU6" s="28" t="n">
        <v>0</v>
      </c>
      <c r="RV6" s="28" t="n">
        <v>0</v>
      </c>
      <c r="RW6" s="28" t="n">
        <v>0</v>
      </c>
    </row>
    <row r="7" hidden="1" outlineLevel="1" ht="13.05" customHeight="1">
      <c r="E7" s="21" t="inlineStr">
        <is>
          <t>Price Indexation Factor</t>
        </is>
      </c>
      <c r="F7" s="29" t="n"/>
      <c r="G7" s="29" t="inlineStr">
        <is>
          <t>x</t>
        </is>
      </c>
      <c r="H7" s="29" t="n"/>
      <c r="I7" s="29" t="n"/>
      <c r="J7" s="30" t="n">
        <v>1</v>
      </c>
      <c r="K7" s="29" t="n"/>
      <c r="L7" s="31" t="n">
        <v>1</v>
      </c>
      <c r="M7" s="31" t="n">
        <v>1</v>
      </c>
      <c r="N7" s="31" t="n">
        <v>1</v>
      </c>
      <c r="O7" s="31" t="n">
        <v>1</v>
      </c>
      <c r="P7" s="31" t="n">
        <v>1</v>
      </c>
      <c r="Q7" s="31" t="n">
        <v>1</v>
      </c>
      <c r="R7" s="31" t="n">
        <v>1</v>
      </c>
      <c r="S7" s="31" t="n">
        <v>1</v>
      </c>
      <c r="T7" s="31" t="n">
        <v>1</v>
      </c>
      <c r="U7" s="31" t="n">
        <v>1</v>
      </c>
      <c r="V7" s="31" t="n">
        <v>1</v>
      </c>
      <c r="W7" s="31" t="n">
        <v>1</v>
      </c>
      <c r="X7" s="31" t="n">
        <v>1</v>
      </c>
      <c r="Y7" s="31" t="n">
        <v>1</v>
      </c>
      <c r="Z7" s="31" t="n">
        <v>1</v>
      </c>
      <c r="AA7" s="31" t="n">
        <v>1</v>
      </c>
      <c r="AB7" s="31" t="n">
        <v>1</v>
      </c>
      <c r="AC7" s="31" t="n">
        <v>1</v>
      </c>
      <c r="AD7" s="31" t="n">
        <v>1</v>
      </c>
      <c r="AE7" s="31" t="n">
        <v>1</v>
      </c>
      <c r="AF7" s="31" t="n">
        <v>1</v>
      </c>
      <c r="AG7" s="31" t="n">
        <v>1</v>
      </c>
      <c r="AH7" s="31" t="n">
        <v>1</v>
      </c>
      <c r="AI7" s="31" t="n">
        <v>1</v>
      </c>
      <c r="AJ7" s="31" t="n">
        <v>1</v>
      </c>
      <c r="AK7" s="31" t="n">
        <v>1</v>
      </c>
      <c r="AL7" s="31" t="n">
        <v>1</v>
      </c>
      <c r="AM7" s="31" t="n">
        <v>1</v>
      </c>
      <c r="AN7" s="31" t="n">
        <v>1</v>
      </c>
      <c r="AO7" s="31" t="n">
        <v>1</v>
      </c>
      <c r="AP7" s="31" t="n">
        <v>1</v>
      </c>
      <c r="AQ7" s="31" t="n">
        <v>1</v>
      </c>
      <c r="AR7" s="31" t="n">
        <v>1</v>
      </c>
      <c r="AS7" s="31" t="n">
        <v>1</v>
      </c>
      <c r="AT7" s="31" t="n">
        <v>1</v>
      </c>
      <c r="AU7" s="31" t="n">
        <v>1</v>
      </c>
      <c r="AV7" s="31" t="n">
        <v>1</v>
      </c>
      <c r="AW7" s="31" t="n">
        <v>1</v>
      </c>
      <c r="AX7" s="31" t="n">
        <v>1</v>
      </c>
      <c r="AY7" s="31" t="n">
        <v>1</v>
      </c>
      <c r="AZ7" s="31" t="n">
        <v>1</v>
      </c>
      <c r="BA7" s="31" t="n">
        <v>1</v>
      </c>
      <c r="BB7" s="31" t="n">
        <v>1</v>
      </c>
      <c r="BC7" s="31" t="n">
        <v>1</v>
      </c>
      <c r="BD7" s="31" t="n">
        <v>1</v>
      </c>
      <c r="BE7" s="31" t="n">
        <v>1</v>
      </c>
      <c r="BF7" s="31" t="n">
        <v>1</v>
      </c>
      <c r="BG7" s="31" t="n">
        <v>1</v>
      </c>
      <c r="BH7" s="31" t="n">
        <v>1</v>
      </c>
      <c r="BI7" s="31" t="n">
        <v>1</v>
      </c>
      <c r="BJ7" s="31" t="n">
        <v>1</v>
      </c>
      <c r="BK7" s="31" t="n">
        <v>1</v>
      </c>
      <c r="BL7" s="31" t="n">
        <v>1</v>
      </c>
      <c r="BM7" s="31" t="n">
        <v>1</v>
      </c>
      <c r="BN7" s="31" t="n">
        <v>1</v>
      </c>
      <c r="BO7" s="31" t="n">
        <v>1</v>
      </c>
      <c r="BP7" s="31" t="n">
        <v>1</v>
      </c>
      <c r="BQ7" s="31" t="n">
        <v>1</v>
      </c>
      <c r="BR7" s="31" t="n">
        <v>1</v>
      </c>
      <c r="BS7" s="31" t="n">
        <v>1</v>
      </c>
      <c r="BT7" s="31" t="n">
        <v>1</v>
      </c>
      <c r="BU7" s="31" t="n">
        <v>1</v>
      </c>
      <c r="BV7" s="31" t="n">
        <v>1</v>
      </c>
      <c r="BW7" s="31" t="n">
        <v>1</v>
      </c>
      <c r="BX7" s="31" t="n">
        <v>1</v>
      </c>
      <c r="BY7" s="31" t="n">
        <v>1</v>
      </c>
      <c r="BZ7" s="31" t="n">
        <v>1</v>
      </c>
      <c r="CA7" s="31" t="n">
        <v>1</v>
      </c>
      <c r="CB7" s="31" t="n">
        <v>1</v>
      </c>
      <c r="CC7" s="31" t="n">
        <v>1</v>
      </c>
      <c r="CD7" s="31" t="n">
        <v>1</v>
      </c>
      <c r="CE7" s="31" t="n">
        <v>1</v>
      </c>
      <c r="CF7" s="31" t="n">
        <v>1</v>
      </c>
      <c r="CG7" s="31" t="n">
        <v>1</v>
      </c>
      <c r="CH7" s="31" t="n">
        <v>1</v>
      </c>
      <c r="CI7" s="31" t="n">
        <v>1</v>
      </c>
      <c r="CJ7" s="31" t="n">
        <v>1</v>
      </c>
      <c r="CK7" s="31" t="n">
        <v>1</v>
      </c>
      <c r="CL7" s="31" t="n">
        <v>1</v>
      </c>
      <c r="CM7" s="31" t="n">
        <v>1</v>
      </c>
      <c r="CN7" s="31" t="n">
        <v>1</v>
      </c>
      <c r="CO7" s="31" t="n">
        <v>1</v>
      </c>
      <c r="CP7" s="31" t="n">
        <v>1</v>
      </c>
      <c r="CQ7" s="31" t="n">
        <v>1</v>
      </c>
      <c r="CR7" s="31" t="n">
        <v>1</v>
      </c>
      <c r="CS7" s="31" t="n">
        <v>1</v>
      </c>
      <c r="CT7" s="31" t="n">
        <v>1</v>
      </c>
      <c r="CU7" s="31" t="n">
        <v>1</v>
      </c>
      <c r="CV7" s="31" t="n">
        <v>1</v>
      </c>
      <c r="CW7" s="31" t="n">
        <v>1</v>
      </c>
      <c r="CX7" s="31" t="n">
        <v>1</v>
      </c>
      <c r="CY7" s="31" t="n">
        <v>1</v>
      </c>
      <c r="CZ7" s="31" t="n">
        <v>1</v>
      </c>
      <c r="DA7" s="31" t="n">
        <v>1</v>
      </c>
      <c r="DB7" s="31" t="n">
        <v>1</v>
      </c>
      <c r="DC7" s="31" t="n">
        <v>1</v>
      </c>
      <c r="DD7" s="31" t="n">
        <v>1</v>
      </c>
      <c r="DE7" s="31" t="n">
        <v>1</v>
      </c>
      <c r="DF7" s="31" t="n">
        <v>1</v>
      </c>
      <c r="DG7" s="31" t="n">
        <v>1</v>
      </c>
      <c r="DH7" s="31" t="n">
        <v>1</v>
      </c>
      <c r="DI7" s="31" t="n">
        <v>1</v>
      </c>
      <c r="DJ7" s="31" t="n">
        <v>1</v>
      </c>
      <c r="DK7" s="31" t="n">
        <v>1</v>
      </c>
      <c r="DL7" s="31" t="n">
        <v>1</v>
      </c>
      <c r="DM7" s="31" t="n">
        <v>1</v>
      </c>
      <c r="DN7" s="31" t="n">
        <v>1</v>
      </c>
      <c r="DO7" s="31" t="n">
        <v>1</v>
      </c>
      <c r="DP7" s="31" t="n">
        <v>1</v>
      </c>
      <c r="DQ7" s="31" t="n">
        <v>1</v>
      </c>
      <c r="DR7" s="31" t="n">
        <v>1</v>
      </c>
      <c r="DS7" s="31" t="n">
        <v>1</v>
      </c>
      <c r="DT7" s="31" t="n">
        <v>1</v>
      </c>
      <c r="DU7" s="31" t="n">
        <v>1</v>
      </c>
      <c r="DV7" s="31" t="n">
        <v>1</v>
      </c>
      <c r="DW7" s="31" t="n">
        <v>1</v>
      </c>
      <c r="DX7" s="31" t="n">
        <v>1</v>
      </c>
      <c r="DY7" s="31" t="n">
        <v>1</v>
      </c>
      <c r="DZ7" s="31" t="n">
        <v>1</v>
      </c>
      <c r="EA7" s="31" t="n">
        <v>1</v>
      </c>
      <c r="EB7" s="31" t="n">
        <v>1</v>
      </c>
      <c r="EC7" s="31" t="n">
        <v>1</v>
      </c>
      <c r="ED7" s="31" t="n">
        <v>1</v>
      </c>
      <c r="EE7" s="31" t="n">
        <v>1</v>
      </c>
      <c r="EF7" s="31" t="n">
        <v>1</v>
      </c>
      <c r="EG7" s="31" t="n">
        <v>1</v>
      </c>
      <c r="EH7" s="31" t="n">
        <v>1</v>
      </c>
      <c r="EI7" s="31" t="n">
        <v>1</v>
      </c>
      <c r="EJ7" s="31" t="n">
        <v>1</v>
      </c>
      <c r="EK7" s="31" t="n">
        <v>1</v>
      </c>
      <c r="EL7" s="31" t="n">
        <v>1</v>
      </c>
      <c r="EM7" s="31" t="n">
        <v>1</v>
      </c>
      <c r="EN7" s="31" t="n">
        <v>1</v>
      </c>
      <c r="EO7" s="31" t="n">
        <v>1</v>
      </c>
      <c r="EP7" s="31" t="n">
        <v>1</v>
      </c>
      <c r="EQ7" s="31" t="n">
        <v>1</v>
      </c>
      <c r="ER7" s="31" t="n">
        <v>1</v>
      </c>
      <c r="ES7" s="31" t="n">
        <v>1</v>
      </c>
      <c r="ET7" s="31" t="n">
        <v>1</v>
      </c>
      <c r="EU7" s="31" t="n">
        <v>1</v>
      </c>
      <c r="EV7" s="31" t="n">
        <v>1</v>
      </c>
      <c r="EW7" s="31" t="n">
        <v>1</v>
      </c>
      <c r="EX7" s="31" t="n">
        <v>1</v>
      </c>
      <c r="EY7" s="31" t="n">
        <v>1</v>
      </c>
      <c r="EZ7" s="31" t="n">
        <v>1</v>
      </c>
      <c r="FA7" s="31" t="n">
        <v>1</v>
      </c>
      <c r="FB7" s="31" t="n">
        <v>1</v>
      </c>
      <c r="FC7" s="31" t="n">
        <v>1</v>
      </c>
      <c r="FD7" s="31" t="n">
        <v>1</v>
      </c>
      <c r="FE7" s="31" t="n">
        <v>1</v>
      </c>
      <c r="FF7" s="31" t="n">
        <v>1</v>
      </c>
      <c r="FG7" s="31" t="n">
        <v>1</v>
      </c>
      <c r="FH7" s="31" t="n">
        <v>1</v>
      </c>
      <c r="FI7" s="31" t="n">
        <v>1</v>
      </c>
      <c r="FJ7" s="31" t="n">
        <v>1</v>
      </c>
      <c r="FK7" s="31" t="n">
        <v>1</v>
      </c>
      <c r="FL7" s="31" t="n">
        <v>1</v>
      </c>
      <c r="FM7" s="31" t="n">
        <v>1</v>
      </c>
      <c r="FN7" s="31" t="n">
        <v>1</v>
      </c>
      <c r="FO7" s="31" t="n">
        <v>1</v>
      </c>
      <c r="FP7" s="31" t="n">
        <v>1</v>
      </c>
      <c r="FQ7" s="31" t="n">
        <v>1</v>
      </c>
      <c r="FR7" s="31" t="n">
        <v>1</v>
      </c>
      <c r="FS7" s="31" t="n">
        <v>1</v>
      </c>
      <c r="FT7" s="31" t="n">
        <v>1</v>
      </c>
      <c r="FU7" s="31" t="n">
        <v>1</v>
      </c>
      <c r="FV7" s="31" t="n">
        <v>1</v>
      </c>
      <c r="FW7" s="31" t="n">
        <v>1</v>
      </c>
      <c r="FX7" s="31" t="n">
        <v>1</v>
      </c>
      <c r="FY7" s="31" t="n">
        <v>1</v>
      </c>
      <c r="FZ7" s="31" t="n">
        <v>1</v>
      </c>
      <c r="GA7" s="31" t="n">
        <v>1</v>
      </c>
      <c r="GB7" s="31" t="n">
        <v>1</v>
      </c>
      <c r="GC7" s="31" t="n">
        <v>1</v>
      </c>
      <c r="GD7" s="31" t="n">
        <v>1</v>
      </c>
      <c r="GE7" s="31" t="n">
        <v>1</v>
      </c>
      <c r="GF7" s="31" t="n">
        <v>1</v>
      </c>
      <c r="GG7" s="31" t="n">
        <v>1</v>
      </c>
      <c r="GH7" s="31" t="n">
        <v>1</v>
      </c>
      <c r="GI7" s="31" t="n">
        <v>1</v>
      </c>
      <c r="GJ7" s="31" t="n">
        <v>1</v>
      </c>
      <c r="GK7" s="31" t="n">
        <v>1</v>
      </c>
      <c r="GL7" s="31" t="n">
        <v>1</v>
      </c>
      <c r="GM7" s="31" t="n">
        <v>1</v>
      </c>
      <c r="GN7" s="31" t="n">
        <v>1</v>
      </c>
      <c r="GO7" s="31" t="n">
        <v>1</v>
      </c>
      <c r="GP7" s="31" t="n">
        <v>1</v>
      </c>
      <c r="GQ7" s="31" t="n">
        <v>1</v>
      </c>
      <c r="GR7" s="31" t="n">
        <v>1</v>
      </c>
      <c r="GS7" s="31" t="n">
        <v>1</v>
      </c>
      <c r="GT7" s="31" t="n">
        <v>1</v>
      </c>
      <c r="GU7" s="31" t="n">
        <v>1</v>
      </c>
      <c r="GV7" s="31" t="n">
        <v>1</v>
      </c>
      <c r="GW7" s="31" t="n">
        <v>1</v>
      </c>
      <c r="GX7" s="31" t="n">
        <v>1</v>
      </c>
      <c r="GY7" s="31" t="n">
        <v>1</v>
      </c>
      <c r="GZ7" s="31" t="n">
        <v>1</v>
      </c>
      <c r="HA7" s="31" t="n">
        <v>1</v>
      </c>
      <c r="HB7" s="31" t="n">
        <v>1</v>
      </c>
      <c r="HC7" s="31" t="n">
        <v>1</v>
      </c>
      <c r="HD7" s="31" t="n">
        <v>1</v>
      </c>
      <c r="HE7" s="31" t="n">
        <v>1</v>
      </c>
      <c r="HF7" s="31" t="n">
        <v>1</v>
      </c>
      <c r="HG7" s="31" t="n">
        <v>1</v>
      </c>
      <c r="HH7" s="31" t="n">
        <v>1</v>
      </c>
      <c r="HI7" s="31" t="n">
        <v>1</v>
      </c>
      <c r="HJ7" s="31" t="n">
        <v>1</v>
      </c>
      <c r="HK7" s="31" t="n">
        <v>1</v>
      </c>
      <c r="HL7" s="31" t="n">
        <v>1</v>
      </c>
      <c r="HM7" s="31" t="n">
        <v>1</v>
      </c>
      <c r="HN7" s="31" t="n">
        <v>1</v>
      </c>
      <c r="HO7" s="31" t="n">
        <v>1</v>
      </c>
      <c r="HP7" s="31" t="n">
        <v>1</v>
      </c>
      <c r="HQ7" s="31" t="n">
        <v>1</v>
      </c>
      <c r="HR7" s="31" t="n">
        <v>1</v>
      </c>
      <c r="HS7" s="31" t="n">
        <v>1</v>
      </c>
      <c r="HT7" s="31" t="n">
        <v>1</v>
      </c>
      <c r="HU7" s="31" t="n">
        <v>1</v>
      </c>
      <c r="HV7" s="31" t="n">
        <v>1</v>
      </c>
      <c r="HW7" s="31" t="n">
        <v>1</v>
      </c>
      <c r="HX7" s="31" t="n">
        <v>1</v>
      </c>
      <c r="HY7" s="31" t="n">
        <v>1</v>
      </c>
      <c r="HZ7" s="31" t="n">
        <v>1</v>
      </c>
      <c r="IA7" s="31" t="n">
        <v>1</v>
      </c>
      <c r="IB7" s="31" t="n">
        <v>1</v>
      </c>
      <c r="IC7" s="31" t="n">
        <v>1</v>
      </c>
      <c r="ID7" s="31" t="n">
        <v>1</v>
      </c>
      <c r="IE7" s="31" t="n">
        <v>1</v>
      </c>
      <c r="IF7" s="31" t="n">
        <v>1</v>
      </c>
      <c r="IG7" s="31" t="n">
        <v>1</v>
      </c>
      <c r="IH7" s="31" t="n">
        <v>1</v>
      </c>
      <c r="II7" s="31" t="n">
        <v>1</v>
      </c>
      <c r="IJ7" s="31" t="n">
        <v>1</v>
      </c>
      <c r="IK7" s="31" t="n">
        <v>1</v>
      </c>
      <c r="IL7" s="31" t="n">
        <v>1</v>
      </c>
      <c r="IM7" s="31" t="n">
        <v>1</v>
      </c>
      <c r="IN7" s="31" t="n">
        <v>1</v>
      </c>
      <c r="IO7" s="31" t="n">
        <v>1</v>
      </c>
      <c r="IP7" s="31" t="n">
        <v>1</v>
      </c>
      <c r="IQ7" s="31" t="n">
        <v>1</v>
      </c>
      <c r="IR7" s="31" t="n">
        <v>1</v>
      </c>
      <c r="IS7" s="31" t="n">
        <v>1</v>
      </c>
      <c r="IT7" s="31" t="n">
        <v>1</v>
      </c>
      <c r="IU7" s="31" t="n">
        <v>1</v>
      </c>
      <c r="IV7" s="31" t="n">
        <v>1</v>
      </c>
      <c r="IW7" s="31" t="n">
        <v>1</v>
      </c>
      <c r="IX7" s="31" t="n">
        <v>1</v>
      </c>
      <c r="IY7" s="31" t="n">
        <v>1</v>
      </c>
      <c r="IZ7" s="31" t="n">
        <v>1</v>
      </c>
      <c r="JA7" s="31" t="n">
        <v>1</v>
      </c>
      <c r="JB7" s="31" t="n">
        <v>1</v>
      </c>
      <c r="JC7" s="31" t="n">
        <v>1</v>
      </c>
      <c r="JD7" s="31" t="n">
        <v>1</v>
      </c>
      <c r="JE7" s="31" t="n">
        <v>1</v>
      </c>
      <c r="JF7" s="31" t="n">
        <v>1</v>
      </c>
      <c r="JG7" s="31" t="n">
        <v>1</v>
      </c>
      <c r="JH7" s="31" t="n">
        <v>1</v>
      </c>
      <c r="JI7" s="31" t="n">
        <v>1</v>
      </c>
      <c r="JJ7" s="31" t="n">
        <v>1</v>
      </c>
      <c r="JK7" s="31" t="n">
        <v>1</v>
      </c>
      <c r="JL7" s="31" t="n">
        <v>1</v>
      </c>
      <c r="JM7" s="31" t="n">
        <v>1</v>
      </c>
      <c r="JN7" s="31" t="n">
        <v>1</v>
      </c>
      <c r="JO7" s="31" t="n">
        <v>1</v>
      </c>
      <c r="JP7" s="31" t="n">
        <v>1</v>
      </c>
      <c r="JQ7" s="31" t="n">
        <v>1</v>
      </c>
      <c r="JR7" s="31" t="n">
        <v>1</v>
      </c>
      <c r="JS7" s="31" t="n">
        <v>1</v>
      </c>
      <c r="JT7" s="31" t="n">
        <v>1</v>
      </c>
      <c r="JU7" s="31" t="n">
        <v>1</v>
      </c>
      <c r="JV7" s="31" t="n">
        <v>1</v>
      </c>
      <c r="JW7" s="31" t="n">
        <v>1</v>
      </c>
      <c r="JX7" s="31" t="n">
        <v>1</v>
      </c>
      <c r="JY7" s="31" t="n">
        <v>1</v>
      </c>
      <c r="JZ7" s="31" t="n">
        <v>1</v>
      </c>
      <c r="KA7" s="31" t="n">
        <v>1</v>
      </c>
      <c r="KB7" s="31" t="n">
        <v>1</v>
      </c>
      <c r="KC7" s="31" t="n">
        <v>1</v>
      </c>
      <c r="KD7" s="31" t="n">
        <v>1</v>
      </c>
      <c r="KE7" s="31" t="n">
        <v>1</v>
      </c>
      <c r="KF7" s="31" t="n">
        <v>1</v>
      </c>
      <c r="KG7" s="31" t="n">
        <v>1</v>
      </c>
      <c r="KH7" s="31" t="n">
        <v>1</v>
      </c>
      <c r="KI7" s="31" t="n">
        <v>1</v>
      </c>
      <c r="KJ7" s="31" t="n">
        <v>1</v>
      </c>
      <c r="KK7" s="31" t="n">
        <v>1</v>
      </c>
      <c r="KL7" s="31" t="n">
        <v>1</v>
      </c>
      <c r="KM7" s="31" t="n">
        <v>1</v>
      </c>
      <c r="KN7" s="31" t="n">
        <v>1</v>
      </c>
      <c r="KO7" s="31" t="n">
        <v>1</v>
      </c>
      <c r="KP7" s="31" t="n">
        <v>1</v>
      </c>
      <c r="KQ7" s="31" t="n">
        <v>1</v>
      </c>
      <c r="KR7" s="31" t="n">
        <v>1</v>
      </c>
      <c r="KS7" s="31" t="n">
        <v>1</v>
      </c>
      <c r="KT7" s="31" t="n">
        <v>1</v>
      </c>
      <c r="KU7" s="31" t="n">
        <v>1</v>
      </c>
      <c r="KV7" s="31" t="n">
        <v>1</v>
      </c>
      <c r="KW7" s="31" t="n">
        <v>1</v>
      </c>
      <c r="KX7" s="31" t="n">
        <v>1</v>
      </c>
      <c r="KY7" s="31" t="n">
        <v>1</v>
      </c>
      <c r="KZ7" s="31" t="n">
        <v>1</v>
      </c>
      <c r="LA7" s="31" t="n">
        <v>1</v>
      </c>
      <c r="LB7" s="31" t="n">
        <v>1</v>
      </c>
      <c r="LC7" s="31" t="n">
        <v>1</v>
      </c>
      <c r="LD7" s="31" t="n">
        <v>1</v>
      </c>
      <c r="LE7" s="31" t="n">
        <v>1</v>
      </c>
      <c r="LF7" s="31" t="n">
        <v>1</v>
      </c>
      <c r="LG7" s="31" t="n">
        <v>1</v>
      </c>
      <c r="LH7" s="31" t="n">
        <v>1</v>
      </c>
      <c r="LI7" s="31" t="n">
        <v>1</v>
      </c>
      <c r="LJ7" s="31" t="n">
        <v>1</v>
      </c>
      <c r="LK7" s="31" t="n">
        <v>1</v>
      </c>
      <c r="LL7" s="31" t="n">
        <v>1</v>
      </c>
      <c r="LM7" s="31" t="n">
        <v>1</v>
      </c>
      <c r="LN7" s="31" t="n">
        <v>1</v>
      </c>
      <c r="LO7" s="31" t="n">
        <v>1</v>
      </c>
      <c r="LP7" s="31" t="n">
        <v>1</v>
      </c>
      <c r="LQ7" s="31" t="n">
        <v>1</v>
      </c>
      <c r="LR7" s="31" t="n">
        <v>1</v>
      </c>
      <c r="LS7" s="31" t="n">
        <v>1</v>
      </c>
      <c r="LT7" s="31" t="n">
        <v>1</v>
      </c>
      <c r="LU7" s="31" t="n">
        <v>1</v>
      </c>
      <c r="LV7" s="31" t="n">
        <v>1</v>
      </c>
      <c r="LW7" s="31" t="n">
        <v>1</v>
      </c>
      <c r="LX7" s="31" t="n">
        <v>1</v>
      </c>
      <c r="LY7" s="31" t="n">
        <v>1</v>
      </c>
      <c r="LZ7" s="31" t="n">
        <v>1</v>
      </c>
      <c r="MA7" s="31" t="n">
        <v>1</v>
      </c>
      <c r="MB7" s="31" t="n">
        <v>1</v>
      </c>
      <c r="MC7" s="31" t="n">
        <v>1</v>
      </c>
      <c r="MD7" s="31" t="n">
        <v>1</v>
      </c>
      <c r="ME7" s="31" t="n">
        <v>1</v>
      </c>
      <c r="MF7" s="31" t="n">
        <v>1</v>
      </c>
      <c r="MG7" s="31" t="n">
        <v>1</v>
      </c>
      <c r="MH7" s="31" t="n">
        <v>1</v>
      </c>
      <c r="MI7" s="31" t="n">
        <v>1</v>
      </c>
      <c r="MJ7" s="31" t="n">
        <v>1</v>
      </c>
      <c r="MK7" s="31" t="n">
        <v>1</v>
      </c>
      <c r="ML7" s="31" t="n">
        <v>1</v>
      </c>
      <c r="MM7" s="31" t="n">
        <v>1</v>
      </c>
      <c r="MN7" s="31" t="n">
        <v>1</v>
      </c>
      <c r="MO7" s="31" t="n">
        <v>1</v>
      </c>
      <c r="MP7" s="31" t="n">
        <v>1</v>
      </c>
      <c r="MQ7" s="31" t="n">
        <v>1</v>
      </c>
      <c r="MR7" s="31" t="n">
        <v>1</v>
      </c>
      <c r="MS7" s="31" t="n">
        <v>1</v>
      </c>
      <c r="MT7" s="31" t="n">
        <v>1</v>
      </c>
      <c r="MU7" s="31" t="n">
        <v>1</v>
      </c>
      <c r="MV7" s="31" t="n">
        <v>1</v>
      </c>
      <c r="MW7" s="31" t="n">
        <v>1</v>
      </c>
      <c r="MX7" s="31" t="n">
        <v>1</v>
      </c>
      <c r="MY7" s="31" t="n">
        <v>1</v>
      </c>
      <c r="MZ7" s="31" t="n">
        <v>1</v>
      </c>
      <c r="NA7" s="31" t="n">
        <v>1</v>
      </c>
      <c r="NB7" s="31" t="n">
        <v>1</v>
      </c>
      <c r="NC7" s="31" t="n">
        <v>1</v>
      </c>
      <c r="ND7" s="31" t="n">
        <v>1</v>
      </c>
      <c r="NE7" s="31" t="n">
        <v>1</v>
      </c>
      <c r="NF7" s="31" t="n">
        <v>1</v>
      </c>
      <c r="NG7" s="31" t="n">
        <v>1</v>
      </c>
      <c r="NH7" s="31" t="n">
        <v>1</v>
      </c>
      <c r="NI7" s="31" t="n">
        <v>1</v>
      </c>
      <c r="NJ7" s="31" t="n">
        <v>1</v>
      </c>
      <c r="NK7" s="31" t="n">
        <v>1</v>
      </c>
      <c r="NL7" s="31" t="n">
        <v>1</v>
      </c>
      <c r="NM7" s="31" t="n">
        <v>1</v>
      </c>
      <c r="NN7" s="31" t="n">
        <v>1</v>
      </c>
      <c r="NO7" s="31" t="n">
        <v>1</v>
      </c>
      <c r="NP7" s="31" t="n">
        <v>1</v>
      </c>
      <c r="NQ7" s="31" t="n">
        <v>1</v>
      </c>
      <c r="NR7" s="31" t="n">
        <v>1</v>
      </c>
      <c r="NS7" s="31" t="n">
        <v>1</v>
      </c>
      <c r="NT7" s="31" t="n">
        <v>1</v>
      </c>
      <c r="NU7" s="31" t="n">
        <v>1</v>
      </c>
      <c r="NV7" s="31" t="n">
        <v>1</v>
      </c>
      <c r="NW7" s="31" t="n">
        <v>1</v>
      </c>
      <c r="NX7" s="31" t="n">
        <v>1</v>
      </c>
      <c r="NY7" s="31" t="n">
        <v>1</v>
      </c>
      <c r="NZ7" s="31" t="n">
        <v>1</v>
      </c>
      <c r="OA7" s="31" t="n">
        <v>1</v>
      </c>
      <c r="OB7" s="31" t="n">
        <v>1</v>
      </c>
      <c r="OC7" s="31" t="n">
        <v>1</v>
      </c>
      <c r="OD7" s="31" t="n">
        <v>1</v>
      </c>
      <c r="OE7" s="31" t="n">
        <v>1</v>
      </c>
      <c r="OF7" s="31" t="n">
        <v>1</v>
      </c>
      <c r="OG7" s="31" t="n">
        <v>1</v>
      </c>
      <c r="OH7" s="31" t="n">
        <v>1</v>
      </c>
      <c r="OI7" s="31" t="n">
        <v>1</v>
      </c>
      <c r="OJ7" s="31" t="n">
        <v>1</v>
      </c>
      <c r="OK7" s="31" t="n">
        <v>1</v>
      </c>
      <c r="OL7" s="31" t="n">
        <v>1</v>
      </c>
      <c r="OM7" s="31" t="n">
        <v>1</v>
      </c>
      <c r="ON7" s="31" t="n">
        <v>1</v>
      </c>
      <c r="OO7" s="31" t="n">
        <v>1</v>
      </c>
      <c r="OP7" s="31" t="n">
        <v>1</v>
      </c>
      <c r="OQ7" s="31" t="n">
        <v>1</v>
      </c>
      <c r="OR7" s="31" t="n">
        <v>1</v>
      </c>
      <c r="OS7" s="31" t="n">
        <v>1</v>
      </c>
      <c r="OT7" s="31" t="n">
        <v>1</v>
      </c>
      <c r="OU7" s="31" t="n">
        <v>1</v>
      </c>
      <c r="OV7" s="31" t="n">
        <v>1</v>
      </c>
      <c r="OW7" s="31" t="n">
        <v>1</v>
      </c>
      <c r="OX7" s="31" t="n">
        <v>1</v>
      </c>
      <c r="OY7" s="31" t="n">
        <v>1</v>
      </c>
      <c r="OZ7" s="31" t="n">
        <v>1</v>
      </c>
      <c r="PA7" s="31" t="n">
        <v>1</v>
      </c>
      <c r="PB7" s="31" t="n">
        <v>1</v>
      </c>
      <c r="PC7" s="31" t="n">
        <v>1</v>
      </c>
      <c r="PD7" s="31" t="n">
        <v>1</v>
      </c>
      <c r="PE7" s="31" t="n">
        <v>1</v>
      </c>
      <c r="PF7" s="31" t="n">
        <v>1</v>
      </c>
      <c r="PG7" s="31" t="n">
        <v>1</v>
      </c>
      <c r="PH7" s="31" t="n">
        <v>1</v>
      </c>
      <c r="PI7" s="31" t="n">
        <v>1</v>
      </c>
      <c r="PJ7" s="31" t="n">
        <v>1</v>
      </c>
      <c r="PK7" s="31" t="n">
        <v>1</v>
      </c>
      <c r="PL7" s="31" t="n">
        <v>1</v>
      </c>
      <c r="PM7" s="31" t="n">
        <v>1</v>
      </c>
      <c r="PN7" s="31" t="n">
        <v>1</v>
      </c>
      <c r="PO7" s="31" t="n">
        <v>1</v>
      </c>
      <c r="PP7" s="31" t="n">
        <v>1</v>
      </c>
      <c r="PQ7" s="31" t="n">
        <v>1</v>
      </c>
      <c r="PR7" s="31" t="n">
        <v>1</v>
      </c>
      <c r="PS7" s="31" t="n">
        <v>1</v>
      </c>
      <c r="PT7" s="31" t="n">
        <v>1</v>
      </c>
      <c r="PU7" s="31" t="n">
        <v>1</v>
      </c>
      <c r="PV7" s="31" t="n">
        <v>1</v>
      </c>
      <c r="PW7" s="31" t="n">
        <v>1</v>
      </c>
      <c r="PX7" s="31" t="n">
        <v>1</v>
      </c>
      <c r="PY7" s="31" t="n">
        <v>1</v>
      </c>
      <c r="PZ7" s="31" t="n">
        <v>1</v>
      </c>
      <c r="QA7" s="31" t="n">
        <v>1</v>
      </c>
      <c r="QB7" s="31" t="n">
        <v>1</v>
      </c>
      <c r="QC7" s="31" t="n">
        <v>1</v>
      </c>
      <c r="QD7" s="31" t="n">
        <v>1</v>
      </c>
      <c r="QE7" s="31" t="n">
        <v>1</v>
      </c>
      <c r="QF7" s="31" t="n">
        <v>1</v>
      </c>
      <c r="QG7" s="31" t="n">
        <v>1</v>
      </c>
      <c r="QH7" s="31" t="n">
        <v>1</v>
      </c>
      <c r="QI7" s="31" t="n">
        <v>1</v>
      </c>
      <c r="QJ7" s="31" t="n">
        <v>1</v>
      </c>
      <c r="QK7" s="31" t="n">
        <v>1</v>
      </c>
      <c r="QL7" s="31" t="n">
        <v>1</v>
      </c>
      <c r="QM7" s="31" t="n">
        <v>1</v>
      </c>
      <c r="QN7" s="31" t="n">
        <v>1</v>
      </c>
      <c r="QO7" s="31" t="n">
        <v>1</v>
      </c>
      <c r="QP7" s="31" t="n">
        <v>1</v>
      </c>
      <c r="QQ7" s="31" t="n">
        <v>1</v>
      </c>
      <c r="QR7" s="31" t="n">
        <v>1</v>
      </c>
      <c r="QS7" s="31" t="n">
        <v>1</v>
      </c>
      <c r="QT7" s="31" t="n">
        <v>1</v>
      </c>
      <c r="QU7" s="31" t="n">
        <v>1</v>
      </c>
      <c r="QV7" s="31" t="n">
        <v>1</v>
      </c>
      <c r="QW7" s="31" t="n">
        <v>1</v>
      </c>
      <c r="QX7" s="31" t="n">
        <v>1</v>
      </c>
      <c r="QY7" s="31" t="n">
        <v>1</v>
      </c>
      <c r="QZ7" s="31" t="n">
        <v>1</v>
      </c>
      <c r="RA7" s="31" t="n">
        <v>1</v>
      </c>
      <c r="RB7" s="31" t="n">
        <v>1</v>
      </c>
      <c r="RC7" s="31" t="n">
        <v>1</v>
      </c>
      <c r="RD7" s="31" t="n">
        <v>1</v>
      </c>
      <c r="RE7" s="31" t="n">
        <v>1</v>
      </c>
      <c r="RF7" s="31" t="n">
        <v>1</v>
      </c>
      <c r="RG7" s="31" t="n">
        <v>1</v>
      </c>
      <c r="RH7" s="31" t="n">
        <v>1</v>
      </c>
      <c r="RI7" s="31" t="n">
        <v>1</v>
      </c>
      <c r="RJ7" s="31" t="n">
        <v>1</v>
      </c>
      <c r="RK7" s="31" t="n">
        <v>1</v>
      </c>
      <c r="RL7" s="31" t="n">
        <v>1</v>
      </c>
      <c r="RM7" s="31" t="n">
        <v>1</v>
      </c>
      <c r="RN7" s="31" t="n">
        <v>1</v>
      </c>
      <c r="RO7" s="31" t="n">
        <v>1</v>
      </c>
      <c r="RP7" s="31" t="n">
        <v>1</v>
      </c>
      <c r="RQ7" s="31" t="n">
        <v>1</v>
      </c>
      <c r="RR7" s="31" t="n">
        <v>1</v>
      </c>
      <c r="RS7" s="31" t="n">
        <v>1</v>
      </c>
      <c r="RT7" s="31" t="n">
        <v>1</v>
      </c>
      <c r="RU7" s="31" t="n">
        <v>1</v>
      </c>
      <c r="RV7" s="31" t="n">
        <v>1</v>
      </c>
      <c r="RW7" s="31" t="n">
        <v>1</v>
      </c>
    </row>
    <row r="8" hidden="1" outlineLevel="1" ht="13.05" customHeight="1">
      <c r="E8" s="21" t="inlineStr">
        <is>
          <t>Wholesale Price (inflated)</t>
        </is>
      </c>
      <c r="F8" s="29" t="n"/>
      <c r="G8" s="29" t="inlineStr">
        <is>
          <t>DKK/MWh</t>
        </is>
      </c>
      <c r="H8" s="29" t="n"/>
      <c r="I8" s="29" t="n"/>
      <c r="J8" s="32" t="n">
        <v>15709.1759423822</v>
      </c>
      <c r="K8" s="29" t="n"/>
      <c r="L8" s="33" t="n">
        <v>0</v>
      </c>
      <c r="M8" s="33" t="n">
        <v>0</v>
      </c>
      <c r="N8" s="33" t="n">
        <v>0</v>
      </c>
      <c r="O8" s="33" t="n">
        <v>0</v>
      </c>
      <c r="P8" s="33" t="n">
        <v>0</v>
      </c>
      <c r="Q8" s="33" t="n">
        <v>0</v>
      </c>
      <c r="R8" s="33" t="n">
        <v>0</v>
      </c>
      <c r="S8" s="33" t="n">
        <v>0</v>
      </c>
      <c r="T8" s="33" t="n">
        <v>0</v>
      </c>
      <c r="U8" s="33" t="n">
        <v>0</v>
      </c>
      <c r="V8" s="33" t="n">
        <v>0</v>
      </c>
      <c r="W8" s="33" t="n">
        <v>0</v>
      </c>
      <c r="X8" s="33" t="n">
        <v>0</v>
      </c>
      <c r="Y8" s="33" t="n">
        <v>0</v>
      </c>
      <c r="Z8" s="33" t="n">
        <v>0</v>
      </c>
      <c r="AA8" s="33" t="n">
        <v>0</v>
      </c>
      <c r="AB8" s="33" t="n">
        <v>0</v>
      </c>
      <c r="AC8" s="33" t="n">
        <v>0</v>
      </c>
      <c r="AD8" s="33" t="n">
        <v>0</v>
      </c>
      <c r="AE8" s="33" t="n">
        <v>0</v>
      </c>
      <c r="AF8" s="33" t="n">
        <v>0</v>
      </c>
      <c r="AG8" s="33" t="n">
        <v>0</v>
      </c>
      <c r="AH8" s="33" t="n">
        <v>0</v>
      </c>
      <c r="AI8" s="33" t="n">
        <v>0</v>
      </c>
      <c r="AJ8" s="33" t="n">
        <v>0</v>
      </c>
      <c r="AK8" s="33" t="n">
        <v>0</v>
      </c>
      <c r="AL8" s="33" t="n">
        <v>0</v>
      </c>
      <c r="AM8" s="33" t="n">
        <v>0</v>
      </c>
      <c r="AN8" s="33" t="n">
        <v>0</v>
      </c>
      <c r="AO8" s="33" t="n">
        <v>0</v>
      </c>
      <c r="AP8" s="33" t="n">
        <v>0</v>
      </c>
      <c r="AQ8" s="33" t="n">
        <v>0</v>
      </c>
      <c r="AR8" s="33" t="n">
        <v>0</v>
      </c>
      <c r="AS8" s="33" t="n">
        <v>0</v>
      </c>
      <c r="AT8" s="33" t="n">
        <v>0</v>
      </c>
      <c r="AU8" s="33" t="n">
        <v>0</v>
      </c>
      <c r="AV8" s="33" t="n">
        <v>0</v>
      </c>
      <c r="AW8" s="33" t="n">
        <v>0</v>
      </c>
      <c r="AX8" s="33" t="n">
        <v>0</v>
      </c>
      <c r="AY8" s="33" t="n">
        <v>0</v>
      </c>
      <c r="AZ8" s="33" t="n">
        <v>0</v>
      </c>
      <c r="BA8" s="33" t="n">
        <v>0</v>
      </c>
      <c r="BB8" s="33" t="n">
        <v>0</v>
      </c>
      <c r="BC8" s="33" t="n">
        <v>0</v>
      </c>
      <c r="BD8" s="33" t="n">
        <v>0</v>
      </c>
      <c r="BE8" s="33" t="n">
        <v>0</v>
      </c>
      <c r="BF8" s="33" t="n">
        <v>0</v>
      </c>
      <c r="BG8" s="33" t="n">
        <v>0</v>
      </c>
      <c r="BH8" s="33" t="n">
        <v>0</v>
      </c>
      <c r="BI8" s="33" t="n">
        <v>0</v>
      </c>
      <c r="BJ8" s="33" t="n">
        <v>0</v>
      </c>
      <c r="BK8" s="33" t="n">
        <v>0</v>
      </c>
      <c r="BL8" s="33" t="n">
        <v>0</v>
      </c>
      <c r="BM8" s="33" t="n">
        <v>0</v>
      </c>
      <c r="BN8" s="33" t="n">
        <v>0</v>
      </c>
      <c r="BO8" s="33" t="n">
        <v>0</v>
      </c>
      <c r="BP8" s="33" t="n">
        <v>0</v>
      </c>
      <c r="BQ8" s="33" t="n">
        <v>0</v>
      </c>
      <c r="BR8" s="33" t="n">
        <v>0</v>
      </c>
      <c r="BS8" s="33" t="n">
        <v>0</v>
      </c>
      <c r="BT8" s="33" t="n">
        <v>0</v>
      </c>
      <c r="BU8" s="33" t="n">
        <v>0</v>
      </c>
      <c r="BV8" s="33" t="n">
        <v>0</v>
      </c>
      <c r="BW8" s="33" t="n">
        <v>0</v>
      </c>
      <c r="BX8" s="33" t="n">
        <v>0</v>
      </c>
      <c r="BY8" s="33" t="n">
        <v>0</v>
      </c>
      <c r="BZ8" s="33" t="n">
        <v>0</v>
      </c>
      <c r="CA8" s="33" t="n">
        <v>0</v>
      </c>
      <c r="CB8" s="33" t="n">
        <v>0</v>
      </c>
      <c r="CC8" s="33" t="n">
        <v>0</v>
      </c>
      <c r="CD8" s="33" t="n">
        <v>0</v>
      </c>
      <c r="CE8" s="33" t="n">
        <v>0</v>
      </c>
      <c r="CF8" s="33" t="n">
        <v>0</v>
      </c>
      <c r="CG8" s="33" t="n">
        <v>0</v>
      </c>
      <c r="CH8" s="33" t="n">
        <v>0</v>
      </c>
      <c r="CI8" s="33" t="n">
        <v>0</v>
      </c>
      <c r="CJ8" s="33" t="n">
        <v>0</v>
      </c>
      <c r="CK8" s="33" t="n">
        <v>0</v>
      </c>
      <c r="CL8" s="33" t="n">
        <v>0</v>
      </c>
      <c r="CM8" s="33" t="n">
        <v>0</v>
      </c>
      <c r="CN8" s="33" t="n">
        <v>0</v>
      </c>
      <c r="CO8" s="33" t="n">
        <v>0</v>
      </c>
      <c r="CP8" s="33" t="n">
        <v>0</v>
      </c>
      <c r="CQ8" s="33" t="n">
        <v>25.61</v>
      </c>
      <c r="CR8" s="33" t="n">
        <v>25.66275240687067</v>
      </c>
      <c r="CS8" s="33" t="n">
        <v>25.71561347506234</v>
      </c>
      <c r="CT8" s="33" t="n">
        <v>25.76858342839954</v>
      </c>
      <c r="CU8" s="33" t="n">
        <v>25.82166249116782</v>
      </c>
      <c r="CV8" s="33" t="n">
        <v>25.87485088811477</v>
      </c>
      <c r="CW8" s="33" t="n">
        <v>25.92814884445088</v>
      </c>
      <c r="CX8" s="33" t="n">
        <v>25.98155658585057</v>
      </c>
      <c r="CY8" s="33" t="n">
        <v>26.03507433845308</v>
      </c>
      <c r="CZ8" s="33" t="n">
        <v>26.08870232886348</v>
      </c>
      <c r="DA8" s="33" t="n">
        <v>26.14244078415361</v>
      </c>
      <c r="DB8" s="33" t="n">
        <v>26.19628993186303</v>
      </c>
      <c r="DC8" s="33" t="n">
        <v>26.25025</v>
      </c>
      <c r="DD8" s="33" t="n">
        <v>26.30432121704244</v>
      </c>
      <c r="DE8" s="33" t="n">
        <v>26.3585038119389</v>
      </c>
      <c r="DF8" s="33" t="n">
        <v>26.41279801410953</v>
      </c>
      <c r="DG8" s="33" t="n">
        <v>26.46720405344702</v>
      </c>
      <c r="DH8" s="33" t="n">
        <v>26.52172216031764</v>
      </c>
      <c r="DI8" s="33" t="n">
        <v>26.57635256556216</v>
      </c>
      <c r="DJ8" s="33" t="n">
        <v>26.63109550049683</v>
      </c>
      <c r="DK8" s="33" t="n">
        <v>26.68595119691441</v>
      </c>
      <c r="DL8" s="33" t="n">
        <v>26.74091988708507</v>
      </c>
      <c r="DM8" s="33" t="n">
        <v>26.79600180375745</v>
      </c>
      <c r="DN8" s="33" t="n">
        <v>26.8511971801596</v>
      </c>
      <c r="DO8" s="33" t="n">
        <v>26.90650625</v>
      </c>
      <c r="DP8" s="33" t="n">
        <v>26.9619292474685</v>
      </c>
      <c r="DQ8" s="33" t="n">
        <v>27.01746640723737</v>
      </c>
      <c r="DR8" s="33" t="n">
        <v>27.07311796446226</v>
      </c>
      <c r="DS8" s="33" t="n">
        <v>27.12888415478319</v>
      </c>
      <c r="DT8" s="33" t="n">
        <v>27.18476521432558</v>
      </c>
      <c r="DU8" s="33" t="n">
        <v>27.24076137970121</v>
      </c>
      <c r="DV8" s="33" t="n">
        <v>27.29687288800925</v>
      </c>
      <c r="DW8" s="33" t="n">
        <v>27.35309997683726</v>
      </c>
      <c r="DX8" s="33" t="n">
        <v>27.40944288426219</v>
      </c>
      <c r="DY8" s="33" t="n">
        <v>27.46590184885138</v>
      </c>
      <c r="DZ8" s="33" t="n">
        <v>27.52247710966359</v>
      </c>
      <c r="EA8" s="33" t="n">
        <v>27.57916890624999</v>
      </c>
      <c r="EB8" s="33" t="n">
        <v>27.63597747865521</v>
      </c>
      <c r="EC8" s="33" t="n">
        <v>27.6929030674183</v>
      </c>
      <c r="ED8" s="33" t="n">
        <v>27.74994591357381</v>
      </c>
      <c r="EE8" s="33" t="n">
        <v>27.80710625865277</v>
      </c>
      <c r="EF8" s="33" t="n">
        <v>27.86438434468372</v>
      </c>
      <c r="EG8" s="33" t="n">
        <v>27.92178041419374</v>
      </c>
      <c r="EH8" s="33" t="n">
        <v>27.97929471020948</v>
      </c>
      <c r="EI8" s="33" t="n">
        <v>28.03692747625819</v>
      </c>
      <c r="EJ8" s="33" t="n">
        <v>28.09467895636874</v>
      </c>
      <c r="EK8" s="33" t="n">
        <v>28.15254939507266</v>
      </c>
      <c r="EL8" s="33" t="n">
        <v>28.21053903740518</v>
      </c>
      <c r="EM8" s="33" t="n">
        <v>28.26864812890624</v>
      </c>
      <c r="EN8" s="33" t="n">
        <v>28.32687691562159</v>
      </c>
      <c r="EO8" s="33" t="n">
        <v>28.38522564410376</v>
      </c>
      <c r="EP8" s="33" t="n">
        <v>28.44369456141316</v>
      </c>
      <c r="EQ8" s="33" t="n">
        <v>28.50228391511909</v>
      </c>
      <c r="ER8" s="33" t="n">
        <v>28.56099395330081</v>
      </c>
      <c r="ES8" s="33" t="n">
        <v>28.61982492454858</v>
      </c>
      <c r="ET8" s="33" t="n">
        <v>28.67877707796471</v>
      </c>
      <c r="EU8" s="33" t="n">
        <v>28.73785066316465</v>
      </c>
      <c r="EV8" s="33" t="n">
        <v>28.79704593027796</v>
      </c>
      <c r="EW8" s="33" t="n">
        <v>28.85636312994947</v>
      </c>
      <c r="EX8" s="33" t="n">
        <v>28.9158025133403</v>
      </c>
      <c r="EY8" s="33" t="n">
        <v>28.97536433212889</v>
      </c>
      <c r="EZ8" s="33" t="n">
        <v>29.03504883851213</v>
      </c>
      <c r="FA8" s="33" t="n">
        <v>29.09485628520635</v>
      </c>
      <c r="FB8" s="33" t="n">
        <v>29.15478692544848</v>
      </c>
      <c r="FC8" s="33" t="n">
        <v>29.21484101299706</v>
      </c>
      <c r="FD8" s="33" t="n">
        <v>29.27501880213332</v>
      </c>
      <c r="FE8" s="33" t="n">
        <v>29.33532054766229</v>
      </c>
      <c r="FF8" s="33" t="n">
        <v>29.39574650491383</v>
      </c>
      <c r="FG8" s="33" t="n">
        <v>29.45629692974376</v>
      </c>
      <c r="FH8" s="33" t="n">
        <v>29.51697207853491</v>
      </c>
      <c r="FI8" s="33" t="n">
        <v>29.57777220819821</v>
      </c>
      <c r="FJ8" s="33" t="n">
        <v>29.63869757617381</v>
      </c>
      <c r="FK8" s="33" t="n">
        <v>29.69974844043211</v>
      </c>
      <c r="FL8" s="33" t="n">
        <v>29.76092505947492</v>
      </c>
      <c r="FM8" s="33" t="n">
        <v>29.82222769233651</v>
      </c>
      <c r="FN8" s="33" t="n">
        <v>29.88365659858469</v>
      </c>
      <c r="FO8" s="33" t="n">
        <v>29.94521203832198</v>
      </c>
      <c r="FP8" s="33" t="n">
        <v>30.00689427218665</v>
      </c>
      <c r="FQ8" s="33" t="n">
        <v>30.06870356135385</v>
      </c>
      <c r="FR8" s="33" t="n">
        <v>30.13064016753668</v>
      </c>
      <c r="FS8" s="33" t="n">
        <v>30.19270435298735</v>
      </c>
      <c r="FT8" s="33" t="n">
        <v>30.25489638049827</v>
      </c>
      <c r="FU8" s="33" t="n">
        <v>30.31721651340316</v>
      </c>
      <c r="FV8" s="33" t="n">
        <v>30.37966501557815</v>
      </c>
      <c r="FW8" s="33" t="n">
        <v>30.44224215144292</v>
      </c>
      <c r="FX8" s="33" t="n">
        <v>30.50494818596179</v>
      </c>
      <c r="FY8" s="33" t="n">
        <v>30.56778338464491</v>
      </c>
      <c r="FZ8" s="33" t="n">
        <v>30.63074801354931</v>
      </c>
      <c r="GA8" s="33" t="n">
        <v>30.69384233928004</v>
      </c>
      <c r="GB8" s="33" t="n">
        <v>30.75706662899132</v>
      </c>
      <c r="GC8" s="33" t="n">
        <v>30.82042115038769</v>
      </c>
      <c r="GD8" s="33" t="n">
        <v>30.88390617172509</v>
      </c>
      <c r="GE8" s="33" t="n">
        <v>30.94752196181203</v>
      </c>
      <c r="GF8" s="33" t="n">
        <v>31.01126879001073</v>
      </c>
      <c r="GG8" s="33" t="n">
        <v>31.07514692623824</v>
      </c>
      <c r="GH8" s="33" t="n">
        <v>31.1391566409676</v>
      </c>
      <c r="GI8" s="33" t="n">
        <v>31.20329820522898</v>
      </c>
      <c r="GJ8" s="33" t="n">
        <v>31.26757189061084</v>
      </c>
      <c r="GK8" s="33" t="n">
        <v>31.33197796926104</v>
      </c>
      <c r="GL8" s="33" t="n">
        <v>31.39651671388804</v>
      </c>
      <c r="GM8" s="33" t="n">
        <v>31.46118839776203</v>
      </c>
      <c r="GN8" s="33" t="n">
        <v>31.5259932947161</v>
      </c>
      <c r="GO8" s="33" t="n">
        <v>31.59093167914738</v>
      </c>
      <c r="GP8" s="33" t="n">
        <v>31.65600382601821</v>
      </c>
      <c r="GQ8" s="33" t="n">
        <v>31.72121001085733</v>
      </c>
      <c r="GR8" s="33" t="n">
        <v>31.786550509761</v>
      </c>
      <c r="GS8" s="33" t="n">
        <v>31.85202559939419</v>
      </c>
      <c r="GT8" s="33" t="n">
        <v>31.91763555699179</v>
      </c>
      <c r="GU8" s="33" t="n">
        <v>31.98338066035971</v>
      </c>
      <c r="GV8" s="33" t="n">
        <v>32.04926118787611</v>
      </c>
      <c r="GW8" s="33" t="n">
        <v>32.11527741849256</v>
      </c>
      <c r="GX8" s="33" t="n">
        <v>32.18142963173523</v>
      </c>
      <c r="GY8" s="33" t="n">
        <v>32.24771810770608</v>
      </c>
      <c r="GZ8" s="33" t="n">
        <v>32.31414312708399</v>
      </c>
      <c r="HA8" s="33" t="n">
        <v>32.38070497112606</v>
      </c>
      <c r="HB8" s="33" t="n">
        <v>32.44740392166867</v>
      </c>
      <c r="HC8" s="33" t="n">
        <v>32.51424026112876</v>
      </c>
      <c r="HD8" s="33" t="n">
        <v>32.58121427250502</v>
      </c>
      <c r="HE8" s="33" t="n">
        <v>32.64832623937905</v>
      </c>
      <c r="HF8" s="33" t="n">
        <v>32.71557644591658</v>
      </c>
      <c r="HG8" s="33" t="n">
        <v>32.78296517686869</v>
      </c>
      <c r="HH8" s="33" t="n">
        <v>32.850492717573</v>
      </c>
      <c r="HI8" s="33" t="n">
        <v>32.91815935395487</v>
      </c>
      <c r="HJ8" s="33" t="n">
        <v>32.98596537252861</v>
      </c>
      <c r="HK8" s="33" t="n">
        <v>33.05391106039873</v>
      </c>
      <c r="HL8" s="33" t="n">
        <v>33.1219967052611</v>
      </c>
      <c r="HM8" s="33" t="n">
        <v>33.19022259540421</v>
      </c>
      <c r="HN8" s="33" t="n">
        <v>33.25858901971038</v>
      </c>
      <c r="HO8" s="33" t="n">
        <v>33.32709626765698</v>
      </c>
      <c r="HP8" s="33" t="n">
        <v>33.39574462931764</v>
      </c>
      <c r="HQ8" s="33" t="n">
        <v>33.46453439536352</v>
      </c>
      <c r="HR8" s="33" t="n">
        <v>33.53346585706449</v>
      </c>
      <c r="HS8" s="33" t="n">
        <v>33.60253930629041</v>
      </c>
      <c r="HT8" s="33" t="n">
        <v>33.67175503551233</v>
      </c>
      <c r="HU8" s="33" t="n">
        <v>33.74111333780374</v>
      </c>
      <c r="HV8" s="33" t="n">
        <v>33.81061450684182</v>
      </c>
      <c r="HW8" s="33" t="n">
        <v>33.88025883690869</v>
      </c>
      <c r="HX8" s="33" t="n">
        <v>33.95004662289262</v>
      </c>
      <c r="HY8" s="33" t="n">
        <v>34.01997816028931</v>
      </c>
      <c r="HZ8" s="33" t="n">
        <v>34.09005374520314</v>
      </c>
      <c r="IA8" s="33" t="n">
        <v>34.1602736743484</v>
      </c>
      <c r="IB8" s="33" t="n">
        <v>34.23063824505058</v>
      </c>
      <c r="IC8" s="33" t="n">
        <v>34.30114775524761</v>
      </c>
      <c r="ID8" s="33" t="n">
        <v>34.3718025034911</v>
      </c>
      <c r="IE8" s="33" t="n">
        <v>34.44260278894767</v>
      </c>
      <c r="IF8" s="33" t="n">
        <v>34.51354891140013</v>
      </c>
      <c r="IG8" s="33" t="n">
        <v>34.58464117124883</v>
      </c>
      <c r="IH8" s="33" t="n">
        <v>34.65587986951287</v>
      </c>
      <c r="II8" s="33" t="n">
        <v>34.72726530783141</v>
      </c>
      <c r="IJ8" s="33" t="n">
        <v>34.79879778846493</v>
      </c>
      <c r="IK8" s="33" t="n">
        <v>34.87047761429654</v>
      </c>
      <c r="IL8" s="33" t="n">
        <v>34.94230508883321</v>
      </c>
      <c r="IM8" s="33" t="n">
        <v>35.0142805162071</v>
      </c>
      <c r="IN8" s="33" t="n">
        <v>35.08640420117684</v>
      </c>
      <c r="IO8" s="33" t="n">
        <v>35.15867644912879</v>
      </c>
      <c r="IP8" s="33" t="n">
        <v>35.23109756607838</v>
      </c>
      <c r="IQ8" s="33" t="n">
        <v>35.30366785867135</v>
      </c>
      <c r="IR8" s="33" t="n">
        <v>35.37638763418514</v>
      </c>
      <c r="IS8" s="33" t="n">
        <v>35.44925720053004</v>
      </c>
      <c r="IT8" s="33" t="n">
        <v>35.52227686625069</v>
      </c>
      <c r="IU8" s="33" t="n">
        <v>35.59544694052719</v>
      </c>
      <c r="IV8" s="33" t="n">
        <v>35.66876773317655</v>
      </c>
      <c r="IW8" s="33" t="n">
        <v>35.74223955465395</v>
      </c>
      <c r="IX8" s="33" t="n">
        <v>35.81586271605404</v>
      </c>
      <c r="IY8" s="33" t="n">
        <v>35.88963752911228</v>
      </c>
      <c r="IZ8" s="33" t="n">
        <v>35.96356430620625</v>
      </c>
      <c r="JA8" s="33" t="n">
        <v>36.03764336035701</v>
      </c>
      <c r="JB8" s="33" t="n">
        <v>36.11187500523033</v>
      </c>
      <c r="JC8" s="33" t="n">
        <v>36.18625955513814</v>
      </c>
      <c r="JD8" s="33" t="n">
        <v>36.26079732503976</v>
      </c>
      <c r="JE8" s="33" t="n">
        <v>36.33548863054329</v>
      </c>
      <c r="JF8" s="33" t="n">
        <v>36.41033378790695</v>
      </c>
      <c r="JG8" s="33" t="n">
        <v>36.48533311404037</v>
      </c>
      <c r="JH8" s="33" t="n">
        <v>36.56048692650597</v>
      </c>
      <c r="JI8" s="33" t="n">
        <v>36.6357955435203</v>
      </c>
      <c r="JJ8" s="33" t="n">
        <v>36.71125928395539</v>
      </c>
      <c r="JK8" s="33" t="n">
        <v>36.78687846734008</v>
      </c>
      <c r="JL8" s="33" t="n">
        <v>36.86265341386141</v>
      </c>
      <c r="JM8" s="33" t="n">
        <v>36.93858444436593</v>
      </c>
      <c r="JN8" s="33" t="n">
        <v>37.01467188036109</v>
      </c>
      <c r="JO8" s="33" t="n">
        <v>37.09091604401659</v>
      </c>
      <c r="JP8" s="33" t="n">
        <v>37.16731725816575</v>
      </c>
      <c r="JQ8" s="33" t="n">
        <v>37.24387584630687</v>
      </c>
      <c r="JR8" s="33" t="n">
        <v>37.32059213260462</v>
      </c>
      <c r="JS8" s="33" t="n">
        <v>37.39746644189137</v>
      </c>
      <c r="JT8" s="33" t="n">
        <v>37.47449909966861</v>
      </c>
      <c r="JU8" s="33" t="n">
        <v>37.5516904321083</v>
      </c>
      <c r="JV8" s="33" t="n">
        <v>37.62904076605427</v>
      </c>
      <c r="JW8" s="33" t="n">
        <v>37.70655042902358</v>
      </c>
      <c r="JX8" s="33" t="n">
        <v>37.78421974920794</v>
      </c>
      <c r="JY8" s="33" t="n">
        <v>37.86204905547508</v>
      </c>
      <c r="JZ8" s="33" t="n">
        <v>37.9400386773701</v>
      </c>
      <c r="KA8" s="33" t="n">
        <v>38.018188945117</v>
      </c>
      <c r="KB8" s="33" t="n">
        <v>38.09650018961988</v>
      </c>
      <c r="KC8" s="33" t="n">
        <v>38.17497274246454</v>
      </c>
      <c r="KD8" s="33" t="n">
        <v>38.25360693591973</v>
      </c>
      <c r="KE8" s="33" t="n">
        <v>38.33240310293865</v>
      </c>
      <c r="KF8" s="33" t="n">
        <v>38.41136157716032</v>
      </c>
      <c r="KG8" s="33" t="n">
        <v>38.49048269291101</v>
      </c>
      <c r="KH8" s="33" t="n">
        <v>38.56976678520562</v>
      </c>
      <c r="KI8" s="33" t="n">
        <v>38.64921418974917</v>
      </c>
      <c r="KJ8" s="33" t="n">
        <v>38.72882524293814</v>
      </c>
      <c r="KK8" s="33" t="n">
        <v>38.80860028186194</v>
      </c>
      <c r="KL8" s="33" t="n">
        <v>38.88853964430436</v>
      </c>
      <c r="KM8" s="33" t="n">
        <v>38.96864366874492</v>
      </c>
      <c r="KN8" s="33" t="n">
        <v>39.04891269436038</v>
      </c>
      <c r="KO8" s="33" t="n">
        <v>39.12934706102615</v>
      </c>
      <c r="KP8" s="33" t="n">
        <v>39.20994710931772</v>
      </c>
      <c r="KQ8" s="33" t="n">
        <v>39.29071318051211</v>
      </c>
      <c r="KR8" s="33" t="n">
        <v>39.37164561658933</v>
      </c>
      <c r="KS8" s="33" t="n">
        <v>39.45274476023377</v>
      </c>
      <c r="KT8" s="33" t="n">
        <v>39.53401095483576</v>
      </c>
      <c r="KU8" s="33" t="n">
        <v>39.6154445444929</v>
      </c>
      <c r="KV8" s="33" t="n">
        <v>39.69704587401159</v>
      </c>
      <c r="KW8" s="33" t="n">
        <v>39.77881528890849</v>
      </c>
      <c r="KX8" s="33" t="n">
        <v>39.86075313541196</v>
      </c>
      <c r="KY8" s="33" t="n">
        <v>39.94285976046354</v>
      </c>
      <c r="KZ8" s="33" t="n">
        <v>40.02513551171938</v>
      </c>
      <c r="LA8" s="33" t="n">
        <v>40.1075807375518</v>
      </c>
      <c r="LB8" s="33" t="n">
        <v>40.19019578705066</v>
      </c>
      <c r="LC8" s="33" t="n">
        <v>40.27298101002491</v>
      </c>
      <c r="LD8" s="33" t="n">
        <v>40.35593675700405</v>
      </c>
      <c r="LE8" s="33" t="n">
        <v>40.43906337923961</v>
      </c>
      <c r="LF8" s="33" t="n">
        <v>40.52236122870665</v>
      </c>
      <c r="LG8" s="33" t="n">
        <v>40.60583065810521</v>
      </c>
      <c r="LH8" s="33" t="n">
        <v>40.68947202086187</v>
      </c>
      <c r="LI8" s="33" t="n">
        <v>40.7732856711312</v>
      </c>
      <c r="LJ8" s="33" t="n">
        <v>40.85727196379726</v>
      </c>
      <c r="LK8" s="33" t="n">
        <v>40.94143125447512</v>
      </c>
      <c r="LL8" s="33" t="n">
        <v>41.02576389951237</v>
      </c>
      <c r="LM8" s="33" t="n">
        <v>41.11027025599059</v>
      </c>
      <c r="LN8" s="33" t="n">
        <v>41.19495068172692</v>
      </c>
      <c r="LO8" s="33" t="n">
        <v>41.27980553527554</v>
      </c>
      <c r="LP8" s="33" t="n">
        <v>41.36483517592916</v>
      </c>
      <c r="LQ8" s="33" t="n">
        <v>41.4500399637206</v>
      </c>
      <c r="LR8" s="33" t="n">
        <v>41.53542025942431</v>
      </c>
      <c r="LS8" s="33" t="n">
        <v>41.62097642455784</v>
      </c>
      <c r="LT8" s="33" t="n">
        <v>41.70670882138342</v>
      </c>
      <c r="LU8" s="33" t="n">
        <v>41.79261781290948</v>
      </c>
      <c r="LV8" s="33" t="n">
        <v>41.87870376289219</v>
      </c>
      <c r="LW8" s="33" t="n">
        <v>41.96496703583699</v>
      </c>
      <c r="LX8" s="33" t="n">
        <v>42.05140799700018</v>
      </c>
      <c r="LY8" s="33" t="n">
        <v>42.13802701239036</v>
      </c>
      <c r="LZ8" s="33" t="n">
        <v>42.22482444877009</v>
      </c>
      <c r="MA8" s="33" t="n">
        <v>42.31180067365742</v>
      </c>
      <c r="MB8" s="33" t="n">
        <v>42.39895605532738</v>
      </c>
      <c r="MC8" s="33" t="n">
        <v>42.48629096281361</v>
      </c>
      <c r="MD8" s="33" t="n">
        <v>42.57380576590992</v>
      </c>
      <c r="ME8" s="33" t="n">
        <v>42.66150083517179</v>
      </c>
      <c r="MF8" s="33" t="n">
        <v>42.749376541918</v>
      </c>
      <c r="MG8" s="33" t="n">
        <v>42.83743325823221</v>
      </c>
      <c r="MH8" s="33" t="n">
        <v>42.92567135696449</v>
      </c>
      <c r="MI8" s="33" t="n">
        <v>43.01409121173293</v>
      </c>
      <c r="MJ8" s="33" t="n">
        <v>43.10269319692517</v>
      </c>
      <c r="MK8" s="33" t="n">
        <v>43.19147768770011</v>
      </c>
      <c r="ML8" s="33" t="n">
        <v>43.28044505998934</v>
      </c>
      <c r="MM8" s="33" t="n">
        <v>43.36959569049885</v>
      </c>
      <c r="MN8" s="33" t="n">
        <v>43.45892995671056</v>
      </c>
      <c r="MO8" s="33" t="n">
        <v>43.54844823688396</v>
      </c>
      <c r="MP8" s="33" t="n">
        <v>43.63815091005766</v>
      </c>
      <c r="MQ8" s="33" t="n">
        <v>43.72803835605107</v>
      </c>
      <c r="MR8" s="33" t="n">
        <v>43.81811095546595</v>
      </c>
      <c r="MS8" s="33" t="n">
        <v>43.90836908968802</v>
      </c>
      <c r="MT8" s="33" t="n">
        <v>43.9988131408886</v>
      </c>
      <c r="MU8" s="33" t="n">
        <v>44.08944349202624</v>
      </c>
      <c r="MV8" s="33" t="n">
        <v>44.1802605268483</v>
      </c>
      <c r="MW8" s="33" t="n">
        <v>44.27126462989261</v>
      </c>
      <c r="MX8" s="33" t="n">
        <v>44.36245618648907</v>
      </c>
      <c r="MY8" s="33" t="n">
        <v>44.45383558276131</v>
      </c>
      <c r="MZ8" s="33" t="n">
        <v>44.54540320562832</v>
      </c>
      <c r="NA8" s="33" t="n">
        <v>44.63715944280604</v>
      </c>
      <c r="NB8" s="33" t="n">
        <v>44.72910468280909</v>
      </c>
      <c r="NC8" s="33" t="n">
        <v>44.82123931495234</v>
      </c>
      <c r="ND8" s="33" t="n">
        <v>44.91356372935259</v>
      </c>
      <c r="NE8" s="33" t="n">
        <v>45.00607831693021</v>
      </c>
      <c r="NF8" s="33" t="n">
        <v>45.09878346941081</v>
      </c>
      <c r="NG8" s="33" t="n">
        <v>45.19167957932689</v>
      </c>
      <c r="NH8" s="33" t="n">
        <v>45.2847670400195</v>
      </c>
      <c r="NI8" s="33" t="n">
        <v>45.37804624563992</v>
      </c>
      <c r="NJ8" s="33" t="n">
        <v>45.4715175911513</v>
      </c>
      <c r="NK8" s="33" t="n">
        <v>45.56518147233034</v>
      </c>
      <c r="NL8" s="33" t="n">
        <v>45.65903828576902</v>
      </c>
      <c r="NM8" s="33" t="n">
        <v>45.75308842887619</v>
      </c>
      <c r="NN8" s="33" t="n">
        <v>45.84733229987932</v>
      </c>
      <c r="NO8" s="33" t="n">
        <v>45.94177029782615</v>
      </c>
      <c r="NP8" s="33" t="n">
        <v>46.0364028225864</v>
      </c>
      <c r="NQ8" s="33" t="n">
        <v>46.13123027485346</v>
      </c>
      <c r="NR8" s="33" t="n">
        <v>46.22625305614608</v>
      </c>
      <c r="NS8" s="33" t="n">
        <v>46.32147156881005</v>
      </c>
      <c r="NT8" s="33" t="n">
        <v>46.41688621601998</v>
      </c>
      <c r="NU8" s="33" t="n">
        <v>46.51249740178092</v>
      </c>
      <c r="NV8" s="33" t="n">
        <v>46.60830553093007</v>
      </c>
      <c r="NW8" s="33" t="n">
        <v>46.7043110091386</v>
      </c>
      <c r="NX8" s="33" t="n">
        <v>46.80051424291324</v>
      </c>
      <c r="NY8" s="33" t="n">
        <v>46.8969156395981</v>
      </c>
      <c r="NZ8" s="33" t="n">
        <v>46.9935156073763</v>
      </c>
      <c r="OA8" s="33" t="n">
        <v>47.0903145552718</v>
      </c>
      <c r="OB8" s="33" t="n">
        <v>47.18731289315106</v>
      </c>
      <c r="OC8" s="33" t="n">
        <v>47.28451103172479</v>
      </c>
      <c r="OD8" s="33" t="n">
        <v>47.38190938254972</v>
      </c>
      <c r="OE8" s="33" t="n">
        <v>47.47950835803031</v>
      </c>
      <c r="OF8" s="33" t="n">
        <v>47.57730837142048</v>
      </c>
      <c r="OG8" s="33" t="n">
        <v>47.67530983682543</v>
      </c>
      <c r="OH8" s="33" t="n">
        <v>47.77351316920332</v>
      </c>
      <c r="OI8" s="33" t="n">
        <v>47.87191878436706</v>
      </c>
      <c r="OJ8" s="33" t="n">
        <v>47.97052709898608</v>
      </c>
      <c r="OK8" s="33" t="n">
        <v>48.06933853058804</v>
      </c>
      <c r="OL8" s="33" t="n">
        <v>48.1683534975607</v>
      </c>
      <c r="OM8" s="33" t="n">
        <v>48.26757241915359</v>
      </c>
      <c r="ON8" s="33" t="n">
        <v>48.36699571547982</v>
      </c>
      <c r="OO8" s="33" t="n">
        <v>48.46662380751791</v>
      </c>
      <c r="OP8" s="33" t="n">
        <v>48.56645711711346</v>
      </c>
      <c r="OQ8" s="33" t="n">
        <v>48.66649606698105</v>
      </c>
      <c r="OR8" s="33" t="n">
        <v>48.76674108070599</v>
      </c>
      <c r="OS8" s="33" t="n">
        <v>48.86719258274606</v>
      </c>
      <c r="OT8" s="33" t="n">
        <v>48.96785099843341</v>
      </c>
      <c r="OU8" s="33" t="n">
        <v>49.06871675397623</v>
      </c>
      <c r="OV8" s="33" t="n">
        <v>49.16979027646072</v>
      </c>
      <c r="OW8" s="33" t="n">
        <v>49.27107199385274</v>
      </c>
      <c r="OX8" s="33" t="n">
        <v>49.37256233499971</v>
      </c>
      <c r="OY8" s="33" t="n">
        <v>49.47426172963243</v>
      </c>
      <c r="OZ8" s="33" t="n">
        <v>49.57617060836682</v>
      </c>
      <c r="PA8" s="33" t="n">
        <v>49.67828940270585</v>
      </c>
      <c r="PB8" s="33" t="n">
        <v>49.7806185450413</v>
      </c>
      <c r="PC8" s="33" t="n">
        <v>49.88315846865558</v>
      </c>
      <c r="PD8" s="33" t="n">
        <v>49.98590960772363</v>
      </c>
      <c r="PE8" s="33" t="n">
        <v>50.08887239731472</v>
      </c>
      <c r="PF8" s="33" t="n">
        <v>50.19204727339423</v>
      </c>
      <c r="PG8" s="33" t="n">
        <v>50.29543467282563</v>
      </c>
      <c r="PH8" s="33" t="n">
        <v>50.39903503337224</v>
      </c>
      <c r="PI8" s="33" t="n">
        <v>50.50284879369906</v>
      </c>
      <c r="PJ8" s="33" t="n">
        <v>50.6068763933747</v>
      </c>
      <c r="PK8" s="33" t="n">
        <v>50.71111827287324</v>
      </c>
      <c r="PL8" s="33" t="n">
        <v>50.81557487357598</v>
      </c>
      <c r="PM8" s="33" t="n">
        <v>50.92024663777349</v>
      </c>
      <c r="PN8" s="33" t="n">
        <v>51.02513400866732</v>
      </c>
      <c r="PO8" s="33" t="n">
        <v>51.13023743037197</v>
      </c>
      <c r="PP8" s="33" t="n">
        <v>51.23555734791672</v>
      </c>
      <c r="PQ8" s="33" t="n">
        <v>51.34109420724758</v>
      </c>
      <c r="PR8" s="33" t="n">
        <v>51.44684845522909</v>
      </c>
      <c r="PS8" s="33" t="n">
        <v>51.55282053964627</v>
      </c>
      <c r="PT8" s="33" t="n">
        <v>51.65901090920654</v>
      </c>
      <c r="PU8" s="33" t="n">
        <v>51.76542001354152</v>
      </c>
      <c r="PV8" s="33" t="n">
        <v>51.87204830320907</v>
      </c>
      <c r="PW8" s="33" t="n">
        <v>51.97889622969507</v>
      </c>
      <c r="PX8" s="33" t="n">
        <v>52.08596424541538</v>
      </c>
      <c r="PY8" s="33" t="n">
        <v>52.19325280371783</v>
      </c>
      <c r="PZ8" s="33" t="n">
        <v>52.300762358884</v>
      </c>
      <c r="QA8" s="33" t="n">
        <v>52.40849336613126</v>
      </c>
      <c r="QB8" s="33" t="n">
        <v>52.51644628161464</v>
      </c>
      <c r="QC8" s="33" t="n">
        <v>52.62462156242876</v>
      </c>
      <c r="QD8" s="33" t="n">
        <v>52.7330196666098</v>
      </c>
      <c r="QE8" s="33" t="n">
        <v>52.84164105313743</v>
      </c>
      <c r="QF8" s="33" t="n">
        <v>52.9504861819367</v>
      </c>
      <c r="QG8" s="33" t="n">
        <v>53.05955551388006</v>
      </c>
      <c r="QH8" s="33" t="n">
        <v>53.16884951078929</v>
      </c>
      <c r="QI8" s="33" t="n">
        <v>53.27836863543743</v>
      </c>
      <c r="QJ8" s="33" t="n">
        <v>53.38811335155076</v>
      </c>
      <c r="QK8" s="33" t="n">
        <v>53.49808412381076</v>
      </c>
      <c r="QL8" s="33" t="n">
        <v>53.6082814178561</v>
      </c>
      <c r="QM8" s="33" t="n">
        <v>53.71870570028453</v>
      </c>
      <c r="QN8" s="33" t="n">
        <v>53.82935743865499</v>
      </c>
      <c r="QO8" s="33" t="n">
        <v>53.94023710148948</v>
      </c>
      <c r="QP8" s="33" t="n">
        <v>54.05134515827504</v>
      </c>
      <c r="QQ8" s="33" t="n">
        <v>54.16268207946585</v>
      </c>
      <c r="QR8" s="33" t="n">
        <v>54.2742483364851</v>
      </c>
      <c r="QS8" s="33" t="n">
        <v>54.38604440172706</v>
      </c>
      <c r="QT8" s="33" t="n">
        <v>54.49807074855902</v>
      </c>
      <c r="QU8" s="33" t="n">
        <v>54.61032785132337</v>
      </c>
      <c r="QV8" s="33" t="n">
        <v>54.72281618533952</v>
      </c>
      <c r="QW8" s="33" t="n">
        <v>54.83553622690604</v>
      </c>
      <c r="QX8" s="33" t="n">
        <v>54.9484884533025</v>
      </c>
      <c r="QY8" s="33" t="n">
        <v>55.06167334279165</v>
      </c>
      <c r="QZ8" s="33" t="n">
        <v>55.17509137462137</v>
      </c>
      <c r="RA8" s="33" t="n">
        <v>55.28874302902671</v>
      </c>
      <c r="RB8" s="33" t="n">
        <v>55.40262878723192</v>
      </c>
      <c r="RC8" s="33" t="n">
        <v>55.51674913145249</v>
      </c>
      <c r="RD8" s="33" t="n">
        <v>55.63110454489723</v>
      </c>
      <c r="RE8" s="33" t="n">
        <v>55.74569551177023</v>
      </c>
      <c r="RF8" s="33" t="n">
        <v>55.86052251727299</v>
      </c>
      <c r="RG8" s="33" t="n">
        <v>55.97558604760643</v>
      </c>
      <c r="RH8" s="33" t="n">
        <v>56.09088658997301</v>
      </c>
      <c r="RI8" s="33" t="n">
        <v>56.20642463257867</v>
      </c>
      <c r="RJ8" s="33" t="n">
        <v>56.32220066463506</v>
      </c>
      <c r="RK8" s="33" t="n">
        <v>56.43821517636143</v>
      </c>
      <c r="RL8" s="33" t="n">
        <v>56.55446865898691</v>
      </c>
      <c r="RM8" s="33" t="n">
        <v>56.67096160475236</v>
      </c>
      <c r="RN8" s="33" t="n">
        <v>56.78769450691271</v>
      </c>
      <c r="RO8" s="33" t="n">
        <v>56.90466785973881</v>
      </c>
      <c r="RP8" s="33" t="n">
        <v>57.02188215851965</v>
      </c>
      <c r="RQ8" s="33" t="n">
        <v>57.13933789956447</v>
      </c>
      <c r="RR8" s="33" t="n">
        <v>57.25703558020481</v>
      </c>
      <c r="RS8" s="33" t="n">
        <v>57.37497569879659</v>
      </c>
      <c r="RT8" s="33" t="n">
        <v>57.49315875472233</v>
      </c>
      <c r="RU8" s="33" t="n">
        <v>57.61158524839314</v>
      </c>
      <c r="RV8" s="33" t="n">
        <v>57.73025568125092</v>
      </c>
      <c r="RW8" s="33" t="n">
        <v>57.84917055577046</v>
      </c>
    </row>
    <row r="9" hidden="1" outlineLevel="1" ht="13.05" customHeight="1">
      <c r="E9" s="21" t="inlineStr">
        <is>
          <t>Capture Price (inflated)</t>
        </is>
      </c>
      <c r="F9" s="29" t="n"/>
      <c r="G9" s="29" t="inlineStr">
        <is>
          <t>DKK/MWh</t>
        </is>
      </c>
      <c r="H9" s="29" t="n"/>
      <c r="I9" s="29" t="n"/>
      <c r="J9" s="32" t="n">
        <v>15709.1759423822</v>
      </c>
      <c r="K9" s="29" t="n"/>
      <c r="L9" s="33" t="n">
        <v>0</v>
      </c>
      <c r="M9" s="33" t="n">
        <v>0</v>
      </c>
      <c r="N9" s="33" t="n">
        <v>0</v>
      </c>
      <c r="O9" s="33" t="n">
        <v>0</v>
      </c>
      <c r="P9" s="33" t="n">
        <v>0</v>
      </c>
      <c r="Q9" s="33" t="n">
        <v>0</v>
      </c>
      <c r="R9" s="33" t="n">
        <v>0</v>
      </c>
      <c r="S9" s="33" t="n">
        <v>0</v>
      </c>
      <c r="T9" s="33" t="n">
        <v>0</v>
      </c>
      <c r="U9" s="33" t="n">
        <v>0</v>
      </c>
      <c r="V9" s="33" t="n">
        <v>0</v>
      </c>
      <c r="W9" s="33" t="n">
        <v>0</v>
      </c>
      <c r="X9" s="33" t="n">
        <v>0</v>
      </c>
      <c r="Y9" s="33" t="n">
        <v>0</v>
      </c>
      <c r="Z9" s="33" t="n">
        <v>0</v>
      </c>
      <c r="AA9" s="33" t="n">
        <v>0</v>
      </c>
      <c r="AB9" s="33" t="n">
        <v>0</v>
      </c>
      <c r="AC9" s="33" t="n">
        <v>0</v>
      </c>
      <c r="AD9" s="33" t="n">
        <v>0</v>
      </c>
      <c r="AE9" s="33" t="n">
        <v>0</v>
      </c>
      <c r="AF9" s="33" t="n">
        <v>0</v>
      </c>
      <c r="AG9" s="33" t="n">
        <v>0</v>
      </c>
      <c r="AH9" s="33" t="n">
        <v>0</v>
      </c>
      <c r="AI9" s="33" t="n">
        <v>0</v>
      </c>
      <c r="AJ9" s="33" t="n">
        <v>0</v>
      </c>
      <c r="AK9" s="33" t="n">
        <v>0</v>
      </c>
      <c r="AL9" s="33" t="n">
        <v>0</v>
      </c>
      <c r="AM9" s="33" t="n">
        <v>0</v>
      </c>
      <c r="AN9" s="33" t="n">
        <v>0</v>
      </c>
      <c r="AO9" s="33" t="n">
        <v>0</v>
      </c>
      <c r="AP9" s="33" t="n">
        <v>0</v>
      </c>
      <c r="AQ9" s="33" t="n">
        <v>0</v>
      </c>
      <c r="AR9" s="33" t="n">
        <v>0</v>
      </c>
      <c r="AS9" s="33" t="n">
        <v>0</v>
      </c>
      <c r="AT9" s="33" t="n">
        <v>0</v>
      </c>
      <c r="AU9" s="33" t="n">
        <v>0</v>
      </c>
      <c r="AV9" s="33" t="n">
        <v>0</v>
      </c>
      <c r="AW9" s="33" t="n">
        <v>0</v>
      </c>
      <c r="AX9" s="33" t="n">
        <v>0</v>
      </c>
      <c r="AY9" s="33" t="n">
        <v>0</v>
      </c>
      <c r="AZ9" s="33" t="n">
        <v>0</v>
      </c>
      <c r="BA9" s="33" t="n">
        <v>0</v>
      </c>
      <c r="BB9" s="33" t="n">
        <v>0</v>
      </c>
      <c r="BC9" s="33" t="n">
        <v>0</v>
      </c>
      <c r="BD9" s="33" t="n">
        <v>0</v>
      </c>
      <c r="BE9" s="33" t="n">
        <v>0</v>
      </c>
      <c r="BF9" s="33" t="n">
        <v>0</v>
      </c>
      <c r="BG9" s="33" t="n">
        <v>0</v>
      </c>
      <c r="BH9" s="33" t="n">
        <v>0</v>
      </c>
      <c r="BI9" s="33" t="n">
        <v>0</v>
      </c>
      <c r="BJ9" s="33" t="n">
        <v>0</v>
      </c>
      <c r="BK9" s="33" t="n">
        <v>0</v>
      </c>
      <c r="BL9" s="33" t="n">
        <v>0</v>
      </c>
      <c r="BM9" s="33" t="n">
        <v>0</v>
      </c>
      <c r="BN9" s="33" t="n">
        <v>0</v>
      </c>
      <c r="BO9" s="33" t="n">
        <v>0</v>
      </c>
      <c r="BP9" s="33" t="n">
        <v>0</v>
      </c>
      <c r="BQ9" s="33" t="n">
        <v>0</v>
      </c>
      <c r="BR9" s="33" t="n">
        <v>0</v>
      </c>
      <c r="BS9" s="33" t="n">
        <v>0</v>
      </c>
      <c r="BT9" s="33" t="n">
        <v>0</v>
      </c>
      <c r="BU9" s="33" t="n">
        <v>0</v>
      </c>
      <c r="BV9" s="33" t="n">
        <v>0</v>
      </c>
      <c r="BW9" s="33" t="n">
        <v>0</v>
      </c>
      <c r="BX9" s="33" t="n">
        <v>0</v>
      </c>
      <c r="BY9" s="33" t="n">
        <v>0</v>
      </c>
      <c r="BZ9" s="33" t="n">
        <v>0</v>
      </c>
      <c r="CA9" s="33" t="n">
        <v>0</v>
      </c>
      <c r="CB9" s="33" t="n">
        <v>0</v>
      </c>
      <c r="CC9" s="33" t="n">
        <v>0</v>
      </c>
      <c r="CD9" s="33" t="n">
        <v>0</v>
      </c>
      <c r="CE9" s="33" t="n">
        <v>0</v>
      </c>
      <c r="CF9" s="33" t="n">
        <v>0</v>
      </c>
      <c r="CG9" s="33" t="n">
        <v>0</v>
      </c>
      <c r="CH9" s="33" t="n">
        <v>0</v>
      </c>
      <c r="CI9" s="33" t="n">
        <v>0</v>
      </c>
      <c r="CJ9" s="33" t="n">
        <v>0</v>
      </c>
      <c r="CK9" s="33" t="n">
        <v>0</v>
      </c>
      <c r="CL9" s="33" t="n">
        <v>0</v>
      </c>
      <c r="CM9" s="33" t="n">
        <v>0</v>
      </c>
      <c r="CN9" s="33" t="n">
        <v>0</v>
      </c>
      <c r="CO9" s="33" t="n">
        <v>0</v>
      </c>
      <c r="CP9" s="33" t="n">
        <v>0</v>
      </c>
      <c r="CQ9" s="33" t="n">
        <v>25.61</v>
      </c>
      <c r="CR9" s="33" t="n">
        <v>25.66275240687067</v>
      </c>
      <c r="CS9" s="33" t="n">
        <v>25.71561347506234</v>
      </c>
      <c r="CT9" s="33" t="n">
        <v>25.76858342839954</v>
      </c>
      <c r="CU9" s="33" t="n">
        <v>25.82166249116782</v>
      </c>
      <c r="CV9" s="33" t="n">
        <v>25.87485088811477</v>
      </c>
      <c r="CW9" s="33" t="n">
        <v>25.92814884445088</v>
      </c>
      <c r="CX9" s="33" t="n">
        <v>25.98155658585057</v>
      </c>
      <c r="CY9" s="33" t="n">
        <v>26.03507433845308</v>
      </c>
      <c r="CZ9" s="33" t="n">
        <v>26.08870232886348</v>
      </c>
      <c r="DA9" s="33" t="n">
        <v>26.14244078415361</v>
      </c>
      <c r="DB9" s="33" t="n">
        <v>26.19628993186303</v>
      </c>
      <c r="DC9" s="33" t="n">
        <v>26.25025</v>
      </c>
      <c r="DD9" s="33" t="n">
        <v>26.30432121704244</v>
      </c>
      <c r="DE9" s="33" t="n">
        <v>26.3585038119389</v>
      </c>
      <c r="DF9" s="33" t="n">
        <v>26.41279801410953</v>
      </c>
      <c r="DG9" s="33" t="n">
        <v>26.46720405344702</v>
      </c>
      <c r="DH9" s="33" t="n">
        <v>26.52172216031764</v>
      </c>
      <c r="DI9" s="33" t="n">
        <v>26.57635256556216</v>
      </c>
      <c r="DJ9" s="33" t="n">
        <v>26.63109550049683</v>
      </c>
      <c r="DK9" s="33" t="n">
        <v>26.68595119691441</v>
      </c>
      <c r="DL9" s="33" t="n">
        <v>26.74091988708507</v>
      </c>
      <c r="DM9" s="33" t="n">
        <v>26.79600180375745</v>
      </c>
      <c r="DN9" s="33" t="n">
        <v>26.8511971801596</v>
      </c>
      <c r="DO9" s="33" t="n">
        <v>26.90650625</v>
      </c>
      <c r="DP9" s="33" t="n">
        <v>26.9619292474685</v>
      </c>
      <c r="DQ9" s="33" t="n">
        <v>27.01746640723737</v>
      </c>
      <c r="DR9" s="33" t="n">
        <v>27.07311796446226</v>
      </c>
      <c r="DS9" s="33" t="n">
        <v>27.12888415478319</v>
      </c>
      <c r="DT9" s="33" t="n">
        <v>27.18476521432558</v>
      </c>
      <c r="DU9" s="33" t="n">
        <v>27.24076137970121</v>
      </c>
      <c r="DV9" s="33" t="n">
        <v>27.29687288800925</v>
      </c>
      <c r="DW9" s="33" t="n">
        <v>27.35309997683726</v>
      </c>
      <c r="DX9" s="33" t="n">
        <v>27.40944288426219</v>
      </c>
      <c r="DY9" s="33" t="n">
        <v>27.46590184885138</v>
      </c>
      <c r="DZ9" s="33" t="n">
        <v>27.52247710966359</v>
      </c>
      <c r="EA9" s="33" t="n">
        <v>27.57916890624999</v>
      </c>
      <c r="EB9" s="33" t="n">
        <v>27.63597747865521</v>
      </c>
      <c r="EC9" s="33" t="n">
        <v>27.6929030674183</v>
      </c>
      <c r="ED9" s="33" t="n">
        <v>27.74994591357381</v>
      </c>
      <c r="EE9" s="33" t="n">
        <v>27.80710625865277</v>
      </c>
      <c r="EF9" s="33" t="n">
        <v>27.86438434468372</v>
      </c>
      <c r="EG9" s="33" t="n">
        <v>27.92178041419374</v>
      </c>
      <c r="EH9" s="33" t="n">
        <v>27.97929471020948</v>
      </c>
      <c r="EI9" s="33" t="n">
        <v>28.03692747625819</v>
      </c>
      <c r="EJ9" s="33" t="n">
        <v>28.09467895636874</v>
      </c>
      <c r="EK9" s="33" t="n">
        <v>28.15254939507266</v>
      </c>
      <c r="EL9" s="33" t="n">
        <v>28.21053903740518</v>
      </c>
      <c r="EM9" s="33" t="n">
        <v>28.26864812890624</v>
      </c>
      <c r="EN9" s="33" t="n">
        <v>28.32687691562159</v>
      </c>
      <c r="EO9" s="33" t="n">
        <v>28.38522564410376</v>
      </c>
      <c r="EP9" s="33" t="n">
        <v>28.44369456141316</v>
      </c>
      <c r="EQ9" s="33" t="n">
        <v>28.50228391511909</v>
      </c>
      <c r="ER9" s="33" t="n">
        <v>28.56099395330081</v>
      </c>
      <c r="ES9" s="33" t="n">
        <v>28.61982492454858</v>
      </c>
      <c r="ET9" s="33" t="n">
        <v>28.67877707796471</v>
      </c>
      <c r="EU9" s="33" t="n">
        <v>28.73785066316465</v>
      </c>
      <c r="EV9" s="33" t="n">
        <v>28.79704593027796</v>
      </c>
      <c r="EW9" s="33" t="n">
        <v>28.85636312994947</v>
      </c>
      <c r="EX9" s="33" t="n">
        <v>28.9158025133403</v>
      </c>
      <c r="EY9" s="33" t="n">
        <v>28.97536433212889</v>
      </c>
      <c r="EZ9" s="33" t="n">
        <v>29.03504883851213</v>
      </c>
      <c r="FA9" s="33" t="n">
        <v>29.09485628520635</v>
      </c>
      <c r="FB9" s="33" t="n">
        <v>29.15478692544848</v>
      </c>
      <c r="FC9" s="33" t="n">
        <v>29.21484101299706</v>
      </c>
      <c r="FD9" s="33" t="n">
        <v>29.27501880213332</v>
      </c>
      <c r="FE9" s="33" t="n">
        <v>29.33532054766229</v>
      </c>
      <c r="FF9" s="33" t="n">
        <v>29.39574650491383</v>
      </c>
      <c r="FG9" s="33" t="n">
        <v>29.45629692974376</v>
      </c>
      <c r="FH9" s="33" t="n">
        <v>29.51697207853491</v>
      </c>
      <c r="FI9" s="33" t="n">
        <v>29.57777220819821</v>
      </c>
      <c r="FJ9" s="33" t="n">
        <v>29.63869757617381</v>
      </c>
      <c r="FK9" s="33" t="n">
        <v>29.69974844043211</v>
      </c>
      <c r="FL9" s="33" t="n">
        <v>29.76092505947492</v>
      </c>
      <c r="FM9" s="33" t="n">
        <v>29.82222769233651</v>
      </c>
      <c r="FN9" s="33" t="n">
        <v>29.88365659858469</v>
      </c>
      <c r="FO9" s="33" t="n">
        <v>29.94521203832198</v>
      </c>
      <c r="FP9" s="33" t="n">
        <v>30.00689427218665</v>
      </c>
      <c r="FQ9" s="33" t="n">
        <v>30.06870356135385</v>
      </c>
      <c r="FR9" s="33" t="n">
        <v>30.13064016753668</v>
      </c>
      <c r="FS9" s="33" t="n">
        <v>30.19270435298735</v>
      </c>
      <c r="FT9" s="33" t="n">
        <v>30.25489638049827</v>
      </c>
      <c r="FU9" s="33" t="n">
        <v>30.31721651340316</v>
      </c>
      <c r="FV9" s="33" t="n">
        <v>30.37966501557815</v>
      </c>
      <c r="FW9" s="33" t="n">
        <v>30.44224215144292</v>
      </c>
      <c r="FX9" s="33" t="n">
        <v>30.50494818596179</v>
      </c>
      <c r="FY9" s="33" t="n">
        <v>30.56778338464491</v>
      </c>
      <c r="FZ9" s="33" t="n">
        <v>30.63074801354931</v>
      </c>
      <c r="GA9" s="33" t="n">
        <v>30.69384233928004</v>
      </c>
      <c r="GB9" s="33" t="n">
        <v>30.75706662899132</v>
      </c>
      <c r="GC9" s="33" t="n">
        <v>30.82042115038769</v>
      </c>
      <c r="GD9" s="33" t="n">
        <v>30.88390617172509</v>
      </c>
      <c r="GE9" s="33" t="n">
        <v>30.94752196181203</v>
      </c>
      <c r="GF9" s="33" t="n">
        <v>31.01126879001073</v>
      </c>
      <c r="GG9" s="33" t="n">
        <v>31.07514692623824</v>
      </c>
      <c r="GH9" s="33" t="n">
        <v>31.1391566409676</v>
      </c>
      <c r="GI9" s="33" t="n">
        <v>31.20329820522898</v>
      </c>
      <c r="GJ9" s="33" t="n">
        <v>31.26757189061084</v>
      </c>
      <c r="GK9" s="33" t="n">
        <v>31.33197796926104</v>
      </c>
      <c r="GL9" s="33" t="n">
        <v>31.39651671388804</v>
      </c>
      <c r="GM9" s="33" t="n">
        <v>31.46118839776203</v>
      </c>
      <c r="GN9" s="33" t="n">
        <v>31.5259932947161</v>
      </c>
      <c r="GO9" s="33" t="n">
        <v>31.59093167914738</v>
      </c>
      <c r="GP9" s="33" t="n">
        <v>31.65600382601821</v>
      </c>
      <c r="GQ9" s="33" t="n">
        <v>31.72121001085733</v>
      </c>
      <c r="GR9" s="33" t="n">
        <v>31.786550509761</v>
      </c>
      <c r="GS9" s="33" t="n">
        <v>31.85202559939419</v>
      </c>
      <c r="GT9" s="33" t="n">
        <v>31.91763555699179</v>
      </c>
      <c r="GU9" s="33" t="n">
        <v>31.98338066035971</v>
      </c>
      <c r="GV9" s="33" t="n">
        <v>32.04926118787611</v>
      </c>
      <c r="GW9" s="33" t="n">
        <v>32.11527741849256</v>
      </c>
      <c r="GX9" s="33" t="n">
        <v>32.18142963173523</v>
      </c>
      <c r="GY9" s="33" t="n">
        <v>32.24771810770608</v>
      </c>
      <c r="GZ9" s="33" t="n">
        <v>32.31414312708399</v>
      </c>
      <c r="HA9" s="33" t="n">
        <v>32.38070497112606</v>
      </c>
      <c r="HB9" s="33" t="n">
        <v>32.44740392166867</v>
      </c>
      <c r="HC9" s="33" t="n">
        <v>32.51424026112876</v>
      </c>
      <c r="HD9" s="33" t="n">
        <v>32.58121427250502</v>
      </c>
      <c r="HE9" s="33" t="n">
        <v>32.64832623937905</v>
      </c>
      <c r="HF9" s="33" t="n">
        <v>32.71557644591658</v>
      </c>
      <c r="HG9" s="33" t="n">
        <v>32.78296517686869</v>
      </c>
      <c r="HH9" s="33" t="n">
        <v>32.850492717573</v>
      </c>
      <c r="HI9" s="33" t="n">
        <v>32.91815935395487</v>
      </c>
      <c r="HJ9" s="33" t="n">
        <v>32.98596537252861</v>
      </c>
      <c r="HK9" s="33" t="n">
        <v>33.05391106039873</v>
      </c>
      <c r="HL9" s="33" t="n">
        <v>33.1219967052611</v>
      </c>
      <c r="HM9" s="33" t="n">
        <v>33.19022259540421</v>
      </c>
      <c r="HN9" s="33" t="n">
        <v>33.25858901971038</v>
      </c>
      <c r="HO9" s="33" t="n">
        <v>33.32709626765698</v>
      </c>
      <c r="HP9" s="33" t="n">
        <v>33.39574462931764</v>
      </c>
      <c r="HQ9" s="33" t="n">
        <v>33.46453439536352</v>
      </c>
      <c r="HR9" s="33" t="n">
        <v>33.53346585706449</v>
      </c>
      <c r="HS9" s="33" t="n">
        <v>33.60253930629041</v>
      </c>
      <c r="HT9" s="33" t="n">
        <v>33.67175503551233</v>
      </c>
      <c r="HU9" s="33" t="n">
        <v>33.74111333780374</v>
      </c>
      <c r="HV9" s="33" t="n">
        <v>33.81061450684182</v>
      </c>
      <c r="HW9" s="33" t="n">
        <v>33.88025883690869</v>
      </c>
      <c r="HX9" s="33" t="n">
        <v>33.95004662289262</v>
      </c>
      <c r="HY9" s="33" t="n">
        <v>34.01997816028931</v>
      </c>
      <c r="HZ9" s="33" t="n">
        <v>34.09005374520314</v>
      </c>
      <c r="IA9" s="33" t="n">
        <v>34.1602736743484</v>
      </c>
      <c r="IB9" s="33" t="n">
        <v>34.23063824505058</v>
      </c>
      <c r="IC9" s="33" t="n">
        <v>34.30114775524761</v>
      </c>
      <c r="ID9" s="33" t="n">
        <v>34.3718025034911</v>
      </c>
      <c r="IE9" s="33" t="n">
        <v>34.44260278894767</v>
      </c>
      <c r="IF9" s="33" t="n">
        <v>34.51354891140013</v>
      </c>
      <c r="IG9" s="33" t="n">
        <v>34.58464117124883</v>
      </c>
      <c r="IH9" s="33" t="n">
        <v>34.65587986951287</v>
      </c>
      <c r="II9" s="33" t="n">
        <v>34.72726530783141</v>
      </c>
      <c r="IJ9" s="33" t="n">
        <v>34.79879778846493</v>
      </c>
      <c r="IK9" s="33" t="n">
        <v>34.87047761429654</v>
      </c>
      <c r="IL9" s="33" t="n">
        <v>34.94230508883321</v>
      </c>
      <c r="IM9" s="33" t="n">
        <v>35.0142805162071</v>
      </c>
      <c r="IN9" s="33" t="n">
        <v>35.08640420117684</v>
      </c>
      <c r="IO9" s="33" t="n">
        <v>35.15867644912879</v>
      </c>
      <c r="IP9" s="33" t="n">
        <v>35.23109756607838</v>
      </c>
      <c r="IQ9" s="33" t="n">
        <v>35.30366785867135</v>
      </c>
      <c r="IR9" s="33" t="n">
        <v>35.37638763418514</v>
      </c>
      <c r="IS9" s="33" t="n">
        <v>35.44925720053004</v>
      </c>
      <c r="IT9" s="33" t="n">
        <v>35.52227686625069</v>
      </c>
      <c r="IU9" s="33" t="n">
        <v>35.59544694052719</v>
      </c>
      <c r="IV9" s="33" t="n">
        <v>35.66876773317655</v>
      </c>
      <c r="IW9" s="33" t="n">
        <v>35.74223955465395</v>
      </c>
      <c r="IX9" s="33" t="n">
        <v>35.81586271605404</v>
      </c>
      <c r="IY9" s="33" t="n">
        <v>35.88963752911228</v>
      </c>
      <c r="IZ9" s="33" t="n">
        <v>35.96356430620625</v>
      </c>
      <c r="JA9" s="33" t="n">
        <v>36.03764336035701</v>
      </c>
      <c r="JB9" s="33" t="n">
        <v>36.11187500523033</v>
      </c>
      <c r="JC9" s="33" t="n">
        <v>36.18625955513814</v>
      </c>
      <c r="JD9" s="33" t="n">
        <v>36.26079732503976</v>
      </c>
      <c r="JE9" s="33" t="n">
        <v>36.33548863054329</v>
      </c>
      <c r="JF9" s="33" t="n">
        <v>36.41033378790695</v>
      </c>
      <c r="JG9" s="33" t="n">
        <v>36.48533311404037</v>
      </c>
      <c r="JH9" s="33" t="n">
        <v>36.56048692650597</v>
      </c>
      <c r="JI9" s="33" t="n">
        <v>36.6357955435203</v>
      </c>
      <c r="JJ9" s="33" t="n">
        <v>36.71125928395539</v>
      </c>
      <c r="JK9" s="33" t="n">
        <v>36.78687846734008</v>
      </c>
      <c r="JL9" s="33" t="n">
        <v>36.86265341386141</v>
      </c>
      <c r="JM9" s="33" t="n">
        <v>36.93858444436593</v>
      </c>
      <c r="JN9" s="33" t="n">
        <v>37.01467188036109</v>
      </c>
      <c r="JO9" s="33" t="n">
        <v>37.09091604401659</v>
      </c>
      <c r="JP9" s="33" t="n">
        <v>37.16731725816575</v>
      </c>
      <c r="JQ9" s="33" t="n">
        <v>37.24387584630687</v>
      </c>
      <c r="JR9" s="33" t="n">
        <v>37.32059213260462</v>
      </c>
      <c r="JS9" s="33" t="n">
        <v>37.39746644189137</v>
      </c>
      <c r="JT9" s="33" t="n">
        <v>37.47449909966861</v>
      </c>
      <c r="JU9" s="33" t="n">
        <v>37.5516904321083</v>
      </c>
      <c r="JV9" s="33" t="n">
        <v>37.62904076605427</v>
      </c>
      <c r="JW9" s="33" t="n">
        <v>37.70655042902358</v>
      </c>
      <c r="JX9" s="33" t="n">
        <v>37.78421974920794</v>
      </c>
      <c r="JY9" s="33" t="n">
        <v>37.86204905547508</v>
      </c>
      <c r="JZ9" s="33" t="n">
        <v>37.9400386773701</v>
      </c>
      <c r="KA9" s="33" t="n">
        <v>38.018188945117</v>
      </c>
      <c r="KB9" s="33" t="n">
        <v>38.09650018961988</v>
      </c>
      <c r="KC9" s="33" t="n">
        <v>38.17497274246454</v>
      </c>
      <c r="KD9" s="33" t="n">
        <v>38.25360693591973</v>
      </c>
      <c r="KE9" s="33" t="n">
        <v>38.33240310293865</v>
      </c>
      <c r="KF9" s="33" t="n">
        <v>38.41136157716032</v>
      </c>
      <c r="KG9" s="33" t="n">
        <v>38.49048269291101</v>
      </c>
      <c r="KH9" s="33" t="n">
        <v>38.56976678520562</v>
      </c>
      <c r="KI9" s="33" t="n">
        <v>38.64921418974917</v>
      </c>
      <c r="KJ9" s="33" t="n">
        <v>38.72882524293814</v>
      </c>
      <c r="KK9" s="33" t="n">
        <v>38.80860028186194</v>
      </c>
      <c r="KL9" s="33" t="n">
        <v>38.88853964430436</v>
      </c>
      <c r="KM9" s="33" t="n">
        <v>38.96864366874492</v>
      </c>
      <c r="KN9" s="33" t="n">
        <v>39.04891269436038</v>
      </c>
      <c r="KO9" s="33" t="n">
        <v>39.12934706102615</v>
      </c>
      <c r="KP9" s="33" t="n">
        <v>39.20994710931772</v>
      </c>
      <c r="KQ9" s="33" t="n">
        <v>39.29071318051211</v>
      </c>
      <c r="KR9" s="33" t="n">
        <v>39.37164561658933</v>
      </c>
      <c r="KS9" s="33" t="n">
        <v>39.45274476023377</v>
      </c>
      <c r="KT9" s="33" t="n">
        <v>39.53401095483576</v>
      </c>
      <c r="KU9" s="33" t="n">
        <v>39.6154445444929</v>
      </c>
      <c r="KV9" s="33" t="n">
        <v>39.69704587401159</v>
      </c>
      <c r="KW9" s="33" t="n">
        <v>39.77881528890849</v>
      </c>
      <c r="KX9" s="33" t="n">
        <v>39.86075313541196</v>
      </c>
      <c r="KY9" s="33" t="n">
        <v>39.94285976046354</v>
      </c>
      <c r="KZ9" s="33" t="n">
        <v>40.02513551171938</v>
      </c>
      <c r="LA9" s="33" t="n">
        <v>40.1075807375518</v>
      </c>
      <c r="LB9" s="33" t="n">
        <v>40.19019578705066</v>
      </c>
      <c r="LC9" s="33" t="n">
        <v>40.27298101002491</v>
      </c>
      <c r="LD9" s="33" t="n">
        <v>40.35593675700405</v>
      </c>
      <c r="LE9" s="33" t="n">
        <v>40.43906337923961</v>
      </c>
      <c r="LF9" s="33" t="n">
        <v>40.52236122870665</v>
      </c>
      <c r="LG9" s="33" t="n">
        <v>40.60583065810521</v>
      </c>
      <c r="LH9" s="33" t="n">
        <v>40.68947202086187</v>
      </c>
      <c r="LI9" s="33" t="n">
        <v>40.7732856711312</v>
      </c>
      <c r="LJ9" s="33" t="n">
        <v>40.85727196379726</v>
      </c>
      <c r="LK9" s="33" t="n">
        <v>40.94143125447512</v>
      </c>
      <c r="LL9" s="33" t="n">
        <v>41.02576389951237</v>
      </c>
      <c r="LM9" s="33" t="n">
        <v>41.11027025599059</v>
      </c>
      <c r="LN9" s="33" t="n">
        <v>41.19495068172692</v>
      </c>
      <c r="LO9" s="33" t="n">
        <v>41.27980553527554</v>
      </c>
      <c r="LP9" s="33" t="n">
        <v>41.36483517592916</v>
      </c>
      <c r="LQ9" s="33" t="n">
        <v>41.4500399637206</v>
      </c>
      <c r="LR9" s="33" t="n">
        <v>41.53542025942431</v>
      </c>
      <c r="LS9" s="33" t="n">
        <v>41.62097642455784</v>
      </c>
      <c r="LT9" s="33" t="n">
        <v>41.70670882138342</v>
      </c>
      <c r="LU9" s="33" t="n">
        <v>41.79261781290948</v>
      </c>
      <c r="LV9" s="33" t="n">
        <v>41.87870376289219</v>
      </c>
      <c r="LW9" s="33" t="n">
        <v>41.96496703583699</v>
      </c>
      <c r="LX9" s="33" t="n">
        <v>42.05140799700018</v>
      </c>
      <c r="LY9" s="33" t="n">
        <v>42.13802701239036</v>
      </c>
      <c r="LZ9" s="33" t="n">
        <v>42.22482444877009</v>
      </c>
      <c r="MA9" s="33" t="n">
        <v>42.31180067365742</v>
      </c>
      <c r="MB9" s="33" t="n">
        <v>42.39895605532738</v>
      </c>
      <c r="MC9" s="33" t="n">
        <v>42.48629096281361</v>
      </c>
      <c r="MD9" s="33" t="n">
        <v>42.57380576590992</v>
      </c>
      <c r="ME9" s="33" t="n">
        <v>42.66150083517179</v>
      </c>
      <c r="MF9" s="33" t="n">
        <v>42.749376541918</v>
      </c>
      <c r="MG9" s="33" t="n">
        <v>42.83743325823221</v>
      </c>
      <c r="MH9" s="33" t="n">
        <v>42.92567135696449</v>
      </c>
      <c r="MI9" s="33" t="n">
        <v>43.01409121173293</v>
      </c>
      <c r="MJ9" s="33" t="n">
        <v>43.10269319692517</v>
      </c>
      <c r="MK9" s="33" t="n">
        <v>43.19147768770011</v>
      </c>
      <c r="ML9" s="33" t="n">
        <v>43.28044505998934</v>
      </c>
      <c r="MM9" s="33" t="n">
        <v>43.36959569049885</v>
      </c>
      <c r="MN9" s="33" t="n">
        <v>43.45892995671056</v>
      </c>
      <c r="MO9" s="33" t="n">
        <v>43.54844823688396</v>
      </c>
      <c r="MP9" s="33" t="n">
        <v>43.63815091005766</v>
      </c>
      <c r="MQ9" s="33" t="n">
        <v>43.72803835605107</v>
      </c>
      <c r="MR9" s="33" t="n">
        <v>43.81811095546595</v>
      </c>
      <c r="MS9" s="33" t="n">
        <v>43.90836908968802</v>
      </c>
      <c r="MT9" s="33" t="n">
        <v>43.9988131408886</v>
      </c>
      <c r="MU9" s="33" t="n">
        <v>44.08944349202624</v>
      </c>
      <c r="MV9" s="33" t="n">
        <v>44.1802605268483</v>
      </c>
      <c r="MW9" s="33" t="n">
        <v>44.27126462989261</v>
      </c>
      <c r="MX9" s="33" t="n">
        <v>44.36245618648907</v>
      </c>
      <c r="MY9" s="33" t="n">
        <v>44.45383558276131</v>
      </c>
      <c r="MZ9" s="33" t="n">
        <v>44.54540320562832</v>
      </c>
      <c r="NA9" s="33" t="n">
        <v>44.63715944280604</v>
      </c>
      <c r="NB9" s="33" t="n">
        <v>44.72910468280909</v>
      </c>
      <c r="NC9" s="33" t="n">
        <v>44.82123931495234</v>
      </c>
      <c r="ND9" s="33" t="n">
        <v>44.91356372935259</v>
      </c>
      <c r="NE9" s="33" t="n">
        <v>45.00607831693021</v>
      </c>
      <c r="NF9" s="33" t="n">
        <v>45.09878346941081</v>
      </c>
      <c r="NG9" s="33" t="n">
        <v>45.19167957932689</v>
      </c>
      <c r="NH9" s="33" t="n">
        <v>45.2847670400195</v>
      </c>
      <c r="NI9" s="33" t="n">
        <v>45.37804624563992</v>
      </c>
      <c r="NJ9" s="33" t="n">
        <v>45.4715175911513</v>
      </c>
      <c r="NK9" s="33" t="n">
        <v>45.56518147233034</v>
      </c>
      <c r="NL9" s="33" t="n">
        <v>45.65903828576902</v>
      </c>
      <c r="NM9" s="33" t="n">
        <v>45.75308842887619</v>
      </c>
      <c r="NN9" s="33" t="n">
        <v>45.84733229987932</v>
      </c>
      <c r="NO9" s="33" t="n">
        <v>45.94177029782615</v>
      </c>
      <c r="NP9" s="33" t="n">
        <v>46.0364028225864</v>
      </c>
      <c r="NQ9" s="33" t="n">
        <v>46.13123027485346</v>
      </c>
      <c r="NR9" s="33" t="n">
        <v>46.22625305614608</v>
      </c>
      <c r="NS9" s="33" t="n">
        <v>46.32147156881005</v>
      </c>
      <c r="NT9" s="33" t="n">
        <v>46.41688621601998</v>
      </c>
      <c r="NU9" s="33" t="n">
        <v>46.51249740178092</v>
      </c>
      <c r="NV9" s="33" t="n">
        <v>46.60830553093007</v>
      </c>
      <c r="NW9" s="33" t="n">
        <v>46.7043110091386</v>
      </c>
      <c r="NX9" s="33" t="n">
        <v>46.80051424291324</v>
      </c>
      <c r="NY9" s="33" t="n">
        <v>46.8969156395981</v>
      </c>
      <c r="NZ9" s="33" t="n">
        <v>46.9935156073763</v>
      </c>
      <c r="OA9" s="33" t="n">
        <v>47.0903145552718</v>
      </c>
      <c r="OB9" s="33" t="n">
        <v>47.18731289315106</v>
      </c>
      <c r="OC9" s="33" t="n">
        <v>47.28451103172479</v>
      </c>
      <c r="OD9" s="33" t="n">
        <v>47.38190938254972</v>
      </c>
      <c r="OE9" s="33" t="n">
        <v>47.47950835803031</v>
      </c>
      <c r="OF9" s="33" t="n">
        <v>47.57730837142048</v>
      </c>
      <c r="OG9" s="33" t="n">
        <v>47.67530983682543</v>
      </c>
      <c r="OH9" s="33" t="n">
        <v>47.77351316920332</v>
      </c>
      <c r="OI9" s="33" t="n">
        <v>47.87191878436706</v>
      </c>
      <c r="OJ9" s="33" t="n">
        <v>47.97052709898608</v>
      </c>
      <c r="OK9" s="33" t="n">
        <v>48.06933853058804</v>
      </c>
      <c r="OL9" s="33" t="n">
        <v>48.1683534975607</v>
      </c>
      <c r="OM9" s="33" t="n">
        <v>48.26757241915359</v>
      </c>
      <c r="ON9" s="33" t="n">
        <v>48.36699571547982</v>
      </c>
      <c r="OO9" s="33" t="n">
        <v>48.46662380751791</v>
      </c>
      <c r="OP9" s="33" t="n">
        <v>48.56645711711346</v>
      </c>
      <c r="OQ9" s="33" t="n">
        <v>48.66649606698105</v>
      </c>
      <c r="OR9" s="33" t="n">
        <v>48.76674108070599</v>
      </c>
      <c r="OS9" s="33" t="n">
        <v>48.86719258274606</v>
      </c>
      <c r="OT9" s="33" t="n">
        <v>48.96785099843341</v>
      </c>
      <c r="OU9" s="33" t="n">
        <v>49.06871675397623</v>
      </c>
      <c r="OV9" s="33" t="n">
        <v>49.16979027646072</v>
      </c>
      <c r="OW9" s="33" t="n">
        <v>49.27107199385274</v>
      </c>
      <c r="OX9" s="33" t="n">
        <v>49.37256233499971</v>
      </c>
      <c r="OY9" s="33" t="n">
        <v>49.47426172963243</v>
      </c>
      <c r="OZ9" s="33" t="n">
        <v>49.57617060836682</v>
      </c>
      <c r="PA9" s="33" t="n">
        <v>49.67828940270585</v>
      </c>
      <c r="PB9" s="33" t="n">
        <v>49.7806185450413</v>
      </c>
      <c r="PC9" s="33" t="n">
        <v>49.88315846865558</v>
      </c>
      <c r="PD9" s="33" t="n">
        <v>49.98590960772363</v>
      </c>
      <c r="PE9" s="33" t="n">
        <v>50.08887239731472</v>
      </c>
      <c r="PF9" s="33" t="n">
        <v>50.19204727339423</v>
      </c>
      <c r="PG9" s="33" t="n">
        <v>50.29543467282563</v>
      </c>
      <c r="PH9" s="33" t="n">
        <v>50.39903503337224</v>
      </c>
      <c r="PI9" s="33" t="n">
        <v>50.50284879369906</v>
      </c>
      <c r="PJ9" s="33" t="n">
        <v>50.6068763933747</v>
      </c>
      <c r="PK9" s="33" t="n">
        <v>50.71111827287324</v>
      </c>
      <c r="PL9" s="33" t="n">
        <v>50.81557487357598</v>
      </c>
      <c r="PM9" s="33" t="n">
        <v>50.92024663777349</v>
      </c>
      <c r="PN9" s="33" t="n">
        <v>51.02513400866732</v>
      </c>
      <c r="PO9" s="33" t="n">
        <v>51.13023743037197</v>
      </c>
      <c r="PP9" s="33" t="n">
        <v>51.23555734791672</v>
      </c>
      <c r="PQ9" s="33" t="n">
        <v>51.34109420724758</v>
      </c>
      <c r="PR9" s="33" t="n">
        <v>51.44684845522909</v>
      </c>
      <c r="PS9" s="33" t="n">
        <v>51.55282053964627</v>
      </c>
      <c r="PT9" s="33" t="n">
        <v>51.65901090920654</v>
      </c>
      <c r="PU9" s="33" t="n">
        <v>51.76542001354152</v>
      </c>
      <c r="PV9" s="33" t="n">
        <v>51.87204830320907</v>
      </c>
      <c r="PW9" s="33" t="n">
        <v>51.97889622969507</v>
      </c>
      <c r="PX9" s="33" t="n">
        <v>52.08596424541538</v>
      </c>
      <c r="PY9" s="33" t="n">
        <v>52.19325280371783</v>
      </c>
      <c r="PZ9" s="33" t="n">
        <v>52.300762358884</v>
      </c>
      <c r="QA9" s="33" t="n">
        <v>52.40849336613126</v>
      </c>
      <c r="QB9" s="33" t="n">
        <v>52.51644628161464</v>
      </c>
      <c r="QC9" s="33" t="n">
        <v>52.62462156242876</v>
      </c>
      <c r="QD9" s="33" t="n">
        <v>52.7330196666098</v>
      </c>
      <c r="QE9" s="33" t="n">
        <v>52.84164105313743</v>
      </c>
      <c r="QF9" s="33" t="n">
        <v>52.9504861819367</v>
      </c>
      <c r="QG9" s="33" t="n">
        <v>53.05955551388006</v>
      </c>
      <c r="QH9" s="33" t="n">
        <v>53.16884951078929</v>
      </c>
      <c r="QI9" s="33" t="n">
        <v>53.27836863543743</v>
      </c>
      <c r="QJ9" s="33" t="n">
        <v>53.38811335155076</v>
      </c>
      <c r="QK9" s="33" t="n">
        <v>53.49808412381076</v>
      </c>
      <c r="QL9" s="33" t="n">
        <v>53.6082814178561</v>
      </c>
      <c r="QM9" s="33" t="n">
        <v>53.71870570028453</v>
      </c>
      <c r="QN9" s="33" t="n">
        <v>53.82935743865499</v>
      </c>
      <c r="QO9" s="33" t="n">
        <v>53.94023710148948</v>
      </c>
      <c r="QP9" s="33" t="n">
        <v>54.05134515827504</v>
      </c>
      <c r="QQ9" s="33" t="n">
        <v>54.16268207946585</v>
      </c>
      <c r="QR9" s="33" t="n">
        <v>54.2742483364851</v>
      </c>
      <c r="QS9" s="33" t="n">
        <v>54.38604440172706</v>
      </c>
      <c r="QT9" s="33" t="n">
        <v>54.49807074855902</v>
      </c>
      <c r="QU9" s="33" t="n">
        <v>54.61032785132337</v>
      </c>
      <c r="QV9" s="33" t="n">
        <v>54.72281618533952</v>
      </c>
      <c r="QW9" s="33" t="n">
        <v>54.83553622690604</v>
      </c>
      <c r="QX9" s="33" t="n">
        <v>54.9484884533025</v>
      </c>
      <c r="QY9" s="33" t="n">
        <v>55.06167334279165</v>
      </c>
      <c r="QZ9" s="33" t="n">
        <v>55.17509137462137</v>
      </c>
      <c r="RA9" s="33" t="n">
        <v>55.28874302902671</v>
      </c>
      <c r="RB9" s="33" t="n">
        <v>55.40262878723192</v>
      </c>
      <c r="RC9" s="33" t="n">
        <v>55.51674913145249</v>
      </c>
      <c r="RD9" s="33" t="n">
        <v>55.63110454489723</v>
      </c>
      <c r="RE9" s="33" t="n">
        <v>55.74569551177023</v>
      </c>
      <c r="RF9" s="33" t="n">
        <v>55.86052251727299</v>
      </c>
      <c r="RG9" s="33" t="n">
        <v>55.97558604760643</v>
      </c>
      <c r="RH9" s="33" t="n">
        <v>56.09088658997301</v>
      </c>
      <c r="RI9" s="33" t="n">
        <v>56.20642463257867</v>
      </c>
      <c r="RJ9" s="33" t="n">
        <v>56.32220066463506</v>
      </c>
      <c r="RK9" s="33" t="n">
        <v>56.43821517636143</v>
      </c>
      <c r="RL9" s="33" t="n">
        <v>56.55446865898691</v>
      </c>
      <c r="RM9" s="33" t="n">
        <v>56.67096160475236</v>
      </c>
      <c r="RN9" s="33" t="n">
        <v>56.78769450691271</v>
      </c>
      <c r="RO9" s="33" t="n">
        <v>56.90466785973881</v>
      </c>
      <c r="RP9" s="33" t="n">
        <v>57.02188215851965</v>
      </c>
      <c r="RQ9" s="33" t="n">
        <v>57.13933789956447</v>
      </c>
      <c r="RR9" s="33" t="n">
        <v>57.25703558020481</v>
      </c>
      <c r="RS9" s="33" t="n">
        <v>57.37497569879659</v>
      </c>
      <c r="RT9" s="33" t="n">
        <v>57.49315875472233</v>
      </c>
      <c r="RU9" s="33" t="n">
        <v>57.61158524839314</v>
      </c>
      <c r="RV9" s="33" t="n">
        <v>57.73025568125092</v>
      </c>
      <c r="RW9" s="33" t="n">
        <v>57.84917055577046</v>
      </c>
    </row>
    <row r="10" hidden="1" outlineLevel="1" ht="13.05" customHeight="1">
      <c r="E10" s="21" t="inlineStr">
        <is>
          <t>Spot Revenue</t>
        </is>
      </c>
      <c r="F10" s="29" t="n"/>
      <c r="G10" s="29" t="inlineStr">
        <is>
          <t>kEUR</t>
        </is>
      </c>
      <c r="H10" s="29" t="n"/>
      <c r="I10" s="29" t="n"/>
      <c r="J10" s="32" t="n">
        <v>3241466.940440442</v>
      </c>
      <c r="K10" s="29" t="n"/>
      <c r="L10" s="33" t="n">
        <v>0</v>
      </c>
      <c r="M10" s="33" t="n">
        <v>0</v>
      </c>
      <c r="N10" s="33" t="n">
        <v>0</v>
      </c>
      <c r="O10" s="33" t="n">
        <v>0</v>
      </c>
      <c r="P10" s="33" t="n">
        <v>0</v>
      </c>
      <c r="Q10" s="33" t="n">
        <v>0</v>
      </c>
      <c r="R10" s="33" t="n">
        <v>0</v>
      </c>
      <c r="S10" s="33" t="n">
        <v>0</v>
      </c>
      <c r="T10" s="33" t="n">
        <v>0</v>
      </c>
      <c r="U10" s="33" t="n">
        <v>0</v>
      </c>
      <c r="V10" s="33" t="n">
        <v>0</v>
      </c>
      <c r="W10" s="33" t="n">
        <v>0</v>
      </c>
      <c r="X10" s="33" t="n">
        <v>0</v>
      </c>
      <c r="Y10" s="33" t="n">
        <v>0</v>
      </c>
      <c r="Z10" s="33" t="n">
        <v>0</v>
      </c>
      <c r="AA10" s="33" t="n">
        <v>0</v>
      </c>
      <c r="AB10" s="33" t="n">
        <v>0</v>
      </c>
      <c r="AC10" s="33" t="n">
        <v>0</v>
      </c>
      <c r="AD10" s="33" t="n">
        <v>0</v>
      </c>
      <c r="AE10" s="33" t="n">
        <v>0</v>
      </c>
      <c r="AF10" s="33" t="n">
        <v>0</v>
      </c>
      <c r="AG10" s="33" t="n">
        <v>0</v>
      </c>
      <c r="AH10" s="33" t="n">
        <v>0</v>
      </c>
      <c r="AI10" s="33" t="n">
        <v>0</v>
      </c>
      <c r="AJ10" s="33" t="n">
        <v>0</v>
      </c>
      <c r="AK10" s="33" t="n">
        <v>0</v>
      </c>
      <c r="AL10" s="33" t="n">
        <v>0</v>
      </c>
      <c r="AM10" s="33" t="n">
        <v>0</v>
      </c>
      <c r="AN10" s="33" t="n">
        <v>0</v>
      </c>
      <c r="AO10" s="33" t="n">
        <v>0</v>
      </c>
      <c r="AP10" s="33" t="n">
        <v>0</v>
      </c>
      <c r="AQ10" s="33" t="n">
        <v>0</v>
      </c>
      <c r="AR10" s="33" t="n">
        <v>0</v>
      </c>
      <c r="AS10" s="33" t="n">
        <v>0</v>
      </c>
      <c r="AT10" s="33" t="n">
        <v>0</v>
      </c>
      <c r="AU10" s="33" t="n">
        <v>0</v>
      </c>
      <c r="AV10" s="33" t="n">
        <v>0</v>
      </c>
      <c r="AW10" s="33" t="n">
        <v>0</v>
      </c>
      <c r="AX10" s="33" t="n">
        <v>0</v>
      </c>
      <c r="AY10" s="33" t="n">
        <v>0</v>
      </c>
      <c r="AZ10" s="33" t="n">
        <v>0</v>
      </c>
      <c r="BA10" s="33" t="n">
        <v>0</v>
      </c>
      <c r="BB10" s="33" t="n">
        <v>0</v>
      </c>
      <c r="BC10" s="33" t="n">
        <v>0</v>
      </c>
      <c r="BD10" s="33" t="n">
        <v>0</v>
      </c>
      <c r="BE10" s="33" t="n">
        <v>0</v>
      </c>
      <c r="BF10" s="33" t="n">
        <v>0</v>
      </c>
      <c r="BG10" s="33" t="n">
        <v>0</v>
      </c>
      <c r="BH10" s="33" t="n">
        <v>0</v>
      </c>
      <c r="BI10" s="33" t="n">
        <v>0</v>
      </c>
      <c r="BJ10" s="33" t="n">
        <v>0</v>
      </c>
      <c r="BK10" s="33" t="n">
        <v>0</v>
      </c>
      <c r="BL10" s="33" t="n">
        <v>0</v>
      </c>
      <c r="BM10" s="33" t="n">
        <v>0</v>
      </c>
      <c r="BN10" s="33" t="n">
        <v>0</v>
      </c>
      <c r="BO10" s="33" t="n">
        <v>0</v>
      </c>
      <c r="BP10" s="33" t="n">
        <v>0</v>
      </c>
      <c r="BQ10" s="33" t="n">
        <v>0</v>
      </c>
      <c r="BR10" s="33" t="n">
        <v>0</v>
      </c>
      <c r="BS10" s="33" t="n">
        <v>0</v>
      </c>
      <c r="BT10" s="33" t="n">
        <v>0</v>
      </c>
      <c r="BU10" s="33" t="n">
        <v>0</v>
      </c>
      <c r="BV10" s="33" t="n">
        <v>0</v>
      </c>
      <c r="BW10" s="33" t="n">
        <v>0</v>
      </c>
      <c r="BX10" s="33" t="n">
        <v>0</v>
      </c>
      <c r="BY10" s="33" t="n">
        <v>0</v>
      </c>
      <c r="BZ10" s="33" t="n">
        <v>0</v>
      </c>
      <c r="CA10" s="33" t="n">
        <v>0</v>
      </c>
      <c r="CB10" s="33" t="n">
        <v>0</v>
      </c>
      <c r="CC10" s="33" t="n">
        <v>0</v>
      </c>
      <c r="CD10" s="33" t="n">
        <v>0</v>
      </c>
      <c r="CE10" s="33" t="n">
        <v>0</v>
      </c>
      <c r="CF10" s="33" t="n">
        <v>0</v>
      </c>
      <c r="CG10" s="33" t="n">
        <v>0</v>
      </c>
      <c r="CH10" s="33" t="n">
        <v>0</v>
      </c>
      <c r="CI10" s="33" t="n">
        <v>0</v>
      </c>
      <c r="CJ10" s="33" t="n">
        <v>0</v>
      </c>
      <c r="CK10" s="33" t="n">
        <v>0</v>
      </c>
      <c r="CL10" s="33" t="n">
        <v>0</v>
      </c>
      <c r="CM10" s="33" t="n">
        <v>0</v>
      </c>
      <c r="CN10" s="33" t="n">
        <v>0</v>
      </c>
      <c r="CO10" s="33" t="n">
        <v>0</v>
      </c>
      <c r="CP10" s="33" t="n">
        <v>0</v>
      </c>
      <c r="CQ10" s="33" t="n">
        <v>6449.3983125</v>
      </c>
      <c r="CR10" s="33" t="n">
        <v>6460.795037297949</v>
      </c>
      <c r="CS10" s="33" t="n">
        <v>6472.21190123599</v>
      </c>
      <c r="CT10" s="33" t="n">
        <v>6483.648939901976</v>
      </c>
      <c r="CU10" s="33" t="n">
        <v>6495.106188946643</v>
      </c>
      <c r="CV10" s="33" t="n">
        <v>6506.583684083736</v>
      </c>
      <c r="CW10" s="33" t="n">
        <v>6518.081461090095</v>
      </c>
      <c r="CX10" s="33" t="n">
        <v>6529.599555805798</v>
      </c>
      <c r="CY10" s="33" t="n">
        <v>6541.138004134241</v>
      </c>
      <c r="CZ10" s="33" t="n">
        <v>6552.696842042273</v>
      </c>
      <c r="DA10" s="33" t="n">
        <v>6564.2761055603</v>
      </c>
      <c r="DB10" s="33" t="n">
        <v>6575.875830782392</v>
      </c>
      <c r="DC10" s="33" t="n">
        <v>6587.496053866406</v>
      </c>
      <c r="DD10" s="33" t="n">
        <v>6599.136811034092</v>
      </c>
      <c r="DE10" s="33" t="n">
        <v>6610.798138571205</v>
      </c>
      <c r="DF10" s="33" t="n">
        <v>6622.480072827627</v>
      </c>
      <c r="DG10" s="33" t="n">
        <v>6634.182650217463</v>
      </c>
      <c r="DH10" s="33" t="n">
        <v>6645.905907219178</v>
      </c>
      <c r="DI10" s="33" t="n">
        <v>6657.649880375688</v>
      </c>
      <c r="DJ10" s="33" t="n">
        <v>6669.414606294488</v>
      </c>
      <c r="DK10" s="33" t="n">
        <v>6681.200121647766</v>
      </c>
      <c r="DL10" s="33" t="n">
        <v>6693.006463172504</v>
      </c>
      <c r="DM10" s="33" t="n">
        <v>6704.83366767061</v>
      </c>
      <c r="DN10" s="33" t="n">
        <v>6716.68177200902</v>
      </c>
      <c r="DO10" s="33" t="n">
        <v>6728.550813119821</v>
      </c>
      <c r="DP10" s="33" t="n">
        <v>6740.440828000358</v>
      </c>
      <c r="DQ10" s="33" t="n">
        <v>6752.35185371336</v>
      </c>
      <c r="DR10" s="33" t="n">
        <v>6764.283927387047</v>
      </c>
      <c r="DS10" s="33" t="n">
        <v>6776.237086215244</v>
      </c>
      <c r="DT10" s="33" t="n">
        <v>6788.211367457509</v>
      </c>
      <c r="DU10" s="33" t="n">
        <v>6800.206808439231</v>
      </c>
      <c r="DV10" s="33" t="n">
        <v>6812.22344655177</v>
      </c>
      <c r="DW10" s="33" t="n">
        <v>6824.261319252548</v>
      </c>
      <c r="DX10" s="33" t="n">
        <v>6836.320464065185</v>
      </c>
      <c r="DY10" s="33" t="n">
        <v>6848.400918579606</v>
      </c>
      <c r="DZ10" s="33" t="n">
        <v>6860.502720452162</v>
      </c>
      <c r="EA10" s="33" t="n">
        <v>6872.625907405747</v>
      </c>
      <c r="EB10" s="33" t="n">
        <v>6884.770517229917</v>
      </c>
      <c r="EC10" s="33" t="n">
        <v>6896.936587780998</v>
      </c>
      <c r="ED10" s="33" t="n">
        <v>6909.124156982221</v>
      </c>
      <c r="EE10" s="33" t="n">
        <v>6921.333262823829</v>
      </c>
      <c r="EF10" s="33" t="n">
        <v>6933.563943363191</v>
      </c>
      <c r="EG10" s="33" t="n">
        <v>6945.816236724937</v>
      </c>
      <c r="EH10" s="33" t="n">
        <v>6958.09018110106</v>
      </c>
      <c r="EI10" s="33" t="n">
        <v>6970.385814751043</v>
      </c>
      <c r="EJ10" s="33" t="n">
        <v>6982.70317600198</v>
      </c>
      <c r="EK10" s="33" t="n">
        <v>6995.042303248691</v>
      </c>
      <c r="EL10" s="33" t="n">
        <v>7007.403234953845</v>
      </c>
      <c r="EM10" s="33" t="n">
        <v>7019.786009648074</v>
      </c>
      <c r="EN10" s="33" t="n">
        <v>7032.190665930101</v>
      </c>
      <c r="EO10" s="33" t="n">
        <v>7044.617242466858</v>
      </c>
      <c r="EP10" s="33" t="n">
        <v>7057.065777993604</v>
      </c>
      <c r="EQ10" s="33" t="n">
        <v>7069.536311314044</v>
      </c>
      <c r="ER10" s="33" t="n">
        <v>7082.028881300456</v>
      </c>
      <c r="ES10" s="33" t="n">
        <v>7094.543526893809</v>
      </c>
      <c r="ET10" s="33" t="n">
        <v>7107.080287103885</v>
      </c>
      <c r="EU10" s="33" t="n">
        <v>7119.6392010094</v>
      </c>
      <c r="EV10" s="33" t="n">
        <v>7132.220307758122</v>
      </c>
      <c r="EW10" s="33" t="n">
        <v>7144.823646567002</v>
      </c>
      <c r="EX10" s="33" t="n">
        <v>7157.449256722293</v>
      </c>
      <c r="EY10" s="33" t="n">
        <v>7170.097177579662</v>
      </c>
      <c r="EZ10" s="33" t="n">
        <v>7182.767448564331</v>
      </c>
      <c r="FA10" s="33" t="n">
        <v>7195.46010917118</v>
      </c>
      <c r="FB10" s="33" t="n">
        <v>7208.175198964891</v>
      </c>
      <c r="FC10" s="33" t="n">
        <v>7220.912757580054</v>
      </c>
      <c r="FD10" s="33" t="n">
        <v>7233.672824721302</v>
      </c>
      <c r="FE10" s="33" t="n">
        <v>7246.455440163422</v>
      </c>
      <c r="FF10" s="33" t="n">
        <v>7259.260643751498</v>
      </c>
      <c r="FG10" s="33" t="n">
        <v>7272.088475401014</v>
      </c>
      <c r="FH10" s="33" t="n">
        <v>7284.938975097993</v>
      </c>
      <c r="FI10" s="33" t="n">
        <v>7297.81218289912</v>
      </c>
      <c r="FJ10" s="33" t="n">
        <v>7310.708138931858</v>
      </c>
      <c r="FK10" s="33" t="n">
        <v>7323.626883394586</v>
      </c>
      <c r="FL10" s="33" t="n">
        <v>7336.568456556713</v>
      </c>
      <c r="FM10" s="33" t="n">
        <v>7349.532898758808</v>
      </c>
      <c r="FN10" s="33" t="n">
        <v>7362.520250412726</v>
      </c>
      <c r="FO10" s="33" t="n">
        <v>7375.530552001737</v>
      </c>
      <c r="FP10" s="33" t="n">
        <v>7388.563844080645</v>
      </c>
      <c r="FQ10" s="33" t="n">
        <v>7401.620167275922</v>
      </c>
      <c r="FR10" s="33" t="n">
        <v>7414.699562285826</v>
      </c>
      <c r="FS10" s="33" t="n">
        <v>7427.802069880537</v>
      </c>
      <c r="FT10" s="33" t="n">
        <v>7440.927730902278</v>
      </c>
      <c r="FU10" s="33" t="n">
        <v>7454.076586265446</v>
      </c>
      <c r="FV10" s="33" t="n">
        <v>7467.248676956738</v>
      </c>
      <c r="FW10" s="33" t="n">
        <v>7480.444044035274</v>
      </c>
      <c r="FX10" s="33" t="n">
        <v>7493.662728632732</v>
      </c>
      <c r="FY10" s="33" t="n">
        <v>7506.904771953479</v>
      </c>
      <c r="FZ10" s="33" t="n">
        <v>7520.170215274688</v>
      </c>
      <c r="GA10" s="33" t="n">
        <v>7533.459099946475</v>
      </c>
      <c r="GB10" s="33" t="n">
        <v>7546.771467392022</v>
      </c>
      <c r="GC10" s="33" t="n">
        <v>7560.107359107717</v>
      </c>
      <c r="GD10" s="33" t="n">
        <v>7573.466816663271</v>
      </c>
      <c r="GE10" s="33" t="n">
        <v>7586.849881701854</v>
      </c>
      <c r="GF10" s="33" t="n">
        <v>7600.256595940222</v>
      </c>
      <c r="GG10" s="33" t="n">
        <v>7613.687001168855</v>
      </c>
      <c r="GH10" s="33" t="n">
        <v>7627.141139252073</v>
      </c>
      <c r="GI10" s="33" t="n">
        <v>7640.619052128177</v>
      </c>
      <c r="GJ10" s="33" t="n">
        <v>7654.120781809581</v>
      </c>
      <c r="GK10" s="33" t="n">
        <v>7667.646370382935</v>
      </c>
      <c r="GL10" s="33" t="n">
        <v>7681.195860009258</v>
      </c>
      <c r="GM10" s="33" t="n">
        <v>7694.769292924079</v>
      </c>
      <c r="GN10" s="33" t="n">
        <v>7708.366711437554</v>
      </c>
      <c r="GO10" s="33" t="n">
        <v>7721.988157934611</v>
      </c>
      <c r="GP10" s="33" t="n">
        <v>7735.633674875072</v>
      </c>
      <c r="GQ10" s="33" t="n">
        <v>7749.303304793794</v>
      </c>
      <c r="GR10" s="33" t="n">
        <v>7762.997090300793</v>
      </c>
      <c r="GS10" s="33" t="n">
        <v>7776.715074081383</v>
      </c>
      <c r="GT10" s="33" t="n">
        <v>7790.457298896307</v>
      </c>
      <c r="GU10" s="33" t="n">
        <v>7804.223807581873</v>
      </c>
      <c r="GV10" s="33" t="n">
        <v>7818.014643050079</v>
      </c>
      <c r="GW10" s="33" t="n">
        <v>7831.829848288759</v>
      </c>
      <c r="GX10" s="33" t="n">
        <v>7845.669466361706</v>
      </c>
      <c r="GY10" s="33" t="n">
        <v>7859.533540408815</v>
      </c>
      <c r="GZ10" s="33" t="n">
        <v>7873.422113646209</v>
      </c>
      <c r="HA10" s="33" t="n">
        <v>7887.335229366386</v>
      </c>
      <c r="HB10" s="33" t="n">
        <v>7901.272930938335</v>
      </c>
      <c r="HC10" s="33" t="n">
        <v>7915.235261807689</v>
      </c>
      <c r="HD10" s="33" t="n">
        <v>7929.222265496857</v>
      </c>
      <c r="HE10" s="33" t="n">
        <v>7943.23398560515</v>
      </c>
      <c r="HF10" s="33" t="n">
        <v>7957.270465808925</v>
      </c>
      <c r="HG10" s="33" t="n">
        <v>7971.331749861718</v>
      </c>
      <c r="HH10" s="33" t="n">
        <v>7985.417881594389</v>
      </c>
      <c r="HI10" s="33" t="n">
        <v>7999.528904915241</v>
      </c>
      <c r="HJ10" s="33" t="n">
        <v>8013.664863810175</v>
      </c>
      <c r="HK10" s="33" t="n">
        <v>8027.825802342819</v>
      </c>
      <c r="HL10" s="33" t="n">
        <v>8042.01176465466</v>
      </c>
      <c r="HM10" s="33" t="n">
        <v>8056.222794965192</v>
      </c>
      <c r="HN10" s="33" t="n">
        <v>8070.458937572052</v>
      </c>
      <c r="HO10" s="33" t="n">
        <v>8084.720236851148</v>
      </c>
      <c r="HP10" s="33" t="n">
        <v>8099.00673725681</v>
      </c>
      <c r="HQ10" s="33" t="n">
        <v>8113.318483321921</v>
      </c>
      <c r="HR10" s="33" t="n">
        <v>8127.655519658058</v>
      </c>
      <c r="HS10" s="33" t="n">
        <v>8142.017890955633</v>
      </c>
      <c r="HT10" s="33" t="n">
        <v>8156.405641984028</v>
      </c>
      <c r="HU10" s="33" t="n">
        <v>8170.818817591738</v>
      </c>
      <c r="HV10" s="33" t="n">
        <v>8185.257462706511</v>
      </c>
      <c r="HW10" s="33" t="n">
        <v>8199.721622335484</v>
      </c>
      <c r="HX10" s="33" t="n">
        <v>8214.211341565328</v>
      </c>
      <c r="HY10" s="33" t="n">
        <v>8228.726665562386</v>
      </c>
      <c r="HZ10" s="33" t="n">
        <v>8243.267639572814</v>
      </c>
      <c r="IA10" s="33" t="n">
        <v>8257.834308922724</v>
      </c>
      <c r="IB10" s="33" t="n">
        <v>8272.42671901832</v>
      </c>
      <c r="IC10" s="33" t="n">
        <v>8287.044915346052</v>
      </c>
      <c r="ID10" s="33" t="n">
        <v>8301.688943472736</v>
      </c>
      <c r="IE10" s="33" t="n">
        <v>8316.35884904572</v>
      </c>
      <c r="IF10" s="33" t="n">
        <v>8331.054677793009</v>
      </c>
      <c r="IG10" s="33" t="n">
        <v>8345.776475523422</v>
      </c>
      <c r="IH10" s="33" t="n">
        <v>8360.524288126713</v>
      </c>
      <c r="II10" s="33" t="n">
        <v>8375.298161573743</v>
      </c>
      <c r="IJ10" s="33" t="n">
        <v>8390.098141916593</v>
      </c>
      <c r="IK10" s="33" t="n">
        <v>8404.92427528874</v>
      </c>
      <c r="IL10" s="33" t="n">
        <v>8419.776607905163</v>
      </c>
      <c r="IM10" s="33" t="n">
        <v>8434.65518606253</v>
      </c>
      <c r="IN10" s="33" t="n">
        <v>8449.560056139302</v>
      </c>
      <c r="IO10" s="33" t="n">
        <v>8464.491264595898</v>
      </c>
      <c r="IP10" s="33" t="n">
        <v>8479.448857974847</v>
      </c>
      <c r="IQ10" s="33" t="n">
        <v>8494.43288290091</v>
      </c>
      <c r="IR10" s="33" t="n">
        <v>8509.443386081253</v>
      </c>
      <c r="IS10" s="33" t="n">
        <v>8524.480414305564</v>
      </c>
      <c r="IT10" s="33" t="n">
        <v>8539.544014446226</v>
      </c>
      <c r="IU10" s="33" t="n">
        <v>8554.634233458441</v>
      </c>
      <c r="IV10" s="33" t="n">
        <v>8569.751118380384</v>
      </c>
      <c r="IW10" s="33" t="n">
        <v>8584.89471633336</v>
      </c>
      <c r="IX10" s="33" t="n">
        <v>8600.065074521937</v>
      </c>
      <c r="IY10" s="33" t="n">
        <v>8615.262240234093</v>
      </c>
      <c r="IZ10" s="33" t="n">
        <v>8630.486260841382</v>
      </c>
      <c r="JA10" s="33" t="n">
        <v>8645.737183799058</v>
      </c>
      <c r="JB10" s="33" t="n">
        <v>8661.015056646231</v>
      </c>
      <c r="JC10" s="33" t="n">
        <v>8676.319927006027</v>
      </c>
      <c r="JD10" s="33" t="n">
        <v>8691.651842585719</v>
      </c>
      <c r="JE10" s="33" t="n">
        <v>8707.010851176881</v>
      </c>
      <c r="JF10" s="33" t="n">
        <v>8722.397000655556</v>
      </c>
      <c r="JG10" s="33" t="n">
        <v>8737.810338982368</v>
      </c>
      <c r="JH10" s="33" t="n">
        <v>8753.250914202703</v>
      </c>
      <c r="JI10" s="33" t="n">
        <v>8768.718774446847</v>
      </c>
      <c r="JJ10" s="33" t="n">
        <v>8784.213967930136</v>
      </c>
      <c r="JK10" s="33" t="n">
        <v>8799.736542953106</v>
      </c>
      <c r="JL10" s="33" t="n">
        <v>8815.286547901649</v>
      </c>
      <c r="JM10" s="33" t="n">
        <v>8830.864031247154</v>
      </c>
      <c r="JN10" s="33" t="n">
        <v>8846.469041546668</v>
      </c>
      <c r="JO10" s="33" t="n">
        <v>8862.101627443044</v>
      </c>
      <c r="JP10" s="33" t="n">
        <v>8877.761837665084</v>
      </c>
      <c r="JQ10" s="33" t="n">
        <v>8893.449721027708</v>
      </c>
      <c r="JR10" s="33" t="n">
        <v>8909.165326432092</v>
      </c>
      <c r="JS10" s="33" t="n">
        <v>8924.908702865829</v>
      </c>
      <c r="JT10" s="33" t="n">
        <v>8940.679899403067</v>
      </c>
      <c r="JU10" s="33" t="n">
        <v>8956.478965204689</v>
      </c>
      <c r="JV10" s="33" t="n">
        <v>8972.305949518439</v>
      </c>
      <c r="JW10" s="33" t="n">
        <v>8988.16090167909</v>
      </c>
      <c r="JX10" s="33" t="n">
        <v>9004.043871108592</v>
      </c>
      <c r="JY10" s="33" t="n">
        <v>9019.954907316234</v>
      </c>
      <c r="JZ10" s="33" t="n">
        <v>9035.894059898785</v>
      </c>
      <c r="KA10" s="33" t="n">
        <v>9051.861378540667</v>
      </c>
      <c r="KB10" s="33" t="n">
        <v>9067.856913014086</v>
      </c>
      <c r="KC10" s="33" t="n">
        <v>9083.880713179215</v>
      </c>
      <c r="KD10" s="33" t="n">
        <v>9099.93282898432</v>
      </c>
      <c r="KE10" s="33" t="n">
        <v>9116.013310465942</v>
      </c>
      <c r="KF10" s="33" t="n">
        <v>9132.122207749035</v>
      </c>
      <c r="KG10" s="33" t="n">
        <v>9148.259571047134</v>
      </c>
      <c r="KH10" s="33" t="n">
        <v>9164.425450662504</v>
      </c>
      <c r="KI10" s="33" t="n">
        <v>9180.619896986293</v>
      </c>
      <c r="KJ10" s="33" t="n">
        <v>9196.842960498703</v>
      </c>
      <c r="KK10" s="33" t="n">
        <v>9213.094691769142</v>
      </c>
      <c r="KL10" s="33" t="n">
        <v>9229.375141456369</v>
      </c>
      <c r="KM10" s="33" t="n">
        <v>9245.684360308667</v>
      </c>
      <c r="KN10" s="33" t="n">
        <v>9262.022399164003</v>
      </c>
      <c r="KO10" s="33" t="n">
        <v>9278.389308950163</v>
      </c>
      <c r="KP10" s="33" t="n">
        <v>9294.785140684944</v>
      </c>
      <c r="KQ10" s="33" t="n">
        <v>9311.209945476294</v>
      </c>
      <c r="KR10" s="33" t="n">
        <v>9327.663774522463</v>
      </c>
      <c r="KS10" s="33" t="n">
        <v>9344.146679112178</v>
      </c>
      <c r="KT10" s="33" t="n">
        <v>9360.658710624812</v>
      </c>
      <c r="KU10" s="33" t="n">
        <v>9377.199920530513</v>
      </c>
      <c r="KV10" s="33" t="n">
        <v>9393.770360390381</v>
      </c>
      <c r="KW10" s="33" t="n">
        <v>9410.370081856649</v>
      </c>
      <c r="KX10" s="33" t="n">
        <v>9426.999136672805</v>
      </c>
      <c r="KY10" s="33" t="n">
        <v>9443.657576673777</v>
      </c>
      <c r="KZ10" s="33" t="n">
        <v>9460.3454537861</v>
      </c>
      <c r="LA10" s="33" t="n">
        <v>9477.062820028057</v>
      </c>
      <c r="LB10" s="33" t="n">
        <v>9493.809727509864</v>
      </c>
      <c r="LC10" s="33" t="n">
        <v>9510.586228433805</v>
      </c>
      <c r="LD10" s="33" t="n">
        <v>9527.392375094423</v>
      </c>
      <c r="LE10" s="33" t="n">
        <v>9544.228219878671</v>
      </c>
      <c r="LF10" s="33" t="n">
        <v>9561.093815266067</v>
      </c>
      <c r="LG10" s="33" t="n">
        <v>9577.989213828871</v>
      </c>
      <c r="LH10" s="33" t="n">
        <v>9594.91446823224</v>
      </c>
      <c r="LI10" s="33" t="n">
        <v>9611.869631234402</v>
      </c>
      <c r="LJ10" s="33" t="n">
        <v>9628.854755686811</v>
      </c>
      <c r="LK10" s="33" t="n">
        <v>9645.869894534304</v>
      </c>
      <c r="LL10" s="33" t="n">
        <v>9662.915100815297</v>
      </c>
      <c r="LM10" s="33" t="n">
        <v>9679.990427661907</v>
      </c>
      <c r="LN10" s="33" t="n">
        <v>9697.095928300167</v>
      </c>
      <c r="LO10" s="33" t="n">
        <v>9714.231656050142</v>
      </c>
      <c r="LP10" s="33" t="n">
        <v>9731.397664326134</v>
      </c>
      <c r="LQ10" s="33" t="n">
        <v>9748.59400663682</v>
      </c>
      <c r="LR10" s="33" t="n">
        <v>9765.820736585449</v>
      </c>
      <c r="LS10" s="33" t="n">
        <v>9783.077907869982</v>
      </c>
      <c r="LT10" s="33" t="n">
        <v>9800.365574283267</v>
      </c>
      <c r="LU10" s="33" t="n">
        <v>9817.68378971321</v>
      </c>
      <c r="LV10" s="33" t="n">
        <v>9835.032608142954</v>
      </c>
      <c r="LW10" s="33" t="n">
        <v>9852.412083651019</v>
      </c>
      <c r="LX10" s="33" t="n">
        <v>9869.822270411503</v>
      </c>
      <c r="LY10" s="33" t="n">
        <v>9887.263222694221</v>
      </c>
      <c r="LZ10" s="33" t="n">
        <v>9904.734994864893</v>
      </c>
      <c r="MA10" s="33" t="n">
        <v>9922.237641385314</v>
      </c>
      <c r="MB10" s="33" t="n">
        <v>9939.771216813517</v>
      </c>
      <c r="MC10" s="33" t="n">
        <v>9957.335775803933</v>
      </c>
      <c r="MD10" s="33" t="n">
        <v>9974.931373107587</v>
      </c>
      <c r="ME10" s="33" t="n">
        <v>9992.558063572249</v>
      </c>
      <c r="MF10" s="33" t="n">
        <v>10010.21590214261</v>
      </c>
      <c r="MG10" s="33" t="n">
        <v>10027.90494386044</v>
      </c>
      <c r="MH10" s="33" t="n">
        <v>10045.62524386481</v>
      </c>
      <c r="MI10" s="33" t="n">
        <v>10063.3768573922</v>
      </c>
      <c r="MJ10" s="33" t="n">
        <v>10081.15983977669</v>
      </c>
      <c r="MK10" s="33" t="n">
        <v>10098.97424645016</v>
      </c>
      <c r="ML10" s="33" t="n">
        <v>10116.82013294244</v>
      </c>
      <c r="MM10" s="33" t="n">
        <v>10134.69755488148</v>
      </c>
      <c r="MN10" s="33" t="n">
        <v>10152.60656799354</v>
      </c>
      <c r="MO10" s="33" t="n">
        <v>10170.54722810334</v>
      </c>
      <c r="MP10" s="33" t="n">
        <v>10188.51959113425</v>
      </c>
      <c r="MQ10" s="33" t="n">
        <v>10206.52371310849</v>
      </c>
      <c r="MR10" s="33" t="n">
        <v>10224.55965014723</v>
      </c>
      <c r="MS10" s="33" t="n">
        <v>10242.62745847086</v>
      </c>
      <c r="MT10" s="33" t="n">
        <v>10260.72719439907</v>
      </c>
      <c r="MU10" s="33" t="n">
        <v>10278.85891435111</v>
      </c>
      <c r="MV10" s="33" t="n">
        <v>10297.02267484591</v>
      </c>
      <c r="MW10" s="33" t="n">
        <v>10315.21853250227</v>
      </c>
      <c r="MX10" s="33" t="n">
        <v>10333.44654403907</v>
      </c>
      <c r="MY10" s="33" t="n">
        <v>10351.70676627538</v>
      </c>
      <c r="MZ10" s="33" t="n">
        <v>10369.9992561307</v>
      </c>
      <c r="NA10" s="33" t="n">
        <v>10388.3240706251</v>
      </c>
      <c r="NB10" s="33" t="n">
        <v>10406.68126687941</v>
      </c>
      <c r="NC10" s="33" t="n">
        <v>10425.07090211542</v>
      </c>
      <c r="ND10" s="33" t="n">
        <v>10443.49303365601</v>
      </c>
      <c r="NE10" s="33" t="n">
        <v>10461.94771892536</v>
      </c>
      <c r="NF10" s="33" t="n">
        <v>10480.43501544914</v>
      </c>
      <c r="NG10" s="33" t="n">
        <v>10498.95498085465</v>
      </c>
      <c r="NH10" s="33" t="n">
        <v>10517.50767287104</v>
      </c>
      <c r="NI10" s="33" t="n">
        <v>10536.09314932948</v>
      </c>
      <c r="NJ10" s="33" t="n">
        <v>10554.7114681633</v>
      </c>
      <c r="NK10" s="33" t="n">
        <v>10573.36268740825</v>
      </c>
      <c r="NL10" s="33" t="n">
        <v>10592.04686520259</v>
      </c>
      <c r="NM10" s="33" t="n">
        <v>10610.76405978736</v>
      </c>
      <c r="NN10" s="33" t="n">
        <v>10629.51432950647</v>
      </c>
      <c r="NO10" s="33" t="n">
        <v>10648.29773280697</v>
      </c>
      <c r="NP10" s="33" t="n">
        <v>10667.11432823917</v>
      </c>
      <c r="NQ10" s="33" t="n">
        <v>10685.96417445685</v>
      </c>
      <c r="NR10" s="33" t="n">
        <v>10704.84733021744</v>
      </c>
      <c r="NS10" s="33" t="n">
        <v>10723.7638543822</v>
      </c>
      <c r="NT10" s="33" t="n">
        <v>10742.71380591639</v>
      </c>
      <c r="NU10" s="33" t="n">
        <v>10761.6972438895</v>
      </c>
      <c r="NV10" s="33" t="n">
        <v>10780.71422747535</v>
      </c>
      <c r="NW10" s="33" t="n">
        <v>10799.76481595238</v>
      </c>
      <c r="NX10" s="33" t="n">
        <v>10818.84906870374</v>
      </c>
      <c r="NY10" s="33" t="n">
        <v>10837.96704521755</v>
      </c>
      <c r="NZ10" s="33" t="n">
        <v>10857.11880508702</v>
      </c>
      <c r="OA10" s="33" t="n">
        <v>10876.3044080107</v>
      </c>
      <c r="OB10" s="33" t="n">
        <v>10895.52391379259</v>
      </c>
      <c r="OC10" s="33" t="n">
        <v>10914.77738234241</v>
      </c>
      <c r="OD10" s="33" t="n">
        <v>10934.06487367572</v>
      </c>
      <c r="OE10" s="33" t="n">
        <v>10953.38644791416</v>
      </c>
      <c r="OF10" s="33" t="n">
        <v>10972.74216528558</v>
      </c>
      <c r="OG10" s="33" t="n">
        <v>10992.13208612428</v>
      </c>
      <c r="OH10" s="33" t="n">
        <v>11011.55627087116</v>
      </c>
      <c r="OI10" s="33" t="n">
        <v>11031.01478007396</v>
      </c>
      <c r="OJ10" s="33" t="n">
        <v>11050.50767438736</v>
      </c>
      <c r="OK10" s="33" t="n">
        <v>11070.03501457327</v>
      </c>
      <c r="OL10" s="33" t="n">
        <v>11089.59686150095</v>
      </c>
      <c r="OM10" s="33" t="n">
        <v>11109.19327614722</v>
      </c>
      <c r="ON10" s="33" t="n">
        <v>11128.82431959667</v>
      </c>
      <c r="OO10" s="33" t="n">
        <v>11148.49005304182</v>
      </c>
      <c r="OP10" s="33" t="n">
        <v>11168.1905377833</v>
      </c>
      <c r="OQ10" s="33" t="n">
        <v>11187.92583523012</v>
      </c>
      <c r="OR10" s="33" t="n">
        <v>11207.69600689976</v>
      </c>
      <c r="OS10" s="33" t="n">
        <v>11227.50111441841</v>
      </c>
      <c r="OT10" s="33" t="n">
        <v>11247.3412195212</v>
      </c>
      <c r="OU10" s="33" t="n">
        <v>11267.21638405229</v>
      </c>
      <c r="OV10" s="33" t="n">
        <v>11287.12666996518</v>
      </c>
      <c r="OW10" s="33" t="n">
        <v>11307.07213932283</v>
      </c>
      <c r="OX10" s="33" t="n">
        <v>11327.05285429784</v>
      </c>
      <c r="OY10" s="33" t="n">
        <v>11347.06887717273</v>
      </c>
      <c r="OZ10" s="33" t="n">
        <v>11367.12027034004</v>
      </c>
      <c r="PA10" s="33" t="n">
        <v>11387.20709630257</v>
      </c>
      <c r="PB10" s="33" t="n">
        <v>11407.32941767359</v>
      </c>
      <c r="PC10" s="33" t="n">
        <v>11427.48729717698</v>
      </c>
      <c r="PD10" s="33" t="n">
        <v>11447.6807976475</v>
      </c>
      <c r="PE10" s="33" t="n">
        <v>11467.9099820309</v>
      </c>
      <c r="PF10" s="33" t="n">
        <v>11488.17491338419</v>
      </c>
      <c r="PG10" s="33" t="n">
        <v>11508.47565487581</v>
      </c>
      <c r="PH10" s="33" t="n">
        <v>11528.81226978581</v>
      </c>
      <c r="PI10" s="33" t="n">
        <v>11549.18482150607</v>
      </c>
      <c r="PJ10" s="33" t="n">
        <v>11569.59337354049</v>
      </c>
      <c r="PK10" s="33" t="n">
        <v>11590.03798950519</v>
      </c>
      <c r="PL10" s="33" t="n">
        <v>11610.51873312869</v>
      </c>
      <c r="PM10" s="33" t="n">
        <v>11631.03566825215</v>
      </c>
      <c r="PN10" s="33" t="n">
        <v>11651.58885882952</v>
      </c>
      <c r="PO10" s="33" t="n">
        <v>11672.17836892779</v>
      </c>
      <c r="PP10" s="33" t="n">
        <v>11692.80426272712</v>
      </c>
      <c r="PQ10" s="33" t="n">
        <v>11713.46660452113</v>
      </c>
      <c r="PR10" s="33" t="n">
        <v>11734.16545871703</v>
      </c>
      <c r="PS10" s="33" t="n">
        <v>11754.90088983584</v>
      </c>
      <c r="PT10" s="33" t="n">
        <v>11775.6729625126</v>
      </c>
      <c r="PU10" s="33" t="n">
        <v>11796.48174149657</v>
      </c>
      <c r="PV10" s="33" t="n">
        <v>11817.32729165143</v>
      </c>
      <c r="PW10" s="33" t="n">
        <v>11838.20967795547</v>
      </c>
      <c r="PX10" s="33" t="n">
        <v>11859.12896550181</v>
      </c>
      <c r="PY10" s="33" t="n">
        <v>11880.0852194986</v>
      </c>
      <c r="PZ10" s="33" t="n">
        <v>11901.07850526921</v>
      </c>
      <c r="QA10" s="33" t="n">
        <v>11922.10888825245</v>
      </c>
      <c r="QB10" s="33" t="n">
        <v>11943.17643400277</v>
      </c>
      <c r="QC10" s="33" t="n">
        <v>11964.28120819044</v>
      </c>
      <c r="QD10" s="33" t="n">
        <v>11985.42327660181</v>
      </c>
      <c r="QE10" s="33" t="n">
        <v>12006.60270513945</v>
      </c>
      <c r="QF10" s="33" t="n">
        <v>12027.8195598224</v>
      </c>
      <c r="QG10" s="33" t="n">
        <v>12049.07390678637</v>
      </c>
      <c r="QH10" s="33" t="n">
        <v>12070.36581228391</v>
      </c>
      <c r="QI10" s="33" t="n">
        <v>12091.69534268469</v>
      </c>
      <c r="QJ10" s="33" t="n">
        <v>12113.06256447562</v>
      </c>
      <c r="QK10" s="33" t="n">
        <v>12134.46754426111</v>
      </c>
      <c r="QL10" s="33" t="n">
        <v>12155.91034876329</v>
      </c>
      <c r="QM10" s="33" t="n">
        <v>0</v>
      </c>
      <c r="QN10" s="33" t="n">
        <v>0</v>
      </c>
      <c r="QO10" s="33" t="n">
        <v>0</v>
      </c>
      <c r="QP10" s="33" t="n">
        <v>0</v>
      </c>
      <c r="QQ10" s="33" t="n">
        <v>0</v>
      </c>
      <c r="QR10" s="33" t="n">
        <v>0</v>
      </c>
      <c r="QS10" s="33" t="n">
        <v>0</v>
      </c>
      <c r="QT10" s="33" t="n">
        <v>0</v>
      </c>
      <c r="QU10" s="33" t="n">
        <v>0</v>
      </c>
      <c r="QV10" s="33" t="n">
        <v>0</v>
      </c>
      <c r="QW10" s="33" t="n">
        <v>0</v>
      </c>
      <c r="QX10" s="33" t="n">
        <v>0</v>
      </c>
      <c r="QY10" s="33" t="n">
        <v>0</v>
      </c>
      <c r="QZ10" s="33" t="n">
        <v>0</v>
      </c>
      <c r="RA10" s="33" t="n">
        <v>0</v>
      </c>
      <c r="RB10" s="33" t="n">
        <v>0</v>
      </c>
      <c r="RC10" s="33" t="n">
        <v>0</v>
      </c>
      <c r="RD10" s="33" t="n">
        <v>0</v>
      </c>
      <c r="RE10" s="33" t="n">
        <v>0</v>
      </c>
      <c r="RF10" s="33" t="n">
        <v>0</v>
      </c>
      <c r="RG10" s="33" t="n">
        <v>0</v>
      </c>
      <c r="RH10" s="33" t="n">
        <v>0</v>
      </c>
      <c r="RI10" s="33" t="n">
        <v>0</v>
      </c>
      <c r="RJ10" s="33" t="n">
        <v>0</v>
      </c>
      <c r="RK10" s="33" t="n">
        <v>0</v>
      </c>
      <c r="RL10" s="33" t="n">
        <v>0</v>
      </c>
      <c r="RM10" s="33" t="n">
        <v>0</v>
      </c>
      <c r="RN10" s="33" t="n">
        <v>0</v>
      </c>
      <c r="RO10" s="33" t="n">
        <v>0</v>
      </c>
      <c r="RP10" s="33" t="n">
        <v>0</v>
      </c>
      <c r="RQ10" s="33" t="n">
        <v>0</v>
      </c>
      <c r="RR10" s="33" t="n">
        <v>0</v>
      </c>
      <c r="RS10" s="33" t="n">
        <v>0</v>
      </c>
      <c r="RT10" s="33" t="n">
        <v>0</v>
      </c>
      <c r="RU10" s="33" t="n">
        <v>0</v>
      </c>
      <c r="RV10" s="33" t="n">
        <v>0</v>
      </c>
      <c r="RW10" s="33" t="n">
        <v>0</v>
      </c>
    </row>
    <row r="11" hidden="1" outlineLevel="1" ht="13.05" customHeight="1">
      <c r="E11" s="21" t="inlineStr">
        <is>
          <t>PPA Contracted Volume</t>
        </is>
      </c>
      <c r="F11" s="29" t="n"/>
      <c r="G11" s="29" t="inlineStr">
        <is>
          <t>MWh</t>
        </is>
      </c>
      <c r="H11" s="29" t="n"/>
      <c r="I11" s="29" t="n"/>
      <c r="J11" s="32" t="n">
        <v>0</v>
      </c>
      <c r="K11" s="29" t="n"/>
      <c r="L11" s="33" t="n">
        <v>0</v>
      </c>
      <c r="M11" s="33" t="n">
        <v>0</v>
      </c>
      <c r="N11" s="33" t="n">
        <v>0</v>
      </c>
      <c r="O11" s="33" t="n">
        <v>0</v>
      </c>
      <c r="P11" s="33" t="n">
        <v>0</v>
      </c>
      <c r="Q11" s="33" t="n">
        <v>0</v>
      </c>
      <c r="R11" s="33" t="n">
        <v>0</v>
      </c>
      <c r="S11" s="33" t="n">
        <v>0</v>
      </c>
      <c r="T11" s="33" t="n">
        <v>0</v>
      </c>
      <c r="U11" s="33" t="n">
        <v>0</v>
      </c>
      <c r="V11" s="33" t="n">
        <v>0</v>
      </c>
      <c r="W11" s="33" t="n">
        <v>0</v>
      </c>
      <c r="X11" s="33" t="n">
        <v>0</v>
      </c>
      <c r="Y11" s="33" t="n">
        <v>0</v>
      </c>
      <c r="Z11" s="33" t="n">
        <v>0</v>
      </c>
      <c r="AA11" s="33" t="n">
        <v>0</v>
      </c>
      <c r="AB11" s="33" t="n">
        <v>0</v>
      </c>
      <c r="AC11" s="33" t="n">
        <v>0</v>
      </c>
      <c r="AD11" s="33" t="n">
        <v>0</v>
      </c>
      <c r="AE11" s="33" t="n">
        <v>0</v>
      </c>
      <c r="AF11" s="33" t="n">
        <v>0</v>
      </c>
      <c r="AG11" s="33" t="n">
        <v>0</v>
      </c>
      <c r="AH11" s="33" t="n">
        <v>0</v>
      </c>
      <c r="AI11" s="33" t="n">
        <v>0</v>
      </c>
      <c r="AJ11" s="33" t="n">
        <v>0</v>
      </c>
      <c r="AK11" s="33" t="n">
        <v>0</v>
      </c>
      <c r="AL11" s="33" t="n">
        <v>0</v>
      </c>
      <c r="AM11" s="33" t="n">
        <v>0</v>
      </c>
      <c r="AN11" s="33" t="n">
        <v>0</v>
      </c>
      <c r="AO11" s="33" t="n">
        <v>0</v>
      </c>
      <c r="AP11" s="33" t="n">
        <v>0</v>
      </c>
      <c r="AQ11" s="33" t="n">
        <v>0</v>
      </c>
      <c r="AR11" s="33" t="n">
        <v>0</v>
      </c>
      <c r="AS11" s="33" t="n">
        <v>0</v>
      </c>
      <c r="AT11" s="33" t="n">
        <v>0</v>
      </c>
      <c r="AU11" s="33" t="n">
        <v>0</v>
      </c>
      <c r="AV11" s="33" t="n">
        <v>0</v>
      </c>
      <c r="AW11" s="33" t="n">
        <v>0</v>
      </c>
      <c r="AX11" s="33" t="n">
        <v>0</v>
      </c>
      <c r="AY11" s="33" t="n">
        <v>0</v>
      </c>
      <c r="AZ11" s="33" t="n">
        <v>0</v>
      </c>
      <c r="BA11" s="33" t="n">
        <v>0</v>
      </c>
      <c r="BB11" s="33" t="n">
        <v>0</v>
      </c>
      <c r="BC11" s="33" t="n">
        <v>0</v>
      </c>
      <c r="BD11" s="33" t="n">
        <v>0</v>
      </c>
      <c r="BE11" s="33" t="n">
        <v>0</v>
      </c>
      <c r="BF11" s="33" t="n">
        <v>0</v>
      </c>
      <c r="BG11" s="33" t="n">
        <v>0</v>
      </c>
      <c r="BH11" s="33" t="n">
        <v>0</v>
      </c>
      <c r="BI11" s="33" t="n">
        <v>0</v>
      </c>
      <c r="BJ11" s="33" t="n">
        <v>0</v>
      </c>
      <c r="BK11" s="33" t="n">
        <v>0</v>
      </c>
      <c r="BL11" s="33" t="n">
        <v>0</v>
      </c>
      <c r="BM11" s="33" t="n">
        <v>0</v>
      </c>
      <c r="BN11" s="33" t="n">
        <v>0</v>
      </c>
      <c r="BO11" s="33" t="n">
        <v>0</v>
      </c>
      <c r="BP11" s="33" t="n">
        <v>0</v>
      </c>
      <c r="BQ11" s="33" t="n">
        <v>0</v>
      </c>
      <c r="BR11" s="33" t="n">
        <v>0</v>
      </c>
      <c r="BS11" s="33" t="n">
        <v>0</v>
      </c>
      <c r="BT11" s="33" t="n">
        <v>0</v>
      </c>
      <c r="BU11" s="33" t="n">
        <v>0</v>
      </c>
      <c r="BV11" s="33" t="n">
        <v>0</v>
      </c>
      <c r="BW11" s="33" t="n">
        <v>0</v>
      </c>
      <c r="BX11" s="33" t="n">
        <v>0</v>
      </c>
      <c r="BY11" s="33" t="n">
        <v>0</v>
      </c>
      <c r="BZ11" s="33" t="n">
        <v>0</v>
      </c>
      <c r="CA11" s="33" t="n">
        <v>0</v>
      </c>
      <c r="CB11" s="33" t="n">
        <v>0</v>
      </c>
      <c r="CC11" s="33" t="n">
        <v>0</v>
      </c>
      <c r="CD11" s="33" t="n">
        <v>0</v>
      </c>
      <c r="CE11" s="33" t="n">
        <v>0</v>
      </c>
      <c r="CF11" s="33" t="n">
        <v>0</v>
      </c>
      <c r="CG11" s="33" t="n">
        <v>0</v>
      </c>
      <c r="CH11" s="33" t="n">
        <v>0</v>
      </c>
      <c r="CI11" s="33" t="n">
        <v>0</v>
      </c>
      <c r="CJ11" s="33" t="n">
        <v>0</v>
      </c>
      <c r="CK11" s="33" t="n">
        <v>0</v>
      </c>
      <c r="CL11" s="33" t="n">
        <v>0</v>
      </c>
      <c r="CM11" s="33" t="n">
        <v>0</v>
      </c>
      <c r="CN11" s="33" t="n">
        <v>0</v>
      </c>
      <c r="CO11" s="33" t="n">
        <v>0</v>
      </c>
      <c r="CP11" s="33" t="n">
        <v>0</v>
      </c>
      <c r="CQ11" s="33" t="n">
        <v>0</v>
      </c>
      <c r="CR11" s="33" t="n">
        <v>0</v>
      </c>
      <c r="CS11" s="33" t="n">
        <v>0</v>
      </c>
      <c r="CT11" s="33" t="n">
        <v>0</v>
      </c>
      <c r="CU11" s="33" t="n">
        <v>0</v>
      </c>
      <c r="CV11" s="33" t="n">
        <v>0</v>
      </c>
      <c r="CW11" s="33" t="n">
        <v>0</v>
      </c>
      <c r="CX11" s="33" t="n">
        <v>0</v>
      </c>
      <c r="CY11" s="33" t="n">
        <v>0</v>
      </c>
      <c r="CZ11" s="33" t="n">
        <v>0</v>
      </c>
      <c r="DA11" s="33" t="n">
        <v>0</v>
      </c>
      <c r="DB11" s="33" t="n">
        <v>0</v>
      </c>
      <c r="DC11" s="33" t="n">
        <v>0</v>
      </c>
      <c r="DD11" s="33" t="n">
        <v>0</v>
      </c>
      <c r="DE11" s="33" t="n">
        <v>0</v>
      </c>
      <c r="DF11" s="33" t="n">
        <v>0</v>
      </c>
      <c r="DG11" s="33" t="n">
        <v>0</v>
      </c>
      <c r="DH11" s="33" t="n">
        <v>0</v>
      </c>
      <c r="DI11" s="33" t="n">
        <v>0</v>
      </c>
      <c r="DJ11" s="33" t="n">
        <v>0</v>
      </c>
      <c r="DK11" s="33" t="n">
        <v>0</v>
      </c>
      <c r="DL11" s="33" t="n">
        <v>0</v>
      </c>
      <c r="DM11" s="33" t="n">
        <v>0</v>
      </c>
      <c r="DN11" s="33" t="n">
        <v>0</v>
      </c>
      <c r="DO11" s="33" t="n">
        <v>0</v>
      </c>
      <c r="DP11" s="33" t="n">
        <v>0</v>
      </c>
      <c r="DQ11" s="33" t="n">
        <v>0</v>
      </c>
      <c r="DR11" s="33" t="n">
        <v>0</v>
      </c>
      <c r="DS11" s="33" t="n">
        <v>0</v>
      </c>
      <c r="DT11" s="33" t="n">
        <v>0</v>
      </c>
      <c r="DU11" s="33" t="n">
        <v>0</v>
      </c>
      <c r="DV11" s="33" t="n">
        <v>0</v>
      </c>
      <c r="DW11" s="33" t="n">
        <v>0</v>
      </c>
      <c r="DX11" s="33" t="n">
        <v>0</v>
      </c>
      <c r="DY11" s="33" t="n">
        <v>0</v>
      </c>
      <c r="DZ11" s="33" t="n">
        <v>0</v>
      </c>
      <c r="EA11" s="33" t="n">
        <v>0</v>
      </c>
      <c r="EB11" s="33" t="n">
        <v>0</v>
      </c>
      <c r="EC11" s="33" t="n">
        <v>0</v>
      </c>
      <c r="ED11" s="33" t="n">
        <v>0</v>
      </c>
      <c r="EE11" s="33" t="n">
        <v>0</v>
      </c>
      <c r="EF11" s="33" t="n">
        <v>0</v>
      </c>
      <c r="EG11" s="33" t="n">
        <v>0</v>
      </c>
      <c r="EH11" s="33" t="n">
        <v>0</v>
      </c>
      <c r="EI11" s="33" t="n">
        <v>0</v>
      </c>
      <c r="EJ11" s="33" t="n">
        <v>0</v>
      </c>
      <c r="EK11" s="33" t="n">
        <v>0</v>
      </c>
      <c r="EL11" s="33" t="n">
        <v>0</v>
      </c>
      <c r="EM11" s="33" t="n">
        <v>0</v>
      </c>
      <c r="EN11" s="33" t="n">
        <v>0</v>
      </c>
      <c r="EO11" s="33" t="n">
        <v>0</v>
      </c>
      <c r="EP11" s="33" t="n">
        <v>0</v>
      </c>
      <c r="EQ11" s="33" t="n">
        <v>0</v>
      </c>
      <c r="ER11" s="33" t="n">
        <v>0</v>
      </c>
      <c r="ES11" s="33" t="n">
        <v>0</v>
      </c>
      <c r="ET11" s="33" t="n">
        <v>0</v>
      </c>
      <c r="EU11" s="33" t="n">
        <v>0</v>
      </c>
      <c r="EV11" s="33" t="n">
        <v>0</v>
      </c>
      <c r="EW11" s="33" t="n">
        <v>0</v>
      </c>
      <c r="EX11" s="33" t="n">
        <v>0</v>
      </c>
      <c r="EY11" s="33" t="n">
        <v>0</v>
      </c>
      <c r="EZ11" s="33" t="n">
        <v>0</v>
      </c>
      <c r="FA11" s="33" t="n">
        <v>0</v>
      </c>
      <c r="FB11" s="33" t="n">
        <v>0</v>
      </c>
      <c r="FC11" s="33" t="n">
        <v>0</v>
      </c>
      <c r="FD11" s="33" t="n">
        <v>0</v>
      </c>
      <c r="FE11" s="33" t="n">
        <v>0</v>
      </c>
      <c r="FF11" s="33" t="n">
        <v>0</v>
      </c>
      <c r="FG11" s="33" t="n">
        <v>0</v>
      </c>
      <c r="FH11" s="33" t="n">
        <v>0</v>
      </c>
      <c r="FI11" s="33" t="n">
        <v>0</v>
      </c>
      <c r="FJ11" s="33" t="n">
        <v>0</v>
      </c>
      <c r="FK11" s="33" t="n">
        <v>0</v>
      </c>
      <c r="FL11" s="33" t="n">
        <v>0</v>
      </c>
      <c r="FM11" s="33" t="n">
        <v>0</v>
      </c>
      <c r="FN11" s="33" t="n">
        <v>0</v>
      </c>
      <c r="FO11" s="33" t="n">
        <v>0</v>
      </c>
      <c r="FP11" s="33" t="n">
        <v>0</v>
      </c>
      <c r="FQ11" s="33" t="n">
        <v>0</v>
      </c>
      <c r="FR11" s="33" t="n">
        <v>0</v>
      </c>
      <c r="FS11" s="33" t="n">
        <v>0</v>
      </c>
      <c r="FT11" s="33" t="n">
        <v>0</v>
      </c>
      <c r="FU11" s="33" t="n">
        <v>0</v>
      </c>
      <c r="FV11" s="33" t="n">
        <v>0</v>
      </c>
      <c r="FW11" s="33" t="n">
        <v>0</v>
      </c>
      <c r="FX11" s="33" t="n">
        <v>0</v>
      </c>
      <c r="FY11" s="33" t="n">
        <v>0</v>
      </c>
      <c r="FZ11" s="33" t="n">
        <v>0</v>
      </c>
      <c r="GA11" s="33" t="n">
        <v>0</v>
      </c>
      <c r="GB11" s="33" t="n">
        <v>0</v>
      </c>
      <c r="GC11" s="33" t="n">
        <v>0</v>
      </c>
      <c r="GD11" s="33" t="n">
        <v>0</v>
      </c>
      <c r="GE11" s="33" t="n">
        <v>0</v>
      </c>
      <c r="GF11" s="33" t="n">
        <v>0</v>
      </c>
      <c r="GG11" s="33" t="n">
        <v>0</v>
      </c>
      <c r="GH11" s="33" t="n">
        <v>0</v>
      </c>
      <c r="GI11" s="33" t="n">
        <v>0</v>
      </c>
      <c r="GJ11" s="33" t="n">
        <v>0</v>
      </c>
      <c r="GK11" s="33" t="n">
        <v>0</v>
      </c>
      <c r="GL11" s="33" t="n">
        <v>0</v>
      </c>
      <c r="GM11" s="33" t="n">
        <v>0</v>
      </c>
      <c r="GN11" s="33" t="n">
        <v>0</v>
      </c>
      <c r="GO11" s="33" t="n">
        <v>0</v>
      </c>
      <c r="GP11" s="33" t="n">
        <v>0</v>
      </c>
      <c r="GQ11" s="33" t="n">
        <v>0</v>
      </c>
      <c r="GR11" s="33" t="n">
        <v>0</v>
      </c>
      <c r="GS11" s="33" t="n">
        <v>0</v>
      </c>
      <c r="GT11" s="33" t="n">
        <v>0</v>
      </c>
      <c r="GU11" s="33" t="n">
        <v>0</v>
      </c>
      <c r="GV11" s="33" t="n">
        <v>0</v>
      </c>
      <c r="GW11" s="33" t="n">
        <v>0</v>
      </c>
      <c r="GX11" s="33" t="n">
        <v>0</v>
      </c>
      <c r="GY11" s="33" t="n">
        <v>0</v>
      </c>
      <c r="GZ11" s="33" t="n">
        <v>0</v>
      </c>
      <c r="HA11" s="33" t="n">
        <v>0</v>
      </c>
      <c r="HB11" s="33" t="n">
        <v>0</v>
      </c>
      <c r="HC11" s="33" t="n">
        <v>0</v>
      </c>
      <c r="HD11" s="33" t="n">
        <v>0</v>
      </c>
      <c r="HE11" s="33" t="n">
        <v>0</v>
      </c>
      <c r="HF11" s="33" t="n">
        <v>0</v>
      </c>
      <c r="HG11" s="33" t="n">
        <v>0</v>
      </c>
      <c r="HH11" s="33" t="n">
        <v>0</v>
      </c>
      <c r="HI11" s="33" t="n">
        <v>0</v>
      </c>
      <c r="HJ11" s="33" t="n">
        <v>0</v>
      </c>
      <c r="HK11" s="33" t="n">
        <v>0</v>
      </c>
      <c r="HL11" s="33" t="n">
        <v>0</v>
      </c>
      <c r="HM11" s="33" t="n">
        <v>0</v>
      </c>
      <c r="HN11" s="33" t="n">
        <v>0</v>
      </c>
      <c r="HO11" s="33" t="n">
        <v>0</v>
      </c>
      <c r="HP11" s="33" t="n">
        <v>0</v>
      </c>
      <c r="HQ11" s="33" t="n">
        <v>0</v>
      </c>
      <c r="HR11" s="33" t="n">
        <v>0</v>
      </c>
      <c r="HS11" s="33" t="n">
        <v>0</v>
      </c>
      <c r="HT11" s="33" t="n">
        <v>0</v>
      </c>
      <c r="HU11" s="33" t="n">
        <v>0</v>
      </c>
      <c r="HV11" s="33" t="n">
        <v>0</v>
      </c>
      <c r="HW11" s="33" t="n">
        <v>0</v>
      </c>
      <c r="HX11" s="33" t="n">
        <v>0</v>
      </c>
      <c r="HY11" s="33" t="n">
        <v>0</v>
      </c>
      <c r="HZ11" s="33" t="n">
        <v>0</v>
      </c>
      <c r="IA11" s="33" t="n">
        <v>0</v>
      </c>
      <c r="IB11" s="33" t="n">
        <v>0</v>
      </c>
      <c r="IC11" s="33" t="n">
        <v>0</v>
      </c>
      <c r="ID11" s="33" t="n">
        <v>0</v>
      </c>
      <c r="IE11" s="33" t="n">
        <v>0</v>
      </c>
      <c r="IF11" s="33" t="n">
        <v>0</v>
      </c>
      <c r="IG11" s="33" t="n">
        <v>0</v>
      </c>
      <c r="IH11" s="33" t="n">
        <v>0</v>
      </c>
      <c r="II11" s="33" t="n">
        <v>0</v>
      </c>
      <c r="IJ11" s="33" t="n">
        <v>0</v>
      </c>
      <c r="IK11" s="33" t="n">
        <v>0</v>
      </c>
      <c r="IL11" s="33" t="n">
        <v>0</v>
      </c>
      <c r="IM11" s="33" t="n">
        <v>0</v>
      </c>
      <c r="IN11" s="33" t="n">
        <v>0</v>
      </c>
      <c r="IO11" s="33" t="n">
        <v>0</v>
      </c>
      <c r="IP11" s="33" t="n">
        <v>0</v>
      </c>
      <c r="IQ11" s="33" t="n">
        <v>0</v>
      </c>
      <c r="IR11" s="33" t="n">
        <v>0</v>
      </c>
      <c r="IS11" s="33" t="n">
        <v>0</v>
      </c>
      <c r="IT11" s="33" t="n">
        <v>0</v>
      </c>
      <c r="IU11" s="33" t="n">
        <v>0</v>
      </c>
      <c r="IV11" s="33" t="n">
        <v>0</v>
      </c>
      <c r="IW11" s="33" t="n">
        <v>0</v>
      </c>
      <c r="IX11" s="33" t="n">
        <v>0</v>
      </c>
      <c r="IY11" s="33" t="n">
        <v>0</v>
      </c>
      <c r="IZ11" s="33" t="n">
        <v>0</v>
      </c>
      <c r="JA11" s="33" t="n">
        <v>0</v>
      </c>
      <c r="JB11" s="33" t="n">
        <v>0</v>
      </c>
      <c r="JC11" s="33" t="n">
        <v>0</v>
      </c>
      <c r="JD11" s="33" t="n">
        <v>0</v>
      </c>
      <c r="JE11" s="33" t="n">
        <v>0</v>
      </c>
      <c r="JF11" s="33" t="n">
        <v>0</v>
      </c>
      <c r="JG11" s="33" t="n">
        <v>0</v>
      </c>
      <c r="JH11" s="33" t="n">
        <v>0</v>
      </c>
      <c r="JI11" s="33" t="n">
        <v>0</v>
      </c>
      <c r="JJ11" s="33" t="n">
        <v>0</v>
      </c>
      <c r="JK11" s="33" t="n">
        <v>0</v>
      </c>
      <c r="JL11" s="33" t="n">
        <v>0</v>
      </c>
      <c r="JM11" s="33" t="n">
        <v>0</v>
      </c>
      <c r="JN11" s="33" t="n">
        <v>0</v>
      </c>
      <c r="JO11" s="33" t="n">
        <v>0</v>
      </c>
      <c r="JP11" s="33" t="n">
        <v>0</v>
      </c>
      <c r="JQ11" s="33" t="n">
        <v>0</v>
      </c>
      <c r="JR11" s="33" t="n">
        <v>0</v>
      </c>
      <c r="JS11" s="33" t="n">
        <v>0</v>
      </c>
      <c r="JT11" s="33" t="n">
        <v>0</v>
      </c>
      <c r="JU11" s="33" t="n">
        <v>0</v>
      </c>
      <c r="JV11" s="33" t="n">
        <v>0</v>
      </c>
      <c r="JW11" s="33" t="n">
        <v>0</v>
      </c>
      <c r="JX11" s="33" t="n">
        <v>0</v>
      </c>
      <c r="JY11" s="33" t="n">
        <v>0</v>
      </c>
      <c r="JZ11" s="33" t="n">
        <v>0</v>
      </c>
      <c r="KA11" s="33" t="n">
        <v>0</v>
      </c>
      <c r="KB11" s="33" t="n">
        <v>0</v>
      </c>
      <c r="KC11" s="33" t="n">
        <v>0</v>
      </c>
      <c r="KD11" s="33" t="n">
        <v>0</v>
      </c>
      <c r="KE11" s="33" t="n">
        <v>0</v>
      </c>
      <c r="KF11" s="33" t="n">
        <v>0</v>
      </c>
      <c r="KG11" s="33" t="n">
        <v>0</v>
      </c>
      <c r="KH11" s="33" t="n">
        <v>0</v>
      </c>
      <c r="KI11" s="33" t="n">
        <v>0</v>
      </c>
      <c r="KJ11" s="33" t="n">
        <v>0</v>
      </c>
      <c r="KK11" s="33" t="n">
        <v>0</v>
      </c>
      <c r="KL11" s="33" t="n">
        <v>0</v>
      </c>
      <c r="KM11" s="33" t="n">
        <v>0</v>
      </c>
      <c r="KN11" s="33" t="n">
        <v>0</v>
      </c>
      <c r="KO11" s="33" t="n">
        <v>0</v>
      </c>
      <c r="KP11" s="33" t="n">
        <v>0</v>
      </c>
      <c r="KQ11" s="33" t="n">
        <v>0</v>
      </c>
      <c r="KR11" s="33" t="n">
        <v>0</v>
      </c>
      <c r="KS11" s="33" t="n">
        <v>0</v>
      </c>
      <c r="KT11" s="33" t="n">
        <v>0</v>
      </c>
      <c r="KU11" s="33" t="n">
        <v>0</v>
      </c>
      <c r="KV11" s="33" t="n">
        <v>0</v>
      </c>
      <c r="KW11" s="33" t="n">
        <v>0</v>
      </c>
      <c r="KX11" s="33" t="n">
        <v>0</v>
      </c>
      <c r="KY11" s="33" t="n">
        <v>0</v>
      </c>
      <c r="KZ11" s="33" t="n">
        <v>0</v>
      </c>
      <c r="LA11" s="33" t="n">
        <v>0</v>
      </c>
      <c r="LB11" s="33" t="n">
        <v>0</v>
      </c>
      <c r="LC11" s="33" t="n">
        <v>0</v>
      </c>
      <c r="LD11" s="33" t="n">
        <v>0</v>
      </c>
      <c r="LE11" s="33" t="n">
        <v>0</v>
      </c>
      <c r="LF11" s="33" t="n">
        <v>0</v>
      </c>
      <c r="LG11" s="33" t="n">
        <v>0</v>
      </c>
      <c r="LH11" s="33" t="n">
        <v>0</v>
      </c>
      <c r="LI11" s="33" t="n">
        <v>0</v>
      </c>
      <c r="LJ11" s="33" t="n">
        <v>0</v>
      </c>
      <c r="LK11" s="33" t="n">
        <v>0</v>
      </c>
      <c r="LL11" s="33" t="n">
        <v>0</v>
      </c>
      <c r="LM11" s="33" t="n">
        <v>0</v>
      </c>
      <c r="LN11" s="33" t="n">
        <v>0</v>
      </c>
      <c r="LO11" s="33" t="n">
        <v>0</v>
      </c>
      <c r="LP11" s="33" t="n">
        <v>0</v>
      </c>
      <c r="LQ11" s="33" t="n">
        <v>0</v>
      </c>
      <c r="LR11" s="33" t="n">
        <v>0</v>
      </c>
      <c r="LS11" s="33" t="n">
        <v>0</v>
      </c>
      <c r="LT11" s="33" t="n">
        <v>0</v>
      </c>
      <c r="LU11" s="33" t="n">
        <v>0</v>
      </c>
      <c r="LV11" s="33" t="n">
        <v>0</v>
      </c>
      <c r="LW11" s="33" t="n">
        <v>0</v>
      </c>
      <c r="LX11" s="33" t="n">
        <v>0</v>
      </c>
      <c r="LY11" s="33" t="n">
        <v>0</v>
      </c>
      <c r="LZ11" s="33" t="n">
        <v>0</v>
      </c>
      <c r="MA11" s="33" t="n">
        <v>0</v>
      </c>
      <c r="MB11" s="33" t="n">
        <v>0</v>
      </c>
      <c r="MC11" s="33" t="n">
        <v>0</v>
      </c>
      <c r="MD11" s="33" t="n">
        <v>0</v>
      </c>
      <c r="ME11" s="33" t="n">
        <v>0</v>
      </c>
      <c r="MF11" s="33" t="n">
        <v>0</v>
      </c>
      <c r="MG11" s="33" t="n">
        <v>0</v>
      </c>
      <c r="MH11" s="33" t="n">
        <v>0</v>
      </c>
      <c r="MI11" s="33" t="n">
        <v>0</v>
      </c>
      <c r="MJ11" s="33" t="n">
        <v>0</v>
      </c>
      <c r="MK11" s="33" t="n">
        <v>0</v>
      </c>
      <c r="ML11" s="33" t="n">
        <v>0</v>
      </c>
      <c r="MM11" s="33" t="n">
        <v>0</v>
      </c>
      <c r="MN11" s="33" t="n">
        <v>0</v>
      </c>
      <c r="MO11" s="33" t="n">
        <v>0</v>
      </c>
      <c r="MP11" s="33" t="n">
        <v>0</v>
      </c>
      <c r="MQ11" s="33" t="n">
        <v>0</v>
      </c>
      <c r="MR11" s="33" t="n">
        <v>0</v>
      </c>
      <c r="MS11" s="33" t="n">
        <v>0</v>
      </c>
      <c r="MT11" s="33" t="n">
        <v>0</v>
      </c>
      <c r="MU11" s="33" t="n">
        <v>0</v>
      </c>
      <c r="MV11" s="33" t="n">
        <v>0</v>
      </c>
      <c r="MW11" s="33" t="n">
        <v>0</v>
      </c>
      <c r="MX11" s="33" t="n">
        <v>0</v>
      </c>
      <c r="MY11" s="33" t="n">
        <v>0</v>
      </c>
      <c r="MZ11" s="33" t="n">
        <v>0</v>
      </c>
      <c r="NA11" s="33" t="n">
        <v>0</v>
      </c>
      <c r="NB11" s="33" t="n">
        <v>0</v>
      </c>
      <c r="NC11" s="33" t="n">
        <v>0</v>
      </c>
      <c r="ND11" s="33" t="n">
        <v>0</v>
      </c>
      <c r="NE11" s="33" t="n">
        <v>0</v>
      </c>
      <c r="NF11" s="33" t="n">
        <v>0</v>
      </c>
      <c r="NG11" s="33" t="n">
        <v>0</v>
      </c>
      <c r="NH11" s="33" t="n">
        <v>0</v>
      </c>
      <c r="NI11" s="33" t="n">
        <v>0</v>
      </c>
      <c r="NJ11" s="33" t="n">
        <v>0</v>
      </c>
      <c r="NK11" s="33" t="n">
        <v>0</v>
      </c>
      <c r="NL11" s="33" t="n">
        <v>0</v>
      </c>
      <c r="NM11" s="33" t="n">
        <v>0</v>
      </c>
      <c r="NN11" s="33" t="n">
        <v>0</v>
      </c>
      <c r="NO11" s="33" t="n">
        <v>0</v>
      </c>
      <c r="NP11" s="33" t="n">
        <v>0</v>
      </c>
      <c r="NQ11" s="33" t="n">
        <v>0</v>
      </c>
      <c r="NR11" s="33" t="n">
        <v>0</v>
      </c>
      <c r="NS11" s="33" t="n">
        <v>0</v>
      </c>
      <c r="NT11" s="33" t="n">
        <v>0</v>
      </c>
      <c r="NU11" s="33" t="n">
        <v>0</v>
      </c>
      <c r="NV11" s="33" t="n">
        <v>0</v>
      </c>
      <c r="NW11" s="33" t="n">
        <v>0</v>
      </c>
      <c r="NX11" s="33" t="n">
        <v>0</v>
      </c>
      <c r="NY11" s="33" t="n">
        <v>0</v>
      </c>
      <c r="NZ11" s="33" t="n">
        <v>0</v>
      </c>
      <c r="OA11" s="33" t="n">
        <v>0</v>
      </c>
      <c r="OB11" s="33" t="n">
        <v>0</v>
      </c>
      <c r="OC11" s="33" t="n">
        <v>0</v>
      </c>
      <c r="OD11" s="33" t="n">
        <v>0</v>
      </c>
      <c r="OE11" s="33" t="n">
        <v>0</v>
      </c>
      <c r="OF11" s="33" t="n">
        <v>0</v>
      </c>
      <c r="OG11" s="33" t="n">
        <v>0</v>
      </c>
      <c r="OH11" s="33" t="n">
        <v>0</v>
      </c>
      <c r="OI11" s="33" t="n">
        <v>0</v>
      </c>
      <c r="OJ11" s="33" t="n">
        <v>0</v>
      </c>
      <c r="OK11" s="33" t="n">
        <v>0</v>
      </c>
      <c r="OL11" s="33" t="n">
        <v>0</v>
      </c>
      <c r="OM11" s="33" t="n">
        <v>0</v>
      </c>
      <c r="ON11" s="33" t="n">
        <v>0</v>
      </c>
      <c r="OO11" s="33" t="n">
        <v>0</v>
      </c>
      <c r="OP11" s="33" t="n">
        <v>0</v>
      </c>
      <c r="OQ11" s="33" t="n">
        <v>0</v>
      </c>
      <c r="OR11" s="33" t="n">
        <v>0</v>
      </c>
      <c r="OS11" s="33" t="n">
        <v>0</v>
      </c>
      <c r="OT11" s="33" t="n">
        <v>0</v>
      </c>
      <c r="OU11" s="33" t="n">
        <v>0</v>
      </c>
      <c r="OV11" s="33" t="n">
        <v>0</v>
      </c>
      <c r="OW11" s="33" t="n">
        <v>0</v>
      </c>
      <c r="OX11" s="33" t="n">
        <v>0</v>
      </c>
      <c r="OY11" s="33" t="n">
        <v>0</v>
      </c>
      <c r="OZ11" s="33" t="n">
        <v>0</v>
      </c>
      <c r="PA11" s="33" t="n">
        <v>0</v>
      </c>
      <c r="PB11" s="33" t="n">
        <v>0</v>
      </c>
      <c r="PC11" s="33" t="n">
        <v>0</v>
      </c>
      <c r="PD11" s="33" t="n">
        <v>0</v>
      </c>
      <c r="PE11" s="33" t="n">
        <v>0</v>
      </c>
      <c r="PF11" s="33" t="n">
        <v>0</v>
      </c>
      <c r="PG11" s="33" t="n">
        <v>0</v>
      </c>
      <c r="PH11" s="33" t="n">
        <v>0</v>
      </c>
      <c r="PI11" s="33" t="n">
        <v>0</v>
      </c>
      <c r="PJ11" s="33" t="n">
        <v>0</v>
      </c>
      <c r="PK11" s="33" t="n">
        <v>0</v>
      </c>
      <c r="PL11" s="33" t="n">
        <v>0</v>
      </c>
      <c r="PM11" s="33" t="n">
        <v>0</v>
      </c>
      <c r="PN11" s="33" t="n">
        <v>0</v>
      </c>
      <c r="PO11" s="33" t="n">
        <v>0</v>
      </c>
      <c r="PP11" s="33" t="n">
        <v>0</v>
      </c>
      <c r="PQ11" s="33" t="n">
        <v>0</v>
      </c>
      <c r="PR11" s="33" t="n">
        <v>0</v>
      </c>
      <c r="PS11" s="33" t="n">
        <v>0</v>
      </c>
      <c r="PT11" s="33" t="n">
        <v>0</v>
      </c>
      <c r="PU11" s="33" t="n">
        <v>0</v>
      </c>
      <c r="PV11" s="33" t="n">
        <v>0</v>
      </c>
      <c r="PW11" s="33" t="n">
        <v>0</v>
      </c>
      <c r="PX11" s="33" t="n">
        <v>0</v>
      </c>
      <c r="PY11" s="33" t="n">
        <v>0</v>
      </c>
      <c r="PZ11" s="33" t="n">
        <v>0</v>
      </c>
      <c r="QA11" s="33" t="n">
        <v>0</v>
      </c>
      <c r="QB11" s="33" t="n">
        <v>0</v>
      </c>
      <c r="QC11" s="33" t="n">
        <v>0</v>
      </c>
      <c r="QD11" s="33" t="n">
        <v>0</v>
      </c>
      <c r="QE11" s="33" t="n">
        <v>0</v>
      </c>
      <c r="QF11" s="33" t="n">
        <v>0</v>
      </c>
      <c r="QG11" s="33" t="n">
        <v>0</v>
      </c>
      <c r="QH11" s="33" t="n">
        <v>0</v>
      </c>
      <c r="QI11" s="33" t="n">
        <v>0</v>
      </c>
      <c r="QJ11" s="33" t="n">
        <v>0</v>
      </c>
      <c r="QK11" s="33" t="n">
        <v>0</v>
      </c>
      <c r="QL11" s="33" t="n">
        <v>0</v>
      </c>
      <c r="QM11" s="33" t="n">
        <v>0</v>
      </c>
      <c r="QN11" s="33" t="n">
        <v>0</v>
      </c>
      <c r="QO11" s="33" t="n">
        <v>0</v>
      </c>
      <c r="QP11" s="33" t="n">
        <v>0</v>
      </c>
      <c r="QQ11" s="33" t="n">
        <v>0</v>
      </c>
      <c r="QR11" s="33" t="n">
        <v>0</v>
      </c>
      <c r="QS11" s="33" t="n">
        <v>0</v>
      </c>
      <c r="QT11" s="33" t="n">
        <v>0</v>
      </c>
      <c r="QU11" s="33" t="n">
        <v>0</v>
      </c>
      <c r="QV11" s="33" t="n">
        <v>0</v>
      </c>
      <c r="QW11" s="33" t="n">
        <v>0</v>
      </c>
      <c r="QX11" s="33" t="n">
        <v>0</v>
      </c>
      <c r="QY11" s="33" t="n">
        <v>0</v>
      </c>
      <c r="QZ11" s="33" t="n">
        <v>0</v>
      </c>
      <c r="RA11" s="33" t="n">
        <v>0</v>
      </c>
      <c r="RB11" s="33" t="n">
        <v>0</v>
      </c>
      <c r="RC11" s="33" t="n">
        <v>0</v>
      </c>
      <c r="RD11" s="33" t="n">
        <v>0</v>
      </c>
      <c r="RE11" s="33" t="n">
        <v>0</v>
      </c>
      <c r="RF11" s="33" t="n">
        <v>0</v>
      </c>
      <c r="RG11" s="33" t="n">
        <v>0</v>
      </c>
      <c r="RH11" s="33" t="n">
        <v>0</v>
      </c>
      <c r="RI11" s="33" t="n">
        <v>0</v>
      </c>
      <c r="RJ11" s="33" t="n">
        <v>0</v>
      </c>
      <c r="RK11" s="33" t="n">
        <v>0</v>
      </c>
      <c r="RL11" s="33" t="n">
        <v>0</v>
      </c>
      <c r="RM11" s="33" t="n">
        <v>0</v>
      </c>
      <c r="RN11" s="33" t="n">
        <v>0</v>
      </c>
      <c r="RO11" s="33" t="n">
        <v>0</v>
      </c>
      <c r="RP11" s="33" t="n">
        <v>0</v>
      </c>
      <c r="RQ11" s="33" t="n">
        <v>0</v>
      </c>
      <c r="RR11" s="33" t="n">
        <v>0</v>
      </c>
      <c r="RS11" s="33" t="n">
        <v>0</v>
      </c>
      <c r="RT11" s="33" t="n">
        <v>0</v>
      </c>
      <c r="RU11" s="33" t="n">
        <v>0</v>
      </c>
      <c r="RV11" s="33" t="n">
        <v>0</v>
      </c>
      <c r="RW11" s="33" t="n">
        <v>0</v>
      </c>
    </row>
    <row r="12" hidden="1" outlineLevel="1" ht="13.05" customHeight="1">
      <c r="E12" s="21" t="inlineStr">
        <is>
          <t>PPA Fixed Payment</t>
        </is>
      </c>
      <c r="F12" s="29" t="n"/>
      <c r="G12" s="29" t="inlineStr">
        <is>
          <t>kEUR</t>
        </is>
      </c>
      <c r="H12" s="29" t="n"/>
      <c r="I12" s="29" t="n"/>
      <c r="J12" s="32" t="n">
        <v>0</v>
      </c>
      <c r="K12" s="29" t="n"/>
      <c r="L12" s="33" t="n">
        <v>0</v>
      </c>
      <c r="M12" s="33" t="n">
        <v>0</v>
      </c>
      <c r="N12" s="33" t="n">
        <v>0</v>
      </c>
      <c r="O12" s="33" t="n">
        <v>0</v>
      </c>
      <c r="P12" s="33" t="n">
        <v>0</v>
      </c>
      <c r="Q12" s="33" t="n">
        <v>0</v>
      </c>
      <c r="R12" s="33" t="n">
        <v>0</v>
      </c>
      <c r="S12" s="33" t="n">
        <v>0</v>
      </c>
      <c r="T12" s="33" t="n">
        <v>0</v>
      </c>
      <c r="U12" s="33" t="n">
        <v>0</v>
      </c>
      <c r="V12" s="33" t="n">
        <v>0</v>
      </c>
      <c r="W12" s="33" t="n">
        <v>0</v>
      </c>
      <c r="X12" s="33" t="n">
        <v>0</v>
      </c>
      <c r="Y12" s="33" t="n">
        <v>0</v>
      </c>
      <c r="Z12" s="33" t="n">
        <v>0</v>
      </c>
      <c r="AA12" s="33" t="n">
        <v>0</v>
      </c>
      <c r="AB12" s="33" t="n">
        <v>0</v>
      </c>
      <c r="AC12" s="33" t="n">
        <v>0</v>
      </c>
      <c r="AD12" s="33" t="n">
        <v>0</v>
      </c>
      <c r="AE12" s="33" t="n">
        <v>0</v>
      </c>
      <c r="AF12" s="33" t="n">
        <v>0</v>
      </c>
      <c r="AG12" s="33" t="n">
        <v>0</v>
      </c>
      <c r="AH12" s="33" t="n">
        <v>0</v>
      </c>
      <c r="AI12" s="33" t="n">
        <v>0</v>
      </c>
      <c r="AJ12" s="33" t="n">
        <v>0</v>
      </c>
      <c r="AK12" s="33" t="n">
        <v>0</v>
      </c>
      <c r="AL12" s="33" t="n">
        <v>0</v>
      </c>
      <c r="AM12" s="33" t="n">
        <v>0</v>
      </c>
      <c r="AN12" s="33" t="n">
        <v>0</v>
      </c>
      <c r="AO12" s="33" t="n">
        <v>0</v>
      </c>
      <c r="AP12" s="33" t="n">
        <v>0</v>
      </c>
      <c r="AQ12" s="33" t="n">
        <v>0</v>
      </c>
      <c r="AR12" s="33" t="n">
        <v>0</v>
      </c>
      <c r="AS12" s="33" t="n">
        <v>0</v>
      </c>
      <c r="AT12" s="33" t="n">
        <v>0</v>
      </c>
      <c r="AU12" s="33" t="n">
        <v>0</v>
      </c>
      <c r="AV12" s="33" t="n">
        <v>0</v>
      </c>
      <c r="AW12" s="33" t="n">
        <v>0</v>
      </c>
      <c r="AX12" s="33" t="n">
        <v>0</v>
      </c>
      <c r="AY12" s="33" t="n">
        <v>0</v>
      </c>
      <c r="AZ12" s="33" t="n">
        <v>0</v>
      </c>
      <c r="BA12" s="33" t="n">
        <v>0</v>
      </c>
      <c r="BB12" s="33" t="n">
        <v>0</v>
      </c>
      <c r="BC12" s="33" t="n">
        <v>0</v>
      </c>
      <c r="BD12" s="33" t="n">
        <v>0</v>
      </c>
      <c r="BE12" s="33" t="n">
        <v>0</v>
      </c>
      <c r="BF12" s="33" t="n">
        <v>0</v>
      </c>
      <c r="BG12" s="33" t="n">
        <v>0</v>
      </c>
      <c r="BH12" s="33" t="n">
        <v>0</v>
      </c>
      <c r="BI12" s="33" t="n">
        <v>0</v>
      </c>
      <c r="BJ12" s="33" t="n">
        <v>0</v>
      </c>
      <c r="BK12" s="33" t="n">
        <v>0</v>
      </c>
      <c r="BL12" s="33" t="n">
        <v>0</v>
      </c>
      <c r="BM12" s="33" t="n">
        <v>0</v>
      </c>
      <c r="BN12" s="33" t="n">
        <v>0</v>
      </c>
      <c r="BO12" s="33" t="n">
        <v>0</v>
      </c>
      <c r="BP12" s="33" t="n">
        <v>0</v>
      </c>
      <c r="BQ12" s="33" t="n">
        <v>0</v>
      </c>
      <c r="BR12" s="33" t="n">
        <v>0</v>
      </c>
      <c r="BS12" s="33" t="n">
        <v>0</v>
      </c>
      <c r="BT12" s="33" t="n">
        <v>0</v>
      </c>
      <c r="BU12" s="33" t="n">
        <v>0</v>
      </c>
      <c r="BV12" s="33" t="n">
        <v>0</v>
      </c>
      <c r="BW12" s="33" t="n">
        <v>0</v>
      </c>
      <c r="BX12" s="33" t="n">
        <v>0</v>
      </c>
      <c r="BY12" s="33" t="n">
        <v>0</v>
      </c>
      <c r="BZ12" s="33" t="n">
        <v>0</v>
      </c>
      <c r="CA12" s="33" t="n">
        <v>0</v>
      </c>
      <c r="CB12" s="33" t="n">
        <v>0</v>
      </c>
      <c r="CC12" s="33" t="n">
        <v>0</v>
      </c>
      <c r="CD12" s="33" t="n">
        <v>0</v>
      </c>
      <c r="CE12" s="33" t="n">
        <v>0</v>
      </c>
      <c r="CF12" s="33" t="n">
        <v>0</v>
      </c>
      <c r="CG12" s="33" t="n">
        <v>0</v>
      </c>
      <c r="CH12" s="33" t="n">
        <v>0</v>
      </c>
      <c r="CI12" s="33" t="n">
        <v>0</v>
      </c>
      <c r="CJ12" s="33" t="n">
        <v>0</v>
      </c>
      <c r="CK12" s="33" t="n">
        <v>0</v>
      </c>
      <c r="CL12" s="33" t="n">
        <v>0</v>
      </c>
      <c r="CM12" s="33" t="n">
        <v>0</v>
      </c>
      <c r="CN12" s="33" t="n">
        <v>0</v>
      </c>
      <c r="CO12" s="33" t="n">
        <v>0</v>
      </c>
      <c r="CP12" s="33" t="n">
        <v>0</v>
      </c>
      <c r="CQ12" s="33" t="n">
        <v>0</v>
      </c>
      <c r="CR12" s="33" t="n">
        <v>0</v>
      </c>
      <c r="CS12" s="33" t="n">
        <v>0</v>
      </c>
      <c r="CT12" s="33" t="n">
        <v>0</v>
      </c>
      <c r="CU12" s="33" t="n">
        <v>0</v>
      </c>
      <c r="CV12" s="33" t="n">
        <v>0</v>
      </c>
      <c r="CW12" s="33" t="n">
        <v>0</v>
      </c>
      <c r="CX12" s="33" t="n">
        <v>0</v>
      </c>
      <c r="CY12" s="33" t="n">
        <v>0</v>
      </c>
      <c r="CZ12" s="33" t="n">
        <v>0</v>
      </c>
      <c r="DA12" s="33" t="n">
        <v>0</v>
      </c>
      <c r="DB12" s="33" t="n">
        <v>0</v>
      </c>
      <c r="DC12" s="33" t="n">
        <v>0</v>
      </c>
      <c r="DD12" s="33" t="n">
        <v>0</v>
      </c>
      <c r="DE12" s="33" t="n">
        <v>0</v>
      </c>
      <c r="DF12" s="33" t="n">
        <v>0</v>
      </c>
      <c r="DG12" s="33" t="n">
        <v>0</v>
      </c>
      <c r="DH12" s="33" t="n">
        <v>0</v>
      </c>
      <c r="DI12" s="33" t="n">
        <v>0</v>
      </c>
      <c r="DJ12" s="33" t="n">
        <v>0</v>
      </c>
      <c r="DK12" s="33" t="n">
        <v>0</v>
      </c>
      <c r="DL12" s="33" t="n">
        <v>0</v>
      </c>
      <c r="DM12" s="33" t="n">
        <v>0</v>
      </c>
      <c r="DN12" s="33" t="n">
        <v>0</v>
      </c>
      <c r="DO12" s="33" t="n">
        <v>0</v>
      </c>
      <c r="DP12" s="33" t="n">
        <v>0</v>
      </c>
      <c r="DQ12" s="33" t="n">
        <v>0</v>
      </c>
      <c r="DR12" s="33" t="n">
        <v>0</v>
      </c>
      <c r="DS12" s="33" t="n">
        <v>0</v>
      </c>
      <c r="DT12" s="33" t="n">
        <v>0</v>
      </c>
      <c r="DU12" s="33" t="n">
        <v>0</v>
      </c>
      <c r="DV12" s="33" t="n">
        <v>0</v>
      </c>
      <c r="DW12" s="33" t="n">
        <v>0</v>
      </c>
      <c r="DX12" s="33" t="n">
        <v>0</v>
      </c>
      <c r="DY12" s="33" t="n">
        <v>0</v>
      </c>
      <c r="DZ12" s="33" t="n">
        <v>0</v>
      </c>
      <c r="EA12" s="33" t="n">
        <v>0</v>
      </c>
      <c r="EB12" s="33" t="n">
        <v>0</v>
      </c>
      <c r="EC12" s="33" t="n">
        <v>0</v>
      </c>
      <c r="ED12" s="33" t="n">
        <v>0</v>
      </c>
      <c r="EE12" s="33" t="n">
        <v>0</v>
      </c>
      <c r="EF12" s="33" t="n">
        <v>0</v>
      </c>
      <c r="EG12" s="33" t="n">
        <v>0</v>
      </c>
      <c r="EH12" s="33" t="n">
        <v>0</v>
      </c>
      <c r="EI12" s="33" t="n">
        <v>0</v>
      </c>
      <c r="EJ12" s="33" t="n">
        <v>0</v>
      </c>
      <c r="EK12" s="33" t="n">
        <v>0</v>
      </c>
      <c r="EL12" s="33" t="n">
        <v>0</v>
      </c>
      <c r="EM12" s="33" t="n">
        <v>0</v>
      </c>
      <c r="EN12" s="33" t="n">
        <v>0</v>
      </c>
      <c r="EO12" s="33" t="n">
        <v>0</v>
      </c>
      <c r="EP12" s="33" t="n">
        <v>0</v>
      </c>
      <c r="EQ12" s="33" t="n">
        <v>0</v>
      </c>
      <c r="ER12" s="33" t="n">
        <v>0</v>
      </c>
      <c r="ES12" s="33" t="n">
        <v>0</v>
      </c>
      <c r="ET12" s="33" t="n">
        <v>0</v>
      </c>
      <c r="EU12" s="33" t="n">
        <v>0</v>
      </c>
      <c r="EV12" s="33" t="n">
        <v>0</v>
      </c>
      <c r="EW12" s="33" t="n">
        <v>0</v>
      </c>
      <c r="EX12" s="33" t="n">
        <v>0</v>
      </c>
      <c r="EY12" s="33" t="n">
        <v>0</v>
      </c>
      <c r="EZ12" s="33" t="n">
        <v>0</v>
      </c>
      <c r="FA12" s="33" t="n">
        <v>0</v>
      </c>
      <c r="FB12" s="33" t="n">
        <v>0</v>
      </c>
      <c r="FC12" s="33" t="n">
        <v>0</v>
      </c>
      <c r="FD12" s="33" t="n">
        <v>0</v>
      </c>
      <c r="FE12" s="33" t="n">
        <v>0</v>
      </c>
      <c r="FF12" s="33" t="n">
        <v>0</v>
      </c>
      <c r="FG12" s="33" t="n">
        <v>0</v>
      </c>
      <c r="FH12" s="33" t="n">
        <v>0</v>
      </c>
      <c r="FI12" s="33" t="n">
        <v>0</v>
      </c>
      <c r="FJ12" s="33" t="n">
        <v>0</v>
      </c>
      <c r="FK12" s="33" t="n">
        <v>0</v>
      </c>
      <c r="FL12" s="33" t="n">
        <v>0</v>
      </c>
      <c r="FM12" s="33" t="n">
        <v>0</v>
      </c>
      <c r="FN12" s="33" t="n">
        <v>0</v>
      </c>
      <c r="FO12" s="33" t="n">
        <v>0</v>
      </c>
      <c r="FP12" s="33" t="n">
        <v>0</v>
      </c>
      <c r="FQ12" s="33" t="n">
        <v>0</v>
      </c>
      <c r="FR12" s="33" t="n">
        <v>0</v>
      </c>
      <c r="FS12" s="33" t="n">
        <v>0</v>
      </c>
      <c r="FT12" s="33" t="n">
        <v>0</v>
      </c>
      <c r="FU12" s="33" t="n">
        <v>0</v>
      </c>
      <c r="FV12" s="33" t="n">
        <v>0</v>
      </c>
      <c r="FW12" s="33" t="n">
        <v>0</v>
      </c>
      <c r="FX12" s="33" t="n">
        <v>0</v>
      </c>
      <c r="FY12" s="33" t="n">
        <v>0</v>
      </c>
      <c r="FZ12" s="33" t="n">
        <v>0</v>
      </c>
      <c r="GA12" s="33" t="n">
        <v>0</v>
      </c>
      <c r="GB12" s="33" t="n">
        <v>0</v>
      </c>
      <c r="GC12" s="33" t="n">
        <v>0</v>
      </c>
      <c r="GD12" s="33" t="n">
        <v>0</v>
      </c>
      <c r="GE12" s="33" t="n">
        <v>0</v>
      </c>
      <c r="GF12" s="33" t="n">
        <v>0</v>
      </c>
      <c r="GG12" s="33" t="n">
        <v>0</v>
      </c>
      <c r="GH12" s="33" t="n">
        <v>0</v>
      </c>
      <c r="GI12" s="33" t="n">
        <v>0</v>
      </c>
      <c r="GJ12" s="33" t="n">
        <v>0</v>
      </c>
      <c r="GK12" s="33" t="n">
        <v>0</v>
      </c>
      <c r="GL12" s="33" t="n">
        <v>0</v>
      </c>
      <c r="GM12" s="33" t="n">
        <v>0</v>
      </c>
      <c r="GN12" s="33" t="n">
        <v>0</v>
      </c>
      <c r="GO12" s="33" t="n">
        <v>0</v>
      </c>
      <c r="GP12" s="33" t="n">
        <v>0</v>
      </c>
      <c r="GQ12" s="33" t="n">
        <v>0</v>
      </c>
      <c r="GR12" s="33" t="n">
        <v>0</v>
      </c>
      <c r="GS12" s="33" t="n">
        <v>0</v>
      </c>
      <c r="GT12" s="33" t="n">
        <v>0</v>
      </c>
      <c r="GU12" s="33" t="n">
        <v>0</v>
      </c>
      <c r="GV12" s="33" t="n">
        <v>0</v>
      </c>
      <c r="GW12" s="33" t="n">
        <v>0</v>
      </c>
      <c r="GX12" s="33" t="n">
        <v>0</v>
      </c>
      <c r="GY12" s="33" t="n">
        <v>0</v>
      </c>
      <c r="GZ12" s="33" t="n">
        <v>0</v>
      </c>
      <c r="HA12" s="33" t="n">
        <v>0</v>
      </c>
      <c r="HB12" s="33" t="n">
        <v>0</v>
      </c>
      <c r="HC12" s="33" t="n">
        <v>0</v>
      </c>
      <c r="HD12" s="33" t="n">
        <v>0</v>
      </c>
      <c r="HE12" s="33" t="n">
        <v>0</v>
      </c>
      <c r="HF12" s="33" t="n">
        <v>0</v>
      </c>
      <c r="HG12" s="33" t="n">
        <v>0</v>
      </c>
      <c r="HH12" s="33" t="n">
        <v>0</v>
      </c>
      <c r="HI12" s="33" t="n">
        <v>0</v>
      </c>
      <c r="HJ12" s="33" t="n">
        <v>0</v>
      </c>
      <c r="HK12" s="33" t="n">
        <v>0</v>
      </c>
      <c r="HL12" s="33" t="n">
        <v>0</v>
      </c>
      <c r="HM12" s="33" t="n">
        <v>0</v>
      </c>
      <c r="HN12" s="33" t="n">
        <v>0</v>
      </c>
      <c r="HO12" s="33" t="n">
        <v>0</v>
      </c>
      <c r="HP12" s="33" t="n">
        <v>0</v>
      </c>
      <c r="HQ12" s="33" t="n">
        <v>0</v>
      </c>
      <c r="HR12" s="33" t="n">
        <v>0</v>
      </c>
      <c r="HS12" s="33" t="n">
        <v>0</v>
      </c>
      <c r="HT12" s="33" t="n">
        <v>0</v>
      </c>
      <c r="HU12" s="33" t="n">
        <v>0</v>
      </c>
      <c r="HV12" s="33" t="n">
        <v>0</v>
      </c>
      <c r="HW12" s="33" t="n">
        <v>0</v>
      </c>
      <c r="HX12" s="33" t="n">
        <v>0</v>
      </c>
      <c r="HY12" s="33" t="n">
        <v>0</v>
      </c>
      <c r="HZ12" s="33" t="n">
        <v>0</v>
      </c>
      <c r="IA12" s="33" t="n">
        <v>0</v>
      </c>
      <c r="IB12" s="33" t="n">
        <v>0</v>
      </c>
      <c r="IC12" s="33" t="n">
        <v>0</v>
      </c>
      <c r="ID12" s="33" t="n">
        <v>0</v>
      </c>
      <c r="IE12" s="33" t="n">
        <v>0</v>
      </c>
      <c r="IF12" s="33" t="n">
        <v>0</v>
      </c>
      <c r="IG12" s="33" t="n">
        <v>0</v>
      </c>
      <c r="IH12" s="33" t="n">
        <v>0</v>
      </c>
      <c r="II12" s="33" t="n">
        <v>0</v>
      </c>
      <c r="IJ12" s="33" t="n">
        <v>0</v>
      </c>
      <c r="IK12" s="33" t="n">
        <v>0</v>
      </c>
      <c r="IL12" s="33" t="n">
        <v>0</v>
      </c>
      <c r="IM12" s="33" t="n">
        <v>0</v>
      </c>
      <c r="IN12" s="33" t="n">
        <v>0</v>
      </c>
      <c r="IO12" s="33" t="n">
        <v>0</v>
      </c>
      <c r="IP12" s="33" t="n">
        <v>0</v>
      </c>
      <c r="IQ12" s="33" t="n">
        <v>0</v>
      </c>
      <c r="IR12" s="33" t="n">
        <v>0</v>
      </c>
      <c r="IS12" s="33" t="n">
        <v>0</v>
      </c>
      <c r="IT12" s="33" t="n">
        <v>0</v>
      </c>
      <c r="IU12" s="33" t="n">
        <v>0</v>
      </c>
      <c r="IV12" s="33" t="n">
        <v>0</v>
      </c>
      <c r="IW12" s="33" t="n">
        <v>0</v>
      </c>
      <c r="IX12" s="33" t="n">
        <v>0</v>
      </c>
      <c r="IY12" s="33" t="n">
        <v>0</v>
      </c>
      <c r="IZ12" s="33" t="n">
        <v>0</v>
      </c>
      <c r="JA12" s="33" t="n">
        <v>0</v>
      </c>
      <c r="JB12" s="33" t="n">
        <v>0</v>
      </c>
      <c r="JC12" s="33" t="n">
        <v>0</v>
      </c>
      <c r="JD12" s="33" t="n">
        <v>0</v>
      </c>
      <c r="JE12" s="33" t="n">
        <v>0</v>
      </c>
      <c r="JF12" s="33" t="n">
        <v>0</v>
      </c>
      <c r="JG12" s="33" t="n">
        <v>0</v>
      </c>
      <c r="JH12" s="33" t="n">
        <v>0</v>
      </c>
      <c r="JI12" s="33" t="n">
        <v>0</v>
      </c>
      <c r="JJ12" s="33" t="n">
        <v>0</v>
      </c>
      <c r="JK12" s="33" t="n">
        <v>0</v>
      </c>
      <c r="JL12" s="33" t="n">
        <v>0</v>
      </c>
      <c r="JM12" s="33" t="n">
        <v>0</v>
      </c>
      <c r="JN12" s="33" t="n">
        <v>0</v>
      </c>
      <c r="JO12" s="33" t="n">
        <v>0</v>
      </c>
      <c r="JP12" s="33" t="n">
        <v>0</v>
      </c>
      <c r="JQ12" s="33" t="n">
        <v>0</v>
      </c>
      <c r="JR12" s="33" t="n">
        <v>0</v>
      </c>
      <c r="JS12" s="33" t="n">
        <v>0</v>
      </c>
      <c r="JT12" s="33" t="n">
        <v>0</v>
      </c>
      <c r="JU12" s="33" t="n">
        <v>0</v>
      </c>
      <c r="JV12" s="33" t="n">
        <v>0</v>
      </c>
      <c r="JW12" s="33" t="n">
        <v>0</v>
      </c>
      <c r="JX12" s="33" t="n">
        <v>0</v>
      </c>
      <c r="JY12" s="33" t="n">
        <v>0</v>
      </c>
      <c r="JZ12" s="33" t="n">
        <v>0</v>
      </c>
      <c r="KA12" s="33" t="n">
        <v>0</v>
      </c>
      <c r="KB12" s="33" t="n">
        <v>0</v>
      </c>
      <c r="KC12" s="33" t="n">
        <v>0</v>
      </c>
      <c r="KD12" s="33" t="n">
        <v>0</v>
      </c>
      <c r="KE12" s="33" t="n">
        <v>0</v>
      </c>
      <c r="KF12" s="33" t="n">
        <v>0</v>
      </c>
      <c r="KG12" s="33" t="n">
        <v>0</v>
      </c>
      <c r="KH12" s="33" t="n">
        <v>0</v>
      </c>
      <c r="KI12" s="33" t="n">
        <v>0</v>
      </c>
      <c r="KJ12" s="33" t="n">
        <v>0</v>
      </c>
      <c r="KK12" s="33" t="n">
        <v>0</v>
      </c>
      <c r="KL12" s="33" t="n">
        <v>0</v>
      </c>
      <c r="KM12" s="33" t="n">
        <v>0</v>
      </c>
      <c r="KN12" s="33" t="n">
        <v>0</v>
      </c>
      <c r="KO12" s="33" t="n">
        <v>0</v>
      </c>
      <c r="KP12" s="33" t="n">
        <v>0</v>
      </c>
      <c r="KQ12" s="33" t="n">
        <v>0</v>
      </c>
      <c r="KR12" s="33" t="n">
        <v>0</v>
      </c>
      <c r="KS12" s="33" t="n">
        <v>0</v>
      </c>
      <c r="KT12" s="33" t="n">
        <v>0</v>
      </c>
      <c r="KU12" s="33" t="n">
        <v>0</v>
      </c>
      <c r="KV12" s="33" t="n">
        <v>0</v>
      </c>
      <c r="KW12" s="33" t="n">
        <v>0</v>
      </c>
      <c r="KX12" s="33" t="n">
        <v>0</v>
      </c>
      <c r="KY12" s="33" t="n">
        <v>0</v>
      </c>
      <c r="KZ12" s="33" t="n">
        <v>0</v>
      </c>
      <c r="LA12" s="33" t="n">
        <v>0</v>
      </c>
      <c r="LB12" s="33" t="n">
        <v>0</v>
      </c>
      <c r="LC12" s="33" t="n">
        <v>0</v>
      </c>
      <c r="LD12" s="33" t="n">
        <v>0</v>
      </c>
      <c r="LE12" s="33" t="n">
        <v>0</v>
      </c>
      <c r="LF12" s="33" t="n">
        <v>0</v>
      </c>
      <c r="LG12" s="33" t="n">
        <v>0</v>
      </c>
      <c r="LH12" s="33" t="n">
        <v>0</v>
      </c>
      <c r="LI12" s="33" t="n">
        <v>0</v>
      </c>
      <c r="LJ12" s="33" t="n">
        <v>0</v>
      </c>
      <c r="LK12" s="33" t="n">
        <v>0</v>
      </c>
      <c r="LL12" s="33" t="n">
        <v>0</v>
      </c>
      <c r="LM12" s="33" t="n">
        <v>0</v>
      </c>
      <c r="LN12" s="33" t="n">
        <v>0</v>
      </c>
      <c r="LO12" s="33" t="n">
        <v>0</v>
      </c>
      <c r="LP12" s="33" t="n">
        <v>0</v>
      </c>
      <c r="LQ12" s="33" t="n">
        <v>0</v>
      </c>
      <c r="LR12" s="33" t="n">
        <v>0</v>
      </c>
      <c r="LS12" s="33" t="n">
        <v>0</v>
      </c>
      <c r="LT12" s="33" t="n">
        <v>0</v>
      </c>
      <c r="LU12" s="33" t="n">
        <v>0</v>
      </c>
      <c r="LV12" s="33" t="n">
        <v>0</v>
      </c>
      <c r="LW12" s="33" t="n">
        <v>0</v>
      </c>
      <c r="LX12" s="33" t="n">
        <v>0</v>
      </c>
      <c r="LY12" s="33" t="n">
        <v>0</v>
      </c>
      <c r="LZ12" s="33" t="n">
        <v>0</v>
      </c>
      <c r="MA12" s="33" t="n">
        <v>0</v>
      </c>
      <c r="MB12" s="33" t="n">
        <v>0</v>
      </c>
      <c r="MC12" s="33" t="n">
        <v>0</v>
      </c>
      <c r="MD12" s="33" t="n">
        <v>0</v>
      </c>
      <c r="ME12" s="33" t="n">
        <v>0</v>
      </c>
      <c r="MF12" s="33" t="n">
        <v>0</v>
      </c>
      <c r="MG12" s="33" t="n">
        <v>0</v>
      </c>
      <c r="MH12" s="33" t="n">
        <v>0</v>
      </c>
      <c r="MI12" s="33" t="n">
        <v>0</v>
      </c>
      <c r="MJ12" s="33" t="n">
        <v>0</v>
      </c>
      <c r="MK12" s="33" t="n">
        <v>0</v>
      </c>
      <c r="ML12" s="33" t="n">
        <v>0</v>
      </c>
      <c r="MM12" s="33" t="n">
        <v>0</v>
      </c>
      <c r="MN12" s="33" t="n">
        <v>0</v>
      </c>
      <c r="MO12" s="33" t="n">
        <v>0</v>
      </c>
      <c r="MP12" s="33" t="n">
        <v>0</v>
      </c>
      <c r="MQ12" s="33" t="n">
        <v>0</v>
      </c>
      <c r="MR12" s="33" t="n">
        <v>0</v>
      </c>
      <c r="MS12" s="33" t="n">
        <v>0</v>
      </c>
      <c r="MT12" s="33" t="n">
        <v>0</v>
      </c>
      <c r="MU12" s="33" t="n">
        <v>0</v>
      </c>
      <c r="MV12" s="33" t="n">
        <v>0</v>
      </c>
      <c r="MW12" s="33" t="n">
        <v>0</v>
      </c>
      <c r="MX12" s="33" t="n">
        <v>0</v>
      </c>
      <c r="MY12" s="33" t="n">
        <v>0</v>
      </c>
      <c r="MZ12" s="33" t="n">
        <v>0</v>
      </c>
      <c r="NA12" s="33" t="n">
        <v>0</v>
      </c>
      <c r="NB12" s="33" t="n">
        <v>0</v>
      </c>
      <c r="NC12" s="33" t="n">
        <v>0</v>
      </c>
      <c r="ND12" s="33" t="n">
        <v>0</v>
      </c>
      <c r="NE12" s="33" t="n">
        <v>0</v>
      </c>
      <c r="NF12" s="33" t="n">
        <v>0</v>
      </c>
      <c r="NG12" s="33" t="n">
        <v>0</v>
      </c>
      <c r="NH12" s="33" t="n">
        <v>0</v>
      </c>
      <c r="NI12" s="33" t="n">
        <v>0</v>
      </c>
      <c r="NJ12" s="33" t="n">
        <v>0</v>
      </c>
      <c r="NK12" s="33" t="n">
        <v>0</v>
      </c>
      <c r="NL12" s="33" t="n">
        <v>0</v>
      </c>
      <c r="NM12" s="33" t="n">
        <v>0</v>
      </c>
      <c r="NN12" s="33" t="n">
        <v>0</v>
      </c>
      <c r="NO12" s="33" t="n">
        <v>0</v>
      </c>
      <c r="NP12" s="33" t="n">
        <v>0</v>
      </c>
      <c r="NQ12" s="33" t="n">
        <v>0</v>
      </c>
      <c r="NR12" s="33" t="n">
        <v>0</v>
      </c>
      <c r="NS12" s="33" t="n">
        <v>0</v>
      </c>
      <c r="NT12" s="33" t="n">
        <v>0</v>
      </c>
      <c r="NU12" s="33" t="n">
        <v>0</v>
      </c>
      <c r="NV12" s="33" t="n">
        <v>0</v>
      </c>
      <c r="NW12" s="33" t="n">
        <v>0</v>
      </c>
      <c r="NX12" s="33" t="n">
        <v>0</v>
      </c>
      <c r="NY12" s="33" t="n">
        <v>0</v>
      </c>
      <c r="NZ12" s="33" t="n">
        <v>0</v>
      </c>
      <c r="OA12" s="33" t="n">
        <v>0</v>
      </c>
      <c r="OB12" s="33" t="n">
        <v>0</v>
      </c>
      <c r="OC12" s="33" t="n">
        <v>0</v>
      </c>
      <c r="OD12" s="33" t="n">
        <v>0</v>
      </c>
      <c r="OE12" s="33" t="n">
        <v>0</v>
      </c>
      <c r="OF12" s="33" t="n">
        <v>0</v>
      </c>
      <c r="OG12" s="33" t="n">
        <v>0</v>
      </c>
      <c r="OH12" s="33" t="n">
        <v>0</v>
      </c>
      <c r="OI12" s="33" t="n">
        <v>0</v>
      </c>
      <c r="OJ12" s="33" t="n">
        <v>0</v>
      </c>
      <c r="OK12" s="33" t="n">
        <v>0</v>
      </c>
      <c r="OL12" s="33" t="n">
        <v>0</v>
      </c>
      <c r="OM12" s="33" t="n">
        <v>0</v>
      </c>
      <c r="ON12" s="33" t="n">
        <v>0</v>
      </c>
      <c r="OO12" s="33" t="n">
        <v>0</v>
      </c>
      <c r="OP12" s="33" t="n">
        <v>0</v>
      </c>
      <c r="OQ12" s="33" t="n">
        <v>0</v>
      </c>
      <c r="OR12" s="33" t="n">
        <v>0</v>
      </c>
      <c r="OS12" s="33" t="n">
        <v>0</v>
      </c>
      <c r="OT12" s="33" t="n">
        <v>0</v>
      </c>
      <c r="OU12" s="33" t="n">
        <v>0</v>
      </c>
      <c r="OV12" s="33" t="n">
        <v>0</v>
      </c>
      <c r="OW12" s="33" t="n">
        <v>0</v>
      </c>
      <c r="OX12" s="33" t="n">
        <v>0</v>
      </c>
      <c r="OY12" s="33" t="n">
        <v>0</v>
      </c>
      <c r="OZ12" s="33" t="n">
        <v>0</v>
      </c>
      <c r="PA12" s="33" t="n">
        <v>0</v>
      </c>
      <c r="PB12" s="33" t="n">
        <v>0</v>
      </c>
      <c r="PC12" s="33" t="n">
        <v>0</v>
      </c>
      <c r="PD12" s="33" t="n">
        <v>0</v>
      </c>
      <c r="PE12" s="33" t="n">
        <v>0</v>
      </c>
      <c r="PF12" s="33" t="n">
        <v>0</v>
      </c>
      <c r="PG12" s="33" t="n">
        <v>0</v>
      </c>
      <c r="PH12" s="33" t="n">
        <v>0</v>
      </c>
      <c r="PI12" s="33" t="n">
        <v>0</v>
      </c>
      <c r="PJ12" s="33" t="n">
        <v>0</v>
      </c>
      <c r="PK12" s="33" t="n">
        <v>0</v>
      </c>
      <c r="PL12" s="33" t="n">
        <v>0</v>
      </c>
      <c r="PM12" s="33" t="n">
        <v>0</v>
      </c>
      <c r="PN12" s="33" t="n">
        <v>0</v>
      </c>
      <c r="PO12" s="33" t="n">
        <v>0</v>
      </c>
      <c r="PP12" s="33" t="n">
        <v>0</v>
      </c>
      <c r="PQ12" s="33" t="n">
        <v>0</v>
      </c>
      <c r="PR12" s="33" t="n">
        <v>0</v>
      </c>
      <c r="PS12" s="33" t="n">
        <v>0</v>
      </c>
      <c r="PT12" s="33" t="n">
        <v>0</v>
      </c>
      <c r="PU12" s="33" t="n">
        <v>0</v>
      </c>
      <c r="PV12" s="33" t="n">
        <v>0</v>
      </c>
      <c r="PW12" s="33" t="n">
        <v>0</v>
      </c>
      <c r="PX12" s="33" t="n">
        <v>0</v>
      </c>
      <c r="PY12" s="33" t="n">
        <v>0</v>
      </c>
      <c r="PZ12" s="33" t="n">
        <v>0</v>
      </c>
      <c r="QA12" s="33" t="n">
        <v>0</v>
      </c>
      <c r="QB12" s="33" t="n">
        <v>0</v>
      </c>
      <c r="QC12" s="33" t="n">
        <v>0</v>
      </c>
      <c r="QD12" s="33" t="n">
        <v>0</v>
      </c>
      <c r="QE12" s="33" t="n">
        <v>0</v>
      </c>
      <c r="QF12" s="33" t="n">
        <v>0</v>
      </c>
      <c r="QG12" s="33" t="n">
        <v>0</v>
      </c>
      <c r="QH12" s="33" t="n">
        <v>0</v>
      </c>
      <c r="QI12" s="33" t="n">
        <v>0</v>
      </c>
      <c r="QJ12" s="33" t="n">
        <v>0</v>
      </c>
      <c r="QK12" s="33" t="n">
        <v>0</v>
      </c>
      <c r="QL12" s="33" t="n">
        <v>0</v>
      </c>
      <c r="QM12" s="33" t="n">
        <v>0</v>
      </c>
      <c r="QN12" s="33" t="n">
        <v>0</v>
      </c>
      <c r="QO12" s="33" t="n">
        <v>0</v>
      </c>
      <c r="QP12" s="33" t="n">
        <v>0</v>
      </c>
      <c r="QQ12" s="33" t="n">
        <v>0</v>
      </c>
      <c r="QR12" s="33" t="n">
        <v>0</v>
      </c>
      <c r="QS12" s="33" t="n">
        <v>0</v>
      </c>
      <c r="QT12" s="33" t="n">
        <v>0</v>
      </c>
      <c r="QU12" s="33" t="n">
        <v>0</v>
      </c>
      <c r="QV12" s="33" t="n">
        <v>0</v>
      </c>
      <c r="QW12" s="33" t="n">
        <v>0</v>
      </c>
      <c r="QX12" s="33" t="n">
        <v>0</v>
      </c>
      <c r="QY12" s="33" t="n">
        <v>0</v>
      </c>
      <c r="QZ12" s="33" t="n">
        <v>0</v>
      </c>
      <c r="RA12" s="33" t="n">
        <v>0</v>
      </c>
      <c r="RB12" s="33" t="n">
        <v>0</v>
      </c>
      <c r="RC12" s="33" t="n">
        <v>0</v>
      </c>
      <c r="RD12" s="33" t="n">
        <v>0</v>
      </c>
      <c r="RE12" s="33" t="n">
        <v>0</v>
      </c>
      <c r="RF12" s="33" t="n">
        <v>0</v>
      </c>
      <c r="RG12" s="33" t="n">
        <v>0</v>
      </c>
      <c r="RH12" s="33" t="n">
        <v>0</v>
      </c>
      <c r="RI12" s="33" t="n">
        <v>0</v>
      </c>
      <c r="RJ12" s="33" t="n">
        <v>0</v>
      </c>
      <c r="RK12" s="33" t="n">
        <v>0</v>
      </c>
      <c r="RL12" s="33" t="n">
        <v>0</v>
      </c>
      <c r="RM12" s="33" t="n">
        <v>0</v>
      </c>
      <c r="RN12" s="33" t="n">
        <v>0</v>
      </c>
      <c r="RO12" s="33" t="n">
        <v>0</v>
      </c>
      <c r="RP12" s="33" t="n">
        <v>0</v>
      </c>
      <c r="RQ12" s="33" t="n">
        <v>0</v>
      </c>
      <c r="RR12" s="33" t="n">
        <v>0</v>
      </c>
      <c r="RS12" s="33" t="n">
        <v>0</v>
      </c>
      <c r="RT12" s="33" t="n">
        <v>0</v>
      </c>
      <c r="RU12" s="33" t="n">
        <v>0</v>
      </c>
      <c r="RV12" s="33" t="n">
        <v>0</v>
      </c>
      <c r="RW12" s="33" t="n">
        <v>0</v>
      </c>
    </row>
    <row r="13" hidden="1" outlineLevel="1" ht="13.05" customHeight="1">
      <c r="E13" s="21" t="inlineStr">
        <is>
          <t>PPA Settlement</t>
        </is>
      </c>
      <c r="F13" s="29" t="n"/>
      <c r="G13" s="29" t="inlineStr">
        <is>
          <t>kEUR</t>
        </is>
      </c>
      <c r="H13" s="29" t="n"/>
      <c r="I13" s="29" t="n"/>
      <c r="J13" s="32" t="n">
        <v>0</v>
      </c>
      <c r="K13" s="29" t="n"/>
      <c r="L13" s="33" t="n">
        <v>0</v>
      </c>
      <c r="M13" s="33" t="n">
        <v>0</v>
      </c>
      <c r="N13" s="33" t="n">
        <v>0</v>
      </c>
      <c r="O13" s="33" t="n">
        <v>0</v>
      </c>
      <c r="P13" s="33" t="n">
        <v>0</v>
      </c>
      <c r="Q13" s="33" t="n">
        <v>0</v>
      </c>
      <c r="R13" s="33" t="n">
        <v>0</v>
      </c>
      <c r="S13" s="33" t="n">
        <v>0</v>
      </c>
      <c r="T13" s="33" t="n">
        <v>0</v>
      </c>
      <c r="U13" s="33" t="n">
        <v>0</v>
      </c>
      <c r="V13" s="33" t="n">
        <v>0</v>
      </c>
      <c r="W13" s="33" t="n">
        <v>0</v>
      </c>
      <c r="X13" s="33" t="n">
        <v>0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  <c r="AE13" s="33" t="n">
        <v>0</v>
      </c>
      <c r="AF13" s="33" t="n">
        <v>0</v>
      </c>
      <c r="AG13" s="33" t="n">
        <v>0</v>
      </c>
      <c r="AH13" s="33" t="n">
        <v>0</v>
      </c>
      <c r="AI13" s="33" t="n">
        <v>0</v>
      </c>
      <c r="AJ13" s="33" t="n">
        <v>0</v>
      </c>
      <c r="AK13" s="33" t="n">
        <v>0</v>
      </c>
      <c r="AL13" s="33" t="n">
        <v>0</v>
      </c>
      <c r="AM13" s="33" t="n">
        <v>0</v>
      </c>
      <c r="AN13" s="33" t="n">
        <v>0</v>
      </c>
      <c r="AO13" s="33" t="n">
        <v>0</v>
      </c>
      <c r="AP13" s="33" t="n">
        <v>0</v>
      </c>
      <c r="AQ13" s="33" t="n">
        <v>0</v>
      </c>
      <c r="AR13" s="33" t="n">
        <v>0</v>
      </c>
      <c r="AS13" s="33" t="n">
        <v>0</v>
      </c>
      <c r="AT13" s="33" t="n">
        <v>0</v>
      </c>
      <c r="AU13" s="33" t="n">
        <v>0</v>
      </c>
      <c r="AV13" s="33" t="n">
        <v>0</v>
      </c>
      <c r="AW13" s="33" t="n">
        <v>0</v>
      </c>
      <c r="AX13" s="33" t="n">
        <v>0</v>
      </c>
      <c r="AY13" s="33" t="n">
        <v>0</v>
      </c>
      <c r="AZ13" s="33" t="n">
        <v>0</v>
      </c>
      <c r="BA13" s="33" t="n">
        <v>0</v>
      </c>
      <c r="BB13" s="33" t="n">
        <v>0</v>
      </c>
      <c r="BC13" s="33" t="n">
        <v>0</v>
      </c>
      <c r="BD13" s="33" t="n">
        <v>0</v>
      </c>
      <c r="BE13" s="33" t="n">
        <v>0</v>
      </c>
      <c r="BF13" s="33" t="n">
        <v>0</v>
      </c>
      <c r="BG13" s="33" t="n">
        <v>0</v>
      </c>
      <c r="BH13" s="33" t="n">
        <v>0</v>
      </c>
      <c r="BI13" s="33" t="n">
        <v>0</v>
      </c>
      <c r="BJ13" s="33" t="n">
        <v>0</v>
      </c>
      <c r="BK13" s="33" t="n">
        <v>0</v>
      </c>
      <c r="BL13" s="33" t="n">
        <v>0</v>
      </c>
      <c r="BM13" s="33" t="n">
        <v>0</v>
      </c>
      <c r="BN13" s="33" t="n">
        <v>0</v>
      </c>
      <c r="BO13" s="33" t="n">
        <v>0</v>
      </c>
      <c r="BP13" s="33" t="n">
        <v>0</v>
      </c>
      <c r="BQ13" s="33" t="n">
        <v>0</v>
      </c>
      <c r="BR13" s="33" t="n">
        <v>0</v>
      </c>
      <c r="BS13" s="33" t="n">
        <v>0</v>
      </c>
      <c r="BT13" s="33" t="n">
        <v>0</v>
      </c>
      <c r="BU13" s="33" t="n">
        <v>0</v>
      </c>
      <c r="BV13" s="33" t="n">
        <v>0</v>
      </c>
      <c r="BW13" s="33" t="n">
        <v>0</v>
      </c>
      <c r="BX13" s="33" t="n">
        <v>0</v>
      </c>
      <c r="BY13" s="33" t="n">
        <v>0</v>
      </c>
      <c r="BZ13" s="33" t="n">
        <v>0</v>
      </c>
      <c r="CA13" s="33" t="n">
        <v>0</v>
      </c>
      <c r="CB13" s="33" t="n">
        <v>0</v>
      </c>
      <c r="CC13" s="33" t="n">
        <v>0</v>
      </c>
      <c r="CD13" s="33" t="n">
        <v>0</v>
      </c>
      <c r="CE13" s="33" t="n">
        <v>0</v>
      </c>
      <c r="CF13" s="33" t="n">
        <v>0</v>
      </c>
      <c r="CG13" s="33" t="n">
        <v>0</v>
      </c>
      <c r="CH13" s="33" t="n">
        <v>0</v>
      </c>
      <c r="CI13" s="33" t="n">
        <v>0</v>
      </c>
      <c r="CJ13" s="33" t="n">
        <v>0</v>
      </c>
      <c r="CK13" s="33" t="n">
        <v>0</v>
      </c>
      <c r="CL13" s="33" t="n">
        <v>0</v>
      </c>
      <c r="CM13" s="33" t="n">
        <v>0</v>
      </c>
      <c r="CN13" s="33" t="n">
        <v>0</v>
      </c>
      <c r="CO13" s="33" t="n">
        <v>0</v>
      </c>
      <c r="CP13" s="33" t="n">
        <v>0</v>
      </c>
      <c r="CQ13" s="33" t="n">
        <v>0</v>
      </c>
      <c r="CR13" s="33" t="n">
        <v>0</v>
      </c>
      <c r="CS13" s="33" t="n">
        <v>0</v>
      </c>
      <c r="CT13" s="33" t="n">
        <v>0</v>
      </c>
      <c r="CU13" s="33" t="n">
        <v>0</v>
      </c>
      <c r="CV13" s="33" t="n">
        <v>0</v>
      </c>
      <c r="CW13" s="33" t="n">
        <v>0</v>
      </c>
      <c r="CX13" s="33" t="n">
        <v>0</v>
      </c>
      <c r="CY13" s="33" t="n">
        <v>0</v>
      </c>
      <c r="CZ13" s="33" t="n">
        <v>0</v>
      </c>
      <c r="DA13" s="33" t="n">
        <v>0</v>
      </c>
      <c r="DB13" s="33" t="n">
        <v>0</v>
      </c>
      <c r="DC13" s="33" t="n">
        <v>0</v>
      </c>
      <c r="DD13" s="33" t="n">
        <v>0</v>
      </c>
      <c r="DE13" s="33" t="n">
        <v>0</v>
      </c>
      <c r="DF13" s="33" t="n">
        <v>0</v>
      </c>
      <c r="DG13" s="33" t="n">
        <v>0</v>
      </c>
      <c r="DH13" s="33" t="n">
        <v>0</v>
      </c>
      <c r="DI13" s="33" t="n">
        <v>0</v>
      </c>
      <c r="DJ13" s="33" t="n">
        <v>0</v>
      </c>
      <c r="DK13" s="33" t="n">
        <v>0</v>
      </c>
      <c r="DL13" s="33" t="n">
        <v>0</v>
      </c>
      <c r="DM13" s="33" t="n">
        <v>0</v>
      </c>
      <c r="DN13" s="33" t="n">
        <v>0</v>
      </c>
      <c r="DO13" s="33" t="n">
        <v>0</v>
      </c>
      <c r="DP13" s="33" t="n">
        <v>0</v>
      </c>
      <c r="DQ13" s="33" t="n">
        <v>0</v>
      </c>
      <c r="DR13" s="33" t="n">
        <v>0</v>
      </c>
      <c r="DS13" s="33" t="n">
        <v>0</v>
      </c>
      <c r="DT13" s="33" t="n">
        <v>0</v>
      </c>
      <c r="DU13" s="33" t="n">
        <v>0</v>
      </c>
      <c r="DV13" s="33" t="n">
        <v>0</v>
      </c>
      <c r="DW13" s="33" t="n">
        <v>0</v>
      </c>
      <c r="DX13" s="33" t="n">
        <v>0</v>
      </c>
      <c r="DY13" s="33" t="n">
        <v>0</v>
      </c>
      <c r="DZ13" s="33" t="n">
        <v>0</v>
      </c>
      <c r="EA13" s="33" t="n">
        <v>0</v>
      </c>
      <c r="EB13" s="33" t="n">
        <v>0</v>
      </c>
      <c r="EC13" s="33" t="n">
        <v>0</v>
      </c>
      <c r="ED13" s="33" t="n">
        <v>0</v>
      </c>
      <c r="EE13" s="33" t="n">
        <v>0</v>
      </c>
      <c r="EF13" s="33" t="n">
        <v>0</v>
      </c>
      <c r="EG13" s="33" t="n">
        <v>0</v>
      </c>
      <c r="EH13" s="33" t="n">
        <v>0</v>
      </c>
      <c r="EI13" s="33" t="n">
        <v>0</v>
      </c>
      <c r="EJ13" s="33" t="n">
        <v>0</v>
      </c>
      <c r="EK13" s="33" t="n">
        <v>0</v>
      </c>
      <c r="EL13" s="33" t="n">
        <v>0</v>
      </c>
      <c r="EM13" s="33" t="n">
        <v>0</v>
      </c>
      <c r="EN13" s="33" t="n">
        <v>0</v>
      </c>
      <c r="EO13" s="33" t="n">
        <v>0</v>
      </c>
      <c r="EP13" s="33" t="n">
        <v>0</v>
      </c>
      <c r="EQ13" s="33" t="n">
        <v>0</v>
      </c>
      <c r="ER13" s="33" t="n">
        <v>0</v>
      </c>
      <c r="ES13" s="33" t="n">
        <v>0</v>
      </c>
      <c r="ET13" s="33" t="n">
        <v>0</v>
      </c>
      <c r="EU13" s="33" t="n">
        <v>0</v>
      </c>
      <c r="EV13" s="33" t="n">
        <v>0</v>
      </c>
      <c r="EW13" s="33" t="n">
        <v>0</v>
      </c>
      <c r="EX13" s="33" t="n">
        <v>0</v>
      </c>
      <c r="EY13" s="33" t="n">
        <v>0</v>
      </c>
      <c r="EZ13" s="33" t="n">
        <v>0</v>
      </c>
      <c r="FA13" s="33" t="n">
        <v>0</v>
      </c>
      <c r="FB13" s="33" t="n">
        <v>0</v>
      </c>
      <c r="FC13" s="33" t="n">
        <v>0</v>
      </c>
      <c r="FD13" s="33" t="n">
        <v>0</v>
      </c>
      <c r="FE13" s="33" t="n">
        <v>0</v>
      </c>
      <c r="FF13" s="33" t="n">
        <v>0</v>
      </c>
      <c r="FG13" s="33" t="n">
        <v>0</v>
      </c>
      <c r="FH13" s="33" t="n">
        <v>0</v>
      </c>
      <c r="FI13" s="33" t="n">
        <v>0</v>
      </c>
      <c r="FJ13" s="33" t="n">
        <v>0</v>
      </c>
      <c r="FK13" s="33" t="n">
        <v>0</v>
      </c>
      <c r="FL13" s="33" t="n">
        <v>0</v>
      </c>
      <c r="FM13" s="33" t="n">
        <v>0</v>
      </c>
      <c r="FN13" s="33" t="n">
        <v>0</v>
      </c>
      <c r="FO13" s="33" t="n">
        <v>0</v>
      </c>
      <c r="FP13" s="33" t="n">
        <v>0</v>
      </c>
      <c r="FQ13" s="33" t="n">
        <v>0</v>
      </c>
      <c r="FR13" s="33" t="n">
        <v>0</v>
      </c>
      <c r="FS13" s="33" t="n">
        <v>0</v>
      </c>
      <c r="FT13" s="33" t="n">
        <v>0</v>
      </c>
      <c r="FU13" s="33" t="n">
        <v>0</v>
      </c>
      <c r="FV13" s="33" t="n">
        <v>0</v>
      </c>
      <c r="FW13" s="33" t="n">
        <v>0</v>
      </c>
      <c r="FX13" s="33" t="n">
        <v>0</v>
      </c>
      <c r="FY13" s="33" t="n">
        <v>0</v>
      </c>
      <c r="FZ13" s="33" t="n">
        <v>0</v>
      </c>
      <c r="GA13" s="33" t="n">
        <v>0</v>
      </c>
      <c r="GB13" s="33" t="n">
        <v>0</v>
      </c>
      <c r="GC13" s="33" t="n">
        <v>0</v>
      </c>
      <c r="GD13" s="33" t="n">
        <v>0</v>
      </c>
      <c r="GE13" s="33" t="n">
        <v>0</v>
      </c>
      <c r="GF13" s="33" t="n">
        <v>0</v>
      </c>
      <c r="GG13" s="33" t="n">
        <v>0</v>
      </c>
      <c r="GH13" s="33" t="n">
        <v>0</v>
      </c>
      <c r="GI13" s="33" t="n">
        <v>0</v>
      </c>
      <c r="GJ13" s="33" t="n">
        <v>0</v>
      </c>
      <c r="GK13" s="33" t="n">
        <v>0</v>
      </c>
      <c r="GL13" s="33" t="n">
        <v>0</v>
      </c>
      <c r="GM13" s="33" t="n">
        <v>0</v>
      </c>
      <c r="GN13" s="33" t="n">
        <v>0</v>
      </c>
      <c r="GO13" s="33" t="n">
        <v>0</v>
      </c>
      <c r="GP13" s="33" t="n">
        <v>0</v>
      </c>
      <c r="GQ13" s="33" t="n">
        <v>0</v>
      </c>
      <c r="GR13" s="33" t="n">
        <v>0</v>
      </c>
      <c r="GS13" s="33" t="n">
        <v>0</v>
      </c>
      <c r="GT13" s="33" t="n">
        <v>0</v>
      </c>
      <c r="GU13" s="33" t="n">
        <v>0</v>
      </c>
      <c r="GV13" s="33" t="n">
        <v>0</v>
      </c>
      <c r="GW13" s="33" t="n">
        <v>0</v>
      </c>
      <c r="GX13" s="33" t="n">
        <v>0</v>
      </c>
      <c r="GY13" s="33" t="n">
        <v>0</v>
      </c>
      <c r="GZ13" s="33" t="n">
        <v>0</v>
      </c>
      <c r="HA13" s="33" t="n">
        <v>0</v>
      </c>
      <c r="HB13" s="33" t="n">
        <v>0</v>
      </c>
      <c r="HC13" s="33" t="n">
        <v>0</v>
      </c>
      <c r="HD13" s="33" t="n">
        <v>0</v>
      </c>
      <c r="HE13" s="33" t="n">
        <v>0</v>
      </c>
      <c r="HF13" s="33" t="n">
        <v>0</v>
      </c>
      <c r="HG13" s="33" t="n">
        <v>0</v>
      </c>
      <c r="HH13" s="33" t="n">
        <v>0</v>
      </c>
      <c r="HI13" s="33" t="n">
        <v>0</v>
      </c>
      <c r="HJ13" s="33" t="n">
        <v>0</v>
      </c>
      <c r="HK13" s="33" t="n">
        <v>0</v>
      </c>
      <c r="HL13" s="33" t="n">
        <v>0</v>
      </c>
      <c r="HM13" s="33" t="n">
        <v>0</v>
      </c>
      <c r="HN13" s="33" t="n">
        <v>0</v>
      </c>
      <c r="HO13" s="33" t="n">
        <v>0</v>
      </c>
      <c r="HP13" s="33" t="n">
        <v>0</v>
      </c>
      <c r="HQ13" s="33" t="n">
        <v>0</v>
      </c>
      <c r="HR13" s="33" t="n">
        <v>0</v>
      </c>
      <c r="HS13" s="33" t="n">
        <v>0</v>
      </c>
      <c r="HT13" s="33" t="n">
        <v>0</v>
      </c>
      <c r="HU13" s="33" t="n">
        <v>0</v>
      </c>
      <c r="HV13" s="33" t="n">
        <v>0</v>
      </c>
      <c r="HW13" s="33" t="n">
        <v>0</v>
      </c>
      <c r="HX13" s="33" t="n">
        <v>0</v>
      </c>
      <c r="HY13" s="33" t="n">
        <v>0</v>
      </c>
      <c r="HZ13" s="33" t="n">
        <v>0</v>
      </c>
      <c r="IA13" s="33" t="n">
        <v>0</v>
      </c>
      <c r="IB13" s="33" t="n">
        <v>0</v>
      </c>
      <c r="IC13" s="33" t="n">
        <v>0</v>
      </c>
      <c r="ID13" s="33" t="n">
        <v>0</v>
      </c>
      <c r="IE13" s="33" t="n">
        <v>0</v>
      </c>
      <c r="IF13" s="33" t="n">
        <v>0</v>
      </c>
      <c r="IG13" s="33" t="n">
        <v>0</v>
      </c>
      <c r="IH13" s="33" t="n">
        <v>0</v>
      </c>
      <c r="II13" s="33" t="n">
        <v>0</v>
      </c>
      <c r="IJ13" s="33" t="n">
        <v>0</v>
      </c>
      <c r="IK13" s="33" t="n">
        <v>0</v>
      </c>
      <c r="IL13" s="33" t="n">
        <v>0</v>
      </c>
      <c r="IM13" s="33" t="n">
        <v>0</v>
      </c>
      <c r="IN13" s="33" t="n">
        <v>0</v>
      </c>
      <c r="IO13" s="33" t="n">
        <v>0</v>
      </c>
      <c r="IP13" s="33" t="n">
        <v>0</v>
      </c>
      <c r="IQ13" s="33" t="n">
        <v>0</v>
      </c>
      <c r="IR13" s="33" t="n">
        <v>0</v>
      </c>
      <c r="IS13" s="33" t="n">
        <v>0</v>
      </c>
      <c r="IT13" s="33" t="n">
        <v>0</v>
      </c>
      <c r="IU13" s="33" t="n">
        <v>0</v>
      </c>
      <c r="IV13" s="33" t="n">
        <v>0</v>
      </c>
      <c r="IW13" s="33" t="n">
        <v>0</v>
      </c>
      <c r="IX13" s="33" t="n">
        <v>0</v>
      </c>
      <c r="IY13" s="33" t="n">
        <v>0</v>
      </c>
      <c r="IZ13" s="33" t="n">
        <v>0</v>
      </c>
      <c r="JA13" s="33" t="n">
        <v>0</v>
      </c>
      <c r="JB13" s="33" t="n">
        <v>0</v>
      </c>
      <c r="JC13" s="33" t="n">
        <v>0</v>
      </c>
      <c r="JD13" s="33" t="n">
        <v>0</v>
      </c>
      <c r="JE13" s="33" t="n">
        <v>0</v>
      </c>
      <c r="JF13" s="33" t="n">
        <v>0</v>
      </c>
      <c r="JG13" s="33" t="n">
        <v>0</v>
      </c>
      <c r="JH13" s="33" t="n">
        <v>0</v>
      </c>
      <c r="JI13" s="33" t="n">
        <v>0</v>
      </c>
      <c r="JJ13" s="33" t="n">
        <v>0</v>
      </c>
      <c r="JK13" s="33" t="n">
        <v>0</v>
      </c>
      <c r="JL13" s="33" t="n">
        <v>0</v>
      </c>
      <c r="JM13" s="33" t="n">
        <v>0</v>
      </c>
      <c r="JN13" s="33" t="n">
        <v>0</v>
      </c>
      <c r="JO13" s="33" t="n">
        <v>0</v>
      </c>
      <c r="JP13" s="33" t="n">
        <v>0</v>
      </c>
      <c r="JQ13" s="33" t="n">
        <v>0</v>
      </c>
      <c r="JR13" s="33" t="n">
        <v>0</v>
      </c>
      <c r="JS13" s="33" t="n">
        <v>0</v>
      </c>
      <c r="JT13" s="33" t="n">
        <v>0</v>
      </c>
      <c r="JU13" s="33" t="n">
        <v>0</v>
      </c>
      <c r="JV13" s="33" t="n">
        <v>0</v>
      </c>
      <c r="JW13" s="33" t="n">
        <v>0</v>
      </c>
      <c r="JX13" s="33" t="n">
        <v>0</v>
      </c>
      <c r="JY13" s="33" t="n">
        <v>0</v>
      </c>
      <c r="JZ13" s="33" t="n">
        <v>0</v>
      </c>
      <c r="KA13" s="33" t="n">
        <v>0</v>
      </c>
      <c r="KB13" s="33" t="n">
        <v>0</v>
      </c>
      <c r="KC13" s="33" t="n">
        <v>0</v>
      </c>
      <c r="KD13" s="33" t="n">
        <v>0</v>
      </c>
      <c r="KE13" s="33" t="n">
        <v>0</v>
      </c>
      <c r="KF13" s="33" t="n">
        <v>0</v>
      </c>
      <c r="KG13" s="33" t="n">
        <v>0</v>
      </c>
      <c r="KH13" s="33" t="n">
        <v>0</v>
      </c>
      <c r="KI13" s="33" t="n">
        <v>0</v>
      </c>
      <c r="KJ13" s="33" t="n">
        <v>0</v>
      </c>
      <c r="KK13" s="33" t="n">
        <v>0</v>
      </c>
      <c r="KL13" s="33" t="n">
        <v>0</v>
      </c>
      <c r="KM13" s="33" t="n">
        <v>0</v>
      </c>
      <c r="KN13" s="33" t="n">
        <v>0</v>
      </c>
      <c r="KO13" s="33" t="n">
        <v>0</v>
      </c>
      <c r="KP13" s="33" t="n">
        <v>0</v>
      </c>
      <c r="KQ13" s="33" t="n">
        <v>0</v>
      </c>
      <c r="KR13" s="33" t="n">
        <v>0</v>
      </c>
      <c r="KS13" s="33" t="n">
        <v>0</v>
      </c>
      <c r="KT13" s="33" t="n">
        <v>0</v>
      </c>
      <c r="KU13" s="33" t="n">
        <v>0</v>
      </c>
      <c r="KV13" s="33" t="n">
        <v>0</v>
      </c>
      <c r="KW13" s="33" t="n">
        <v>0</v>
      </c>
      <c r="KX13" s="33" t="n">
        <v>0</v>
      </c>
      <c r="KY13" s="33" t="n">
        <v>0</v>
      </c>
      <c r="KZ13" s="33" t="n">
        <v>0</v>
      </c>
      <c r="LA13" s="33" t="n">
        <v>0</v>
      </c>
      <c r="LB13" s="33" t="n">
        <v>0</v>
      </c>
      <c r="LC13" s="33" t="n">
        <v>0</v>
      </c>
      <c r="LD13" s="33" t="n">
        <v>0</v>
      </c>
      <c r="LE13" s="33" t="n">
        <v>0</v>
      </c>
      <c r="LF13" s="33" t="n">
        <v>0</v>
      </c>
      <c r="LG13" s="33" t="n">
        <v>0</v>
      </c>
      <c r="LH13" s="33" t="n">
        <v>0</v>
      </c>
      <c r="LI13" s="33" t="n">
        <v>0</v>
      </c>
      <c r="LJ13" s="33" t="n">
        <v>0</v>
      </c>
      <c r="LK13" s="33" t="n">
        <v>0</v>
      </c>
      <c r="LL13" s="33" t="n">
        <v>0</v>
      </c>
      <c r="LM13" s="33" t="n">
        <v>0</v>
      </c>
      <c r="LN13" s="33" t="n">
        <v>0</v>
      </c>
      <c r="LO13" s="33" t="n">
        <v>0</v>
      </c>
      <c r="LP13" s="33" t="n">
        <v>0</v>
      </c>
      <c r="LQ13" s="33" t="n">
        <v>0</v>
      </c>
      <c r="LR13" s="33" t="n">
        <v>0</v>
      </c>
      <c r="LS13" s="33" t="n">
        <v>0</v>
      </c>
      <c r="LT13" s="33" t="n">
        <v>0</v>
      </c>
      <c r="LU13" s="33" t="n">
        <v>0</v>
      </c>
      <c r="LV13" s="33" t="n">
        <v>0</v>
      </c>
      <c r="LW13" s="33" t="n">
        <v>0</v>
      </c>
      <c r="LX13" s="33" t="n">
        <v>0</v>
      </c>
      <c r="LY13" s="33" t="n">
        <v>0</v>
      </c>
      <c r="LZ13" s="33" t="n">
        <v>0</v>
      </c>
      <c r="MA13" s="33" t="n">
        <v>0</v>
      </c>
      <c r="MB13" s="33" t="n">
        <v>0</v>
      </c>
      <c r="MC13" s="33" t="n">
        <v>0</v>
      </c>
      <c r="MD13" s="33" t="n">
        <v>0</v>
      </c>
      <c r="ME13" s="33" t="n">
        <v>0</v>
      </c>
      <c r="MF13" s="33" t="n">
        <v>0</v>
      </c>
      <c r="MG13" s="33" t="n">
        <v>0</v>
      </c>
      <c r="MH13" s="33" t="n">
        <v>0</v>
      </c>
      <c r="MI13" s="33" t="n">
        <v>0</v>
      </c>
      <c r="MJ13" s="33" t="n">
        <v>0</v>
      </c>
      <c r="MK13" s="33" t="n">
        <v>0</v>
      </c>
      <c r="ML13" s="33" t="n">
        <v>0</v>
      </c>
      <c r="MM13" s="33" t="n">
        <v>0</v>
      </c>
      <c r="MN13" s="33" t="n">
        <v>0</v>
      </c>
      <c r="MO13" s="33" t="n">
        <v>0</v>
      </c>
      <c r="MP13" s="33" t="n">
        <v>0</v>
      </c>
      <c r="MQ13" s="33" t="n">
        <v>0</v>
      </c>
      <c r="MR13" s="33" t="n">
        <v>0</v>
      </c>
      <c r="MS13" s="33" t="n">
        <v>0</v>
      </c>
      <c r="MT13" s="33" t="n">
        <v>0</v>
      </c>
      <c r="MU13" s="33" t="n">
        <v>0</v>
      </c>
      <c r="MV13" s="33" t="n">
        <v>0</v>
      </c>
      <c r="MW13" s="33" t="n">
        <v>0</v>
      </c>
      <c r="MX13" s="33" t="n">
        <v>0</v>
      </c>
      <c r="MY13" s="33" t="n">
        <v>0</v>
      </c>
      <c r="MZ13" s="33" t="n">
        <v>0</v>
      </c>
      <c r="NA13" s="33" t="n">
        <v>0</v>
      </c>
      <c r="NB13" s="33" t="n">
        <v>0</v>
      </c>
      <c r="NC13" s="33" t="n">
        <v>0</v>
      </c>
      <c r="ND13" s="33" t="n">
        <v>0</v>
      </c>
      <c r="NE13" s="33" t="n">
        <v>0</v>
      </c>
      <c r="NF13" s="33" t="n">
        <v>0</v>
      </c>
      <c r="NG13" s="33" t="n">
        <v>0</v>
      </c>
      <c r="NH13" s="33" t="n">
        <v>0</v>
      </c>
      <c r="NI13" s="33" t="n">
        <v>0</v>
      </c>
      <c r="NJ13" s="33" t="n">
        <v>0</v>
      </c>
      <c r="NK13" s="33" t="n">
        <v>0</v>
      </c>
      <c r="NL13" s="33" t="n">
        <v>0</v>
      </c>
      <c r="NM13" s="33" t="n">
        <v>0</v>
      </c>
      <c r="NN13" s="33" t="n">
        <v>0</v>
      </c>
      <c r="NO13" s="33" t="n">
        <v>0</v>
      </c>
      <c r="NP13" s="33" t="n">
        <v>0</v>
      </c>
      <c r="NQ13" s="33" t="n">
        <v>0</v>
      </c>
      <c r="NR13" s="33" t="n">
        <v>0</v>
      </c>
      <c r="NS13" s="33" t="n">
        <v>0</v>
      </c>
      <c r="NT13" s="33" t="n">
        <v>0</v>
      </c>
      <c r="NU13" s="33" t="n">
        <v>0</v>
      </c>
      <c r="NV13" s="33" t="n">
        <v>0</v>
      </c>
      <c r="NW13" s="33" t="n">
        <v>0</v>
      </c>
      <c r="NX13" s="33" t="n">
        <v>0</v>
      </c>
      <c r="NY13" s="33" t="n">
        <v>0</v>
      </c>
      <c r="NZ13" s="33" t="n">
        <v>0</v>
      </c>
      <c r="OA13" s="33" t="n">
        <v>0</v>
      </c>
      <c r="OB13" s="33" t="n">
        <v>0</v>
      </c>
      <c r="OC13" s="33" t="n">
        <v>0</v>
      </c>
      <c r="OD13" s="33" t="n">
        <v>0</v>
      </c>
      <c r="OE13" s="33" t="n">
        <v>0</v>
      </c>
      <c r="OF13" s="33" t="n">
        <v>0</v>
      </c>
      <c r="OG13" s="33" t="n">
        <v>0</v>
      </c>
      <c r="OH13" s="33" t="n">
        <v>0</v>
      </c>
      <c r="OI13" s="33" t="n">
        <v>0</v>
      </c>
      <c r="OJ13" s="33" t="n">
        <v>0</v>
      </c>
      <c r="OK13" s="33" t="n">
        <v>0</v>
      </c>
      <c r="OL13" s="33" t="n">
        <v>0</v>
      </c>
      <c r="OM13" s="33" t="n">
        <v>0</v>
      </c>
      <c r="ON13" s="33" t="n">
        <v>0</v>
      </c>
      <c r="OO13" s="33" t="n">
        <v>0</v>
      </c>
      <c r="OP13" s="33" t="n">
        <v>0</v>
      </c>
      <c r="OQ13" s="33" t="n">
        <v>0</v>
      </c>
      <c r="OR13" s="33" t="n">
        <v>0</v>
      </c>
      <c r="OS13" s="33" t="n">
        <v>0</v>
      </c>
      <c r="OT13" s="33" t="n">
        <v>0</v>
      </c>
      <c r="OU13" s="33" t="n">
        <v>0</v>
      </c>
      <c r="OV13" s="33" t="n">
        <v>0</v>
      </c>
      <c r="OW13" s="33" t="n">
        <v>0</v>
      </c>
      <c r="OX13" s="33" t="n">
        <v>0</v>
      </c>
      <c r="OY13" s="33" t="n">
        <v>0</v>
      </c>
      <c r="OZ13" s="33" t="n">
        <v>0</v>
      </c>
      <c r="PA13" s="33" t="n">
        <v>0</v>
      </c>
      <c r="PB13" s="33" t="n">
        <v>0</v>
      </c>
      <c r="PC13" s="33" t="n">
        <v>0</v>
      </c>
      <c r="PD13" s="33" t="n">
        <v>0</v>
      </c>
      <c r="PE13" s="33" t="n">
        <v>0</v>
      </c>
      <c r="PF13" s="33" t="n">
        <v>0</v>
      </c>
      <c r="PG13" s="33" t="n">
        <v>0</v>
      </c>
      <c r="PH13" s="33" t="n">
        <v>0</v>
      </c>
      <c r="PI13" s="33" t="n">
        <v>0</v>
      </c>
      <c r="PJ13" s="33" t="n">
        <v>0</v>
      </c>
      <c r="PK13" s="33" t="n">
        <v>0</v>
      </c>
      <c r="PL13" s="33" t="n">
        <v>0</v>
      </c>
      <c r="PM13" s="33" t="n">
        <v>0</v>
      </c>
      <c r="PN13" s="33" t="n">
        <v>0</v>
      </c>
      <c r="PO13" s="33" t="n">
        <v>0</v>
      </c>
      <c r="PP13" s="33" t="n">
        <v>0</v>
      </c>
      <c r="PQ13" s="33" t="n">
        <v>0</v>
      </c>
      <c r="PR13" s="33" t="n">
        <v>0</v>
      </c>
      <c r="PS13" s="33" t="n">
        <v>0</v>
      </c>
      <c r="PT13" s="33" t="n">
        <v>0</v>
      </c>
      <c r="PU13" s="33" t="n">
        <v>0</v>
      </c>
      <c r="PV13" s="33" t="n">
        <v>0</v>
      </c>
      <c r="PW13" s="33" t="n">
        <v>0</v>
      </c>
      <c r="PX13" s="33" t="n">
        <v>0</v>
      </c>
      <c r="PY13" s="33" t="n">
        <v>0</v>
      </c>
      <c r="PZ13" s="33" t="n">
        <v>0</v>
      </c>
      <c r="QA13" s="33" t="n">
        <v>0</v>
      </c>
      <c r="QB13" s="33" t="n">
        <v>0</v>
      </c>
      <c r="QC13" s="33" t="n">
        <v>0</v>
      </c>
      <c r="QD13" s="33" t="n">
        <v>0</v>
      </c>
      <c r="QE13" s="33" t="n">
        <v>0</v>
      </c>
      <c r="QF13" s="33" t="n">
        <v>0</v>
      </c>
      <c r="QG13" s="33" t="n">
        <v>0</v>
      </c>
      <c r="QH13" s="33" t="n">
        <v>0</v>
      </c>
      <c r="QI13" s="33" t="n">
        <v>0</v>
      </c>
      <c r="QJ13" s="33" t="n">
        <v>0</v>
      </c>
      <c r="QK13" s="33" t="n">
        <v>0</v>
      </c>
      <c r="QL13" s="33" t="n">
        <v>0</v>
      </c>
      <c r="QM13" s="33" t="n">
        <v>0</v>
      </c>
      <c r="QN13" s="33" t="n">
        <v>0</v>
      </c>
      <c r="QO13" s="33" t="n">
        <v>0</v>
      </c>
      <c r="QP13" s="33" t="n">
        <v>0</v>
      </c>
      <c r="QQ13" s="33" t="n">
        <v>0</v>
      </c>
      <c r="QR13" s="33" t="n">
        <v>0</v>
      </c>
      <c r="QS13" s="33" t="n">
        <v>0</v>
      </c>
      <c r="QT13" s="33" t="n">
        <v>0</v>
      </c>
      <c r="QU13" s="33" t="n">
        <v>0</v>
      </c>
      <c r="QV13" s="33" t="n">
        <v>0</v>
      </c>
      <c r="QW13" s="33" t="n">
        <v>0</v>
      </c>
      <c r="QX13" s="33" t="n">
        <v>0</v>
      </c>
      <c r="QY13" s="33" t="n">
        <v>0</v>
      </c>
      <c r="QZ13" s="33" t="n">
        <v>0</v>
      </c>
      <c r="RA13" s="33" t="n">
        <v>0</v>
      </c>
      <c r="RB13" s="33" t="n">
        <v>0</v>
      </c>
      <c r="RC13" s="33" t="n">
        <v>0</v>
      </c>
      <c r="RD13" s="33" t="n">
        <v>0</v>
      </c>
      <c r="RE13" s="33" t="n">
        <v>0</v>
      </c>
      <c r="RF13" s="33" t="n">
        <v>0</v>
      </c>
      <c r="RG13" s="33" t="n">
        <v>0</v>
      </c>
      <c r="RH13" s="33" t="n">
        <v>0</v>
      </c>
      <c r="RI13" s="33" t="n">
        <v>0</v>
      </c>
      <c r="RJ13" s="33" t="n">
        <v>0</v>
      </c>
      <c r="RK13" s="33" t="n">
        <v>0</v>
      </c>
      <c r="RL13" s="33" t="n">
        <v>0</v>
      </c>
      <c r="RM13" s="33" t="n">
        <v>0</v>
      </c>
      <c r="RN13" s="33" t="n">
        <v>0</v>
      </c>
      <c r="RO13" s="33" t="n">
        <v>0</v>
      </c>
      <c r="RP13" s="33" t="n">
        <v>0</v>
      </c>
      <c r="RQ13" s="33" t="n">
        <v>0</v>
      </c>
      <c r="RR13" s="33" t="n">
        <v>0</v>
      </c>
      <c r="RS13" s="33" t="n">
        <v>0</v>
      </c>
      <c r="RT13" s="33" t="n">
        <v>0</v>
      </c>
      <c r="RU13" s="33" t="n">
        <v>0</v>
      </c>
      <c r="RV13" s="33" t="n">
        <v>0</v>
      </c>
      <c r="RW13" s="33" t="n">
        <v>0</v>
      </c>
    </row>
    <row r="14" hidden="1" outlineLevel="1" ht="13.05" customHeight="1">
      <c r="E14" s="21" t="inlineStr">
        <is>
          <t>PPA Net Settlement</t>
        </is>
      </c>
      <c r="F14" s="29" t="n"/>
      <c r="G14" s="29" t="inlineStr">
        <is>
          <t>kEUR</t>
        </is>
      </c>
      <c r="H14" s="29" t="n"/>
      <c r="I14" s="29" t="n"/>
      <c r="J14" s="32" t="n">
        <v>0</v>
      </c>
      <c r="K14" s="29" t="n"/>
      <c r="L14" s="33" t="n">
        <v>0</v>
      </c>
      <c r="M14" s="33" t="n">
        <v>0</v>
      </c>
      <c r="N14" s="33" t="n">
        <v>0</v>
      </c>
      <c r="O14" s="33" t="n">
        <v>0</v>
      </c>
      <c r="P14" s="33" t="n">
        <v>0</v>
      </c>
      <c r="Q14" s="33" t="n">
        <v>0</v>
      </c>
      <c r="R14" s="33" t="n">
        <v>0</v>
      </c>
      <c r="S14" s="33" t="n">
        <v>0</v>
      </c>
      <c r="T14" s="33" t="n">
        <v>0</v>
      </c>
      <c r="U14" s="33" t="n">
        <v>0</v>
      </c>
      <c r="V14" s="33" t="n">
        <v>0</v>
      </c>
      <c r="W14" s="33" t="n">
        <v>0</v>
      </c>
      <c r="X14" s="33" t="n">
        <v>0</v>
      </c>
      <c r="Y14" s="33" t="n">
        <v>0</v>
      </c>
      <c r="Z14" s="33" t="n">
        <v>0</v>
      </c>
      <c r="AA14" s="33" t="n">
        <v>0</v>
      </c>
      <c r="AB14" s="33" t="n">
        <v>0</v>
      </c>
      <c r="AC14" s="33" t="n">
        <v>0</v>
      </c>
      <c r="AD14" s="33" t="n">
        <v>0</v>
      </c>
      <c r="AE14" s="33" t="n">
        <v>0</v>
      </c>
      <c r="AF14" s="33" t="n">
        <v>0</v>
      </c>
      <c r="AG14" s="33" t="n">
        <v>0</v>
      </c>
      <c r="AH14" s="33" t="n">
        <v>0</v>
      </c>
      <c r="AI14" s="33" t="n">
        <v>0</v>
      </c>
      <c r="AJ14" s="33" t="n">
        <v>0</v>
      </c>
      <c r="AK14" s="33" t="n">
        <v>0</v>
      </c>
      <c r="AL14" s="33" t="n">
        <v>0</v>
      </c>
      <c r="AM14" s="33" t="n">
        <v>0</v>
      </c>
      <c r="AN14" s="33" t="n">
        <v>0</v>
      </c>
      <c r="AO14" s="33" t="n">
        <v>0</v>
      </c>
      <c r="AP14" s="33" t="n">
        <v>0</v>
      </c>
      <c r="AQ14" s="33" t="n">
        <v>0</v>
      </c>
      <c r="AR14" s="33" t="n">
        <v>0</v>
      </c>
      <c r="AS14" s="33" t="n">
        <v>0</v>
      </c>
      <c r="AT14" s="33" t="n">
        <v>0</v>
      </c>
      <c r="AU14" s="33" t="n">
        <v>0</v>
      </c>
      <c r="AV14" s="33" t="n">
        <v>0</v>
      </c>
      <c r="AW14" s="33" t="n">
        <v>0</v>
      </c>
      <c r="AX14" s="33" t="n">
        <v>0</v>
      </c>
      <c r="AY14" s="33" t="n">
        <v>0</v>
      </c>
      <c r="AZ14" s="33" t="n">
        <v>0</v>
      </c>
      <c r="BA14" s="33" t="n">
        <v>0</v>
      </c>
      <c r="BB14" s="33" t="n">
        <v>0</v>
      </c>
      <c r="BC14" s="33" t="n">
        <v>0</v>
      </c>
      <c r="BD14" s="33" t="n">
        <v>0</v>
      </c>
      <c r="BE14" s="33" t="n">
        <v>0</v>
      </c>
      <c r="BF14" s="33" t="n">
        <v>0</v>
      </c>
      <c r="BG14" s="33" t="n">
        <v>0</v>
      </c>
      <c r="BH14" s="33" t="n">
        <v>0</v>
      </c>
      <c r="BI14" s="33" t="n">
        <v>0</v>
      </c>
      <c r="BJ14" s="33" t="n">
        <v>0</v>
      </c>
      <c r="BK14" s="33" t="n">
        <v>0</v>
      </c>
      <c r="BL14" s="33" t="n">
        <v>0</v>
      </c>
      <c r="BM14" s="33" t="n">
        <v>0</v>
      </c>
      <c r="BN14" s="33" t="n">
        <v>0</v>
      </c>
      <c r="BO14" s="33" t="n">
        <v>0</v>
      </c>
      <c r="BP14" s="33" t="n">
        <v>0</v>
      </c>
      <c r="BQ14" s="33" t="n">
        <v>0</v>
      </c>
      <c r="BR14" s="33" t="n">
        <v>0</v>
      </c>
      <c r="BS14" s="33" t="n">
        <v>0</v>
      </c>
      <c r="BT14" s="33" t="n">
        <v>0</v>
      </c>
      <c r="BU14" s="33" t="n">
        <v>0</v>
      </c>
      <c r="BV14" s="33" t="n">
        <v>0</v>
      </c>
      <c r="BW14" s="33" t="n">
        <v>0</v>
      </c>
      <c r="BX14" s="33" t="n">
        <v>0</v>
      </c>
      <c r="BY14" s="33" t="n">
        <v>0</v>
      </c>
      <c r="BZ14" s="33" t="n">
        <v>0</v>
      </c>
      <c r="CA14" s="33" t="n">
        <v>0</v>
      </c>
      <c r="CB14" s="33" t="n">
        <v>0</v>
      </c>
      <c r="CC14" s="33" t="n">
        <v>0</v>
      </c>
      <c r="CD14" s="33" t="n">
        <v>0</v>
      </c>
      <c r="CE14" s="33" t="n">
        <v>0</v>
      </c>
      <c r="CF14" s="33" t="n">
        <v>0</v>
      </c>
      <c r="CG14" s="33" t="n">
        <v>0</v>
      </c>
      <c r="CH14" s="33" t="n">
        <v>0</v>
      </c>
      <c r="CI14" s="33" t="n">
        <v>0</v>
      </c>
      <c r="CJ14" s="33" t="n">
        <v>0</v>
      </c>
      <c r="CK14" s="33" t="n">
        <v>0</v>
      </c>
      <c r="CL14" s="33" t="n">
        <v>0</v>
      </c>
      <c r="CM14" s="33" t="n">
        <v>0</v>
      </c>
      <c r="CN14" s="33" t="n">
        <v>0</v>
      </c>
      <c r="CO14" s="33" t="n">
        <v>0</v>
      </c>
      <c r="CP14" s="33" t="n">
        <v>0</v>
      </c>
      <c r="CQ14" s="33" t="n">
        <v>0</v>
      </c>
      <c r="CR14" s="33" t="n">
        <v>0</v>
      </c>
      <c r="CS14" s="33" t="n">
        <v>0</v>
      </c>
      <c r="CT14" s="33" t="n">
        <v>0</v>
      </c>
      <c r="CU14" s="33" t="n">
        <v>0</v>
      </c>
      <c r="CV14" s="33" t="n">
        <v>0</v>
      </c>
      <c r="CW14" s="33" t="n">
        <v>0</v>
      </c>
      <c r="CX14" s="33" t="n">
        <v>0</v>
      </c>
      <c r="CY14" s="33" t="n">
        <v>0</v>
      </c>
      <c r="CZ14" s="33" t="n">
        <v>0</v>
      </c>
      <c r="DA14" s="33" t="n">
        <v>0</v>
      </c>
      <c r="DB14" s="33" t="n">
        <v>0</v>
      </c>
      <c r="DC14" s="33" t="n">
        <v>0</v>
      </c>
      <c r="DD14" s="33" t="n">
        <v>0</v>
      </c>
      <c r="DE14" s="33" t="n">
        <v>0</v>
      </c>
      <c r="DF14" s="33" t="n">
        <v>0</v>
      </c>
      <c r="DG14" s="33" t="n">
        <v>0</v>
      </c>
      <c r="DH14" s="33" t="n">
        <v>0</v>
      </c>
      <c r="DI14" s="33" t="n">
        <v>0</v>
      </c>
      <c r="DJ14" s="33" t="n">
        <v>0</v>
      </c>
      <c r="DK14" s="33" t="n">
        <v>0</v>
      </c>
      <c r="DL14" s="33" t="n">
        <v>0</v>
      </c>
      <c r="DM14" s="33" t="n">
        <v>0</v>
      </c>
      <c r="DN14" s="33" t="n">
        <v>0</v>
      </c>
      <c r="DO14" s="33" t="n">
        <v>0</v>
      </c>
      <c r="DP14" s="33" t="n">
        <v>0</v>
      </c>
      <c r="DQ14" s="33" t="n">
        <v>0</v>
      </c>
      <c r="DR14" s="33" t="n">
        <v>0</v>
      </c>
      <c r="DS14" s="33" t="n">
        <v>0</v>
      </c>
      <c r="DT14" s="33" t="n">
        <v>0</v>
      </c>
      <c r="DU14" s="33" t="n">
        <v>0</v>
      </c>
      <c r="DV14" s="33" t="n">
        <v>0</v>
      </c>
      <c r="DW14" s="33" t="n">
        <v>0</v>
      </c>
      <c r="DX14" s="33" t="n">
        <v>0</v>
      </c>
      <c r="DY14" s="33" t="n">
        <v>0</v>
      </c>
      <c r="DZ14" s="33" t="n">
        <v>0</v>
      </c>
      <c r="EA14" s="33" t="n">
        <v>0</v>
      </c>
      <c r="EB14" s="33" t="n">
        <v>0</v>
      </c>
      <c r="EC14" s="33" t="n">
        <v>0</v>
      </c>
      <c r="ED14" s="33" t="n">
        <v>0</v>
      </c>
      <c r="EE14" s="33" t="n">
        <v>0</v>
      </c>
      <c r="EF14" s="33" t="n">
        <v>0</v>
      </c>
      <c r="EG14" s="33" t="n">
        <v>0</v>
      </c>
      <c r="EH14" s="33" t="n">
        <v>0</v>
      </c>
      <c r="EI14" s="33" t="n">
        <v>0</v>
      </c>
      <c r="EJ14" s="33" t="n">
        <v>0</v>
      </c>
      <c r="EK14" s="33" t="n">
        <v>0</v>
      </c>
      <c r="EL14" s="33" t="n">
        <v>0</v>
      </c>
      <c r="EM14" s="33" t="n">
        <v>0</v>
      </c>
      <c r="EN14" s="33" t="n">
        <v>0</v>
      </c>
      <c r="EO14" s="33" t="n">
        <v>0</v>
      </c>
      <c r="EP14" s="33" t="n">
        <v>0</v>
      </c>
      <c r="EQ14" s="33" t="n">
        <v>0</v>
      </c>
      <c r="ER14" s="33" t="n">
        <v>0</v>
      </c>
      <c r="ES14" s="33" t="n">
        <v>0</v>
      </c>
      <c r="ET14" s="33" t="n">
        <v>0</v>
      </c>
      <c r="EU14" s="33" t="n">
        <v>0</v>
      </c>
      <c r="EV14" s="33" t="n">
        <v>0</v>
      </c>
      <c r="EW14" s="33" t="n">
        <v>0</v>
      </c>
      <c r="EX14" s="33" t="n">
        <v>0</v>
      </c>
      <c r="EY14" s="33" t="n">
        <v>0</v>
      </c>
      <c r="EZ14" s="33" t="n">
        <v>0</v>
      </c>
      <c r="FA14" s="33" t="n">
        <v>0</v>
      </c>
      <c r="FB14" s="33" t="n">
        <v>0</v>
      </c>
      <c r="FC14" s="33" t="n">
        <v>0</v>
      </c>
      <c r="FD14" s="33" t="n">
        <v>0</v>
      </c>
      <c r="FE14" s="33" t="n">
        <v>0</v>
      </c>
      <c r="FF14" s="33" t="n">
        <v>0</v>
      </c>
      <c r="FG14" s="33" t="n">
        <v>0</v>
      </c>
      <c r="FH14" s="33" t="n">
        <v>0</v>
      </c>
      <c r="FI14" s="33" t="n">
        <v>0</v>
      </c>
      <c r="FJ14" s="33" t="n">
        <v>0</v>
      </c>
      <c r="FK14" s="33" t="n">
        <v>0</v>
      </c>
      <c r="FL14" s="33" t="n">
        <v>0</v>
      </c>
      <c r="FM14" s="33" t="n">
        <v>0</v>
      </c>
      <c r="FN14" s="33" t="n">
        <v>0</v>
      </c>
      <c r="FO14" s="33" t="n">
        <v>0</v>
      </c>
      <c r="FP14" s="33" t="n">
        <v>0</v>
      </c>
      <c r="FQ14" s="33" t="n">
        <v>0</v>
      </c>
      <c r="FR14" s="33" t="n">
        <v>0</v>
      </c>
      <c r="FS14" s="33" t="n">
        <v>0</v>
      </c>
      <c r="FT14" s="33" t="n">
        <v>0</v>
      </c>
      <c r="FU14" s="33" t="n">
        <v>0</v>
      </c>
      <c r="FV14" s="33" t="n">
        <v>0</v>
      </c>
      <c r="FW14" s="33" t="n">
        <v>0</v>
      </c>
      <c r="FX14" s="33" t="n">
        <v>0</v>
      </c>
      <c r="FY14" s="33" t="n">
        <v>0</v>
      </c>
      <c r="FZ14" s="33" t="n">
        <v>0</v>
      </c>
      <c r="GA14" s="33" t="n">
        <v>0</v>
      </c>
      <c r="GB14" s="33" t="n">
        <v>0</v>
      </c>
      <c r="GC14" s="33" t="n">
        <v>0</v>
      </c>
      <c r="GD14" s="33" t="n">
        <v>0</v>
      </c>
      <c r="GE14" s="33" t="n">
        <v>0</v>
      </c>
      <c r="GF14" s="33" t="n">
        <v>0</v>
      </c>
      <c r="GG14" s="33" t="n">
        <v>0</v>
      </c>
      <c r="GH14" s="33" t="n">
        <v>0</v>
      </c>
      <c r="GI14" s="33" t="n">
        <v>0</v>
      </c>
      <c r="GJ14" s="33" t="n">
        <v>0</v>
      </c>
      <c r="GK14" s="33" t="n">
        <v>0</v>
      </c>
      <c r="GL14" s="33" t="n">
        <v>0</v>
      </c>
      <c r="GM14" s="33" t="n">
        <v>0</v>
      </c>
      <c r="GN14" s="33" t="n">
        <v>0</v>
      </c>
      <c r="GO14" s="33" t="n">
        <v>0</v>
      </c>
      <c r="GP14" s="33" t="n">
        <v>0</v>
      </c>
      <c r="GQ14" s="33" t="n">
        <v>0</v>
      </c>
      <c r="GR14" s="33" t="n">
        <v>0</v>
      </c>
      <c r="GS14" s="33" t="n">
        <v>0</v>
      </c>
      <c r="GT14" s="33" t="n">
        <v>0</v>
      </c>
      <c r="GU14" s="33" t="n">
        <v>0</v>
      </c>
      <c r="GV14" s="33" t="n">
        <v>0</v>
      </c>
      <c r="GW14" s="33" t="n">
        <v>0</v>
      </c>
      <c r="GX14" s="33" t="n">
        <v>0</v>
      </c>
      <c r="GY14" s="33" t="n">
        <v>0</v>
      </c>
      <c r="GZ14" s="33" t="n">
        <v>0</v>
      </c>
      <c r="HA14" s="33" t="n">
        <v>0</v>
      </c>
      <c r="HB14" s="33" t="n">
        <v>0</v>
      </c>
      <c r="HC14" s="33" t="n">
        <v>0</v>
      </c>
      <c r="HD14" s="33" t="n">
        <v>0</v>
      </c>
      <c r="HE14" s="33" t="n">
        <v>0</v>
      </c>
      <c r="HF14" s="33" t="n">
        <v>0</v>
      </c>
      <c r="HG14" s="33" t="n">
        <v>0</v>
      </c>
      <c r="HH14" s="33" t="n">
        <v>0</v>
      </c>
      <c r="HI14" s="33" t="n">
        <v>0</v>
      </c>
      <c r="HJ14" s="33" t="n">
        <v>0</v>
      </c>
      <c r="HK14" s="33" t="n">
        <v>0</v>
      </c>
      <c r="HL14" s="33" t="n">
        <v>0</v>
      </c>
      <c r="HM14" s="33" t="n">
        <v>0</v>
      </c>
      <c r="HN14" s="33" t="n">
        <v>0</v>
      </c>
      <c r="HO14" s="33" t="n">
        <v>0</v>
      </c>
      <c r="HP14" s="33" t="n">
        <v>0</v>
      </c>
      <c r="HQ14" s="33" t="n">
        <v>0</v>
      </c>
      <c r="HR14" s="33" t="n">
        <v>0</v>
      </c>
      <c r="HS14" s="33" t="n">
        <v>0</v>
      </c>
      <c r="HT14" s="33" t="n">
        <v>0</v>
      </c>
      <c r="HU14" s="33" t="n">
        <v>0</v>
      </c>
      <c r="HV14" s="33" t="n">
        <v>0</v>
      </c>
      <c r="HW14" s="33" t="n">
        <v>0</v>
      </c>
      <c r="HX14" s="33" t="n">
        <v>0</v>
      </c>
      <c r="HY14" s="33" t="n">
        <v>0</v>
      </c>
      <c r="HZ14" s="33" t="n">
        <v>0</v>
      </c>
      <c r="IA14" s="33" t="n">
        <v>0</v>
      </c>
      <c r="IB14" s="33" t="n">
        <v>0</v>
      </c>
      <c r="IC14" s="33" t="n">
        <v>0</v>
      </c>
      <c r="ID14" s="33" t="n">
        <v>0</v>
      </c>
      <c r="IE14" s="33" t="n">
        <v>0</v>
      </c>
      <c r="IF14" s="33" t="n">
        <v>0</v>
      </c>
      <c r="IG14" s="33" t="n">
        <v>0</v>
      </c>
      <c r="IH14" s="33" t="n">
        <v>0</v>
      </c>
      <c r="II14" s="33" t="n">
        <v>0</v>
      </c>
      <c r="IJ14" s="33" t="n">
        <v>0</v>
      </c>
      <c r="IK14" s="33" t="n">
        <v>0</v>
      </c>
      <c r="IL14" s="33" t="n">
        <v>0</v>
      </c>
      <c r="IM14" s="33" t="n">
        <v>0</v>
      </c>
      <c r="IN14" s="33" t="n">
        <v>0</v>
      </c>
      <c r="IO14" s="33" t="n">
        <v>0</v>
      </c>
      <c r="IP14" s="33" t="n">
        <v>0</v>
      </c>
      <c r="IQ14" s="33" t="n">
        <v>0</v>
      </c>
      <c r="IR14" s="33" t="n">
        <v>0</v>
      </c>
      <c r="IS14" s="33" t="n">
        <v>0</v>
      </c>
      <c r="IT14" s="33" t="n">
        <v>0</v>
      </c>
      <c r="IU14" s="33" t="n">
        <v>0</v>
      </c>
      <c r="IV14" s="33" t="n">
        <v>0</v>
      </c>
      <c r="IW14" s="33" t="n">
        <v>0</v>
      </c>
      <c r="IX14" s="33" t="n">
        <v>0</v>
      </c>
      <c r="IY14" s="33" t="n">
        <v>0</v>
      </c>
      <c r="IZ14" s="33" t="n">
        <v>0</v>
      </c>
      <c r="JA14" s="33" t="n">
        <v>0</v>
      </c>
      <c r="JB14" s="33" t="n">
        <v>0</v>
      </c>
      <c r="JC14" s="33" t="n">
        <v>0</v>
      </c>
      <c r="JD14" s="33" t="n">
        <v>0</v>
      </c>
      <c r="JE14" s="33" t="n">
        <v>0</v>
      </c>
      <c r="JF14" s="33" t="n">
        <v>0</v>
      </c>
      <c r="JG14" s="33" t="n">
        <v>0</v>
      </c>
      <c r="JH14" s="33" t="n">
        <v>0</v>
      </c>
      <c r="JI14" s="33" t="n">
        <v>0</v>
      </c>
      <c r="JJ14" s="33" t="n">
        <v>0</v>
      </c>
      <c r="JK14" s="33" t="n">
        <v>0</v>
      </c>
      <c r="JL14" s="33" t="n">
        <v>0</v>
      </c>
      <c r="JM14" s="33" t="n">
        <v>0</v>
      </c>
      <c r="JN14" s="33" t="n">
        <v>0</v>
      </c>
      <c r="JO14" s="33" t="n">
        <v>0</v>
      </c>
      <c r="JP14" s="33" t="n">
        <v>0</v>
      </c>
      <c r="JQ14" s="33" t="n">
        <v>0</v>
      </c>
      <c r="JR14" s="33" t="n">
        <v>0</v>
      </c>
      <c r="JS14" s="33" t="n">
        <v>0</v>
      </c>
      <c r="JT14" s="33" t="n">
        <v>0</v>
      </c>
      <c r="JU14" s="33" t="n">
        <v>0</v>
      </c>
      <c r="JV14" s="33" t="n">
        <v>0</v>
      </c>
      <c r="JW14" s="33" t="n">
        <v>0</v>
      </c>
      <c r="JX14" s="33" t="n">
        <v>0</v>
      </c>
      <c r="JY14" s="33" t="n">
        <v>0</v>
      </c>
      <c r="JZ14" s="33" t="n">
        <v>0</v>
      </c>
      <c r="KA14" s="33" t="n">
        <v>0</v>
      </c>
      <c r="KB14" s="33" t="n">
        <v>0</v>
      </c>
      <c r="KC14" s="33" t="n">
        <v>0</v>
      </c>
      <c r="KD14" s="33" t="n">
        <v>0</v>
      </c>
      <c r="KE14" s="33" t="n">
        <v>0</v>
      </c>
      <c r="KF14" s="33" t="n">
        <v>0</v>
      </c>
      <c r="KG14" s="33" t="n">
        <v>0</v>
      </c>
      <c r="KH14" s="33" t="n">
        <v>0</v>
      </c>
      <c r="KI14" s="33" t="n">
        <v>0</v>
      </c>
      <c r="KJ14" s="33" t="n">
        <v>0</v>
      </c>
      <c r="KK14" s="33" t="n">
        <v>0</v>
      </c>
      <c r="KL14" s="33" t="n">
        <v>0</v>
      </c>
      <c r="KM14" s="33" t="n">
        <v>0</v>
      </c>
      <c r="KN14" s="33" t="n">
        <v>0</v>
      </c>
      <c r="KO14" s="33" t="n">
        <v>0</v>
      </c>
      <c r="KP14" s="33" t="n">
        <v>0</v>
      </c>
      <c r="KQ14" s="33" t="n">
        <v>0</v>
      </c>
      <c r="KR14" s="33" t="n">
        <v>0</v>
      </c>
      <c r="KS14" s="33" t="n">
        <v>0</v>
      </c>
      <c r="KT14" s="33" t="n">
        <v>0</v>
      </c>
      <c r="KU14" s="33" t="n">
        <v>0</v>
      </c>
      <c r="KV14" s="33" t="n">
        <v>0</v>
      </c>
      <c r="KW14" s="33" t="n">
        <v>0</v>
      </c>
      <c r="KX14" s="33" t="n">
        <v>0</v>
      </c>
      <c r="KY14" s="33" t="n">
        <v>0</v>
      </c>
      <c r="KZ14" s="33" t="n">
        <v>0</v>
      </c>
      <c r="LA14" s="33" t="n">
        <v>0</v>
      </c>
      <c r="LB14" s="33" t="n">
        <v>0</v>
      </c>
      <c r="LC14" s="33" t="n">
        <v>0</v>
      </c>
      <c r="LD14" s="33" t="n">
        <v>0</v>
      </c>
      <c r="LE14" s="33" t="n">
        <v>0</v>
      </c>
      <c r="LF14" s="33" t="n">
        <v>0</v>
      </c>
      <c r="LG14" s="33" t="n">
        <v>0</v>
      </c>
      <c r="LH14" s="33" t="n">
        <v>0</v>
      </c>
      <c r="LI14" s="33" t="n">
        <v>0</v>
      </c>
      <c r="LJ14" s="33" t="n">
        <v>0</v>
      </c>
      <c r="LK14" s="33" t="n">
        <v>0</v>
      </c>
      <c r="LL14" s="33" t="n">
        <v>0</v>
      </c>
      <c r="LM14" s="33" t="n">
        <v>0</v>
      </c>
      <c r="LN14" s="33" t="n">
        <v>0</v>
      </c>
      <c r="LO14" s="33" t="n">
        <v>0</v>
      </c>
      <c r="LP14" s="33" t="n">
        <v>0</v>
      </c>
      <c r="LQ14" s="33" t="n">
        <v>0</v>
      </c>
      <c r="LR14" s="33" t="n">
        <v>0</v>
      </c>
      <c r="LS14" s="33" t="n">
        <v>0</v>
      </c>
      <c r="LT14" s="33" t="n">
        <v>0</v>
      </c>
      <c r="LU14" s="33" t="n">
        <v>0</v>
      </c>
      <c r="LV14" s="33" t="n">
        <v>0</v>
      </c>
      <c r="LW14" s="33" t="n">
        <v>0</v>
      </c>
      <c r="LX14" s="33" t="n">
        <v>0</v>
      </c>
      <c r="LY14" s="33" t="n">
        <v>0</v>
      </c>
      <c r="LZ14" s="33" t="n">
        <v>0</v>
      </c>
      <c r="MA14" s="33" t="n">
        <v>0</v>
      </c>
      <c r="MB14" s="33" t="n">
        <v>0</v>
      </c>
      <c r="MC14" s="33" t="n">
        <v>0</v>
      </c>
      <c r="MD14" s="33" t="n">
        <v>0</v>
      </c>
      <c r="ME14" s="33" t="n">
        <v>0</v>
      </c>
      <c r="MF14" s="33" t="n">
        <v>0</v>
      </c>
      <c r="MG14" s="33" t="n">
        <v>0</v>
      </c>
      <c r="MH14" s="33" t="n">
        <v>0</v>
      </c>
      <c r="MI14" s="33" t="n">
        <v>0</v>
      </c>
      <c r="MJ14" s="33" t="n">
        <v>0</v>
      </c>
      <c r="MK14" s="33" t="n">
        <v>0</v>
      </c>
      <c r="ML14" s="33" t="n">
        <v>0</v>
      </c>
      <c r="MM14" s="33" t="n">
        <v>0</v>
      </c>
      <c r="MN14" s="33" t="n">
        <v>0</v>
      </c>
      <c r="MO14" s="33" t="n">
        <v>0</v>
      </c>
      <c r="MP14" s="33" t="n">
        <v>0</v>
      </c>
      <c r="MQ14" s="33" t="n">
        <v>0</v>
      </c>
      <c r="MR14" s="33" t="n">
        <v>0</v>
      </c>
      <c r="MS14" s="33" t="n">
        <v>0</v>
      </c>
      <c r="MT14" s="33" t="n">
        <v>0</v>
      </c>
      <c r="MU14" s="33" t="n">
        <v>0</v>
      </c>
      <c r="MV14" s="33" t="n">
        <v>0</v>
      </c>
      <c r="MW14" s="33" t="n">
        <v>0</v>
      </c>
      <c r="MX14" s="33" t="n">
        <v>0</v>
      </c>
      <c r="MY14" s="33" t="n">
        <v>0</v>
      </c>
      <c r="MZ14" s="33" t="n">
        <v>0</v>
      </c>
      <c r="NA14" s="33" t="n">
        <v>0</v>
      </c>
      <c r="NB14" s="33" t="n">
        <v>0</v>
      </c>
      <c r="NC14" s="33" t="n">
        <v>0</v>
      </c>
      <c r="ND14" s="33" t="n">
        <v>0</v>
      </c>
      <c r="NE14" s="33" t="n">
        <v>0</v>
      </c>
      <c r="NF14" s="33" t="n">
        <v>0</v>
      </c>
      <c r="NG14" s="33" t="n">
        <v>0</v>
      </c>
      <c r="NH14" s="33" t="n">
        <v>0</v>
      </c>
      <c r="NI14" s="33" t="n">
        <v>0</v>
      </c>
      <c r="NJ14" s="33" t="n">
        <v>0</v>
      </c>
      <c r="NK14" s="33" t="n">
        <v>0</v>
      </c>
      <c r="NL14" s="33" t="n">
        <v>0</v>
      </c>
      <c r="NM14" s="33" t="n">
        <v>0</v>
      </c>
      <c r="NN14" s="33" t="n">
        <v>0</v>
      </c>
      <c r="NO14" s="33" t="n">
        <v>0</v>
      </c>
      <c r="NP14" s="33" t="n">
        <v>0</v>
      </c>
      <c r="NQ14" s="33" t="n">
        <v>0</v>
      </c>
      <c r="NR14" s="33" t="n">
        <v>0</v>
      </c>
      <c r="NS14" s="33" t="n">
        <v>0</v>
      </c>
      <c r="NT14" s="33" t="n">
        <v>0</v>
      </c>
      <c r="NU14" s="33" t="n">
        <v>0</v>
      </c>
      <c r="NV14" s="33" t="n">
        <v>0</v>
      </c>
      <c r="NW14" s="33" t="n">
        <v>0</v>
      </c>
      <c r="NX14" s="33" t="n">
        <v>0</v>
      </c>
      <c r="NY14" s="33" t="n">
        <v>0</v>
      </c>
      <c r="NZ14" s="33" t="n">
        <v>0</v>
      </c>
      <c r="OA14" s="33" t="n">
        <v>0</v>
      </c>
      <c r="OB14" s="33" t="n">
        <v>0</v>
      </c>
      <c r="OC14" s="33" t="n">
        <v>0</v>
      </c>
      <c r="OD14" s="33" t="n">
        <v>0</v>
      </c>
      <c r="OE14" s="33" t="n">
        <v>0</v>
      </c>
      <c r="OF14" s="33" t="n">
        <v>0</v>
      </c>
      <c r="OG14" s="33" t="n">
        <v>0</v>
      </c>
      <c r="OH14" s="33" t="n">
        <v>0</v>
      </c>
      <c r="OI14" s="33" t="n">
        <v>0</v>
      </c>
      <c r="OJ14" s="33" t="n">
        <v>0</v>
      </c>
      <c r="OK14" s="33" t="n">
        <v>0</v>
      </c>
      <c r="OL14" s="33" t="n">
        <v>0</v>
      </c>
      <c r="OM14" s="33" t="n">
        <v>0</v>
      </c>
      <c r="ON14" s="33" t="n">
        <v>0</v>
      </c>
      <c r="OO14" s="33" t="n">
        <v>0</v>
      </c>
      <c r="OP14" s="33" t="n">
        <v>0</v>
      </c>
      <c r="OQ14" s="33" t="n">
        <v>0</v>
      </c>
      <c r="OR14" s="33" t="n">
        <v>0</v>
      </c>
      <c r="OS14" s="33" t="n">
        <v>0</v>
      </c>
      <c r="OT14" s="33" t="n">
        <v>0</v>
      </c>
      <c r="OU14" s="33" t="n">
        <v>0</v>
      </c>
      <c r="OV14" s="33" t="n">
        <v>0</v>
      </c>
      <c r="OW14" s="33" t="n">
        <v>0</v>
      </c>
      <c r="OX14" s="33" t="n">
        <v>0</v>
      </c>
      <c r="OY14" s="33" t="n">
        <v>0</v>
      </c>
      <c r="OZ14" s="33" t="n">
        <v>0</v>
      </c>
      <c r="PA14" s="33" t="n">
        <v>0</v>
      </c>
      <c r="PB14" s="33" t="n">
        <v>0</v>
      </c>
      <c r="PC14" s="33" t="n">
        <v>0</v>
      </c>
      <c r="PD14" s="33" t="n">
        <v>0</v>
      </c>
      <c r="PE14" s="33" t="n">
        <v>0</v>
      </c>
      <c r="PF14" s="33" t="n">
        <v>0</v>
      </c>
      <c r="PG14" s="33" t="n">
        <v>0</v>
      </c>
      <c r="PH14" s="33" t="n">
        <v>0</v>
      </c>
      <c r="PI14" s="33" t="n">
        <v>0</v>
      </c>
      <c r="PJ14" s="33" t="n">
        <v>0</v>
      </c>
      <c r="PK14" s="33" t="n">
        <v>0</v>
      </c>
      <c r="PL14" s="33" t="n">
        <v>0</v>
      </c>
      <c r="PM14" s="33" t="n">
        <v>0</v>
      </c>
      <c r="PN14" s="33" t="n">
        <v>0</v>
      </c>
      <c r="PO14" s="33" t="n">
        <v>0</v>
      </c>
      <c r="PP14" s="33" t="n">
        <v>0</v>
      </c>
      <c r="PQ14" s="33" t="n">
        <v>0</v>
      </c>
      <c r="PR14" s="33" t="n">
        <v>0</v>
      </c>
      <c r="PS14" s="33" t="n">
        <v>0</v>
      </c>
      <c r="PT14" s="33" t="n">
        <v>0</v>
      </c>
      <c r="PU14" s="33" t="n">
        <v>0</v>
      </c>
      <c r="PV14" s="33" t="n">
        <v>0</v>
      </c>
      <c r="PW14" s="33" t="n">
        <v>0</v>
      </c>
      <c r="PX14" s="33" t="n">
        <v>0</v>
      </c>
      <c r="PY14" s="33" t="n">
        <v>0</v>
      </c>
      <c r="PZ14" s="33" t="n">
        <v>0</v>
      </c>
      <c r="QA14" s="33" t="n">
        <v>0</v>
      </c>
      <c r="QB14" s="33" t="n">
        <v>0</v>
      </c>
      <c r="QC14" s="33" t="n">
        <v>0</v>
      </c>
      <c r="QD14" s="33" t="n">
        <v>0</v>
      </c>
      <c r="QE14" s="33" t="n">
        <v>0</v>
      </c>
      <c r="QF14" s="33" t="n">
        <v>0</v>
      </c>
      <c r="QG14" s="33" t="n">
        <v>0</v>
      </c>
      <c r="QH14" s="33" t="n">
        <v>0</v>
      </c>
      <c r="QI14" s="33" t="n">
        <v>0</v>
      </c>
      <c r="QJ14" s="33" t="n">
        <v>0</v>
      </c>
      <c r="QK14" s="33" t="n">
        <v>0</v>
      </c>
      <c r="QL14" s="33" t="n">
        <v>0</v>
      </c>
      <c r="QM14" s="33" t="n">
        <v>0</v>
      </c>
      <c r="QN14" s="33" t="n">
        <v>0</v>
      </c>
      <c r="QO14" s="33" t="n">
        <v>0</v>
      </c>
      <c r="QP14" s="33" t="n">
        <v>0</v>
      </c>
      <c r="QQ14" s="33" t="n">
        <v>0</v>
      </c>
      <c r="QR14" s="33" t="n">
        <v>0</v>
      </c>
      <c r="QS14" s="33" t="n">
        <v>0</v>
      </c>
      <c r="QT14" s="33" t="n">
        <v>0</v>
      </c>
      <c r="QU14" s="33" t="n">
        <v>0</v>
      </c>
      <c r="QV14" s="33" t="n">
        <v>0</v>
      </c>
      <c r="QW14" s="33" t="n">
        <v>0</v>
      </c>
      <c r="QX14" s="33" t="n">
        <v>0</v>
      </c>
      <c r="QY14" s="33" t="n">
        <v>0</v>
      </c>
      <c r="QZ14" s="33" t="n">
        <v>0</v>
      </c>
      <c r="RA14" s="33" t="n">
        <v>0</v>
      </c>
      <c r="RB14" s="33" t="n">
        <v>0</v>
      </c>
      <c r="RC14" s="33" t="n">
        <v>0</v>
      </c>
      <c r="RD14" s="33" t="n">
        <v>0</v>
      </c>
      <c r="RE14" s="33" t="n">
        <v>0</v>
      </c>
      <c r="RF14" s="33" t="n">
        <v>0</v>
      </c>
      <c r="RG14" s="33" t="n">
        <v>0</v>
      </c>
      <c r="RH14" s="33" t="n">
        <v>0</v>
      </c>
      <c r="RI14" s="33" t="n">
        <v>0</v>
      </c>
      <c r="RJ14" s="33" t="n">
        <v>0</v>
      </c>
      <c r="RK14" s="33" t="n">
        <v>0</v>
      </c>
      <c r="RL14" s="33" t="n">
        <v>0</v>
      </c>
      <c r="RM14" s="33" t="n">
        <v>0</v>
      </c>
      <c r="RN14" s="33" t="n">
        <v>0</v>
      </c>
      <c r="RO14" s="33" t="n">
        <v>0</v>
      </c>
      <c r="RP14" s="33" t="n">
        <v>0</v>
      </c>
      <c r="RQ14" s="33" t="n">
        <v>0</v>
      </c>
      <c r="RR14" s="33" t="n">
        <v>0</v>
      </c>
      <c r="RS14" s="33" t="n">
        <v>0</v>
      </c>
      <c r="RT14" s="33" t="n">
        <v>0</v>
      </c>
      <c r="RU14" s="33" t="n">
        <v>0</v>
      </c>
      <c r="RV14" s="33" t="n">
        <v>0</v>
      </c>
      <c r="RW14" s="33" t="n">
        <v>0</v>
      </c>
    </row>
    <row r="15" hidden="1" outlineLevel="1" ht="13.05" customHeight="1">
      <c r="E15" s="21" t="inlineStr">
        <is>
          <t>PPA Capture Compensation</t>
        </is>
      </c>
      <c r="F15" s="29" t="n"/>
      <c r="G15" s="29" t="inlineStr">
        <is>
          <t>kEUR</t>
        </is>
      </c>
      <c r="H15" s="29" t="n"/>
      <c r="I15" s="29" t="n"/>
      <c r="J15" s="32" t="n">
        <v>0</v>
      </c>
      <c r="K15" s="29" t="n"/>
      <c r="L15" s="33" t="n">
        <v>0</v>
      </c>
      <c r="M15" s="33" t="n">
        <v>0</v>
      </c>
      <c r="N15" s="33" t="n">
        <v>0</v>
      </c>
      <c r="O15" s="33" t="n">
        <v>0</v>
      </c>
      <c r="P15" s="33" t="n">
        <v>0</v>
      </c>
      <c r="Q15" s="33" t="n">
        <v>0</v>
      </c>
      <c r="R15" s="33" t="n">
        <v>0</v>
      </c>
      <c r="S15" s="33" t="n">
        <v>0</v>
      </c>
      <c r="T15" s="33" t="n">
        <v>0</v>
      </c>
      <c r="U15" s="33" t="n">
        <v>0</v>
      </c>
      <c r="V15" s="33" t="n">
        <v>0</v>
      </c>
      <c r="W15" s="33" t="n">
        <v>0</v>
      </c>
      <c r="X15" s="33" t="n">
        <v>0</v>
      </c>
      <c r="Y15" s="33" t="n">
        <v>0</v>
      </c>
      <c r="Z15" s="33" t="n">
        <v>0</v>
      </c>
      <c r="AA15" s="33" t="n">
        <v>0</v>
      </c>
      <c r="AB15" s="33" t="n">
        <v>0</v>
      </c>
      <c r="AC15" s="33" t="n">
        <v>0</v>
      </c>
      <c r="AD15" s="33" t="n">
        <v>0</v>
      </c>
      <c r="AE15" s="33" t="n">
        <v>0</v>
      </c>
      <c r="AF15" s="33" t="n">
        <v>0</v>
      </c>
      <c r="AG15" s="33" t="n">
        <v>0</v>
      </c>
      <c r="AH15" s="33" t="n">
        <v>0</v>
      </c>
      <c r="AI15" s="33" t="n">
        <v>0</v>
      </c>
      <c r="AJ15" s="33" t="n">
        <v>0</v>
      </c>
      <c r="AK15" s="33" t="n">
        <v>0</v>
      </c>
      <c r="AL15" s="33" t="n">
        <v>0</v>
      </c>
      <c r="AM15" s="33" t="n">
        <v>0</v>
      </c>
      <c r="AN15" s="33" t="n">
        <v>0</v>
      </c>
      <c r="AO15" s="33" t="n">
        <v>0</v>
      </c>
      <c r="AP15" s="33" t="n">
        <v>0</v>
      </c>
      <c r="AQ15" s="33" t="n">
        <v>0</v>
      </c>
      <c r="AR15" s="33" t="n">
        <v>0</v>
      </c>
      <c r="AS15" s="33" t="n">
        <v>0</v>
      </c>
      <c r="AT15" s="33" t="n">
        <v>0</v>
      </c>
      <c r="AU15" s="33" t="n">
        <v>0</v>
      </c>
      <c r="AV15" s="33" t="n">
        <v>0</v>
      </c>
      <c r="AW15" s="33" t="n">
        <v>0</v>
      </c>
      <c r="AX15" s="33" t="n">
        <v>0</v>
      </c>
      <c r="AY15" s="33" t="n">
        <v>0</v>
      </c>
      <c r="AZ15" s="33" t="n">
        <v>0</v>
      </c>
      <c r="BA15" s="33" t="n">
        <v>0</v>
      </c>
      <c r="BB15" s="33" t="n">
        <v>0</v>
      </c>
      <c r="BC15" s="33" t="n">
        <v>0</v>
      </c>
      <c r="BD15" s="33" t="n">
        <v>0</v>
      </c>
      <c r="BE15" s="33" t="n">
        <v>0</v>
      </c>
      <c r="BF15" s="33" t="n">
        <v>0</v>
      </c>
      <c r="BG15" s="33" t="n">
        <v>0</v>
      </c>
      <c r="BH15" s="33" t="n">
        <v>0</v>
      </c>
      <c r="BI15" s="33" t="n">
        <v>0</v>
      </c>
      <c r="BJ15" s="33" t="n">
        <v>0</v>
      </c>
      <c r="BK15" s="33" t="n">
        <v>0</v>
      </c>
      <c r="BL15" s="33" t="n">
        <v>0</v>
      </c>
      <c r="BM15" s="33" t="n">
        <v>0</v>
      </c>
      <c r="BN15" s="33" t="n">
        <v>0</v>
      </c>
      <c r="BO15" s="33" t="n">
        <v>0</v>
      </c>
      <c r="BP15" s="33" t="n">
        <v>0</v>
      </c>
      <c r="BQ15" s="33" t="n">
        <v>0</v>
      </c>
      <c r="BR15" s="33" t="n">
        <v>0</v>
      </c>
      <c r="BS15" s="33" t="n">
        <v>0</v>
      </c>
      <c r="BT15" s="33" t="n">
        <v>0</v>
      </c>
      <c r="BU15" s="33" t="n">
        <v>0</v>
      </c>
      <c r="BV15" s="33" t="n">
        <v>0</v>
      </c>
      <c r="BW15" s="33" t="n">
        <v>0</v>
      </c>
      <c r="BX15" s="33" t="n">
        <v>0</v>
      </c>
      <c r="BY15" s="33" t="n">
        <v>0</v>
      </c>
      <c r="BZ15" s="33" t="n">
        <v>0</v>
      </c>
      <c r="CA15" s="33" t="n">
        <v>0</v>
      </c>
      <c r="CB15" s="33" t="n">
        <v>0</v>
      </c>
      <c r="CC15" s="33" t="n">
        <v>0</v>
      </c>
      <c r="CD15" s="33" t="n">
        <v>0</v>
      </c>
      <c r="CE15" s="33" t="n">
        <v>0</v>
      </c>
      <c r="CF15" s="33" t="n">
        <v>0</v>
      </c>
      <c r="CG15" s="33" t="n">
        <v>0</v>
      </c>
      <c r="CH15" s="33" t="n">
        <v>0</v>
      </c>
      <c r="CI15" s="33" t="n">
        <v>0</v>
      </c>
      <c r="CJ15" s="33" t="n">
        <v>0</v>
      </c>
      <c r="CK15" s="33" t="n">
        <v>0</v>
      </c>
      <c r="CL15" s="33" t="n">
        <v>0</v>
      </c>
      <c r="CM15" s="33" t="n">
        <v>0</v>
      </c>
      <c r="CN15" s="33" t="n">
        <v>0</v>
      </c>
      <c r="CO15" s="33" t="n">
        <v>0</v>
      </c>
      <c r="CP15" s="33" t="n">
        <v>0</v>
      </c>
      <c r="CQ15" s="33" t="n">
        <v>0</v>
      </c>
      <c r="CR15" s="33" t="n">
        <v>0</v>
      </c>
      <c r="CS15" s="33" t="n">
        <v>0</v>
      </c>
      <c r="CT15" s="33" t="n">
        <v>0</v>
      </c>
      <c r="CU15" s="33" t="n">
        <v>0</v>
      </c>
      <c r="CV15" s="33" t="n">
        <v>0</v>
      </c>
      <c r="CW15" s="33" t="n">
        <v>0</v>
      </c>
      <c r="CX15" s="33" t="n">
        <v>0</v>
      </c>
      <c r="CY15" s="33" t="n">
        <v>0</v>
      </c>
      <c r="CZ15" s="33" t="n">
        <v>0</v>
      </c>
      <c r="DA15" s="33" t="n">
        <v>0</v>
      </c>
      <c r="DB15" s="33" t="n">
        <v>0</v>
      </c>
      <c r="DC15" s="33" t="n">
        <v>0</v>
      </c>
      <c r="DD15" s="33" t="n">
        <v>0</v>
      </c>
      <c r="DE15" s="33" t="n">
        <v>0</v>
      </c>
      <c r="DF15" s="33" t="n">
        <v>0</v>
      </c>
      <c r="DG15" s="33" t="n">
        <v>0</v>
      </c>
      <c r="DH15" s="33" t="n">
        <v>0</v>
      </c>
      <c r="DI15" s="33" t="n">
        <v>0</v>
      </c>
      <c r="DJ15" s="33" t="n">
        <v>0</v>
      </c>
      <c r="DK15" s="33" t="n">
        <v>0</v>
      </c>
      <c r="DL15" s="33" t="n">
        <v>0</v>
      </c>
      <c r="DM15" s="33" t="n">
        <v>0</v>
      </c>
      <c r="DN15" s="33" t="n">
        <v>0</v>
      </c>
      <c r="DO15" s="33" t="n">
        <v>0</v>
      </c>
      <c r="DP15" s="33" t="n">
        <v>0</v>
      </c>
      <c r="DQ15" s="33" t="n">
        <v>0</v>
      </c>
      <c r="DR15" s="33" t="n">
        <v>0</v>
      </c>
      <c r="DS15" s="33" t="n">
        <v>0</v>
      </c>
      <c r="DT15" s="33" t="n">
        <v>0</v>
      </c>
      <c r="DU15" s="33" t="n">
        <v>0</v>
      </c>
      <c r="DV15" s="33" t="n">
        <v>0</v>
      </c>
      <c r="DW15" s="33" t="n">
        <v>0</v>
      </c>
      <c r="DX15" s="33" t="n">
        <v>0</v>
      </c>
      <c r="DY15" s="33" t="n">
        <v>0</v>
      </c>
      <c r="DZ15" s="33" t="n">
        <v>0</v>
      </c>
      <c r="EA15" s="33" t="n">
        <v>0</v>
      </c>
      <c r="EB15" s="33" t="n">
        <v>0</v>
      </c>
      <c r="EC15" s="33" t="n">
        <v>0</v>
      </c>
      <c r="ED15" s="33" t="n">
        <v>0</v>
      </c>
      <c r="EE15" s="33" t="n">
        <v>0</v>
      </c>
      <c r="EF15" s="33" t="n">
        <v>0</v>
      </c>
      <c r="EG15" s="33" t="n">
        <v>0</v>
      </c>
      <c r="EH15" s="33" t="n">
        <v>0</v>
      </c>
      <c r="EI15" s="33" t="n">
        <v>0</v>
      </c>
      <c r="EJ15" s="33" t="n">
        <v>0</v>
      </c>
      <c r="EK15" s="33" t="n">
        <v>0</v>
      </c>
      <c r="EL15" s="33" t="n">
        <v>0</v>
      </c>
      <c r="EM15" s="33" t="n">
        <v>0</v>
      </c>
      <c r="EN15" s="33" t="n">
        <v>0</v>
      </c>
      <c r="EO15" s="33" t="n">
        <v>0</v>
      </c>
      <c r="EP15" s="33" t="n">
        <v>0</v>
      </c>
      <c r="EQ15" s="33" t="n">
        <v>0</v>
      </c>
      <c r="ER15" s="33" t="n">
        <v>0</v>
      </c>
      <c r="ES15" s="33" t="n">
        <v>0</v>
      </c>
      <c r="ET15" s="33" t="n">
        <v>0</v>
      </c>
      <c r="EU15" s="33" t="n">
        <v>0</v>
      </c>
      <c r="EV15" s="33" t="n">
        <v>0</v>
      </c>
      <c r="EW15" s="33" t="n">
        <v>0</v>
      </c>
      <c r="EX15" s="33" t="n">
        <v>0</v>
      </c>
      <c r="EY15" s="33" t="n">
        <v>0</v>
      </c>
      <c r="EZ15" s="33" t="n">
        <v>0</v>
      </c>
      <c r="FA15" s="33" t="n">
        <v>0</v>
      </c>
      <c r="FB15" s="33" t="n">
        <v>0</v>
      </c>
      <c r="FC15" s="33" t="n">
        <v>0</v>
      </c>
      <c r="FD15" s="33" t="n">
        <v>0</v>
      </c>
      <c r="FE15" s="33" t="n">
        <v>0</v>
      </c>
      <c r="FF15" s="33" t="n">
        <v>0</v>
      </c>
      <c r="FG15" s="33" t="n">
        <v>0</v>
      </c>
      <c r="FH15" s="33" t="n">
        <v>0</v>
      </c>
      <c r="FI15" s="33" t="n">
        <v>0</v>
      </c>
      <c r="FJ15" s="33" t="n">
        <v>0</v>
      </c>
      <c r="FK15" s="33" t="n">
        <v>0</v>
      </c>
      <c r="FL15" s="33" t="n">
        <v>0</v>
      </c>
      <c r="FM15" s="33" t="n">
        <v>0</v>
      </c>
      <c r="FN15" s="33" t="n">
        <v>0</v>
      </c>
      <c r="FO15" s="33" t="n">
        <v>0</v>
      </c>
      <c r="FP15" s="33" t="n">
        <v>0</v>
      </c>
      <c r="FQ15" s="33" t="n">
        <v>0</v>
      </c>
      <c r="FR15" s="33" t="n">
        <v>0</v>
      </c>
      <c r="FS15" s="33" t="n">
        <v>0</v>
      </c>
      <c r="FT15" s="33" t="n">
        <v>0</v>
      </c>
      <c r="FU15" s="33" t="n">
        <v>0</v>
      </c>
      <c r="FV15" s="33" t="n">
        <v>0</v>
      </c>
      <c r="FW15" s="33" t="n">
        <v>0</v>
      </c>
      <c r="FX15" s="33" t="n">
        <v>0</v>
      </c>
      <c r="FY15" s="33" t="n">
        <v>0</v>
      </c>
      <c r="FZ15" s="33" t="n">
        <v>0</v>
      </c>
      <c r="GA15" s="33" t="n">
        <v>0</v>
      </c>
      <c r="GB15" s="33" t="n">
        <v>0</v>
      </c>
      <c r="GC15" s="33" t="n">
        <v>0</v>
      </c>
      <c r="GD15" s="33" t="n">
        <v>0</v>
      </c>
      <c r="GE15" s="33" t="n">
        <v>0</v>
      </c>
      <c r="GF15" s="33" t="n">
        <v>0</v>
      </c>
      <c r="GG15" s="33" t="n">
        <v>0</v>
      </c>
      <c r="GH15" s="33" t="n">
        <v>0</v>
      </c>
      <c r="GI15" s="33" t="n">
        <v>0</v>
      </c>
      <c r="GJ15" s="33" t="n">
        <v>0</v>
      </c>
      <c r="GK15" s="33" t="n">
        <v>0</v>
      </c>
      <c r="GL15" s="33" t="n">
        <v>0</v>
      </c>
      <c r="GM15" s="33" t="n">
        <v>0</v>
      </c>
      <c r="GN15" s="33" t="n">
        <v>0</v>
      </c>
      <c r="GO15" s="33" t="n">
        <v>0</v>
      </c>
      <c r="GP15" s="33" t="n">
        <v>0</v>
      </c>
      <c r="GQ15" s="33" t="n">
        <v>0</v>
      </c>
      <c r="GR15" s="33" t="n">
        <v>0</v>
      </c>
      <c r="GS15" s="33" t="n">
        <v>0</v>
      </c>
      <c r="GT15" s="33" t="n">
        <v>0</v>
      </c>
      <c r="GU15" s="33" t="n">
        <v>0</v>
      </c>
      <c r="GV15" s="33" t="n">
        <v>0</v>
      </c>
      <c r="GW15" s="33" t="n">
        <v>0</v>
      </c>
      <c r="GX15" s="33" t="n">
        <v>0</v>
      </c>
      <c r="GY15" s="33" t="n">
        <v>0</v>
      </c>
      <c r="GZ15" s="33" t="n">
        <v>0</v>
      </c>
      <c r="HA15" s="33" t="n">
        <v>0</v>
      </c>
      <c r="HB15" s="33" t="n">
        <v>0</v>
      </c>
      <c r="HC15" s="33" t="n">
        <v>0</v>
      </c>
      <c r="HD15" s="33" t="n">
        <v>0</v>
      </c>
      <c r="HE15" s="33" t="n">
        <v>0</v>
      </c>
      <c r="HF15" s="33" t="n">
        <v>0</v>
      </c>
      <c r="HG15" s="33" t="n">
        <v>0</v>
      </c>
      <c r="HH15" s="33" t="n">
        <v>0</v>
      </c>
      <c r="HI15" s="33" t="n">
        <v>0</v>
      </c>
      <c r="HJ15" s="33" t="n">
        <v>0</v>
      </c>
      <c r="HK15" s="33" t="n">
        <v>0</v>
      </c>
      <c r="HL15" s="33" t="n">
        <v>0</v>
      </c>
      <c r="HM15" s="33" t="n">
        <v>0</v>
      </c>
      <c r="HN15" s="33" t="n">
        <v>0</v>
      </c>
      <c r="HO15" s="33" t="n">
        <v>0</v>
      </c>
      <c r="HP15" s="33" t="n">
        <v>0</v>
      </c>
      <c r="HQ15" s="33" t="n">
        <v>0</v>
      </c>
      <c r="HR15" s="33" t="n">
        <v>0</v>
      </c>
      <c r="HS15" s="33" t="n">
        <v>0</v>
      </c>
      <c r="HT15" s="33" t="n">
        <v>0</v>
      </c>
      <c r="HU15" s="33" t="n">
        <v>0</v>
      </c>
      <c r="HV15" s="33" t="n">
        <v>0</v>
      </c>
      <c r="HW15" s="33" t="n">
        <v>0</v>
      </c>
      <c r="HX15" s="33" t="n">
        <v>0</v>
      </c>
      <c r="HY15" s="33" t="n">
        <v>0</v>
      </c>
      <c r="HZ15" s="33" t="n">
        <v>0</v>
      </c>
      <c r="IA15" s="33" t="n">
        <v>0</v>
      </c>
      <c r="IB15" s="33" t="n">
        <v>0</v>
      </c>
      <c r="IC15" s="33" t="n">
        <v>0</v>
      </c>
      <c r="ID15" s="33" t="n">
        <v>0</v>
      </c>
      <c r="IE15" s="33" t="n">
        <v>0</v>
      </c>
      <c r="IF15" s="33" t="n">
        <v>0</v>
      </c>
      <c r="IG15" s="33" t="n">
        <v>0</v>
      </c>
      <c r="IH15" s="33" t="n">
        <v>0</v>
      </c>
      <c r="II15" s="33" t="n">
        <v>0</v>
      </c>
      <c r="IJ15" s="33" t="n">
        <v>0</v>
      </c>
      <c r="IK15" s="33" t="n">
        <v>0</v>
      </c>
      <c r="IL15" s="33" t="n">
        <v>0</v>
      </c>
      <c r="IM15" s="33" t="n">
        <v>0</v>
      </c>
      <c r="IN15" s="33" t="n">
        <v>0</v>
      </c>
      <c r="IO15" s="33" t="n">
        <v>0</v>
      </c>
      <c r="IP15" s="33" t="n">
        <v>0</v>
      </c>
      <c r="IQ15" s="33" t="n">
        <v>0</v>
      </c>
      <c r="IR15" s="33" t="n">
        <v>0</v>
      </c>
      <c r="IS15" s="33" t="n">
        <v>0</v>
      </c>
      <c r="IT15" s="33" t="n">
        <v>0</v>
      </c>
      <c r="IU15" s="33" t="n">
        <v>0</v>
      </c>
      <c r="IV15" s="33" t="n">
        <v>0</v>
      </c>
      <c r="IW15" s="33" t="n">
        <v>0</v>
      </c>
      <c r="IX15" s="33" t="n">
        <v>0</v>
      </c>
      <c r="IY15" s="33" t="n">
        <v>0</v>
      </c>
      <c r="IZ15" s="33" t="n">
        <v>0</v>
      </c>
      <c r="JA15" s="33" t="n">
        <v>0</v>
      </c>
      <c r="JB15" s="33" t="n">
        <v>0</v>
      </c>
      <c r="JC15" s="33" t="n">
        <v>0</v>
      </c>
      <c r="JD15" s="33" t="n">
        <v>0</v>
      </c>
      <c r="JE15" s="33" t="n">
        <v>0</v>
      </c>
      <c r="JF15" s="33" t="n">
        <v>0</v>
      </c>
      <c r="JG15" s="33" t="n">
        <v>0</v>
      </c>
      <c r="JH15" s="33" t="n">
        <v>0</v>
      </c>
      <c r="JI15" s="33" t="n">
        <v>0</v>
      </c>
      <c r="JJ15" s="33" t="n">
        <v>0</v>
      </c>
      <c r="JK15" s="33" t="n">
        <v>0</v>
      </c>
      <c r="JL15" s="33" t="n">
        <v>0</v>
      </c>
      <c r="JM15" s="33" t="n">
        <v>0</v>
      </c>
      <c r="JN15" s="33" t="n">
        <v>0</v>
      </c>
      <c r="JO15" s="33" t="n">
        <v>0</v>
      </c>
      <c r="JP15" s="33" t="n">
        <v>0</v>
      </c>
      <c r="JQ15" s="33" t="n">
        <v>0</v>
      </c>
      <c r="JR15" s="33" t="n">
        <v>0</v>
      </c>
      <c r="JS15" s="33" t="n">
        <v>0</v>
      </c>
      <c r="JT15" s="33" t="n">
        <v>0</v>
      </c>
      <c r="JU15" s="33" t="n">
        <v>0</v>
      </c>
      <c r="JV15" s="33" t="n">
        <v>0</v>
      </c>
      <c r="JW15" s="33" t="n">
        <v>0</v>
      </c>
      <c r="JX15" s="33" t="n">
        <v>0</v>
      </c>
      <c r="JY15" s="33" t="n">
        <v>0</v>
      </c>
      <c r="JZ15" s="33" t="n">
        <v>0</v>
      </c>
      <c r="KA15" s="33" t="n">
        <v>0</v>
      </c>
      <c r="KB15" s="33" t="n">
        <v>0</v>
      </c>
      <c r="KC15" s="33" t="n">
        <v>0</v>
      </c>
      <c r="KD15" s="33" t="n">
        <v>0</v>
      </c>
      <c r="KE15" s="33" t="n">
        <v>0</v>
      </c>
      <c r="KF15" s="33" t="n">
        <v>0</v>
      </c>
      <c r="KG15" s="33" t="n">
        <v>0</v>
      </c>
      <c r="KH15" s="33" t="n">
        <v>0</v>
      </c>
      <c r="KI15" s="33" t="n">
        <v>0</v>
      </c>
      <c r="KJ15" s="33" t="n">
        <v>0</v>
      </c>
      <c r="KK15" s="33" t="n">
        <v>0</v>
      </c>
      <c r="KL15" s="33" t="n">
        <v>0</v>
      </c>
      <c r="KM15" s="33" t="n">
        <v>0</v>
      </c>
      <c r="KN15" s="33" t="n">
        <v>0</v>
      </c>
      <c r="KO15" s="33" t="n">
        <v>0</v>
      </c>
      <c r="KP15" s="33" t="n">
        <v>0</v>
      </c>
      <c r="KQ15" s="33" t="n">
        <v>0</v>
      </c>
      <c r="KR15" s="33" t="n">
        <v>0</v>
      </c>
      <c r="KS15" s="33" t="n">
        <v>0</v>
      </c>
      <c r="KT15" s="33" t="n">
        <v>0</v>
      </c>
      <c r="KU15" s="33" t="n">
        <v>0</v>
      </c>
      <c r="KV15" s="33" t="n">
        <v>0</v>
      </c>
      <c r="KW15" s="33" t="n">
        <v>0</v>
      </c>
      <c r="KX15" s="33" t="n">
        <v>0</v>
      </c>
      <c r="KY15" s="33" t="n">
        <v>0</v>
      </c>
      <c r="KZ15" s="33" t="n">
        <v>0</v>
      </c>
      <c r="LA15" s="33" t="n">
        <v>0</v>
      </c>
      <c r="LB15" s="33" t="n">
        <v>0</v>
      </c>
      <c r="LC15" s="33" t="n">
        <v>0</v>
      </c>
      <c r="LD15" s="33" t="n">
        <v>0</v>
      </c>
      <c r="LE15" s="33" t="n">
        <v>0</v>
      </c>
      <c r="LF15" s="33" t="n">
        <v>0</v>
      </c>
      <c r="LG15" s="33" t="n">
        <v>0</v>
      </c>
      <c r="LH15" s="33" t="n">
        <v>0</v>
      </c>
      <c r="LI15" s="33" t="n">
        <v>0</v>
      </c>
      <c r="LJ15" s="33" t="n">
        <v>0</v>
      </c>
      <c r="LK15" s="33" t="n">
        <v>0</v>
      </c>
      <c r="LL15" s="33" t="n">
        <v>0</v>
      </c>
      <c r="LM15" s="33" t="n">
        <v>0</v>
      </c>
      <c r="LN15" s="33" t="n">
        <v>0</v>
      </c>
      <c r="LO15" s="33" t="n">
        <v>0</v>
      </c>
      <c r="LP15" s="33" t="n">
        <v>0</v>
      </c>
      <c r="LQ15" s="33" t="n">
        <v>0</v>
      </c>
      <c r="LR15" s="33" t="n">
        <v>0</v>
      </c>
      <c r="LS15" s="33" t="n">
        <v>0</v>
      </c>
      <c r="LT15" s="33" t="n">
        <v>0</v>
      </c>
      <c r="LU15" s="33" t="n">
        <v>0</v>
      </c>
      <c r="LV15" s="33" t="n">
        <v>0</v>
      </c>
      <c r="LW15" s="33" t="n">
        <v>0</v>
      </c>
      <c r="LX15" s="33" t="n">
        <v>0</v>
      </c>
      <c r="LY15" s="33" t="n">
        <v>0</v>
      </c>
      <c r="LZ15" s="33" t="n">
        <v>0</v>
      </c>
      <c r="MA15" s="33" t="n">
        <v>0</v>
      </c>
      <c r="MB15" s="33" t="n">
        <v>0</v>
      </c>
      <c r="MC15" s="33" t="n">
        <v>0</v>
      </c>
      <c r="MD15" s="33" t="n">
        <v>0</v>
      </c>
      <c r="ME15" s="33" t="n">
        <v>0</v>
      </c>
      <c r="MF15" s="33" t="n">
        <v>0</v>
      </c>
      <c r="MG15" s="33" t="n">
        <v>0</v>
      </c>
      <c r="MH15" s="33" t="n">
        <v>0</v>
      </c>
      <c r="MI15" s="33" t="n">
        <v>0</v>
      </c>
      <c r="MJ15" s="33" t="n">
        <v>0</v>
      </c>
      <c r="MK15" s="33" t="n">
        <v>0</v>
      </c>
      <c r="ML15" s="33" t="n">
        <v>0</v>
      </c>
      <c r="MM15" s="33" t="n">
        <v>0</v>
      </c>
      <c r="MN15" s="33" t="n">
        <v>0</v>
      </c>
      <c r="MO15" s="33" t="n">
        <v>0</v>
      </c>
      <c r="MP15" s="33" t="n">
        <v>0</v>
      </c>
      <c r="MQ15" s="33" t="n">
        <v>0</v>
      </c>
      <c r="MR15" s="33" t="n">
        <v>0</v>
      </c>
      <c r="MS15" s="33" t="n">
        <v>0</v>
      </c>
      <c r="MT15" s="33" t="n">
        <v>0</v>
      </c>
      <c r="MU15" s="33" t="n">
        <v>0</v>
      </c>
      <c r="MV15" s="33" t="n">
        <v>0</v>
      </c>
      <c r="MW15" s="33" t="n">
        <v>0</v>
      </c>
      <c r="MX15" s="33" t="n">
        <v>0</v>
      </c>
      <c r="MY15" s="33" t="n">
        <v>0</v>
      </c>
      <c r="MZ15" s="33" t="n">
        <v>0</v>
      </c>
      <c r="NA15" s="33" t="n">
        <v>0</v>
      </c>
      <c r="NB15" s="33" t="n">
        <v>0</v>
      </c>
      <c r="NC15" s="33" t="n">
        <v>0</v>
      </c>
      <c r="ND15" s="33" t="n">
        <v>0</v>
      </c>
      <c r="NE15" s="33" t="n">
        <v>0</v>
      </c>
      <c r="NF15" s="33" t="n">
        <v>0</v>
      </c>
      <c r="NG15" s="33" t="n">
        <v>0</v>
      </c>
      <c r="NH15" s="33" t="n">
        <v>0</v>
      </c>
      <c r="NI15" s="33" t="n">
        <v>0</v>
      </c>
      <c r="NJ15" s="33" t="n">
        <v>0</v>
      </c>
      <c r="NK15" s="33" t="n">
        <v>0</v>
      </c>
      <c r="NL15" s="33" t="n">
        <v>0</v>
      </c>
      <c r="NM15" s="33" t="n">
        <v>0</v>
      </c>
      <c r="NN15" s="33" t="n">
        <v>0</v>
      </c>
      <c r="NO15" s="33" t="n">
        <v>0</v>
      </c>
      <c r="NP15" s="33" t="n">
        <v>0</v>
      </c>
      <c r="NQ15" s="33" t="n">
        <v>0</v>
      </c>
      <c r="NR15" s="33" t="n">
        <v>0</v>
      </c>
      <c r="NS15" s="33" t="n">
        <v>0</v>
      </c>
      <c r="NT15" s="33" t="n">
        <v>0</v>
      </c>
      <c r="NU15" s="33" t="n">
        <v>0</v>
      </c>
      <c r="NV15" s="33" t="n">
        <v>0</v>
      </c>
      <c r="NW15" s="33" t="n">
        <v>0</v>
      </c>
      <c r="NX15" s="33" t="n">
        <v>0</v>
      </c>
      <c r="NY15" s="33" t="n">
        <v>0</v>
      </c>
      <c r="NZ15" s="33" t="n">
        <v>0</v>
      </c>
      <c r="OA15" s="33" t="n">
        <v>0</v>
      </c>
      <c r="OB15" s="33" t="n">
        <v>0</v>
      </c>
      <c r="OC15" s="33" t="n">
        <v>0</v>
      </c>
      <c r="OD15" s="33" t="n">
        <v>0</v>
      </c>
      <c r="OE15" s="33" t="n">
        <v>0</v>
      </c>
      <c r="OF15" s="33" t="n">
        <v>0</v>
      </c>
      <c r="OG15" s="33" t="n">
        <v>0</v>
      </c>
      <c r="OH15" s="33" t="n">
        <v>0</v>
      </c>
      <c r="OI15" s="33" t="n">
        <v>0</v>
      </c>
      <c r="OJ15" s="33" t="n">
        <v>0</v>
      </c>
      <c r="OK15" s="33" t="n">
        <v>0</v>
      </c>
      <c r="OL15" s="33" t="n">
        <v>0</v>
      </c>
      <c r="OM15" s="33" t="n">
        <v>0</v>
      </c>
      <c r="ON15" s="33" t="n">
        <v>0</v>
      </c>
      <c r="OO15" s="33" t="n">
        <v>0</v>
      </c>
      <c r="OP15" s="33" t="n">
        <v>0</v>
      </c>
      <c r="OQ15" s="33" t="n">
        <v>0</v>
      </c>
      <c r="OR15" s="33" t="n">
        <v>0</v>
      </c>
      <c r="OS15" s="33" t="n">
        <v>0</v>
      </c>
      <c r="OT15" s="33" t="n">
        <v>0</v>
      </c>
      <c r="OU15" s="33" t="n">
        <v>0</v>
      </c>
      <c r="OV15" s="33" t="n">
        <v>0</v>
      </c>
      <c r="OW15" s="33" t="n">
        <v>0</v>
      </c>
      <c r="OX15" s="33" t="n">
        <v>0</v>
      </c>
      <c r="OY15" s="33" t="n">
        <v>0</v>
      </c>
      <c r="OZ15" s="33" t="n">
        <v>0</v>
      </c>
      <c r="PA15" s="33" t="n">
        <v>0</v>
      </c>
      <c r="PB15" s="33" t="n">
        <v>0</v>
      </c>
      <c r="PC15" s="33" t="n">
        <v>0</v>
      </c>
      <c r="PD15" s="33" t="n">
        <v>0</v>
      </c>
      <c r="PE15" s="33" t="n">
        <v>0</v>
      </c>
      <c r="PF15" s="33" t="n">
        <v>0</v>
      </c>
      <c r="PG15" s="33" t="n">
        <v>0</v>
      </c>
      <c r="PH15" s="33" t="n">
        <v>0</v>
      </c>
      <c r="PI15" s="33" t="n">
        <v>0</v>
      </c>
      <c r="PJ15" s="33" t="n">
        <v>0</v>
      </c>
      <c r="PK15" s="33" t="n">
        <v>0</v>
      </c>
      <c r="PL15" s="33" t="n">
        <v>0</v>
      </c>
      <c r="PM15" s="33" t="n">
        <v>0</v>
      </c>
      <c r="PN15" s="33" t="n">
        <v>0</v>
      </c>
      <c r="PO15" s="33" t="n">
        <v>0</v>
      </c>
      <c r="PP15" s="33" t="n">
        <v>0</v>
      </c>
      <c r="PQ15" s="33" t="n">
        <v>0</v>
      </c>
      <c r="PR15" s="33" t="n">
        <v>0</v>
      </c>
      <c r="PS15" s="33" t="n">
        <v>0</v>
      </c>
      <c r="PT15" s="33" t="n">
        <v>0</v>
      </c>
      <c r="PU15" s="33" t="n">
        <v>0</v>
      </c>
      <c r="PV15" s="33" t="n">
        <v>0</v>
      </c>
      <c r="PW15" s="33" t="n">
        <v>0</v>
      </c>
      <c r="PX15" s="33" t="n">
        <v>0</v>
      </c>
      <c r="PY15" s="33" t="n">
        <v>0</v>
      </c>
      <c r="PZ15" s="33" t="n">
        <v>0</v>
      </c>
      <c r="QA15" s="33" t="n">
        <v>0</v>
      </c>
      <c r="QB15" s="33" t="n">
        <v>0</v>
      </c>
      <c r="QC15" s="33" t="n">
        <v>0</v>
      </c>
      <c r="QD15" s="33" t="n">
        <v>0</v>
      </c>
      <c r="QE15" s="33" t="n">
        <v>0</v>
      </c>
      <c r="QF15" s="33" t="n">
        <v>0</v>
      </c>
      <c r="QG15" s="33" t="n">
        <v>0</v>
      </c>
      <c r="QH15" s="33" t="n">
        <v>0</v>
      </c>
      <c r="QI15" s="33" t="n">
        <v>0</v>
      </c>
      <c r="QJ15" s="33" t="n">
        <v>0</v>
      </c>
      <c r="QK15" s="33" t="n">
        <v>0</v>
      </c>
      <c r="QL15" s="33" t="n">
        <v>0</v>
      </c>
      <c r="QM15" s="33" t="n">
        <v>0</v>
      </c>
      <c r="QN15" s="33" t="n">
        <v>0</v>
      </c>
      <c r="QO15" s="33" t="n">
        <v>0</v>
      </c>
      <c r="QP15" s="33" t="n">
        <v>0</v>
      </c>
      <c r="QQ15" s="33" t="n">
        <v>0</v>
      </c>
      <c r="QR15" s="33" t="n">
        <v>0</v>
      </c>
      <c r="QS15" s="33" t="n">
        <v>0</v>
      </c>
      <c r="QT15" s="33" t="n">
        <v>0</v>
      </c>
      <c r="QU15" s="33" t="n">
        <v>0</v>
      </c>
      <c r="QV15" s="33" t="n">
        <v>0</v>
      </c>
      <c r="QW15" s="33" t="n">
        <v>0</v>
      </c>
      <c r="QX15" s="33" t="n">
        <v>0</v>
      </c>
      <c r="QY15" s="33" t="n">
        <v>0</v>
      </c>
      <c r="QZ15" s="33" t="n">
        <v>0</v>
      </c>
      <c r="RA15" s="33" t="n">
        <v>0</v>
      </c>
      <c r="RB15" s="33" t="n">
        <v>0</v>
      </c>
      <c r="RC15" s="33" t="n">
        <v>0</v>
      </c>
      <c r="RD15" s="33" t="n">
        <v>0</v>
      </c>
      <c r="RE15" s="33" t="n">
        <v>0</v>
      </c>
      <c r="RF15" s="33" t="n">
        <v>0</v>
      </c>
      <c r="RG15" s="33" t="n">
        <v>0</v>
      </c>
      <c r="RH15" s="33" t="n">
        <v>0</v>
      </c>
      <c r="RI15" s="33" t="n">
        <v>0</v>
      </c>
      <c r="RJ15" s="33" t="n">
        <v>0</v>
      </c>
      <c r="RK15" s="33" t="n">
        <v>0</v>
      </c>
      <c r="RL15" s="33" t="n">
        <v>0</v>
      </c>
      <c r="RM15" s="33" t="n">
        <v>0</v>
      </c>
      <c r="RN15" s="33" t="n">
        <v>0</v>
      </c>
      <c r="RO15" s="33" t="n">
        <v>0</v>
      </c>
      <c r="RP15" s="33" t="n">
        <v>0</v>
      </c>
      <c r="RQ15" s="33" t="n">
        <v>0</v>
      </c>
      <c r="RR15" s="33" t="n">
        <v>0</v>
      </c>
      <c r="RS15" s="33" t="n">
        <v>0</v>
      </c>
      <c r="RT15" s="33" t="n">
        <v>0</v>
      </c>
      <c r="RU15" s="33" t="n">
        <v>0</v>
      </c>
      <c r="RV15" s="33" t="n">
        <v>0</v>
      </c>
      <c r="RW15" s="33" t="n">
        <v>0</v>
      </c>
    </row>
    <row r="16" hidden="1" outlineLevel="1" ht="13.05" customHeight="1">
      <c r="E16" s="25" t="inlineStr">
        <is>
          <t>Total PPA Revenue</t>
        </is>
      </c>
      <c r="F16" s="26" t="n"/>
      <c r="G16" s="26" t="inlineStr">
        <is>
          <t>kEUR</t>
        </is>
      </c>
      <c r="H16" s="26" t="n"/>
      <c r="I16" s="26" t="n"/>
      <c r="J16" s="27" t="n">
        <v>0</v>
      </c>
      <c r="K16" s="26" t="n"/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 t="n">
        <v>0</v>
      </c>
      <c r="EB16" s="28" t="n">
        <v>0</v>
      </c>
      <c r="EC16" s="28" t="n">
        <v>0</v>
      </c>
      <c r="ED16" s="28" t="n">
        <v>0</v>
      </c>
      <c r="EE16" s="28" t="n">
        <v>0</v>
      </c>
      <c r="EF16" s="28" t="n">
        <v>0</v>
      </c>
      <c r="EG16" s="28" t="n">
        <v>0</v>
      </c>
      <c r="EH16" s="28" t="n">
        <v>0</v>
      </c>
      <c r="EI16" s="28" t="n">
        <v>0</v>
      </c>
      <c r="EJ16" s="28" t="n">
        <v>0</v>
      </c>
      <c r="EK16" s="28" t="n">
        <v>0</v>
      </c>
      <c r="EL16" s="28" t="n">
        <v>0</v>
      </c>
      <c r="EM16" s="28" t="n">
        <v>0</v>
      </c>
      <c r="EN16" s="28" t="n">
        <v>0</v>
      </c>
      <c r="EO16" s="28" t="n">
        <v>0</v>
      </c>
      <c r="EP16" s="28" t="n">
        <v>0</v>
      </c>
      <c r="EQ16" s="28" t="n">
        <v>0</v>
      </c>
      <c r="ER16" s="28" t="n">
        <v>0</v>
      </c>
      <c r="ES16" s="28" t="n">
        <v>0</v>
      </c>
      <c r="ET16" s="28" t="n">
        <v>0</v>
      </c>
      <c r="EU16" s="28" t="n">
        <v>0</v>
      </c>
      <c r="EV16" s="28" t="n">
        <v>0</v>
      </c>
      <c r="EW16" s="28" t="n">
        <v>0</v>
      </c>
      <c r="EX16" s="28" t="n">
        <v>0</v>
      </c>
      <c r="EY16" s="28" t="n">
        <v>0</v>
      </c>
      <c r="EZ16" s="28" t="n">
        <v>0</v>
      </c>
      <c r="FA16" s="28" t="n">
        <v>0</v>
      </c>
      <c r="FB16" s="28" t="n">
        <v>0</v>
      </c>
      <c r="FC16" s="28" t="n">
        <v>0</v>
      </c>
      <c r="FD16" s="28" t="n">
        <v>0</v>
      </c>
      <c r="FE16" s="28" t="n">
        <v>0</v>
      </c>
      <c r="FF16" s="28" t="n">
        <v>0</v>
      </c>
      <c r="FG16" s="28" t="n">
        <v>0</v>
      </c>
      <c r="FH16" s="28" t="n">
        <v>0</v>
      </c>
      <c r="FI16" s="28" t="n">
        <v>0</v>
      </c>
      <c r="FJ16" s="28" t="n">
        <v>0</v>
      </c>
      <c r="FK16" s="28" t="n">
        <v>0</v>
      </c>
      <c r="FL16" s="28" t="n">
        <v>0</v>
      </c>
      <c r="FM16" s="28" t="n">
        <v>0</v>
      </c>
      <c r="FN16" s="28" t="n">
        <v>0</v>
      </c>
      <c r="FO16" s="28" t="n">
        <v>0</v>
      </c>
      <c r="FP16" s="28" t="n">
        <v>0</v>
      </c>
      <c r="FQ16" s="28" t="n">
        <v>0</v>
      </c>
      <c r="FR16" s="28" t="n">
        <v>0</v>
      </c>
      <c r="FS16" s="28" t="n">
        <v>0</v>
      </c>
      <c r="FT16" s="28" t="n">
        <v>0</v>
      </c>
      <c r="FU16" s="28" t="n">
        <v>0</v>
      </c>
      <c r="FV16" s="28" t="n">
        <v>0</v>
      </c>
      <c r="FW16" s="28" t="n">
        <v>0</v>
      </c>
      <c r="FX16" s="28" t="n">
        <v>0</v>
      </c>
      <c r="FY16" s="28" t="n">
        <v>0</v>
      </c>
      <c r="FZ16" s="28" t="n">
        <v>0</v>
      </c>
      <c r="GA16" s="28" t="n">
        <v>0</v>
      </c>
      <c r="GB16" s="28" t="n">
        <v>0</v>
      </c>
      <c r="GC16" s="28" t="n">
        <v>0</v>
      </c>
      <c r="GD16" s="28" t="n">
        <v>0</v>
      </c>
      <c r="GE16" s="28" t="n">
        <v>0</v>
      </c>
      <c r="GF16" s="28" t="n">
        <v>0</v>
      </c>
      <c r="GG16" s="28" t="n">
        <v>0</v>
      </c>
      <c r="GH16" s="28" t="n">
        <v>0</v>
      </c>
      <c r="GI16" s="28" t="n">
        <v>0</v>
      </c>
      <c r="GJ16" s="28" t="n">
        <v>0</v>
      </c>
      <c r="GK16" s="28" t="n">
        <v>0</v>
      </c>
      <c r="GL16" s="28" t="n">
        <v>0</v>
      </c>
      <c r="GM16" s="28" t="n">
        <v>0</v>
      </c>
      <c r="GN16" s="28" t="n">
        <v>0</v>
      </c>
      <c r="GO16" s="28" t="n">
        <v>0</v>
      </c>
      <c r="GP16" s="28" t="n">
        <v>0</v>
      </c>
      <c r="GQ16" s="28" t="n">
        <v>0</v>
      </c>
      <c r="GR16" s="28" t="n">
        <v>0</v>
      </c>
      <c r="GS16" s="28" t="n">
        <v>0</v>
      </c>
      <c r="GT16" s="28" t="n">
        <v>0</v>
      </c>
      <c r="GU16" s="28" t="n">
        <v>0</v>
      </c>
      <c r="GV16" s="28" t="n">
        <v>0</v>
      </c>
      <c r="GW16" s="28" t="n">
        <v>0</v>
      </c>
      <c r="GX16" s="28" t="n">
        <v>0</v>
      </c>
      <c r="GY16" s="28" t="n">
        <v>0</v>
      </c>
      <c r="GZ16" s="28" t="n">
        <v>0</v>
      </c>
      <c r="HA16" s="28" t="n">
        <v>0</v>
      </c>
      <c r="HB16" s="28" t="n">
        <v>0</v>
      </c>
      <c r="HC16" s="28" t="n">
        <v>0</v>
      </c>
      <c r="HD16" s="28" t="n">
        <v>0</v>
      </c>
      <c r="HE16" s="28" t="n">
        <v>0</v>
      </c>
      <c r="HF16" s="28" t="n">
        <v>0</v>
      </c>
      <c r="HG16" s="28" t="n">
        <v>0</v>
      </c>
      <c r="HH16" s="28" t="n">
        <v>0</v>
      </c>
      <c r="HI16" s="28" t="n">
        <v>0</v>
      </c>
      <c r="HJ16" s="28" t="n">
        <v>0</v>
      </c>
      <c r="HK16" s="28" t="n">
        <v>0</v>
      </c>
      <c r="HL16" s="28" t="n">
        <v>0</v>
      </c>
      <c r="HM16" s="28" t="n">
        <v>0</v>
      </c>
      <c r="HN16" s="28" t="n">
        <v>0</v>
      </c>
      <c r="HO16" s="28" t="n">
        <v>0</v>
      </c>
      <c r="HP16" s="28" t="n">
        <v>0</v>
      </c>
      <c r="HQ16" s="28" t="n">
        <v>0</v>
      </c>
      <c r="HR16" s="28" t="n">
        <v>0</v>
      </c>
      <c r="HS16" s="28" t="n">
        <v>0</v>
      </c>
      <c r="HT16" s="28" t="n">
        <v>0</v>
      </c>
      <c r="HU16" s="28" t="n">
        <v>0</v>
      </c>
      <c r="HV16" s="28" t="n">
        <v>0</v>
      </c>
      <c r="HW16" s="28" t="n">
        <v>0</v>
      </c>
      <c r="HX16" s="28" t="n">
        <v>0</v>
      </c>
      <c r="HY16" s="28" t="n">
        <v>0</v>
      </c>
      <c r="HZ16" s="28" t="n">
        <v>0</v>
      </c>
      <c r="IA16" s="28" t="n">
        <v>0</v>
      </c>
      <c r="IB16" s="28" t="n">
        <v>0</v>
      </c>
      <c r="IC16" s="28" t="n">
        <v>0</v>
      </c>
      <c r="ID16" s="28" t="n">
        <v>0</v>
      </c>
      <c r="IE16" s="28" t="n">
        <v>0</v>
      </c>
      <c r="IF16" s="28" t="n">
        <v>0</v>
      </c>
      <c r="IG16" s="28" t="n">
        <v>0</v>
      </c>
      <c r="IH16" s="28" t="n">
        <v>0</v>
      </c>
      <c r="II16" s="28" t="n">
        <v>0</v>
      </c>
      <c r="IJ16" s="28" t="n">
        <v>0</v>
      </c>
      <c r="IK16" s="28" t="n">
        <v>0</v>
      </c>
      <c r="IL16" s="28" t="n">
        <v>0</v>
      </c>
      <c r="IM16" s="28" t="n">
        <v>0</v>
      </c>
      <c r="IN16" s="28" t="n">
        <v>0</v>
      </c>
      <c r="IO16" s="28" t="n">
        <v>0</v>
      </c>
      <c r="IP16" s="28" t="n">
        <v>0</v>
      </c>
      <c r="IQ16" s="28" t="n">
        <v>0</v>
      </c>
      <c r="IR16" s="28" t="n">
        <v>0</v>
      </c>
      <c r="IS16" s="28" t="n">
        <v>0</v>
      </c>
      <c r="IT16" s="28" t="n">
        <v>0</v>
      </c>
      <c r="IU16" s="28" t="n">
        <v>0</v>
      </c>
      <c r="IV16" s="28" t="n">
        <v>0</v>
      </c>
      <c r="IW16" s="28" t="n">
        <v>0</v>
      </c>
      <c r="IX16" s="28" t="n">
        <v>0</v>
      </c>
      <c r="IY16" s="28" t="n">
        <v>0</v>
      </c>
      <c r="IZ16" s="28" t="n">
        <v>0</v>
      </c>
      <c r="JA16" s="28" t="n">
        <v>0</v>
      </c>
      <c r="JB16" s="28" t="n">
        <v>0</v>
      </c>
      <c r="JC16" s="28" t="n">
        <v>0</v>
      </c>
      <c r="JD16" s="28" t="n">
        <v>0</v>
      </c>
      <c r="JE16" s="28" t="n">
        <v>0</v>
      </c>
      <c r="JF16" s="28" t="n">
        <v>0</v>
      </c>
      <c r="JG16" s="28" t="n">
        <v>0</v>
      </c>
      <c r="JH16" s="28" t="n">
        <v>0</v>
      </c>
      <c r="JI16" s="28" t="n">
        <v>0</v>
      </c>
      <c r="JJ16" s="28" t="n">
        <v>0</v>
      </c>
      <c r="JK16" s="28" t="n">
        <v>0</v>
      </c>
      <c r="JL16" s="28" t="n">
        <v>0</v>
      </c>
      <c r="JM16" s="28" t="n">
        <v>0</v>
      </c>
      <c r="JN16" s="28" t="n">
        <v>0</v>
      </c>
      <c r="JO16" s="28" t="n">
        <v>0</v>
      </c>
      <c r="JP16" s="28" t="n">
        <v>0</v>
      </c>
      <c r="JQ16" s="28" t="n">
        <v>0</v>
      </c>
      <c r="JR16" s="28" t="n">
        <v>0</v>
      </c>
      <c r="JS16" s="28" t="n">
        <v>0</v>
      </c>
      <c r="JT16" s="28" t="n">
        <v>0</v>
      </c>
      <c r="JU16" s="28" t="n">
        <v>0</v>
      </c>
      <c r="JV16" s="28" t="n">
        <v>0</v>
      </c>
      <c r="JW16" s="28" t="n">
        <v>0</v>
      </c>
      <c r="JX16" s="28" t="n">
        <v>0</v>
      </c>
      <c r="JY16" s="28" t="n">
        <v>0</v>
      </c>
      <c r="JZ16" s="28" t="n">
        <v>0</v>
      </c>
      <c r="KA16" s="28" t="n">
        <v>0</v>
      </c>
      <c r="KB16" s="28" t="n">
        <v>0</v>
      </c>
      <c r="KC16" s="28" t="n">
        <v>0</v>
      </c>
      <c r="KD16" s="28" t="n">
        <v>0</v>
      </c>
      <c r="KE16" s="28" t="n">
        <v>0</v>
      </c>
      <c r="KF16" s="28" t="n">
        <v>0</v>
      </c>
      <c r="KG16" s="28" t="n">
        <v>0</v>
      </c>
      <c r="KH16" s="28" t="n">
        <v>0</v>
      </c>
      <c r="KI16" s="28" t="n">
        <v>0</v>
      </c>
      <c r="KJ16" s="28" t="n">
        <v>0</v>
      </c>
      <c r="KK16" s="28" t="n">
        <v>0</v>
      </c>
      <c r="KL16" s="28" t="n">
        <v>0</v>
      </c>
      <c r="KM16" s="28" t="n">
        <v>0</v>
      </c>
      <c r="KN16" s="28" t="n">
        <v>0</v>
      </c>
      <c r="KO16" s="28" t="n">
        <v>0</v>
      </c>
      <c r="KP16" s="28" t="n">
        <v>0</v>
      </c>
      <c r="KQ16" s="28" t="n">
        <v>0</v>
      </c>
      <c r="KR16" s="28" t="n">
        <v>0</v>
      </c>
      <c r="KS16" s="28" t="n">
        <v>0</v>
      </c>
      <c r="KT16" s="28" t="n">
        <v>0</v>
      </c>
      <c r="KU16" s="28" t="n">
        <v>0</v>
      </c>
      <c r="KV16" s="28" t="n">
        <v>0</v>
      </c>
      <c r="KW16" s="28" t="n">
        <v>0</v>
      </c>
      <c r="KX16" s="28" t="n">
        <v>0</v>
      </c>
      <c r="KY16" s="28" t="n">
        <v>0</v>
      </c>
      <c r="KZ16" s="28" t="n">
        <v>0</v>
      </c>
      <c r="LA16" s="28" t="n">
        <v>0</v>
      </c>
      <c r="LB16" s="28" t="n">
        <v>0</v>
      </c>
      <c r="LC16" s="28" t="n">
        <v>0</v>
      </c>
      <c r="LD16" s="28" t="n">
        <v>0</v>
      </c>
      <c r="LE16" s="28" t="n">
        <v>0</v>
      </c>
      <c r="LF16" s="28" t="n">
        <v>0</v>
      </c>
      <c r="LG16" s="28" t="n">
        <v>0</v>
      </c>
      <c r="LH16" s="28" t="n">
        <v>0</v>
      </c>
      <c r="LI16" s="28" t="n">
        <v>0</v>
      </c>
      <c r="LJ16" s="28" t="n">
        <v>0</v>
      </c>
      <c r="LK16" s="28" t="n">
        <v>0</v>
      </c>
      <c r="LL16" s="28" t="n">
        <v>0</v>
      </c>
      <c r="LM16" s="28" t="n">
        <v>0</v>
      </c>
      <c r="LN16" s="28" t="n">
        <v>0</v>
      </c>
      <c r="LO16" s="28" t="n">
        <v>0</v>
      </c>
      <c r="LP16" s="28" t="n">
        <v>0</v>
      </c>
      <c r="LQ16" s="28" t="n">
        <v>0</v>
      </c>
      <c r="LR16" s="28" t="n">
        <v>0</v>
      </c>
      <c r="LS16" s="28" t="n">
        <v>0</v>
      </c>
      <c r="LT16" s="28" t="n">
        <v>0</v>
      </c>
      <c r="LU16" s="28" t="n">
        <v>0</v>
      </c>
      <c r="LV16" s="28" t="n">
        <v>0</v>
      </c>
      <c r="LW16" s="28" t="n">
        <v>0</v>
      </c>
      <c r="LX16" s="28" t="n">
        <v>0</v>
      </c>
      <c r="LY16" s="28" t="n">
        <v>0</v>
      </c>
      <c r="LZ16" s="28" t="n">
        <v>0</v>
      </c>
      <c r="MA16" s="28" t="n">
        <v>0</v>
      </c>
      <c r="MB16" s="28" t="n">
        <v>0</v>
      </c>
      <c r="MC16" s="28" t="n">
        <v>0</v>
      </c>
      <c r="MD16" s="28" t="n">
        <v>0</v>
      </c>
      <c r="ME16" s="28" t="n">
        <v>0</v>
      </c>
      <c r="MF16" s="28" t="n">
        <v>0</v>
      </c>
      <c r="MG16" s="28" t="n">
        <v>0</v>
      </c>
      <c r="MH16" s="28" t="n">
        <v>0</v>
      </c>
      <c r="MI16" s="28" t="n">
        <v>0</v>
      </c>
      <c r="MJ16" s="28" t="n">
        <v>0</v>
      </c>
      <c r="MK16" s="28" t="n">
        <v>0</v>
      </c>
      <c r="ML16" s="28" t="n">
        <v>0</v>
      </c>
      <c r="MM16" s="28" t="n">
        <v>0</v>
      </c>
      <c r="MN16" s="28" t="n">
        <v>0</v>
      </c>
      <c r="MO16" s="28" t="n">
        <v>0</v>
      </c>
      <c r="MP16" s="28" t="n">
        <v>0</v>
      </c>
      <c r="MQ16" s="28" t="n">
        <v>0</v>
      </c>
      <c r="MR16" s="28" t="n">
        <v>0</v>
      </c>
      <c r="MS16" s="28" t="n">
        <v>0</v>
      </c>
      <c r="MT16" s="28" t="n">
        <v>0</v>
      </c>
      <c r="MU16" s="28" t="n">
        <v>0</v>
      </c>
      <c r="MV16" s="28" t="n">
        <v>0</v>
      </c>
      <c r="MW16" s="28" t="n">
        <v>0</v>
      </c>
      <c r="MX16" s="28" t="n">
        <v>0</v>
      </c>
      <c r="MY16" s="28" t="n">
        <v>0</v>
      </c>
      <c r="MZ16" s="28" t="n">
        <v>0</v>
      </c>
      <c r="NA16" s="28" t="n">
        <v>0</v>
      </c>
      <c r="NB16" s="28" t="n">
        <v>0</v>
      </c>
      <c r="NC16" s="28" t="n">
        <v>0</v>
      </c>
      <c r="ND16" s="28" t="n">
        <v>0</v>
      </c>
      <c r="NE16" s="28" t="n">
        <v>0</v>
      </c>
      <c r="NF16" s="28" t="n">
        <v>0</v>
      </c>
      <c r="NG16" s="28" t="n">
        <v>0</v>
      </c>
      <c r="NH16" s="28" t="n">
        <v>0</v>
      </c>
      <c r="NI16" s="28" t="n">
        <v>0</v>
      </c>
      <c r="NJ16" s="28" t="n">
        <v>0</v>
      </c>
      <c r="NK16" s="28" t="n">
        <v>0</v>
      </c>
      <c r="NL16" s="28" t="n">
        <v>0</v>
      </c>
      <c r="NM16" s="28" t="n">
        <v>0</v>
      </c>
      <c r="NN16" s="28" t="n">
        <v>0</v>
      </c>
      <c r="NO16" s="28" t="n">
        <v>0</v>
      </c>
      <c r="NP16" s="28" t="n">
        <v>0</v>
      </c>
      <c r="NQ16" s="28" t="n">
        <v>0</v>
      </c>
      <c r="NR16" s="28" t="n">
        <v>0</v>
      </c>
      <c r="NS16" s="28" t="n">
        <v>0</v>
      </c>
      <c r="NT16" s="28" t="n">
        <v>0</v>
      </c>
      <c r="NU16" s="28" t="n">
        <v>0</v>
      </c>
      <c r="NV16" s="28" t="n">
        <v>0</v>
      </c>
      <c r="NW16" s="28" t="n">
        <v>0</v>
      </c>
      <c r="NX16" s="28" t="n">
        <v>0</v>
      </c>
      <c r="NY16" s="28" t="n">
        <v>0</v>
      </c>
      <c r="NZ16" s="28" t="n">
        <v>0</v>
      </c>
      <c r="OA16" s="28" t="n">
        <v>0</v>
      </c>
      <c r="OB16" s="28" t="n">
        <v>0</v>
      </c>
      <c r="OC16" s="28" t="n">
        <v>0</v>
      </c>
      <c r="OD16" s="28" t="n">
        <v>0</v>
      </c>
      <c r="OE16" s="28" t="n">
        <v>0</v>
      </c>
      <c r="OF16" s="28" t="n">
        <v>0</v>
      </c>
      <c r="OG16" s="28" t="n">
        <v>0</v>
      </c>
      <c r="OH16" s="28" t="n">
        <v>0</v>
      </c>
      <c r="OI16" s="28" t="n">
        <v>0</v>
      </c>
      <c r="OJ16" s="28" t="n">
        <v>0</v>
      </c>
      <c r="OK16" s="28" t="n">
        <v>0</v>
      </c>
      <c r="OL16" s="28" t="n">
        <v>0</v>
      </c>
      <c r="OM16" s="28" t="n">
        <v>0</v>
      </c>
      <c r="ON16" s="28" t="n">
        <v>0</v>
      </c>
      <c r="OO16" s="28" t="n">
        <v>0</v>
      </c>
      <c r="OP16" s="28" t="n">
        <v>0</v>
      </c>
      <c r="OQ16" s="28" t="n">
        <v>0</v>
      </c>
      <c r="OR16" s="28" t="n">
        <v>0</v>
      </c>
      <c r="OS16" s="28" t="n">
        <v>0</v>
      </c>
      <c r="OT16" s="28" t="n">
        <v>0</v>
      </c>
      <c r="OU16" s="28" t="n">
        <v>0</v>
      </c>
      <c r="OV16" s="28" t="n">
        <v>0</v>
      </c>
      <c r="OW16" s="28" t="n">
        <v>0</v>
      </c>
      <c r="OX16" s="28" t="n">
        <v>0</v>
      </c>
      <c r="OY16" s="28" t="n">
        <v>0</v>
      </c>
      <c r="OZ16" s="28" t="n">
        <v>0</v>
      </c>
      <c r="PA16" s="28" t="n">
        <v>0</v>
      </c>
      <c r="PB16" s="28" t="n">
        <v>0</v>
      </c>
      <c r="PC16" s="28" t="n">
        <v>0</v>
      </c>
      <c r="PD16" s="28" t="n">
        <v>0</v>
      </c>
      <c r="PE16" s="28" t="n">
        <v>0</v>
      </c>
      <c r="PF16" s="28" t="n">
        <v>0</v>
      </c>
      <c r="PG16" s="28" t="n">
        <v>0</v>
      </c>
      <c r="PH16" s="28" t="n">
        <v>0</v>
      </c>
      <c r="PI16" s="28" t="n">
        <v>0</v>
      </c>
      <c r="PJ16" s="28" t="n">
        <v>0</v>
      </c>
      <c r="PK16" s="28" t="n">
        <v>0</v>
      </c>
      <c r="PL16" s="28" t="n">
        <v>0</v>
      </c>
      <c r="PM16" s="28" t="n">
        <v>0</v>
      </c>
      <c r="PN16" s="28" t="n">
        <v>0</v>
      </c>
      <c r="PO16" s="28" t="n">
        <v>0</v>
      </c>
      <c r="PP16" s="28" t="n">
        <v>0</v>
      </c>
      <c r="PQ16" s="28" t="n">
        <v>0</v>
      </c>
      <c r="PR16" s="28" t="n">
        <v>0</v>
      </c>
      <c r="PS16" s="28" t="n">
        <v>0</v>
      </c>
      <c r="PT16" s="28" t="n">
        <v>0</v>
      </c>
      <c r="PU16" s="28" t="n">
        <v>0</v>
      </c>
      <c r="PV16" s="28" t="n">
        <v>0</v>
      </c>
      <c r="PW16" s="28" t="n">
        <v>0</v>
      </c>
      <c r="PX16" s="28" t="n">
        <v>0</v>
      </c>
      <c r="PY16" s="28" t="n">
        <v>0</v>
      </c>
      <c r="PZ16" s="28" t="n">
        <v>0</v>
      </c>
      <c r="QA16" s="28" t="n">
        <v>0</v>
      </c>
      <c r="QB16" s="28" t="n">
        <v>0</v>
      </c>
      <c r="QC16" s="28" t="n">
        <v>0</v>
      </c>
      <c r="QD16" s="28" t="n">
        <v>0</v>
      </c>
      <c r="QE16" s="28" t="n">
        <v>0</v>
      </c>
      <c r="QF16" s="28" t="n">
        <v>0</v>
      </c>
      <c r="QG16" s="28" t="n">
        <v>0</v>
      </c>
      <c r="QH16" s="28" t="n">
        <v>0</v>
      </c>
      <c r="QI16" s="28" t="n">
        <v>0</v>
      </c>
      <c r="QJ16" s="28" t="n">
        <v>0</v>
      </c>
      <c r="QK16" s="28" t="n">
        <v>0</v>
      </c>
      <c r="QL16" s="28" t="n">
        <v>0</v>
      </c>
      <c r="QM16" s="28" t="n">
        <v>0</v>
      </c>
      <c r="QN16" s="28" t="n">
        <v>0</v>
      </c>
      <c r="QO16" s="28" t="n">
        <v>0</v>
      </c>
      <c r="QP16" s="28" t="n">
        <v>0</v>
      </c>
      <c r="QQ16" s="28" t="n">
        <v>0</v>
      </c>
      <c r="QR16" s="28" t="n">
        <v>0</v>
      </c>
      <c r="QS16" s="28" t="n">
        <v>0</v>
      </c>
      <c r="QT16" s="28" t="n">
        <v>0</v>
      </c>
      <c r="QU16" s="28" t="n">
        <v>0</v>
      </c>
      <c r="QV16" s="28" t="n">
        <v>0</v>
      </c>
      <c r="QW16" s="28" t="n">
        <v>0</v>
      </c>
      <c r="QX16" s="28" t="n">
        <v>0</v>
      </c>
      <c r="QY16" s="28" t="n">
        <v>0</v>
      </c>
      <c r="QZ16" s="28" t="n">
        <v>0</v>
      </c>
      <c r="RA16" s="28" t="n">
        <v>0</v>
      </c>
      <c r="RB16" s="28" t="n">
        <v>0</v>
      </c>
      <c r="RC16" s="28" t="n">
        <v>0</v>
      </c>
      <c r="RD16" s="28" t="n">
        <v>0</v>
      </c>
      <c r="RE16" s="28" t="n">
        <v>0</v>
      </c>
      <c r="RF16" s="28" t="n">
        <v>0</v>
      </c>
      <c r="RG16" s="28" t="n">
        <v>0</v>
      </c>
      <c r="RH16" s="28" t="n">
        <v>0</v>
      </c>
      <c r="RI16" s="28" t="n">
        <v>0</v>
      </c>
      <c r="RJ16" s="28" t="n">
        <v>0</v>
      </c>
      <c r="RK16" s="28" t="n">
        <v>0</v>
      </c>
      <c r="RL16" s="28" t="n">
        <v>0</v>
      </c>
      <c r="RM16" s="28" t="n">
        <v>0</v>
      </c>
      <c r="RN16" s="28" t="n">
        <v>0</v>
      </c>
      <c r="RO16" s="28" t="n">
        <v>0</v>
      </c>
      <c r="RP16" s="28" t="n">
        <v>0</v>
      </c>
      <c r="RQ16" s="28" t="n">
        <v>0</v>
      </c>
      <c r="RR16" s="28" t="n">
        <v>0</v>
      </c>
      <c r="RS16" s="28" t="n">
        <v>0</v>
      </c>
      <c r="RT16" s="28" t="n">
        <v>0</v>
      </c>
      <c r="RU16" s="28" t="n">
        <v>0</v>
      </c>
      <c r="RV16" s="28" t="n">
        <v>0</v>
      </c>
      <c r="RW16" s="28" t="n">
        <v>0</v>
      </c>
    </row>
    <row r="17" hidden="1" outlineLevel="1" ht="13.05" customHeight="1">
      <c r="E17" s="21" t="inlineStr">
        <is>
          <t>GoO Volume</t>
        </is>
      </c>
      <c r="F17" s="29" t="n"/>
      <c r="G17" s="29" t="inlineStr">
        <is>
          <t>MWh</t>
        </is>
      </c>
      <c r="H17" s="29" t="n"/>
      <c r="I17" s="29" t="n"/>
      <c r="J17" s="32" t="n">
        <v>86066728.9963574</v>
      </c>
      <c r="K17" s="29" t="n"/>
      <c r="L17" s="33" t="n">
        <v>0</v>
      </c>
      <c r="M17" s="33" t="n">
        <v>0</v>
      </c>
      <c r="N17" s="33" t="n">
        <v>0</v>
      </c>
      <c r="O17" s="33" t="n">
        <v>0</v>
      </c>
      <c r="P17" s="33" t="n">
        <v>0</v>
      </c>
      <c r="Q17" s="33" t="n">
        <v>0</v>
      </c>
      <c r="R17" s="33" t="n">
        <v>0</v>
      </c>
      <c r="S17" s="33" t="n">
        <v>0</v>
      </c>
      <c r="T17" s="33" t="n">
        <v>0</v>
      </c>
      <c r="U17" s="33" t="n">
        <v>0</v>
      </c>
      <c r="V17" s="33" t="n">
        <v>0</v>
      </c>
      <c r="W17" s="33" t="n">
        <v>0</v>
      </c>
      <c r="X17" s="33" t="n">
        <v>0</v>
      </c>
      <c r="Y17" s="33" t="n">
        <v>0</v>
      </c>
      <c r="Z17" s="33" t="n">
        <v>0</v>
      </c>
      <c r="AA17" s="33" t="n">
        <v>0</v>
      </c>
      <c r="AB17" s="33" t="n">
        <v>0</v>
      </c>
      <c r="AC17" s="33" t="n">
        <v>0</v>
      </c>
      <c r="AD17" s="33" t="n">
        <v>0</v>
      </c>
      <c r="AE17" s="33" t="n">
        <v>0</v>
      </c>
      <c r="AF17" s="33" t="n">
        <v>0</v>
      </c>
      <c r="AG17" s="33" t="n">
        <v>0</v>
      </c>
      <c r="AH17" s="33" t="n">
        <v>0</v>
      </c>
      <c r="AI17" s="33" t="n">
        <v>0</v>
      </c>
      <c r="AJ17" s="33" t="n">
        <v>0</v>
      </c>
      <c r="AK17" s="33" t="n">
        <v>0</v>
      </c>
      <c r="AL17" s="33" t="n">
        <v>0</v>
      </c>
      <c r="AM17" s="33" t="n">
        <v>0</v>
      </c>
      <c r="AN17" s="33" t="n">
        <v>0</v>
      </c>
      <c r="AO17" s="33" t="n">
        <v>0</v>
      </c>
      <c r="AP17" s="33" t="n">
        <v>0</v>
      </c>
      <c r="AQ17" s="33" t="n">
        <v>0</v>
      </c>
      <c r="AR17" s="33" t="n">
        <v>0</v>
      </c>
      <c r="AS17" s="33" t="n">
        <v>0</v>
      </c>
      <c r="AT17" s="33" t="n">
        <v>0</v>
      </c>
      <c r="AU17" s="33" t="n">
        <v>0</v>
      </c>
      <c r="AV17" s="33" t="n">
        <v>0</v>
      </c>
      <c r="AW17" s="33" t="n">
        <v>0</v>
      </c>
      <c r="AX17" s="33" t="n">
        <v>0</v>
      </c>
      <c r="AY17" s="33" t="n">
        <v>0</v>
      </c>
      <c r="AZ17" s="33" t="n">
        <v>0</v>
      </c>
      <c r="BA17" s="33" t="n">
        <v>0</v>
      </c>
      <c r="BB17" s="33" t="n">
        <v>0</v>
      </c>
      <c r="BC17" s="33" t="n">
        <v>0</v>
      </c>
      <c r="BD17" s="33" t="n">
        <v>0</v>
      </c>
      <c r="BE17" s="33" t="n">
        <v>0</v>
      </c>
      <c r="BF17" s="33" t="n">
        <v>0</v>
      </c>
      <c r="BG17" s="33" t="n">
        <v>0</v>
      </c>
      <c r="BH17" s="33" t="n">
        <v>0</v>
      </c>
      <c r="BI17" s="33" t="n">
        <v>0</v>
      </c>
      <c r="BJ17" s="33" t="n">
        <v>0</v>
      </c>
      <c r="BK17" s="33" t="n">
        <v>0</v>
      </c>
      <c r="BL17" s="33" t="n">
        <v>0</v>
      </c>
      <c r="BM17" s="33" t="n">
        <v>0</v>
      </c>
      <c r="BN17" s="33" t="n">
        <v>0</v>
      </c>
      <c r="BO17" s="33" t="n">
        <v>0</v>
      </c>
      <c r="BP17" s="33" t="n">
        <v>0</v>
      </c>
      <c r="BQ17" s="33" t="n">
        <v>0</v>
      </c>
      <c r="BR17" s="33" t="n">
        <v>0</v>
      </c>
      <c r="BS17" s="33" t="n">
        <v>0</v>
      </c>
      <c r="BT17" s="33" t="n">
        <v>0</v>
      </c>
      <c r="BU17" s="33" t="n">
        <v>0</v>
      </c>
      <c r="BV17" s="33" t="n">
        <v>0</v>
      </c>
      <c r="BW17" s="33" t="n">
        <v>0</v>
      </c>
      <c r="BX17" s="33" t="n">
        <v>0</v>
      </c>
      <c r="BY17" s="33" t="n">
        <v>0</v>
      </c>
      <c r="BZ17" s="33" t="n">
        <v>0</v>
      </c>
      <c r="CA17" s="33" t="n">
        <v>0</v>
      </c>
      <c r="CB17" s="33" t="n">
        <v>0</v>
      </c>
      <c r="CC17" s="33" t="n">
        <v>0</v>
      </c>
      <c r="CD17" s="33" t="n">
        <v>0</v>
      </c>
      <c r="CE17" s="33" t="n">
        <v>0</v>
      </c>
      <c r="CF17" s="33" t="n">
        <v>0</v>
      </c>
      <c r="CG17" s="33" t="n">
        <v>0</v>
      </c>
      <c r="CH17" s="33" t="n">
        <v>0</v>
      </c>
      <c r="CI17" s="33" t="n">
        <v>0</v>
      </c>
      <c r="CJ17" s="33" t="n">
        <v>0</v>
      </c>
      <c r="CK17" s="33" t="n">
        <v>0</v>
      </c>
      <c r="CL17" s="33" t="n">
        <v>0</v>
      </c>
      <c r="CM17" s="33" t="n">
        <v>0</v>
      </c>
      <c r="CN17" s="33" t="n">
        <v>0</v>
      </c>
      <c r="CO17" s="33" t="n">
        <v>0</v>
      </c>
      <c r="CP17" s="33" t="n">
        <v>0</v>
      </c>
      <c r="CQ17" s="33" t="n">
        <v>251831.25</v>
      </c>
      <c r="CR17" s="33" t="n">
        <v>251757.6811273059</v>
      </c>
      <c r="CS17" s="33" t="n">
        <v>251684.1337466984</v>
      </c>
      <c r="CT17" s="33" t="n">
        <v>251610.6078518989</v>
      </c>
      <c r="CU17" s="33" t="n">
        <v>251537.1034366305</v>
      </c>
      <c r="CV17" s="33" t="n">
        <v>251463.6204946185</v>
      </c>
      <c r="CW17" s="33" t="n">
        <v>251390.1590195896</v>
      </c>
      <c r="CX17" s="33" t="n">
        <v>251316.7190052726</v>
      </c>
      <c r="CY17" s="33" t="n">
        <v>251243.3004453981</v>
      </c>
      <c r="CZ17" s="33" t="n">
        <v>251169.9033336984</v>
      </c>
      <c r="DA17" s="33" t="n">
        <v>251096.5276639079</v>
      </c>
      <c r="DB17" s="33" t="n">
        <v>251023.1734297624</v>
      </c>
      <c r="DC17" s="33" t="n">
        <v>250949.840625</v>
      </c>
      <c r="DD17" s="33" t="n">
        <v>250876.5292433604</v>
      </c>
      <c r="DE17" s="33" t="n">
        <v>250803.2392785849</v>
      </c>
      <c r="DF17" s="33" t="n">
        <v>250729.9707244172</v>
      </c>
      <c r="DG17" s="33" t="n">
        <v>250656.7235746023</v>
      </c>
      <c r="DH17" s="33" t="n">
        <v>250583.4978228873</v>
      </c>
      <c r="DI17" s="33" t="n">
        <v>250510.293463021</v>
      </c>
      <c r="DJ17" s="33" t="n">
        <v>250437.1104887541</v>
      </c>
      <c r="DK17" s="33" t="n">
        <v>250363.9488938392</v>
      </c>
      <c r="DL17" s="33" t="n">
        <v>250290.8086720305</v>
      </c>
      <c r="DM17" s="33" t="n">
        <v>250217.6898170842</v>
      </c>
      <c r="DN17" s="33" t="n">
        <v>250144.5923227583</v>
      </c>
      <c r="DO17" s="33" t="n">
        <v>250071.5161828125</v>
      </c>
      <c r="DP17" s="33" t="n">
        <v>249998.4613910086</v>
      </c>
      <c r="DQ17" s="33" t="n">
        <v>249925.4279411099</v>
      </c>
      <c r="DR17" s="33" t="n">
        <v>249852.4158268817</v>
      </c>
      <c r="DS17" s="33" t="n">
        <v>249779.4250420912</v>
      </c>
      <c r="DT17" s="33" t="n">
        <v>249706.4555805072</v>
      </c>
      <c r="DU17" s="33" t="n">
        <v>249633.5074359005</v>
      </c>
      <c r="DV17" s="33" t="n">
        <v>249560.5806020435</v>
      </c>
      <c r="DW17" s="33" t="n">
        <v>249487.6750727108</v>
      </c>
      <c r="DX17" s="33" t="n">
        <v>249414.7908416784</v>
      </c>
      <c r="DY17" s="33" t="n">
        <v>249341.9279027244</v>
      </c>
      <c r="DZ17" s="33" t="n">
        <v>249269.0862496286</v>
      </c>
      <c r="EA17" s="33" t="n">
        <v>249196.2658761727</v>
      </c>
      <c r="EB17" s="33" t="n">
        <v>249123.4667761401</v>
      </c>
      <c r="EC17" s="33" t="n">
        <v>249050.688943316</v>
      </c>
      <c r="ED17" s="33" t="n">
        <v>248977.9323714877</v>
      </c>
      <c r="EE17" s="33" t="n">
        <v>248905.1970544439</v>
      </c>
      <c r="EF17" s="33" t="n">
        <v>248832.4829859755</v>
      </c>
      <c r="EG17" s="33" t="n">
        <v>248759.7901598748</v>
      </c>
      <c r="EH17" s="33" t="n">
        <v>248687.1185699364</v>
      </c>
      <c r="EI17" s="33" t="n">
        <v>248614.4682099563</v>
      </c>
      <c r="EJ17" s="33" t="n">
        <v>248541.8390737326</v>
      </c>
      <c r="EK17" s="33" t="n">
        <v>248469.2311550649</v>
      </c>
      <c r="EL17" s="33" t="n">
        <v>248396.644447755</v>
      </c>
      <c r="EM17" s="33" t="n">
        <v>248324.0789456061</v>
      </c>
      <c r="EN17" s="33" t="n">
        <v>248251.5346424236</v>
      </c>
      <c r="EO17" s="33" t="n">
        <v>248179.0115320144</v>
      </c>
      <c r="EP17" s="33" t="n">
        <v>248106.5096081875</v>
      </c>
      <c r="EQ17" s="33" t="n">
        <v>248034.0288647534</v>
      </c>
      <c r="ER17" s="33" t="n">
        <v>247961.5692955246</v>
      </c>
      <c r="ES17" s="33" t="n">
        <v>247889.1308943153</v>
      </c>
      <c r="ET17" s="33" t="n">
        <v>247816.7136549416</v>
      </c>
      <c r="EU17" s="33" t="n">
        <v>247744.3175712215</v>
      </c>
      <c r="EV17" s="33" t="n">
        <v>247671.9426369745</v>
      </c>
      <c r="EW17" s="33" t="n">
        <v>247599.5888460222</v>
      </c>
      <c r="EX17" s="33" t="n">
        <v>247527.2561921878</v>
      </c>
      <c r="EY17" s="33" t="n">
        <v>247454.9446692965</v>
      </c>
      <c r="EZ17" s="33" t="n">
        <v>247382.6542711752</v>
      </c>
      <c r="FA17" s="33" t="n">
        <v>247310.3849916524</v>
      </c>
      <c r="FB17" s="33" t="n">
        <v>247238.1368245588</v>
      </c>
      <c r="FC17" s="33" t="n">
        <v>247165.9097637267</v>
      </c>
      <c r="FD17" s="33" t="n">
        <v>247093.7038029902</v>
      </c>
      <c r="FE17" s="33" t="n">
        <v>247021.5189361852</v>
      </c>
      <c r="FF17" s="33" t="n">
        <v>246949.3551571493</v>
      </c>
      <c r="FG17" s="33" t="n">
        <v>246877.2124597222</v>
      </c>
      <c r="FH17" s="33" t="n">
        <v>246805.0908377451</v>
      </c>
      <c r="FI17" s="33" t="n">
        <v>246732.9902850611</v>
      </c>
      <c r="FJ17" s="33" t="n">
        <v>246660.9107955151</v>
      </c>
      <c r="FK17" s="33" t="n">
        <v>246588.852362954</v>
      </c>
      <c r="FL17" s="33" t="n">
        <v>246516.814981226</v>
      </c>
      <c r="FM17" s="33" t="n">
        <v>246444.7986441816</v>
      </c>
      <c r="FN17" s="33" t="n">
        <v>246372.8033456729</v>
      </c>
      <c r="FO17" s="33" t="n">
        <v>246300.8290795537</v>
      </c>
      <c r="FP17" s="33" t="n">
        <v>246228.8758396798</v>
      </c>
      <c r="FQ17" s="33" t="n">
        <v>246156.9436199085</v>
      </c>
      <c r="FR17" s="33" t="n">
        <v>246085.0324140993</v>
      </c>
      <c r="FS17" s="33" t="n">
        <v>246013.1422161132</v>
      </c>
      <c r="FT17" s="33" t="n">
        <v>245941.273019813</v>
      </c>
      <c r="FU17" s="33" t="n">
        <v>245869.4248190634</v>
      </c>
      <c r="FV17" s="33" t="n">
        <v>245797.5976077309</v>
      </c>
      <c r="FW17" s="33" t="n">
        <v>245725.7913796837</v>
      </c>
      <c r="FX17" s="33" t="n">
        <v>245654.0061287917</v>
      </c>
      <c r="FY17" s="33" t="n">
        <v>245582.241848927</v>
      </c>
      <c r="FZ17" s="33" t="n">
        <v>245510.4985339631</v>
      </c>
      <c r="GA17" s="33" t="n">
        <v>245438.7761777753</v>
      </c>
      <c r="GB17" s="33" t="n">
        <v>245367.0747742409</v>
      </c>
      <c r="GC17" s="33" t="n">
        <v>245295.3943172389</v>
      </c>
      <c r="GD17" s="33" t="n">
        <v>245223.73480065</v>
      </c>
      <c r="GE17" s="33" t="n">
        <v>245152.0962183568</v>
      </c>
      <c r="GF17" s="33" t="n">
        <v>245080.4785642436</v>
      </c>
      <c r="GG17" s="33" t="n">
        <v>245008.8818321967</v>
      </c>
      <c r="GH17" s="33" t="n">
        <v>244937.3060161038</v>
      </c>
      <c r="GI17" s="33" t="n">
        <v>244865.7511098548</v>
      </c>
      <c r="GJ17" s="33" t="n">
        <v>244794.217107341</v>
      </c>
      <c r="GK17" s="33" t="n">
        <v>244722.7040024558</v>
      </c>
      <c r="GL17" s="33" t="n">
        <v>244651.2117890942</v>
      </c>
      <c r="GM17" s="33" t="n">
        <v>244579.7404611531</v>
      </c>
      <c r="GN17" s="33" t="n">
        <v>244508.2900125311</v>
      </c>
      <c r="GO17" s="33" t="n">
        <v>244436.8604371285</v>
      </c>
      <c r="GP17" s="33" t="n">
        <v>244365.4517288477</v>
      </c>
      <c r="GQ17" s="33" t="n">
        <v>244294.0638815926</v>
      </c>
      <c r="GR17" s="33" t="n">
        <v>244222.6968892688</v>
      </c>
      <c r="GS17" s="33" t="n">
        <v>244151.350745784</v>
      </c>
      <c r="GT17" s="33" t="n">
        <v>244080.0254450475</v>
      </c>
      <c r="GU17" s="33" t="n">
        <v>244008.7209809703</v>
      </c>
      <c r="GV17" s="33" t="n">
        <v>243937.4373474653</v>
      </c>
      <c r="GW17" s="33" t="n">
        <v>243866.1745384472</v>
      </c>
      <c r="GX17" s="33" t="n">
        <v>243794.9325478324</v>
      </c>
      <c r="GY17" s="33" t="n">
        <v>243723.7113695391</v>
      </c>
      <c r="GZ17" s="33" t="n">
        <v>243652.5109974872</v>
      </c>
      <c r="HA17" s="33" t="n">
        <v>243581.3314255986</v>
      </c>
      <c r="HB17" s="33" t="n">
        <v>243510.1726477968</v>
      </c>
      <c r="HC17" s="33" t="n">
        <v>243439.034658007</v>
      </c>
      <c r="HD17" s="33" t="n">
        <v>243367.9174501564</v>
      </c>
      <c r="HE17" s="33" t="n">
        <v>243296.8210181738</v>
      </c>
      <c r="HF17" s="33" t="n">
        <v>243225.7453559898</v>
      </c>
      <c r="HG17" s="33" t="n">
        <v>243154.6904575369</v>
      </c>
      <c r="HH17" s="33" t="n">
        <v>243083.6563167492</v>
      </c>
      <c r="HI17" s="33" t="n">
        <v>243012.6429275626</v>
      </c>
      <c r="HJ17" s="33" t="n">
        <v>242941.650283915</v>
      </c>
      <c r="HK17" s="33" t="n">
        <v>242870.6783797457</v>
      </c>
      <c r="HL17" s="33" t="n">
        <v>242799.727208996</v>
      </c>
      <c r="HM17" s="33" t="n">
        <v>242728.796765609</v>
      </c>
      <c r="HN17" s="33" t="n">
        <v>242657.8870435295</v>
      </c>
      <c r="HO17" s="33" t="n">
        <v>242586.998036704</v>
      </c>
      <c r="HP17" s="33" t="n">
        <v>242516.1297390809</v>
      </c>
      <c r="HQ17" s="33" t="n">
        <v>242445.2821446102</v>
      </c>
      <c r="HR17" s="33" t="n">
        <v>242374.4552472439</v>
      </c>
      <c r="HS17" s="33" t="n">
        <v>242303.6490409355</v>
      </c>
      <c r="HT17" s="33" t="n">
        <v>242232.8635196406</v>
      </c>
      <c r="HU17" s="33" t="n">
        <v>242162.0986773162</v>
      </c>
      <c r="HV17" s="33" t="n">
        <v>242091.3545079213</v>
      </c>
      <c r="HW17" s="33" t="n">
        <v>242020.6310054166</v>
      </c>
      <c r="HX17" s="33" t="n">
        <v>241949.9281637646</v>
      </c>
      <c r="HY17" s="33" t="n">
        <v>241879.2459769294</v>
      </c>
      <c r="HZ17" s="33" t="n">
        <v>241808.5844388772</v>
      </c>
      <c r="IA17" s="33" t="n">
        <v>241737.9435435756</v>
      </c>
      <c r="IB17" s="33" t="n">
        <v>241667.3232849941</v>
      </c>
      <c r="IC17" s="33" t="n">
        <v>241596.7236571041</v>
      </c>
      <c r="ID17" s="33" t="n">
        <v>241526.1446538785</v>
      </c>
      <c r="IE17" s="33" t="n">
        <v>241455.5862692923</v>
      </c>
      <c r="IF17" s="33" t="n">
        <v>241385.0484973218</v>
      </c>
      <c r="IG17" s="33" t="n">
        <v>241314.5313319456</v>
      </c>
      <c r="IH17" s="33" t="n">
        <v>241244.0347671436</v>
      </c>
      <c r="II17" s="33" t="n">
        <v>241173.5587968976</v>
      </c>
      <c r="IJ17" s="33" t="n">
        <v>241103.1034151914</v>
      </c>
      <c r="IK17" s="33" t="n">
        <v>241032.6686160102</v>
      </c>
      <c r="IL17" s="33" t="n">
        <v>240962.2543933411</v>
      </c>
      <c r="IM17" s="33" t="n">
        <v>240891.860741173</v>
      </c>
      <c r="IN17" s="33" t="n">
        <v>240821.4876534966</v>
      </c>
      <c r="IO17" s="33" t="n">
        <v>240751.1351243042</v>
      </c>
      <c r="IP17" s="33" t="n">
        <v>240680.80314759</v>
      </c>
      <c r="IQ17" s="33" t="n">
        <v>240610.4917173498</v>
      </c>
      <c r="IR17" s="33" t="n">
        <v>240540.2008275812</v>
      </c>
      <c r="IS17" s="33" t="n">
        <v>240469.9304722838</v>
      </c>
      <c r="IT17" s="33" t="n">
        <v>240399.6806454586</v>
      </c>
      <c r="IU17" s="33" t="n">
        <v>240329.4513411085</v>
      </c>
      <c r="IV17" s="33" t="n">
        <v>240259.2425532383</v>
      </c>
      <c r="IW17" s="33" t="n">
        <v>240189.0542758542</v>
      </c>
      <c r="IX17" s="33" t="n">
        <v>240118.8865029644</v>
      </c>
      <c r="IY17" s="33" t="n">
        <v>240048.739228579</v>
      </c>
      <c r="IZ17" s="33" t="n">
        <v>239978.6124467094</v>
      </c>
      <c r="JA17" s="33" t="n">
        <v>239908.5061513692</v>
      </c>
      <c r="JB17" s="33" t="n">
        <v>239838.4203365734</v>
      </c>
      <c r="JC17" s="33" t="n">
        <v>239768.354996339</v>
      </c>
      <c r="JD17" s="33" t="n">
        <v>239698.3101246847</v>
      </c>
      <c r="JE17" s="33" t="n">
        <v>239628.2857156308</v>
      </c>
      <c r="JF17" s="33" t="n">
        <v>239558.2817631995</v>
      </c>
      <c r="JG17" s="33" t="n">
        <v>239488.2982614147</v>
      </c>
      <c r="JH17" s="33" t="n">
        <v>239418.3352043019</v>
      </c>
      <c r="JI17" s="33" t="n">
        <v>239348.3925858887</v>
      </c>
      <c r="JJ17" s="33" t="n">
        <v>239278.4704002041</v>
      </c>
      <c r="JK17" s="33" t="n">
        <v>239208.568641279</v>
      </c>
      <c r="JL17" s="33" t="n">
        <v>239138.6873031459</v>
      </c>
      <c r="JM17" s="33" t="n">
        <v>239068.8263798394</v>
      </c>
      <c r="JN17" s="33" t="n">
        <v>238998.9858653954</v>
      </c>
      <c r="JO17" s="33" t="n">
        <v>238929.1657538519</v>
      </c>
      <c r="JP17" s="33" t="n">
        <v>238859.3660392483</v>
      </c>
      <c r="JQ17" s="33" t="n">
        <v>238789.5867156261</v>
      </c>
      <c r="JR17" s="33" t="n">
        <v>238719.8277770283</v>
      </c>
      <c r="JS17" s="33" t="n">
        <v>238650.0892174997</v>
      </c>
      <c r="JT17" s="33" t="n">
        <v>238580.3710310869</v>
      </c>
      <c r="JU17" s="33" t="n">
        <v>238510.6732118381</v>
      </c>
      <c r="JV17" s="33" t="n">
        <v>238440.9957538033</v>
      </c>
      <c r="JW17" s="33" t="n">
        <v>238371.3386510345</v>
      </c>
      <c r="JX17" s="33" t="n">
        <v>238301.7018975849</v>
      </c>
      <c r="JY17" s="33" t="n">
        <v>238232.08548751</v>
      </c>
      <c r="JZ17" s="33" t="n">
        <v>238162.4894148665</v>
      </c>
      <c r="KA17" s="33" t="n">
        <v>238092.9136737134</v>
      </c>
      <c r="KB17" s="33" t="n">
        <v>238023.358258111</v>
      </c>
      <c r="KC17" s="33" t="n">
        <v>237953.8231621214</v>
      </c>
      <c r="KD17" s="33" t="n">
        <v>237884.3083798087</v>
      </c>
      <c r="KE17" s="33" t="n">
        <v>237814.8139052385</v>
      </c>
      <c r="KF17" s="33" t="n">
        <v>237745.3397324781</v>
      </c>
      <c r="KG17" s="33" t="n">
        <v>237675.8858555967</v>
      </c>
      <c r="KH17" s="33" t="n">
        <v>237606.4522686651</v>
      </c>
      <c r="KI17" s="33" t="n">
        <v>237537.0389657559</v>
      </c>
      <c r="KJ17" s="33" t="n">
        <v>237467.6459409434</v>
      </c>
      <c r="KK17" s="33" t="n">
        <v>237398.2731883037</v>
      </c>
      <c r="KL17" s="33" t="n">
        <v>237328.9207019145</v>
      </c>
      <c r="KM17" s="33" t="n">
        <v>237259.5884758554</v>
      </c>
      <c r="KN17" s="33" t="n">
        <v>237190.2765042076</v>
      </c>
      <c r="KO17" s="33" t="n">
        <v>237120.984781054</v>
      </c>
      <c r="KP17" s="33" t="n">
        <v>237051.7133004794</v>
      </c>
      <c r="KQ17" s="33" t="n">
        <v>236982.4620565702</v>
      </c>
      <c r="KR17" s="33" t="n">
        <v>236913.2310434144</v>
      </c>
      <c r="KS17" s="33" t="n">
        <v>236844.0202551021</v>
      </c>
      <c r="KT17" s="33" t="n">
        <v>236774.8296857247</v>
      </c>
      <c r="KU17" s="33" t="n">
        <v>236705.6593293757</v>
      </c>
      <c r="KV17" s="33" t="n">
        <v>236636.5091801501</v>
      </c>
      <c r="KW17" s="33" t="n">
        <v>236567.3792321447</v>
      </c>
      <c r="KX17" s="33" t="n">
        <v>236498.2694794579</v>
      </c>
      <c r="KY17" s="33" t="n">
        <v>236429.17991619</v>
      </c>
      <c r="KZ17" s="33" t="n">
        <v>236360.1105364429</v>
      </c>
      <c r="LA17" s="33" t="n">
        <v>236291.0613343203</v>
      </c>
      <c r="LB17" s="33" t="n">
        <v>236222.0323039278</v>
      </c>
      <c r="LC17" s="33" t="n">
        <v>236153.0234393722</v>
      </c>
      <c r="LD17" s="33" t="n">
        <v>236084.0347347625</v>
      </c>
      <c r="LE17" s="33" t="n">
        <v>236015.0661842093</v>
      </c>
      <c r="LF17" s="33" t="n">
        <v>235946.1177818248</v>
      </c>
      <c r="LG17" s="33" t="n">
        <v>235877.1895217229</v>
      </c>
      <c r="LH17" s="33" t="n">
        <v>235808.2813980196</v>
      </c>
      <c r="LI17" s="33" t="n">
        <v>235739.3934048321</v>
      </c>
      <c r="LJ17" s="33" t="n">
        <v>235670.5255362798</v>
      </c>
      <c r="LK17" s="33" t="n">
        <v>235601.6777864833</v>
      </c>
      <c r="LL17" s="33" t="n">
        <v>235532.8501495654</v>
      </c>
      <c r="LM17" s="33" t="n">
        <v>235464.0426196502</v>
      </c>
      <c r="LN17" s="33" t="n">
        <v>235395.255190864</v>
      </c>
      <c r="LO17" s="33" t="n">
        <v>235326.4878573344</v>
      </c>
      <c r="LP17" s="33" t="n">
        <v>235257.7406131908</v>
      </c>
      <c r="LQ17" s="33" t="n">
        <v>235189.0134525645</v>
      </c>
      <c r="LR17" s="33" t="n">
        <v>235120.3063695884</v>
      </c>
      <c r="LS17" s="33" t="n">
        <v>235051.6193583969</v>
      </c>
      <c r="LT17" s="33" t="n">
        <v>234982.9524131266</v>
      </c>
      <c r="LU17" s="33" t="n">
        <v>234914.3055279152</v>
      </c>
      <c r="LV17" s="33" t="n">
        <v>234845.6786969028</v>
      </c>
      <c r="LW17" s="33" t="n">
        <v>234777.0719142306</v>
      </c>
      <c r="LX17" s="33" t="n">
        <v>234708.4851740419</v>
      </c>
      <c r="LY17" s="33" t="n">
        <v>234639.9184704815</v>
      </c>
      <c r="LZ17" s="33" t="n">
        <v>234571.371797696</v>
      </c>
      <c r="MA17" s="33" t="n">
        <v>234502.8451498337</v>
      </c>
      <c r="MB17" s="33" t="n">
        <v>234434.3385210447</v>
      </c>
      <c r="MC17" s="33" t="n">
        <v>234365.8519054806</v>
      </c>
      <c r="MD17" s="33" t="n">
        <v>234297.3852972948</v>
      </c>
      <c r="ME17" s="33" t="n">
        <v>234228.9386906425</v>
      </c>
      <c r="MF17" s="33" t="n">
        <v>234160.5120796806</v>
      </c>
      <c r="MG17" s="33" t="n">
        <v>234092.1054585676</v>
      </c>
      <c r="MH17" s="33" t="n">
        <v>234023.7188214636</v>
      </c>
      <c r="MI17" s="33" t="n">
        <v>233955.3521625308</v>
      </c>
      <c r="MJ17" s="33" t="n">
        <v>233887.0054759328</v>
      </c>
      <c r="MK17" s="33" t="n">
        <v>233818.6787558348</v>
      </c>
      <c r="ML17" s="33" t="n">
        <v>233750.3719964041</v>
      </c>
      <c r="MM17" s="33" t="n">
        <v>233682.0851918093</v>
      </c>
      <c r="MN17" s="33" t="n">
        <v>233613.818336221</v>
      </c>
      <c r="MO17" s="33" t="n">
        <v>233545.5714238114</v>
      </c>
      <c r="MP17" s="33" t="n">
        <v>233477.3444487543</v>
      </c>
      <c r="MQ17" s="33" t="n">
        <v>233409.1374052253</v>
      </c>
      <c r="MR17" s="33" t="n">
        <v>233340.9502874017</v>
      </c>
      <c r="MS17" s="33" t="n">
        <v>233272.7830894626</v>
      </c>
      <c r="MT17" s="33" t="n">
        <v>233204.6358055885</v>
      </c>
      <c r="MU17" s="33" t="n">
        <v>233136.508429962</v>
      </c>
      <c r="MV17" s="33" t="n">
        <v>233068.400956767</v>
      </c>
      <c r="MW17" s="33" t="n">
        <v>233000.3133801894</v>
      </c>
      <c r="MX17" s="33" t="n">
        <v>232932.2456944167</v>
      </c>
      <c r="MY17" s="33" t="n">
        <v>232864.197893638</v>
      </c>
      <c r="MZ17" s="33" t="n">
        <v>232796.1699720443</v>
      </c>
      <c r="NA17" s="33" t="n">
        <v>232728.1619238281</v>
      </c>
      <c r="NB17" s="33" t="n">
        <v>232660.1737431837</v>
      </c>
      <c r="NC17" s="33" t="n">
        <v>232592.205424307</v>
      </c>
      <c r="ND17" s="33" t="n">
        <v>232524.2569613958</v>
      </c>
      <c r="NE17" s="33" t="n">
        <v>232456.3283486495</v>
      </c>
      <c r="NF17" s="33" t="n">
        <v>232388.419580269</v>
      </c>
      <c r="NG17" s="33" t="n">
        <v>232320.5306504571</v>
      </c>
      <c r="NH17" s="33" t="n">
        <v>232252.6615534184</v>
      </c>
      <c r="NI17" s="33" t="n">
        <v>232184.8122833587</v>
      </c>
      <c r="NJ17" s="33" t="n">
        <v>232116.9828344862</v>
      </c>
      <c r="NK17" s="33" t="n">
        <v>232049.1732010103</v>
      </c>
      <c r="NL17" s="33" t="n">
        <v>231981.3833771421</v>
      </c>
      <c r="NM17" s="33" t="n">
        <v>231913.6133570947</v>
      </c>
      <c r="NN17" s="33" t="n">
        <v>231845.8631350825</v>
      </c>
      <c r="NO17" s="33" t="n">
        <v>231778.1327053219</v>
      </c>
      <c r="NP17" s="33" t="n">
        <v>231710.422062031</v>
      </c>
      <c r="NQ17" s="33" t="n">
        <v>231642.7311994292</v>
      </c>
      <c r="NR17" s="33" t="n">
        <v>231575.060111738</v>
      </c>
      <c r="NS17" s="33" t="n">
        <v>231507.4087931805</v>
      </c>
      <c r="NT17" s="33" t="n">
        <v>231439.7772379814</v>
      </c>
      <c r="NU17" s="33" t="n">
        <v>231372.165440367</v>
      </c>
      <c r="NV17" s="33" t="n">
        <v>231304.5733945656</v>
      </c>
      <c r="NW17" s="33" t="n">
        <v>231237.0010948068</v>
      </c>
      <c r="NX17" s="33" t="n">
        <v>231169.4485353222</v>
      </c>
      <c r="NY17" s="33" t="n">
        <v>231101.9157103449</v>
      </c>
      <c r="NZ17" s="33" t="n">
        <v>231034.4026141097</v>
      </c>
      <c r="OA17" s="33" t="n">
        <v>230966.9092408533</v>
      </c>
      <c r="OB17" s="33" t="n">
        <v>230899.4355848139</v>
      </c>
      <c r="OC17" s="33" t="n">
        <v>230831.9816402312</v>
      </c>
      <c r="OD17" s="33" t="n">
        <v>230764.547401347</v>
      </c>
      <c r="OE17" s="33" t="n">
        <v>230697.1328624044</v>
      </c>
      <c r="OF17" s="33" t="n">
        <v>230629.7380176485</v>
      </c>
      <c r="OG17" s="33" t="n">
        <v>230562.3628613257</v>
      </c>
      <c r="OH17" s="33" t="n">
        <v>230495.0073876846</v>
      </c>
      <c r="OI17" s="33" t="n">
        <v>230427.6715909749</v>
      </c>
      <c r="OJ17" s="33" t="n">
        <v>230360.3554654485</v>
      </c>
      <c r="OK17" s="33" t="n">
        <v>230293.0590053587</v>
      </c>
      <c r="OL17" s="33" t="n">
        <v>230225.7822049604</v>
      </c>
      <c r="OM17" s="33" t="n">
        <v>230158.5250585104</v>
      </c>
      <c r="ON17" s="33" t="n">
        <v>230091.2875602671</v>
      </c>
      <c r="OO17" s="33" t="n">
        <v>230024.0697044905</v>
      </c>
      <c r="OP17" s="33" t="n">
        <v>229956.8714854423</v>
      </c>
      <c r="OQ17" s="33" t="n">
        <v>229889.692897386</v>
      </c>
      <c r="OR17" s="33" t="n">
        <v>229822.5339345867</v>
      </c>
      <c r="OS17" s="33" t="n">
        <v>229755.3945913111</v>
      </c>
      <c r="OT17" s="33" t="n">
        <v>229688.2748618277</v>
      </c>
      <c r="OU17" s="33" t="n">
        <v>229621.1747404065</v>
      </c>
      <c r="OV17" s="33" t="n">
        <v>229554.0942213195</v>
      </c>
      <c r="OW17" s="33" t="n">
        <v>229487.0332988399</v>
      </c>
      <c r="OX17" s="33" t="n">
        <v>229419.9919672431</v>
      </c>
      <c r="OY17" s="33" t="n">
        <v>229352.9702208056</v>
      </c>
      <c r="OZ17" s="33" t="n">
        <v>229285.9680538061</v>
      </c>
      <c r="PA17" s="33" t="n">
        <v>229218.9854605247</v>
      </c>
      <c r="PB17" s="33" t="n">
        <v>229152.0224352432</v>
      </c>
      <c r="PC17" s="33" t="n">
        <v>229085.0789722452</v>
      </c>
      <c r="PD17" s="33" t="n">
        <v>229018.1550658157</v>
      </c>
      <c r="PE17" s="33" t="n">
        <v>228951.2507102415</v>
      </c>
      <c r="PF17" s="33" t="n">
        <v>228884.3658998113</v>
      </c>
      <c r="PG17" s="33" t="n">
        <v>228817.5006288151</v>
      </c>
      <c r="PH17" s="33" t="n">
        <v>228750.6548915449</v>
      </c>
      <c r="PI17" s="33" t="n">
        <v>228683.828682294</v>
      </c>
      <c r="PJ17" s="33" t="n">
        <v>228617.0219953577</v>
      </c>
      <c r="PK17" s="33" t="n">
        <v>228550.2348250328</v>
      </c>
      <c r="PL17" s="33" t="n">
        <v>228483.4671656178</v>
      </c>
      <c r="PM17" s="33" t="n">
        <v>228416.7190114129</v>
      </c>
      <c r="PN17" s="33" t="n">
        <v>228349.9903567199</v>
      </c>
      <c r="PO17" s="33" t="n">
        <v>228283.2811958423</v>
      </c>
      <c r="PP17" s="33" t="n">
        <v>228216.5915230853</v>
      </c>
      <c r="PQ17" s="33" t="n">
        <v>228149.9213327557</v>
      </c>
      <c r="PR17" s="33" t="n">
        <v>228083.270619162</v>
      </c>
      <c r="PS17" s="33" t="n">
        <v>228016.6393766143</v>
      </c>
      <c r="PT17" s="33" t="n">
        <v>227950.0275994245</v>
      </c>
      <c r="PU17" s="33" t="n">
        <v>227883.435281906</v>
      </c>
      <c r="PV17" s="33" t="n">
        <v>227816.862418374</v>
      </c>
      <c r="PW17" s="33" t="n">
        <v>227750.3090031452</v>
      </c>
      <c r="PX17" s="33" t="n">
        <v>227683.7750305381</v>
      </c>
      <c r="PY17" s="33" t="n">
        <v>227617.260494873</v>
      </c>
      <c r="PZ17" s="33" t="n">
        <v>227550.7653904714</v>
      </c>
      <c r="QA17" s="33" t="n">
        <v>227484.2897116569</v>
      </c>
      <c r="QB17" s="33" t="n">
        <v>227417.8334527545</v>
      </c>
      <c r="QC17" s="33" t="n">
        <v>227351.3966080911</v>
      </c>
      <c r="QD17" s="33" t="n">
        <v>227284.9791719949</v>
      </c>
      <c r="QE17" s="33" t="n">
        <v>227218.5811387962</v>
      </c>
      <c r="QF17" s="33" t="n">
        <v>227152.2025028265</v>
      </c>
      <c r="QG17" s="33" t="n">
        <v>227085.8432584193</v>
      </c>
      <c r="QH17" s="33" t="n">
        <v>227019.5033999096</v>
      </c>
      <c r="QI17" s="33" t="n">
        <v>226953.1829216342</v>
      </c>
      <c r="QJ17" s="33" t="n">
        <v>226886.8818179313</v>
      </c>
      <c r="QK17" s="33" t="n">
        <v>226820.6000831409</v>
      </c>
      <c r="QL17" s="33" t="n">
        <v>226754.3377116047</v>
      </c>
      <c r="QM17" s="33" t="n">
        <v>0</v>
      </c>
      <c r="QN17" s="33" t="n">
        <v>0</v>
      </c>
      <c r="QO17" s="33" t="n">
        <v>0</v>
      </c>
      <c r="QP17" s="33" t="n">
        <v>0</v>
      </c>
      <c r="QQ17" s="33" t="n">
        <v>0</v>
      </c>
      <c r="QR17" s="33" t="n">
        <v>0</v>
      </c>
      <c r="QS17" s="33" t="n">
        <v>0</v>
      </c>
      <c r="QT17" s="33" t="n">
        <v>0</v>
      </c>
      <c r="QU17" s="33" t="n">
        <v>0</v>
      </c>
      <c r="QV17" s="33" t="n">
        <v>0</v>
      </c>
      <c r="QW17" s="33" t="n">
        <v>0</v>
      </c>
      <c r="QX17" s="33" t="n">
        <v>0</v>
      </c>
      <c r="QY17" s="33" t="n">
        <v>0</v>
      </c>
      <c r="QZ17" s="33" t="n">
        <v>0</v>
      </c>
      <c r="RA17" s="33" t="n">
        <v>0</v>
      </c>
      <c r="RB17" s="33" t="n">
        <v>0</v>
      </c>
      <c r="RC17" s="33" t="n">
        <v>0</v>
      </c>
      <c r="RD17" s="33" t="n">
        <v>0</v>
      </c>
      <c r="RE17" s="33" t="n">
        <v>0</v>
      </c>
      <c r="RF17" s="33" t="n">
        <v>0</v>
      </c>
      <c r="RG17" s="33" t="n">
        <v>0</v>
      </c>
      <c r="RH17" s="33" t="n">
        <v>0</v>
      </c>
      <c r="RI17" s="33" t="n">
        <v>0</v>
      </c>
      <c r="RJ17" s="33" t="n">
        <v>0</v>
      </c>
      <c r="RK17" s="33" t="n">
        <v>0</v>
      </c>
      <c r="RL17" s="33" t="n">
        <v>0</v>
      </c>
      <c r="RM17" s="33" t="n">
        <v>0</v>
      </c>
      <c r="RN17" s="33" t="n">
        <v>0</v>
      </c>
      <c r="RO17" s="33" t="n">
        <v>0</v>
      </c>
      <c r="RP17" s="33" t="n">
        <v>0</v>
      </c>
      <c r="RQ17" s="33" t="n">
        <v>0</v>
      </c>
      <c r="RR17" s="33" t="n">
        <v>0</v>
      </c>
      <c r="RS17" s="33" t="n">
        <v>0</v>
      </c>
      <c r="RT17" s="33" t="n">
        <v>0</v>
      </c>
      <c r="RU17" s="33" t="n">
        <v>0</v>
      </c>
      <c r="RV17" s="33" t="n">
        <v>0</v>
      </c>
      <c r="RW17" s="33" t="n">
        <v>0</v>
      </c>
    </row>
    <row r="18" hidden="1" outlineLevel="1" ht="13.05" customHeight="1">
      <c r="E18" s="25" t="inlineStr">
        <is>
          <t>GoO Revenue</t>
        </is>
      </c>
      <c r="F18" s="26" t="n"/>
      <c r="G18" s="26" t="inlineStr">
        <is>
          <t>kEUR</t>
        </is>
      </c>
      <c r="H18" s="26" t="n"/>
      <c r="I18" s="26" t="n"/>
      <c r="J18" s="27" t="n">
        <v>100251.5548589827</v>
      </c>
      <c r="K18" s="26" t="n"/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199.4659271907217</v>
      </c>
      <c r="CR18" s="28" t="n">
        <v>199.8184032154005</v>
      </c>
      <c r="CS18" s="28" t="n">
        <v>200.1715021000822</v>
      </c>
      <c r="CT18" s="28" t="n">
        <v>200.5252249454219</v>
      </c>
      <c r="CU18" s="28" t="n">
        <v>200.8795728540199</v>
      </c>
      <c r="CV18" s="28" t="n">
        <v>201.2345469304248</v>
      </c>
      <c r="CW18" s="28" t="n">
        <v>201.590148281137</v>
      </c>
      <c r="CX18" s="28" t="n">
        <v>201.9463780146123</v>
      </c>
      <c r="CY18" s="28" t="n">
        <v>202.3032372412652</v>
      </c>
      <c r="CZ18" s="28" t="n">
        <v>202.6607270734724</v>
      </c>
      <c r="DA18" s="28" t="n">
        <v>203.0188486255763</v>
      </c>
      <c r="DB18" s="28" t="n">
        <v>203.3776030138884</v>
      </c>
      <c r="DC18" s="28" t="n">
        <v>203.736991356693</v>
      </c>
      <c r="DD18" s="28" t="n">
        <v>204.0970147742503</v>
      </c>
      <c r="DE18" s="28" t="n">
        <v>204.4576743888001</v>
      </c>
      <c r="DF18" s="28" t="n">
        <v>204.8189713245658</v>
      </c>
      <c r="DG18" s="28" t="n">
        <v>205.1809067077566</v>
      </c>
      <c r="DH18" s="28" t="n">
        <v>205.5434816665725</v>
      </c>
      <c r="DI18" s="28" t="n">
        <v>205.9066973312069</v>
      </c>
      <c r="DJ18" s="28" t="n">
        <v>206.2705548338502</v>
      </c>
      <c r="DK18" s="28" t="n">
        <v>206.6350553086938</v>
      </c>
      <c r="DL18" s="28" t="n">
        <v>207.0001998919331</v>
      </c>
      <c r="DM18" s="28" t="n">
        <v>207.3659897217715</v>
      </c>
      <c r="DN18" s="28" t="n">
        <v>207.7324259384233</v>
      </c>
      <c r="DO18" s="28" t="n">
        <v>208.0995096841181</v>
      </c>
      <c r="DP18" s="28" t="n">
        <v>208.4672421031039</v>
      </c>
      <c r="DQ18" s="28" t="n">
        <v>208.8356243416503</v>
      </c>
      <c r="DR18" s="28" t="n">
        <v>209.204657548053</v>
      </c>
      <c r="DS18" s="28" t="n">
        <v>209.5743428726364</v>
      </c>
      <c r="DT18" s="28" t="n">
        <v>209.944681467758</v>
      </c>
      <c r="DU18" s="28" t="n">
        <v>210.3156744878113</v>
      </c>
      <c r="DV18" s="28" t="n">
        <v>210.68732308923</v>
      </c>
      <c r="DW18" s="28" t="n">
        <v>211.0596284304912</v>
      </c>
      <c r="DX18" s="28" t="n">
        <v>211.4325916721191</v>
      </c>
      <c r="DY18" s="28" t="n">
        <v>211.8062139766888</v>
      </c>
      <c r="DZ18" s="28" t="n">
        <v>212.1804965088297</v>
      </c>
      <c r="EA18" s="28" t="n">
        <v>212.5554404352293</v>
      </c>
      <c r="EB18" s="28" t="n">
        <v>212.9310469246366</v>
      </c>
      <c r="EC18" s="28" t="n">
        <v>213.3073171478659</v>
      </c>
      <c r="ED18" s="28" t="n">
        <v>213.6842522778007</v>
      </c>
      <c r="EE18" s="28" t="n">
        <v>214.0618534893968</v>
      </c>
      <c r="EF18" s="28" t="n">
        <v>214.4401219596863</v>
      </c>
      <c r="EG18" s="28" t="n">
        <v>214.8190588677815</v>
      </c>
      <c r="EH18" s="28" t="n">
        <v>215.1986653948781</v>
      </c>
      <c r="EI18" s="28" t="n">
        <v>215.5789427242591</v>
      </c>
      <c r="EJ18" s="28" t="n">
        <v>215.9598920412984</v>
      </c>
      <c r="EK18" s="28" t="n">
        <v>216.3415145334647</v>
      </c>
      <c r="EL18" s="28" t="n">
        <v>216.7238113903251</v>
      </c>
      <c r="EM18" s="28" t="n">
        <v>217.1067838035486</v>
      </c>
      <c r="EN18" s="28" t="n">
        <v>217.4904329669104</v>
      </c>
      <c r="EO18" s="28" t="n">
        <v>217.8747600762946</v>
      </c>
      <c r="EP18" s="28" t="n">
        <v>218.2597663296991</v>
      </c>
      <c r="EQ18" s="28" t="n">
        <v>218.6454529272385</v>
      </c>
      <c r="ER18" s="28" t="n">
        <v>219.0318210711481</v>
      </c>
      <c r="ES18" s="28" t="n">
        <v>219.4188719657879</v>
      </c>
      <c r="ET18" s="28" t="n">
        <v>219.8066068176459</v>
      </c>
      <c r="EU18" s="28" t="n">
        <v>220.1950268353422</v>
      </c>
      <c r="EV18" s="28" t="n">
        <v>220.5841332296326</v>
      </c>
      <c r="EW18" s="28" t="n">
        <v>220.9739272134125</v>
      </c>
      <c r="EX18" s="28" t="n">
        <v>221.3644100017204</v>
      </c>
      <c r="EY18" s="28" t="n">
        <v>221.7555828117422</v>
      </c>
      <c r="EZ18" s="28" t="n">
        <v>222.1474468628144</v>
      </c>
      <c r="FA18" s="28" t="n">
        <v>222.5400033764282</v>
      </c>
      <c r="FB18" s="28" t="n">
        <v>222.9332535762338</v>
      </c>
      <c r="FC18" s="28" t="n">
        <v>223.3271986880429</v>
      </c>
      <c r="FD18" s="28" t="n">
        <v>223.7218399398341</v>
      </c>
      <c r="FE18" s="28" t="n">
        <v>224.1171785617553</v>
      </c>
      <c r="FF18" s="28" t="n">
        <v>224.5132157861288</v>
      </c>
      <c r="FG18" s="28" t="n">
        <v>224.909952847454</v>
      </c>
      <c r="FH18" s="28" t="n">
        <v>225.3073909824122</v>
      </c>
      <c r="FI18" s="28" t="n">
        <v>225.7055314298697</v>
      </c>
      <c r="FJ18" s="28" t="n">
        <v>226.1043754308822</v>
      </c>
      <c r="FK18" s="28" t="n">
        <v>226.5039242286985</v>
      </c>
      <c r="FL18" s="28" t="n">
        <v>226.9041790687643</v>
      </c>
      <c r="FM18" s="28" t="n">
        <v>227.305141198726</v>
      </c>
      <c r="FN18" s="28" t="n">
        <v>227.7068118684348</v>
      </c>
      <c r="FO18" s="28" t="n">
        <v>228.1091923299506</v>
      </c>
      <c r="FP18" s="28" t="n">
        <v>228.5122838375457</v>
      </c>
      <c r="FQ18" s="28" t="n">
        <v>228.9160876477089</v>
      </c>
      <c r="FR18" s="28" t="n">
        <v>229.3206050191492</v>
      </c>
      <c r="FS18" s="28" t="n">
        <v>229.7258372128001</v>
      </c>
      <c r="FT18" s="28" t="n">
        <v>230.131785491823</v>
      </c>
      <c r="FU18" s="28" t="n">
        <v>230.5384511216118</v>
      </c>
      <c r="FV18" s="28" t="n">
        <v>230.945835369796</v>
      </c>
      <c r="FW18" s="28" t="n">
        <v>231.3539395062456</v>
      </c>
      <c r="FX18" s="28" t="n">
        <v>231.7627648030742</v>
      </c>
      <c r="FY18" s="28" t="n">
        <v>232.1723125346437</v>
      </c>
      <c r="FZ18" s="28" t="n">
        <v>232.5825839775677</v>
      </c>
      <c r="GA18" s="28" t="n">
        <v>232.9935804107157</v>
      </c>
      <c r="GB18" s="28" t="n">
        <v>233.4053031152172</v>
      </c>
      <c r="GC18" s="28" t="n">
        <v>233.8177533744655</v>
      </c>
      <c r="GD18" s="28" t="n">
        <v>234.2309324741218</v>
      </c>
      <c r="GE18" s="28" t="n">
        <v>234.6448417021192</v>
      </c>
      <c r="GF18" s="28" t="n">
        <v>235.0594823486667</v>
      </c>
      <c r="GG18" s="28" t="n">
        <v>235.4748557062533</v>
      </c>
      <c r="GH18" s="28" t="n">
        <v>235.8909630696517</v>
      </c>
      <c r="GI18" s="28" t="n">
        <v>236.307805735923</v>
      </c>
      <c r="GJ18" s="28" t="n">
        <v>236.72538500442</v>
      </c>
      <c r="GK18" s="28" t="n">
        <v>237.1437021767918</v>
      </c>
      <c r="GL18" s="28" t="n">
        <v>237.5627585569874</v>
      </c>
      <c r="GM18" s="28" t="n">
        <v>237.9825554512602</v>
      </c>
      <c r="GN18" s="28" t="n">
        <v>238.4030941681718</v>
      </c>
      <c r="GO18" s="28" t="n">
        <v>238.8243760185962</v>
      </c>
      <c r="GP18" s="28" t="n">
        <v>239.2464023157239</v>
      </c>
      <c r="GQ18" s="28" t="n">
        <v>239.6691743750658</v>
      </c>
      <c r="GR18" s="28" t="n">
        <v>240.0926935144576</v>
      </c>
      <c r="GS18" s="28" t="n">
        <v>240.5169610540634</v>
      </c>
      <c r="GT18" s="28" t="n">
        <v>240.9419783163806</v>
      </c>
      <c r="GU18" s="28" t="n">
        <v>241.3677466262435</v>
      </c>
      <c r="GV18" s="28" t="n">
        <v>241.7942673108272</v>
      </c>
      <c r="GW18" s="28" t="n">
        <v>242.2215416996523</v>
      </c>
      <c r="GX18" s="28" t="n">
        <v>242.6495711245888</v>
      </c>
      <c r="GY18" s="28" t="n">
        <v>243.0783569198602</v>
      </c>
      <c r="GZ18" s="28" t="n">
        <v>243.5079004220477</v>
      </c>
      <c r="HA18" s="28" t="n">
        <v>243.9382029700944</v>
      </c>
      <c r="HB18" s="28" t="n">
        <v>244.3692659053093</v>
      </c>
      <c r="HC18" s="28" t="n">
        <v>244.8010905713718</v>
      </c>
      <c r="HD18" s="28" t="n">
        <v>245.2336783143358</v>
      </c>
      <c r="HE18" s="28" t="n">
        <v>245.6670304826335</v>
      </c>
      <c r="HF18" s="28" t="n">
        <v>246.1011484270801</v>
      </c>
      <c r="HG18" s="28" t="n">
        <v>246.5360335008779</v>
      </c>
      <c r="HH18" s="28" t="n">
        <v>246.9716870596203</v>
      </c>
      <c r="HI18" s="28" t="n">
        <v>247.4081104612961</v>
      </c>
      <c r="HJ18" s="28" t="n">
        <v>247.8453050662941</v>
      </c>
      <c r="HK18" s="28" t="n">
        <v>248.2832722374068</v>
      </c>
      <c r="HL18" s="28" t="n">
        <v>248.7220133398349</v>
      </c>
      <c r="HM18" s="28" t="n">
        <v>249.1615297411915</v>
      </c>
      <c r="HN18" s="28" t="n">
        <v>249.6018228115067</v>
      </c>
      <c r="HO18" s="28" t="n">
        <v>250.0428939232314</v>
      </c>
      <c r="HP18" s="28" t="n">
        <v>250.4847444512416</v>
      </c>
      <c r="HQ18" s="28" t="n">
        <v>250.9273757728429</v>
      </c>
      <c r="HR18" s="28" t="n">
        <v>251.3707892677751</v>
      </c>
      <c r="HS18" s="28" t="n">
        <v>251.8149863182154</v>
      </c>
      <c r="HT18" s="28" t="n">
        <v>252.2599683087844</v>
      </c>
      <c r="HU18" s="28" t="n">
        <v>252.7057366265486</v>
      </c>
      <c r="HV18" s="28" t="n">
        <v>253.1522926610261</v>
      </c>
      <c r="HW18" s="28" t="n">
        <v>253.5996378041902</v>
      </c>
      <c r="HX18" s="28" t="n">
        <v>254.047773450474</v>
      </c>
      <c r="HY18" s="28" t="n">
        <v>254.4967009967748</v>
      </c>
      <c r="HZ18" s="28" t="n">
        <v>254.9464218424582</v>
      </c>
      <c r="IA18" s="28" t="n">
        <v>255.3969373893625</v>
      </c>
      <c r="IB18" s="28" t="n">
        <v>255.8482490418037</v>
      </c>
      <c r="IC18" s="28" t="n">
        <v>256.3003582065789</v>
      </c>
      <c r="ID18" s="28" t="n">
        <v>256.7532662929712</v>
      </c>
      <c r="IE18" s="28" t="n">
        <v>257.2069747127542</v>
      </c>
      <c r="IF18" s="28" t="n">
        <v>257.6614848801962</v>
      </c>
      <c r="IG18" s="28" t="n">
        <v>258.1167982120646</v>
      </c>
      <c r="IH18" s="28" t="n">
        <v>258.5729161276303</v>
      </c>
      <c r="II18" s="28" t="n">
        <v>259.0298400486724</v>
      </c>
      <c r="IJ18" s="28" t="n">
        <v>259.4875713994823</v>
      </c>
      <c r="IK18" s="28" t="n">
        <v>259.9461116068683</v>
      </c>
      <c r="IL18" s="28" t="n">
        <v>260.4054621001598</v>
      </c>
      <c r="IM18" s="28" t="n">
        <v>260.8656243112122</v>
      </c>
      <c r="IN18" s="28" t="n">
        <v>261.3265996744114</v>
      </c>
      <c r="IO18" s="28" t="n">
        <v>261.7883896266773</v>
      </c>
      <c r="IP18" s="28" t="n">
        <v>262.2509956074695</v>
      </c>
      <c r="IQ18" s="28" t="n">
        <v>262.7144190587911</v>
      </c>
      <c r="IR18" s="28" t="n">
        <v>263.1786614251934</v>
      </c>
      <c r="IS18" s="28" t="n">
        <v>263.6437241537803</v>
      </c>
      <c r="IT18" s="28" t="n">
        <v>264.1096086942132</v>
      </c>
      <c r="IU18" s="28" t="n">
        <v>264.5763164987146</v>
      </c>
      <c r="IV18" s="28" t="n">
        <v>265.0438490220737</v>
      </c>
      <c r="IW18" s="28" t="n">
        <v>265.5122077216503</v>
      </c>
      <c r="IX18" s="28" t="n">
        <v>265.9813940573795</v>
      </c>
      <c r="IY18" s="28" t="n">
        <v>266.4514094917761</v>
      </c>
      <c r="IZ18" s="28" t="n">
        <v>266.9222554899396</v>
      </c>
      <c r="JA18" s="28" t="n">
        <v>267.3939335195585</v>
      </c>
      <c r="JB18" s="28" t="n">
        <v>267.8664450509144</v>
      </c>
      <c r="JC18" s="28" t="n">
        <v>268.3397915568875</v>
      </c>
      <c r="JD18" s="28" t="n">
        <v>268.8139745129603</v>
      </c>
      <c r="JE18" s="28" t="n">
        <v>269.2889953972232</v>
      </c>
      <c r="JF18" s="28" t="n">
        <v>269.764855690378</v>
      </c>
      <c r="JG18" s="28" t="n">
        <v>270.2415568757433</v>
      </c>
      <c r="JH18" s="28" t="n">
        <v>270.7191004392589</v>
      </c>
      <c r="JI18" s="28" t="n">
        <v>271.19748786949</v>
      </c>
      <c r="JJ18" s="28" t="n">
        <v>271.676720657633</v>
      </c>
      <c r="JK18" s="28" t="n">
        <v>272.1568002975187</v>
      </c>
      <c r="JL18" s="28" t="n">
        <v>272.6377282856179</v>
      </c>
      <c r="JM18" s="28" t="n">
        <v>273.119506121046</v>
      </c>
      <c r="JN18" s="28" t="n">
        <v>273.6021353055671</v>
      </c>
      <c r="JO18" s="28" t="n">
        <v>274.0856173435993</v>
      </c>
      <c r="JP18" s="28" t="n">
        <v>274.5699537422191</v>
      </c>
      <c r="JQ18" s="28" t="n">
        <v>275.0551460111662</v>
      </c>
      <c r="JR18" s="28" t="n">
        <v>275.5411956628482</v>
      </c>
      <c r="JS18" s="28" t="n">
        <v>276.0281042123452</v>
      </c>
      <c r="JT18" s="28" t="n">
        <v>276.5158731774144</v>
      </c>
      <c r="JU18" s="28" t="n">
        <v>277.0045040784955</v>
      </c>
      <c r="JV18" s="28" t="n">
        <v>277.4939984387146</v>
      </c>
      <c r="JW18" s="28" t="n">
        <v>277.9843577838893</v>
      </c>
      <c r="JX18" s="28" t="n">
        <v>278.4755836425338</v>
      </c>
      <c r="JY18" s="28" t="n">
        <v>278.967677545863</v>
      </c>
      <c r="JZ18" s="28" t="n">
        <v>279.4606410277975</v>
      </c>
      <c r="KA18" s="28" t="n">
        <v>279.9544756249691</v>
      </c>
      <c r="KB18" s="28" t="n">
        <v>280.4491828767244</v>
      </c>
      <c r="KC18" s="28" t="n">
        <v>280.9447643251303</v>
      </c>
      <c r="KD18" s="28" t="n">
        <v>281.441221514979</v>
      </c>
      <c r="KE18" s="28" t="n">
        <v>281.938555993792</v>
      </c>
      <c r="KF18" s="28" t="n">
        <v>282.4367693118259</v>
      </c>
      <c r="KG18" s="28" t="n">
        <v>282.9358630220764</v>
      </c>
      <c r="KH18" s="28" t="n">
        <v>283.4358386802836</v>
      </c>
      <c r="KI18" s="28" t="n">
        <v>283.9366978449369</v>
      </c>
      <c r="KJ18" s="28" t="n">
        <v>284.4384420772795</v>
      </c>
      <c r="KK18" s="28" t="n">
        <v>284.9410729413136</v>
      </c>
      <c r="KL18" s="28" t="n">
        <v>285.4445920038052</v>
      </c>
      <c r="KM18" s="28" t="n">
        <v>285.9490008342887</v>
      </c>
      <c r="KN18" s="28" t="n">
        <v>286.4543010050722</v>
      </c>
      <c r="KO18" s="28" t="n">
        <v>286.9604940912422</v>
      </c>
      <c r="KP18" s="28" t="n">
        <v>287.4675816706684</v>
      </c>
      <c r="KQ18" s="28" t="n">
        <v>287.9755653240091</v>
      </c>
      <c r="KR18" s="28" t="n">
        <v>288.4844466347153</v>
      </c>
      <c r="KS18" s="28" t="n">
        <v>288.9942271890365</v>
      </c>
      <c r="KT18" s="28" t="n">
        <v>289.5049085760252</v>
      </c>
      <c r="KU18" s="28" t="n">
        <v>290.0164923875416</v>
      </c>
      <c r="KV18" s="28" t="n">
        <v>290.5289802182593</v>
      </c>
      <c r="KW18" s="28" t="n">
        <v>291.0423736656696</v>
      </c>
      <c r="KX18" s="28" t="n">
        <v>291.5566743300867</v>
      </c>
      <c r="KY18" s="28" t="n">
        <v>292.0718838146529</v>
      </c>
      <c r="KZ18" s="28" t="n">
        <v>292.5880037253432</v>
      </c>
      <c r="LA18" s="28" t="n">
        <v>293.1050356709708</v>
      </c>
      <c r="LB18" s="28" t="n">
        <v>293.6229812631916</v>
      </c>
      <c r="LC18" s="28" t="n">
        <v>294.1418421165094</v>
      </c>
      <c r="LD18" s="28" t="n">
        <v>294.6616198482811</v>
      </c>
      <c r="LE18" s="28" t="n">
        <v>295.1823160787218</v>
      </c>
      <c r="LF18" s="28" t="n">
        <v>295.7039324309093</v>
      </c>
      <c r="LG18" s="28" t="n">
        <v>296.2264705307899</v>
      </c>
      <c r="LH18" s="28" t="n">
        <v>296.7499320071827</v>
      </c>
      <c r="LI18" s="28" t="n">
        <v>297.2743184917856</v>
      </c>
      <c r="LJ18" s="28" t="n">
        <v>297.7996316191797</v>
      </c>
      <c r="LK18" s="28" t="n">
        <v>298.3258730268342</v>
      </c>
      <c r="LL18" s="28" t="n">
        <v>298.8530443551122</v>
      </c>
      <c r="LM18" s="28" t="n">
        <v>299.3811472472755</v>
      </c>
      <c r="LN18" s="28" t="n">
        <v>299.9101833494896</v>
      </c>
      <c r="LO18" s="28" t="n">
        <v>300.4401543108291</v>
      </c>
      <c r="LP18" s="28" t="n">
        <v>300.9710617832825</v>
      </c>
      <c r="LQ18" s="28" t="n">
        <v>301.5029074217574</v>
      </c>
      <c r="LR18" s="28" t="n">
        <v>302.0356928840861</v>
      </c>
      <c r="LS18" s="28" t="n">
        <v>302.5694198310303</v>
      </c>
      <c r="LT18" s="28" t="n">
        <v>303.1040899262866</v>
      </c>
      <c r="LU18" s="28" t="n">
        <v>303.639704836491</v>
      </c>
      <c r="LV18" s="28" t="n">
        <v>304.1762662312253</v>
      </c>
      <c r="LW18" s="28" t="n">
        <v>304.7137757830212</v>
      </c>
      <c r="LX18" s="28" t="n">
        <v>305.252235167366</v>
      </c>
      <c r="LY18" s="28" t="n">
        <v>305.7916460627078</v>
      </c>
      <c r="LZ18" s="28" t="n">
        <v>306.3320101504607</v>
      </c>
      <c r="MA18" s="28" t="n">
        <v>306.8733291150097</v>
      </c>
      <c r="MB18" s="28" t="n">
        <v>307.415604643717</v>
      </c>
      <c r="MC18" s="28" t="n">
        <v>307.9588384269258</v>
      </c>
      <c r="MD18" s="28" t="n">
        <v>308.5030321579666</v>
      </c>
      <c r="ME18" s="28" t="n">
        <v>309.0481875331623</v>
      </c>
      <c r="MF18" s="28" t="n">
        <v>309.5943062518331</v>
      </c>
      <c r="MG18" s="28" t="n">
        <v>310.1413900163024</v>
      </c>
      <c r="MH18" s="28" t="n">
        <v>310.6894405319014</v>
      </c>
      <c r="MI18" s="28" t="n">
        <v>311.2384595069752</v>
      </c>
      <c r="MJ18" s="28" t="n">
        <v>311.7884486528873</v>
      </c>
      <c r="MK18" s="28" t="n">
        <v>312.3394096840256</v>
      </c>
      <c r="ML18" s="28" t="n">
        <v>312.8913443178074</v>
      </c>
      <c r="MM18" s="28" t="n">
        <v>313.4442542746849</v>
      </c>
      <c r="MN18" s="28" t="n">
        <v>313.9981412781506</v>
      </c>
      <c r="MO18" s="28" t="n">
        <v>314.5530070547423</v>
      </c>
      <c r="MP18" s="28" t="n">
        <v>315.108853334049</v>
      </c>
      <c r="MQ18" s="28" t="n">
        <v>315.6656818487162</v>
      </c>
      <c r="MR18" s="28" t="n">
        <v>316.2234943344504</v>
      </c>
      <c r="MS18" s="28" t="n">
        <v>316.7822925300264</v>
      </c>
      <c r="MT18" s="28" t="n">
        <v>317.3420781772907</v>
      </c>
      <c r="MU18" s="28" t="n">
        <v>317.9028530211683</v>
      </c>
      <c r="MV18" s="28" t="n">
        <v>318.4646188096672</v>
      </c>
      <c r="MW18" s="28" t="n">
        <v>319.0273772938847</v>
      </c>
      <c r="MX18" s="28" t="n">
        <v>319.5911302280124</v>
      </c>
      <c r="MY18" s="28" t="n">
        <v>320.1558793693416</v>
      </c>
      <c r="MZ18" s="28" t="n">
        <v>320.7216264782689</v>
      </c>
      <c r="NA18" s="28" t="n">
        <v>321.2883733183019</v>
      </c>
      <c r="NB18" s="28" t="n">
        <v>321.8561216560644</v>
      </c>
      <c r="NC18" s="28" t="n">
        <v>322.4248732613017</v>
      </c>
      <c r="ND18" s="28" t="n">
        <v>322.9946299068869</v>
      </c>
      <c r="NE18" s="28" t="n">
        <v>323.5653933688256</v>
      </c>
      <c r="NF18" s="28" t="n">
        <v>324.137165426262</v>
      </c>
      <c r="NG18" s="28" t="n">
        <v>324.7099478614841</v>
      </c>
      <c r="NH18" s="28" t="n">
        <v>325.2837424599292</v>
      </c>
      <c r="NI18" s="28" t="n">
        <v>325.85855101019</v>
      </c>
      <c r="NJ18" s="28" t="n">
        <v>326.4343753040198</v>
      </c>
      <c r="NK18" s="28" t="n">
        <v>327.0112171363377</v>
      </c>
      <c r="NL18" s="28" t="n">
        <v>327.5890783052348</v>
      </c>
      <c r="NM18" s="28" t="n">
        <v>328.16796061198</v>
      </c>
      <c r="NN18" s="28" t="n">
        <v>328.7478658610248</v>
      </c>
      <c r="NO18" s="28" t="n">
        <v>329.3287958600093</v>
      </c>
      <c r="NP18" s="28" t="n">
        <v>329.9107524197681</v>
      </c>
      <c r="NQ18" s="28" t="n">
        <v>330.4937373543356</v>
      </c>
      <c r="NR18" s="28" t="n">
        <v>331.0777524809519</v>
      </c>
      <c r="NS18" s="28" t="n">
        <v>331.6627996200679</v>
      </c>
      <c r="NT18" s="28" t="n">
        <v>332.2488805953524</v>
      </c>
      <c r="NU18" s="28" t="n">
        <v>332.8359972336957</v>
      </c>
      <c r="NV18" s="28" t="n">
        <v>333.424151365217</v>
      </c>
      <c r="NW18" s="28" t="n">
        <v>334.0133448232694</v>
      </c>
      <c r="NX18" s="28" t="n">
        <v>334.6035794444456</v>
      </c>
      <c r="NY18" s="28" t="n">
        <v>335.1948570685841</v>
      </c>
      <c r="NZ18" s="28" t="n">
        <v>335.787179538774</v>
      </c>
      <c r="OA18" s="28" t="n">
        <v>336.3805487013617</v>
      </c>
      <c r="OB18" s="28" t="n">
        <v>336.9749664059564</v>
      </c>
      <c r="OC18" s="28" t="n">
        <v>337.5704345054353</v>
      </c>
      <c r="OD18" s="28" t="n">
        <v>338.1669548559502</v>
      </c>
      <c r="OE18" s="28" t="n">
        <v>338.7645293169328</v>
      </c>
      <c r="OF18" s="28" t="n">
        <v>339.3631597511003</v>
      </c>
      <c r="OG18" s="28" t="n">
        <v>339.9628480244622</v>
      </c>
      <c r="OH18" s="28" t="n">
        <v>340.5635960063247</v>
      </c>
      <c r="OI18" s="28" t="n">
        <v>341.1654055692977</v>
      </c>
      <c r="OJ18" s="28" t="n">
        <v>341.7682785892999</v>
      </c>
      <c r="OK18" s="28" t="n">
        <v>342.3722169455651</v>
      </c>
      <c r="OL18" s="28" t="n">
        <v>342.977222520648</v>
      </c>
      <c r="OM18" s="28" t="n">
        <v>343.5832972004297</v>
      </c>
      <c r="ON18" s="28" t="n">
        <v>344.1904428741239</v>
      </c>
      <c r="OO18" s="28" t="n">
        <v>344.7986614342829</v>
      </c>
      <c r="OP18" s="28" t="n">
        <v>345.4079547768032</v>
      </c>
      <c r="OQ18" s="28" t="n">
        <v>346.0183248009315</v>
      </c>
      <c r="OR18" s="28" t="n">
        <v>346.6297734092708</v>
      </c>
      <c r="OS18" s="28" t="n">
        <v>347.2423025077859</v>
      </c>
      <c r="OT18" s="28" t="n">
        <v>347.8559140058102</v>
      </c>
      <c r="OU18" s="28" t="n">
        <v>348.4706098160502</v>
      </c>
      <c r="OV18" s="28" t="n">
        <v>349.0863918545932</v>
      </c>
      <c r="OW18" s="28" t="n">
        <v>349.7032620409121</v>
      </c>
      <c r="OX18" s="28" t="n">
        <v>350.3212222978714</v>
      </c>
      <c r="OY18" s="28" t="n">
        <v>350.9402745517339</v>
      </c>
      <c r="OZ18" s="28" t="n">
        <v>351.5604207321661</v>
      </c>
      <c r="PA18" s="28" t="n">
        <v>352.1816627722445</v>
      </c>
      <c r="PB18" s="28" t="n">
        <v>352.8040026084615</v>
      </c>
      <c r="PC18" s="28" t="n">
        <v>353.4274421807315</v>
      </c>
      <c r="PD18" s="28" t="n">
        <v>354.0519834323968</v>
      </c>
      <c r="PE18" s="28" t="n">
        <v>354.677628310234</v>
      </c>
      <c r="PF18" s="28" t="n">
        <v>355.3043787644595</v>
      </c>
      <c r="PG18" s="28" t="n">
        <v>355.9322367487363</v>
      </c>
      <c r="PH18" s="28" t="n">
        <v>356.5612042201798</v>
      </c>
      <c r="PI18" s="28" t="n">
        <v>357.1912831393631</v>
      </c>
      <c r="PJ18" s="28" t="n">
        <v>357.8224754703244</v>
      </c>
      <c r="PK18" s="28" t="n">
        <v>358.4547831805729</v>
      </c>
      <c r="PL18" s="28" t="n">
        <v>359.0882082410936</v>
      </c>
      <c r="PM18" s="28" t="n">
        <v>359.7227526263551</v>
      </c>
      <c r="PN18" s="28" t="n">
        <v>360.3584183143151</v>
      </c>
      <c r="PO18" s="28" t="n">
        <v>360.9952072864264</v>
      </c>
      <c r="PP18" s="28" t="n">
        <v>361.633121527643</v>
      </c>
      <c r="PQ18" s="28" t="n">
        <v>362.2721630264269</v>
      </c>
      <c r="PR18" s="28" t="n">
        <v>362.9123337747535</v>
      </c>
      <c r="PS18" s="28" t="n">
        <v>363.5536357681187</v>
      </c>
      <c r="PT18" s="28" t="n">
        <v>364.1960710055444</v>
      </c>
      <c r="PU18" s="28" t="n">
        <v>364.8396414895847</v>
      </c>
      <c r="PV18" s="28" t="n">
        <v>365.4843492263328</v>
      </c>
      <c r="PW18" s="28" t="n">
        <v>366.1301962254269</v>
      </c>
      <c r="PX18" s="28" t="n">
        <v>366.777184500056</v>
      </c>
      <c r="PY18" s="28" t="n">
        <v>367.425316066967</v>
      </c>
      <c r="PZ18" s="28" t="n">
        <v>368.0745929464704</v>
      </c>
      <c r="QA18" s="28" t="n">
        <v>368.7250171624469</v>
      </c>
      <c r="QB18" s="28" t="n">
        <v>369.3765907423537</v>
      </c>
      <c r="QC18" s="28" t="n">
        <v>370.0293157172301</v>
      </c>
      <c r="QD18" s="28" t="n">
        <v>370.6831941217054</v>
      </c>
      <c r="QE18" s="28" t="n">
        <v>371.3382279940036</v>
      </c>
      <c r="QF18" s="28" t="n">
        <v>371.9944193759505</v>
      </c>
      <c r="QG18" s="28" t="n">
        <v>372.6517703129804</v>
      </c>
      <c r="QH18" s="28" t="n">
        <v>373.3102828541417</v>
      </c>
      <c r="QI18" s="28" t="n">
        <v>373.9699590521037</v>
      </c>
      <c r="QJ18" s="28" t="n">
        <v>374.6308009631634</v>
      </c>
      <c r="QK18" s="28" t="n">
        <v>375.2928106472509</v>
      </c>
      <c r="QL18" s="28" t="n">
        <v>375.9559901679367</v>
      </c>
      <c r="QM18" s="28" t="n">
        <v>0</v>
      </c>
      <c r="QN18" s="28" t="n">
        <v>0</v>
      </c>
      <c r="QO18" s="28" t="n">
        <v>0</v>
      </c>
      <c r="QP18" s="28" t="n">
        <v>0</v>
      </c>
      <c r="QQ18" s="28" t="n">
        <v>0</v>
      </c>
      <c r="QR18" s="28" t="n">
        <v>0</v>
      </c>
      <c r="QS18" s="28" t="n">
        <v>0</v>
      </c>
      <c r="QT18" s="28" t="n">
        <v>0</v>
      </c>
      <c r="QU18" s="28" t="n">
        <v>0</v>
      </c>
      <c r="QV18" s="28" t="n">
        <v>0</v>
      </c>
      <c r="QW18" s="28" t="n">
        <v>0</v>
      </c>
      <c r="QX18" s="28" t="n">
        <v>0</v>
      </c>
      <c r="QY18" s="28" t="n">
        <v>0</v>
      </c>
      <c r="QZ18" s="28" t="n">
        <v>0</v>
      </c>
      <c r="RA18" s="28" t="n">
        <v>0</v>
      </c>
      <c r="RB18" s="28" t="n">
        <v>0</v>
      </c>
      <c r="RC18" s="28" t="n">
        <v>0</v>
      </c>
      <c r="RD18" s="28" t="n">
        <v>0</v>
      </c>
      <c r="RE18" s="28" t="n">
        <v>0</v>
      </c>
      <c r="RF18" s="28" t="n">
        <v>0</v>
      </c>
      <c r="RG18" s="28" t="n">
        <v>0</v>
      </c>
      <c r="RH18" s="28" t="n">
        <v>0</v>
      </c>
      <c r="RI18" s="28" t="n">
        <v>0</v>
      </c>
      <c r="RJ18" s="28" t="n">
        <v>0</v>
      </c>
      <c r="RK18" s="28" t="n">
        <v>0</v>
      </c>
      <c r="RL18" s="28" t="n">
        <v>0</v>
      </c>
      <c r="RM18" s="28" t="n">
        <v>0</v>
      </c>
      <c r="RN18" s="28" t="n">
        <v>0</v>
      </c>
      <c r="RO18" s="28" t="n">
        <v>0</v>
      </c>
      <c r="RP18" s="28" t="n">
        <v>0</v>
      </c>
      <c r="RQ18" s="28" t="n">
        <v>0</v>
      </c>
      <c r="RR18" s="28" t="n">
        <v>0</v>
      </c>
      <c r="RS18" s="28" t="n">
        <v>0</v>
      </c>
      <c r="RT18" s="28" t="n">
        <v>0</v>
      </c>
      <c r="RU18" s="28" t="n">
        <v>0</v>
      </c>
      <c r="RV18" s="28" t="n">
        <v>0</v>
      </c>
      <c r="RW18" s="28" t="n">
        <v>0</v>
      </c>
    </row>
    <row r="19" hidden="1" outlineLevel="1" ht="13.05" customHeight="1">
      <c r="E19" s="21" t="inlineStr">
        <is>
          <t>TSO Cost</t>
        </is>
      </c>
      <c r="F19" s="29" t="n"/>
      <c r="G19" s="29" t="inlineStr">
        <is>
          <t>kEUR</t>
        </is>
      </c>
      <c r="H19" s="29" t="n"/>
      <c r="I19" s="29" t="n"/>
      <c r="J19" s="32" t="n">
        <v>0</v>
      </c>
      <c r="K19" s="29" t="n"/>
      <c r="L19" s="33" t="n">
        <v>0</v>
      </c>
      <c r="M19" s="33" t="n">
        <v>0</v>
      </c>
      <c r="N19" s="33" t="n">
        <v>0</v>
      </c>
      <c r="O19" s="33" t="n">
        <v>0</v>
      </c>
      <c r="P19" s="33" t="n">
        <v>0</v>
      </c>
      <c r="Q19" s="33" t="n">
        <v>0</v>
      </c>
      <c r="R19" s="33" t="n">
        <v>0</v>
      </c>
      <c r="S19" s="33" t="n">
        <v>0</v>
      </c>
      <c r="T19" s="33" t="n">
        <v>0</v>
      </c>
      <c r="U19" s="33" t="n">
        <v>0</v>
      </c>
      <c r="V19" s="33" t="n">
        <v>0</v>
      </c>
      <c r="W19" s="33" t="n">
        <v>0</v>
      </c>
      <c r="X19" s="33" t="n">
        <v>0</v>
      </c>
      <c r="Y19" s="33" t="n">
        <v>0</v>
      </c>
      <c r="Z19" s="33" t="n">
        <v>0</v>
      </c>
      <c r="AA19" s="33" t="n">
        <v>0</v>
      </c>
      <c r="AB19" s="33" t="n">
        <v>0</v>
      </c>
      <c r="AC19" s="33" t="n">
        <v>0</v>
      </c>
      <c r="AD19" s="33" t="n">
        <v>0</v>
      </c>
      <c r="AE19" s="33" t="n">
        <v>0</v>
      </c>
      <c r="AF19" s="33" t="n">
        <v>0</v>
      </c>
      <c r="AG19" s="33" t="n">
        <v>0</v>
      </c>
      <c r="AH19" s="33" t="n">
        <v>0</v>
      </c>
      <c r="AI19" s="33" t="n">
        <v>0</v>
      </c>
      <c r="AJ19" s="33" t="n">
        <v>0</v>
      </c>
      <c r="AK19" s="33" t="n">
        <v>0</v>
      </c>
      <c r="AL19" s="33" t="n">
        <v>0</v>
      </c>
      <c r="AM19" s="33" t="n">
        <v>0</v>
      </c>
      <c r="AN19" s="33" t="n">
        <v>0</v>
      </c>
      <c r="AO19" s="33" t="n">
        <v>0</v>
      </c>
      <c r="AP19" s="33" t="n">
        <v>0</v>
      </c>
      <c r="AQ19" s="33" t="n">
        <v>0</v>
      </c>
      <c r="AR19" s="33" t="n">
        <v>0</v>
      </c>
      <c r="AS19" s="33" t="n">
        <v>0</v>
      </c>
      <c r="AT19" s="33" t="n">
        <v>0</v>
      </c>
      <c r="AU19" s="33" t="n">
        <v>0</v>
      </c>
      <c r="AV19" s="33" t="n">
        <v>0</v>
      </c>
      <c r="AW19" s="33" t="n">
        <v>0</v>
      </c>
      <c r="AX19" s="33" t="n">
        <v>0</v>
      </c>
      <c r="AY19" s="33" t="n">
        <v>0</v>
      </c>
      <c r="AZ19" s="33" t="n">
        <v>0</v>
      </c>
      <c r="BA19" s="33" t="n">
        <v>0</v>
      </c>
      <c r="BB19" s="33" t="n">
        <v>0</v>
      </c>
      <c r="BC19" s="33" t="n">
        <v>0</v>
      </c>
      <c r="BD19" s="33" t="n">
        <v>0</v>
      </c>
      <c r="BE19" s="33" t="n">
        <v>0</v>
      </c>
      <c r="BF19" s="33" t="n">
        <v>0</v>
      </c>
      <c r="BG19" s="33" t="n">
        <v>0</v>
      </c>
      <c r="BH19" s="33" t="n">
        <v>0</v>
      </c>
      <c r="BI19" s="33" t="n">
        <v>0</v>
      </c>
      <c r="BJ19" s="33" t="n">
        <v>0</v>
      </c>
      <c r="BK19" s="33" t="n">
        <v>0</v>
      </c>
      <c r="BL19" s="33" t="n">
        <v>0</v>
      </c>
      <c r="BM19" s="33" t="n">
        <v>0</v>
      </c>
      <c r="BN19" s="33" t="n">
        <v>0</v>
      </c>
      <c r="BO19" s="33" t="n">
        <v>0</v>
      </c>
      <c r="BP19" s="33" t="n">
        <v>0</v>
      </c>
      <c r="BQ19" s="33" t="n">
        <v>0</v>
      </c>
      <c r="BR19" s="33" t="n">
        <v>0</v>
      </c>
      <c r="BS19" s="33" t="n">
        <v>0</v>
      </c>
      <c r="BT19" s="33" t="n">
        <v>0</v>
      </c>
      <c r="BU19" s="33" t="n">
        <v>0</v>
      </c>
      <c r="BV19" s="33" t="n">
        <v>0</v>
      </c>
      <c r="BW19" s="33" t="n">
        <v>0</v>
      </c>
      <c r="BX19" s="33" t="n">
        <v>0</v>
      </c>
      <c r="BY19" s="33" t="n">
        <v>0</v>
      </c>
      <c r="BZ19" s="33" t="n">
        <v>0</v>
      </c>
      <c r="CA19" s="33" t="n">
        <v>0</v>
      </c>
      <c r="CB19" s="33" t="n">
        <v>0</v>
      </c>
      <c r="CC19" s="33" t="n">
        <v>0</v>
      </c>
      <c r="CD19" s="33" t="n">
        <v>0</v>
      </c>
      <c r="CE19" s="33" t="n">
        <v>0</v>
      </c>
      <c r="CF19" s="33" t="n">
        <v>0</v>
      </c>
      <c r="CG19" s="33" t="n">
        <v>0</v>
      </c>
      <c r="CH19" s="33" t="n">
        <v>0</v>
      </c>
      <c r="CI19" s="33" t="n">
        <v>0</v>
      </c>
      <c r="CJ19" s="33" t="n">
        <v>0</v>
      </c>
      <c r="CK19" s="33" t="n">
        <v>0</v>
      </c>
      <c r="CL19" s="33" t="n">
        <v>0</v>
      </c>
      <c r="CM19" s="33" t="n">
        <v>0</v>
      </c>
      <c r="CN19" s="33" t="n">
        <v>0</v>
      </c>
      <c r="CO19" s="33" t="n">
        <v>0</v>
      </c>
      <c r="CP19" s="33" t="n">
        <v>0</v>
      </c>
      <c r="CQ19" s="33" t="n">
        <v>0</v>
      </c>
      <c r="CR19" s="33" t="n">
        <v>0</v>
      </c>
      <c r="CS19" s="33" t="n">
        <v>0</v>
      </c>
      <c r="CT19" s="33" t="n">
        <v>0</v>
      </c>
      <c r="CU19" s="33" t="n">
        <v>0</v>
      </c>
      <c r="CV19" s="33" t="n">
        <v>0</v>
      </c>
      <c r="CW19" s="33" t="n">
        <v>0</v>
      </c>
      <c r="CX19" s="33" t="n">
        <v>0</v>
      </c>
      <c r="CY19" s="33" t="n">
        <v>0</v>
      </c>
      <c r="CZ19" s="33" t="n">
        <v>0</v>
      </c>
      <c r="DA19" s="33" t="n">
        <v>0</v>
      </c>
      <c r="DB19" s="33" t="n">
        <v>0</v>
      </c>
      <c r="DC19" s="33" t="n">
        <v>0</v>
      </c>
      <c r="DD19" s="33" t="n">
        <v>0</v>
      </c>
      <c r="DE19" s="33" t="n">
        <v>0</v>
      </c>
      <c r="DF19" s="33" t="n">
        <v>0</v>
      </c>
      <c r="DG19" s="33" t="n">
        <v>0</v>
      </c>
      <c r="DH19" s="33" t="n">
        <v>0</v>
      </c>
      <c r="DI19" s="33" t="n">
        <v>0</v>
      </c>
      <c r="DJ19" s="33" t="n">
        <v>0</v>
      </c>
      <c r="DK19" s="33" t="n">
        <v>0</v>
      </c>
      <c r="DL19" s="33" t="n">
        <v>0</v>
      </c>
      <c r="DM19" s="33" t="n">
        <v>0</v>
      </c>
      <c r="DN19" s="33" t="n">
        <v>0</v>
      </c>
      <c r="DO19" s="33" t="n">
        <v>0</v>
      </c>
      <c r="DP19" s="33" t="n">
        <v>0</v>
      </c>
      <c r="DQ19" s="33" t="n">
        <v>0</v>
      </c>
      <c r="DR19" s="33" t="n">
        <v>0</v>
      </c>
      <c r="DS19" s="33" t="n">
        <v>0</v>
      </c>
      <c r="DT19" s="33" t="n">
        <v>0</v>
      </c>
      <c r="DU19" s="33" t="n">
        <v>0</v>
      </c>
      <c r="DV19" s="33" t="n">
        <v>0</v>
      </c>
      <c r="DW19" s="33" t="n">
        <v>0</v>
      </c>
      <c r="DX19" s="33" t="n">
        <v>0</v>
      </c>
      <c r="DY19" s="33" t="n">
        <v>0</v>
      </c>
      <c r="DZ19" s="33" t="n">
        <v>0</v>
      </c>
      <c r="EA19" s="33" t="n">
        <v>0</v>
      </c>
      <c r="EB19" s="33" t="n">
        <v>0</v>
      </c>
      <c r="EC19" s="33" t="n">
        <v>0</v>
      </c>
      <c r="ED19" s="33" t="n">
        <v>0</v>
      </c>
      <c r="EE19" s="33" t="n">
        <v>0</v>
      </c>
      <c r="EF19" s="33" t="n">
        <v>0</v>
      </c>
      <c r="EG19" s="33" t="n">
        <v>0</v>
      </c>
      <c r="EH19" s="33" t="n">
        <v>0</v>
      </c>
      <c r="EI19" s="33" t="n">
        <v>0</v>
      </c>
      <c r="EJ19" s="33" t="n">
        <v>0</v>
      </c>
      <c r="EK19" s="33" t="n">
        <v>0</v>
      </c>
      <c r="EL19" s="33" t="n">
        <v>0</v>
      </c>
      <c r="EM19" s="33" t="n">
        <v>0</v>
      </c>
      <c r="EN19" s="33" t="n">
        <v>0</v>
      </c>
      <c r="EO19" s="33" t="n">
        <v>0</v>
      </c>
      <c r="EP19" s="33" t="n">
        <v>0</v>
      </c>
      <c r="EQ19" s="33" t="n">
        <v>0</v>
      </c>
      <c r="ER19" s="33" t="n">
        <v>0</v>
      </c>
      <c r="ES19" s="33" t="n">
        <v>0</v>
      </c>
      <c r="ET19" s="33" t="n">
        <v>0</v>
      </c>
      <c r="EU19" s="33" t="n">
        <v>0</v>
      </c>
      <c r="EV19" s="33" t="n">
        <v>0</v>
      </c>
      <c r="EW19" s="33" t="n">
        <v>0</v>
      </c>
      <c r="EX19" s="33" t="n">
        <v>0</v>
      </c>
      <c r="EY19" s="33" t="n">
        <v>0</v>
      </c>
      <c r="EZ19" s="33" t="n">
        <v>0</v>
      </c>
      <c r="FA19" s="33" t="n">
        <v>0</v>
      </c>
      <c r="FB19" s="33" t="n">
        <v>0</v>
      </c>
      <c r="FC19" s="33" t="n">
        <v>0</v>
      </c>
      <c r="FD19" s="33" t="n">
        <v>0</v>
      </c>
      <c r="FE19" s="33" t="n">
        <v>0</v>
      </c>
      <c r="FF19" s="33" t="n">
        <v>0</v>
      </c>
      <c r="FG19" s="33" t="n">
        <v>0</v>
      </c>
      <c r="FH19" s="33" t="n">
        <v>0</v>
      </c>
      <c r="FI19" s="33" t="n">
        <v>0</v>
      </c>
      <c r="FJ19" s="33" t="n">
        <v>0</v>
      </c>
      <c r="FK19" s="33" t="n">
        <v>0</v>
      </c>
      <c r="FL19" s="33" t="n">
        <v>0</v>
      </c>
      <c r="FM19" s="33" t="n">
        <v>0</v>
      </c>
      <c r="FN19" s="33" t="n">
        <v>0</v>
      </c>
      <c r="FO19" s="33" t="n">
        <v>0</v>
      </c>
      <c r="FP19" s="33" t="n">
        <v>0</v>
      </c>
      <c r="FQ19" s="33" t="n">
        <v>0</v>
      </c>
      <c r="FR19" s="33" t="n">
        <v>0</v>
      </c>
      <c r="FS19" s="33" t="n">
        <v>0</v>
      </c>
      <c r="FT19" s="33" t="n">
        <v>0</v>
      </c>
      <c r="FU19" s="33" t="n">
        <v>0</v>
      </c>
      <c r="FV19" s="33" t="n">
        <v>0</v>
      </c>
      <c r="FW19" s="33" t="n">
        <v>0</v>
      </c>
      <c r="FX19" s="33" t="n">
        <v>0</v>
      </c>
      <c r="FY19" s="33" t="n">
        <v>0</v>
      </c>
      <c r="FZ19" s="33" t="n">
        <v>0</v>
      </c>
      <c r="GA19" s="33" t="n">
        <v>0</v>
      </c>
      <c r="GB19" s="33" t="n">
        <v>0</v>
      </c>
      <c r="GC19" s="33" t="n">
        <v>0</v>
      </c>
      <c r="GD19" s="33" t="n">
        <v>0</v>
      </c>
      <c r="GE19" s="33" t="n">
        <v>0</v>
      </c>
      <c r="GF19" s="33" t="n">
        <v>0</v>
      </c>
      <c r="GG19" s="33" t="n">
        <v>0</v>
      </c>
      <c r="GH19" s="33" t="n">
        <v>0</v>
      </c>
      <c r="GI19" s="33" t="n">
        <v>0</v>
      </c>
      <c r="GJ19" s="33" t="n">
        <v>0</v>
      </c>
      <c r="GK19" s="33" t="n">
        <v>0</v>
      </c>
      <c r="GL19" s="33" t="n">
        <v>0</v>
      </c>
      <c r="GM19" s="33" t="n">
        <v>0</v>
      </c>
      <c r="GN19" s="33" t="n">
        <v>0</v>
      </c>
      <c r="GO19" s="33" t="n">
        <v>0</v>
      </c>
      <c r="GP19" s="33" t="n">
        <v>0</v>
      </c>
      <c r="GQ19" s="33" t="n">
        <v>0</v>
      </c>
      <c r="GR19" s="33" t="n">
        <v>0</v>
      </c>
      <c r="GS19" s="33" t="n">
        <v>0</v>
      </c>
      <c r="GT19" s="33" t="n">
        <v>0</v>
      </c>
      <c r="GU19" s="33" t="n">
        <v>0</v>
      </c>
      <c r="GV19" s="33" t="n">
        <v>0</v>
      </c>
      <c r="GW19" s="33" t="n">
        <v>0</v>
      </c>
      <c r="GX19" s="33" t="n">
        <v>0</v>
      </c>
      <c r="GY19" s="33" t="n">
        <v>0</v>
      </c>
      <c r="GZ19" s="33" t="n">
        <v>0</v>
      </c>
      <c r="HA19" s="33" t="n">
        <v>0</v>
      </c>
      <c r="HB19" s="33" t="n">
        <v>0</v>
      </c>
      <c r="HC19" s="33" t="n">
        <v>0</v>
      </c>
      <c r="HD19" s="33" t="n">
        <v>0</v>
      </c>
      <c r="HE19" s="33" t="n">
        <v>0</v>
      </c>
      <c r="HF19" s="33" t="n">
        <v>0</v>
      </c>
      <c r="HG19" s="33" t="n">
        <v>0</v>
      </c>
      <c r="HH19" s="33" t="n">
        <v>0</v>
      </c>
      <c r="HI19" s="33" t="n">
        <v>0</v>
      </c>
      <c r="HJ19" s="33" t="n">
        <v>0</v>
      </c>
      <c r="HK19" s="33" t="n">
        <v>0</v>
      </c>
      <c r="HL19" s="33" t="n">
        <v>0</v>
      </c>
      <c r="HM19" s="33" t="n">
        <v>0</v>
      </c>
      <c r="HN19" s="33" t="n">
        <v>0</v>
      </c>
      <c r="HO19" s="33" t="n">
        <v>0</v>
      </c>
      <c r="HP19" s="33" t="n">
        <v>0</v>
      </c>
      <c r="HQ19" s="33" t="n">
        <v>0</v>
      </c>
      <c r="HR19" s="33" t="n">
        <v>0</v>
      </c>
      <c r="HS19" s="33" t="n">
        <v>0</v>
      </c>
      <c r="HT19" s="33" t="n">
        <v>0</v>
      </c>
      <c r="HU19" s="33" t="n">
        <v>0</v>
      </c>
      <c r="HV19" s="33" t="n">
        <v>0</v>
      </c>
      <c r="HW19" s="33" t="n">
        <v>0</v>
      </c>
      <c r="HX19" s="33" t="n">
        <v>0</v>
      </c>
      <c r="HY19" s="33" t="n">
        <v>0</v>
      </c>
      <c r="HZ19" s="33" t="n">
        <v>0</v>
      </c>
      <c r="IA19" s="33" t="n">
        <v>0</v>
      </c>
      <c r="IB19" s="33" t="n">
        <v>0</v>
      </c>
      <c r="IC19" s="33" t="n">
        <v>0</v>
      </c>
      <c r="ID19" s="33" t="n">
        <v>0</v>
      </c>
      <c r="IE19" s="33" t="n">
        <v>0</v>
      </c>
      <c r="IF19" s="33" t="n">
        <v>0</v>
      </c>
      <c r="IG19" s="33" t="n">
        <v>0</v>
      </c>
      <c r="IH19" s="33" t="n">
        <v>0</v>
      </c>
      <c r="II19" s="33" t="n">
        <v>0</v>
      </c>
      <c r="IJ19" s="33" t="n">
        <v>0</v>
      </c>
      <c r="IK19" s="33" t="n">
        <v>0</v>
      </c>
      <c r="IL19" s="33" t="n">
        <v>0</v>
      </c>
      <c r="IM19" s="33" t="n">
        <v>0</v>
      </c>
      <c r="IN19" s="33" t="n">
        <v>0</v>
      </c>
      <c r="IO19" s="33" t="n">
        <v>0</v>
      </c>
      <c r="IP19" s="33" t="n">
        <v>0</v>
      </c>
      <c r="IQ19" s="33" t="n">
        <v>0</v>
      </c>
      <c r="IR19" s="33" t="n">
        <v>0</v>
      </c>
      <c r="IS19" s="33" t="n">
        <v>0</v>
      </c>
      <c r="IT19" s="33" t="n">
        <v>0</v>
      </c>
      <c r="IU19" s="33" t="n">
        <v>0</v>
      </c>
      <c r="IV19" s="33" t="n">
        <v>0</v>
      </c>
      <c r="IW19" s="33" t="n">
        <v>0</v>
      </c>
      <c r="IX19" s="33" t="n">
        <v>0</v>
      </c>
      <c r="IY19" s="33" t="n">
        <v>0</v>
      </c>
      <c r="IZ19" s="33" t="n">
        <v>0</v>
      </c>
      <c r="JA19" s="33" t="n">
        <v>0</v>
      </c>
      <c r="JB19" s="33" t="n">
        <v>0</v>
      </c>
      <c r="JC19" s="33" t="n">
        <v>0</v>
      </c>
      <c r="JD19" s="33" t="n">
        <v>0</v>
      </c>
      <c r="JE19" s="33" t="n">
        <v>0</v>
      </c>
      <c r="JF19" s="33" t="n">
        <v>0</v>
      </c>
      <c r="JG19" s="33" t="n">
        <v>0</v>
      </c>
      <c r="JH19" s="33" t="n">
        <v>0</v>
      </c>
      <c r="JI19" s="33" t="n">
        <v>0</v>
      </c>
      <c r="JJ19" s="33" t="n">
        <v>0</v>
      </c>
      <c r="JK19" s="33" t="n">
        <v>0</v>
      </c>
      <c r="JL19" s="33" t="n">
        <v>0</v>
      </c>
      <c r="JM19" s="33" t="n">
        <v>0</v>
      </c>
      <c r="JN19" s="33" t="n">
        <v>0</v>
      </c>
      <c r="JO19" s="33" t="n">
        <v>0</v>
      </c>
      <c r="JP19" s="33" t="n">
        <v>0</v>
      </c>
      <c r="JQ19" s="33" t="n">
        <v>0</v>
      </c>
      <c r="JR19" s="33" t="n">
        <v>0</v>
      </c>
      <c r="JS19" s="33" t="n">
        <v>0</v>
      </c>
      <c r="JT19" s="33" t="n">
        <v>0</v>
      </c>
      <c r="JU19" s="33" t="n">
        <v>0</v>
      </c>
      <c r="JV19" s="33" t="n">
        <v>0</v>
      </c>
      <c r="JW19" s="33" t="n">
        <v>0</v>
      </c>
      <c r="JX19" s="33" t="n">
        <v>0</v>
      </c>
      <c r="JY19" s="33" t="n">
        <v>0</v>
      </c>
      <c r="JZ19" s="33" t="n">
        <v>0</v>
      </c>
      <c r="KA19" s="33" t="n">
        <v>0</v>
      </c>
      <c r="KB19" s="33" t="n">
        <v>0</v>
      </c>
      <c r="KC19" s="33" t="n">
        <v>0</v>
      </c>
      <c r="KD19" s="33" t="n">
        <v>0</v>
      </c>
      <c r="KE19" s="33" t="n">
        <v>0</v>
      </c>
      <c r="KF19" s="33" t="n">
        <v>0</v>
      </c>
      <c r="KG19" s="33" t="n">
        <v>0</v>
      </c>
      <c r="KH19" s="33" t="n">
        <v>0</v>
      </c>
      <c r="KI19" s="33" t="n">
        <v>0</v>
      </c>
      <c r="KJ19" s="33" t="n">
        <v>0</v>
      </c>
      <c r="KK19" s="33" t="n">
        <v>0</v>
      </c>
      <c r="KL19" s="33" t="n">
        <v>0</v>
      </c>
      <c r="KM19" s="33" t="n">
        <v>0</v>
      </c>
      <c r="KN19" s="33" t="n">
        <v>0</v>
      </c>
      <c r="KO19" s="33" t="n">
        <v>0</v>
      </c>
      <c r="KP19" s="33" t="n">
        <v>0</v>
      </c>
      <c r="KQ19" s="33" t="n">
        <v>0</v>
      </c>
      <c r="KR19" s="33" t="n">
        <v>0</v>
      </c>
      <c r="KS19" s="33" t="n">
        <v>0</v>
      </c>
      <c r="KT19" s="33" t="n">
        <v>0</v>
      </c>
      <c r="KU19" s="33" t="n">
        <v>0</v>
      </c>
      <c r="KV19" s="33" t="n">
        <v>0</v>
      </c>
      <c r="KW19" s="33" t="n">
        <v>0</v>
      </c>
      <c r="KX19" s="33" t="n">
        <v>0</v>
      </c>
      <c r="KY19" s="33" t="n">
        <v>0</v>
      </c>
      <c r="KZ19" s="33" t="n">
        <v>0</v>
      </c>
      <c r="LA19" s="33" t="n">
        <v>0</v>
      </c>
      <c r="LB19" s="33" t="n">
        <v>0</v>
      </c>
      <c r="LC19" s="33" t="n">
        <v>0</v>
      </c>
      <c r="LD19" s="33" t="n">
        <v>0</v>
      </c>
      <c r="LE19" s="33" t="n">
        <v>0</v>
      </c>
      <c r="LF19" s="33" t="n">
        <v>0</v>
      </c>
      <c r="LG19" s="33" t="n">
        <v>0</v>
      </c>
      <c r="LH19" s="33" t="n">
        <v>0</v>
      </c>
      <c r="LI19" s="33" t="n">
        <v>0</v>
      </c>
      <c r="LJ19" s="33" t="n">
        <v>0</v>
      </c>
      <c r="LK19" s="33" t="n">
        <v>0</v>
      </c>
      <c r="LL19" s="33" t="n">
        <v>0</v>
      </c>
      <c r="LM19" s="33" t="n">
        <v>0</v>
      </c>
      <c r="LN19" s="33" t="n">
        <v>0</v>
      </c>
      <c r="LO19" s="33" t="n">
        <v>0</v>
      </c>
      <c r="LP19" s="33" t="n">
        <v>0</v>
      </c>
      <c r="LQ19" s="33" t="n">
        <v>0</v>
      </c>
      <c r="LR19" s="33" t="n">
        <v>0</v>
      </c>
      <c r="LS19" s="33" t="n">
        <v>0</v>
      </c>
      <c r="LT19" s="33" t="n">
        <v>0</v>
      </c>
      <c r="LU19" s="33" t="n">
        <v>0</v>
      </c>
      <c r="LV19" s="33" t="n">
        <v>0</v>
      </c>
      <c r="LW19" s="33" t="n">
        <v>0</v>
      </c>
      <c r="LX19" s="33" t="n">
        <v>0</v>
      </c>
      <c r="LY19" s="33" t="n">
        <v>0</v>
      </c>
      <c r="LZ19" s="33" t="n">
        <v>0</v>
      </c>
      <c r="MA19" s="33" t="n">
        <v>0</v>
      </c>
      <c r="MB19" s="33" t="n">
        <v>0</v>
      </c>
      <c r="MC19" s="33" t="n">
        <v>0</v>
      </c>
      <c r="MD19" s="33" t="n">
        <v>0</v>
      </c>
      <c r="ME19" s="33" t="n">
        <v>0</v>
      </c>
      <c r="MF19" s="33" t="n">
        <v>0</v>
      </c>
      <c r="MG19" s="33" t="n">
        <v>0</v>
      </c>
      <c r="MH19" s="33" t="n">
        <v>0</v>
      </c>
      <c r="MI19" s="33" t="n">
        <v>0</v>
      </c>
      <c r="MJ19" s="33" t="n">
        <v>0</v>
      </c>
      <c r="MK19" s="33" t="n">
        <v>0</v>
      </c>
      <c r="ML19" s="33" t="n">
        <v>0</v>
      </c>
      <c r="MM19" s="33" t="n">
        <v>0</v>
      </c>
      <c r="MN19" s="33" t="n">
        <v>0</v>
      </c>
      <c r="MO19" s="33" t="n">
        <v>0</v>
      </c>
      <c r="MP19" s="33" t="n">
        <v>0</v>
      </c>
      <c r="MQ19" s="33" t="n">
        <v>0</v>
      </c>
      <c r="MR19" s="33" t="n">
        <v>0</v>
      </c>
      <c r="MS19" s="33" t="n">
        <v>0</v>
      </c>
      <c r="MT19" s="33" t="n">
        <v>0</v>
      </c>
      <c r="MU19" s="33" t="n">
        <v>0</v>
      </c>
      <c r="MV19" s="33" t="n">
        <v>0</v>
      </c>
      <c r="MW19" s="33" t="n">
        <v>0</v>
      </c>
      <c r="MX19" s="33" t="n">
        <v>0</v>
      </c>
      <c r="MY19" s="33" t="n">
        <v>0</v>
      </c>
      <c r="MZ19" s="33" t="n">
        <v>0</v>
      </c>
      <c r="NA19" s="33" t="n">
        <v>0</v>
      </c>
      <c r="NB19" s="33" t="n">
        <v>0</v>
      </c>
      <c r="NC19" s="33" t="n">
        <v>0</v>
      </c>
      <c r="ND19" s="33" t="n">
        <v>0</v>
      </c>
      <c r="NE19" s="33" t="n">
        <v>0</v>
      </c>
      <c r="NF19" s="33" t="n">
        <v>0</v>
      </c>
      <c r="NG19" s="33" t="n">
        <v>0</v>
      </c>
      <c r="NH19" s="33" t="n">
        <v>0</v>
      </c>
      <c r="NI19" s="33" t="n">
        <v>0</v>
      </c>
      <c r="NJ19" s="33" t="n">
        <v>0</v>
      </c>
      <c r="NK19" s="33" t="n">
        <v>0</v>
      </c>
      <c r="NL19" s="33" t="n">
        <v>0</v>
      </c>
      <c r="NM19" s="33" t="n">
        <v>0</v>
      </c>
      <c r="NN19" s="33" t="n">
        <v>0</v>
      </c>
      <c r="NO19" s="33" t="n">
        <v>0</v>
      </c>
      <c r="NP19" s="33" t="n">
        <v>0</v>
      </c>
      <c r="NQ19" s="33" t="n">
        <v>0</v>
      </c>
      <c r="NR19" s="33" t="n">
        <v>0</v>
      </c>
      <c r="NS19" s="33" t="n">
        <v>0</v>
      </c>
      <c r="NT19" s="33" t="n">
        <v>0</v>
      </c>
      <c r="NU19" s="33" t="n">
        <v>0</v>
      </c>
      <c r="NV19" s="33" t="n">
        <v>0</v>
      </c>
      <c r="NW19" s="33" t="n">
        <v>0</v>
      </c>
      <c r="NX19" s="33" t="n">
        <v>0</v>
      </c>
      <c r="NY19" s="33" t="n">
        <v>0</v>
      </c>
      <c r="NZ19" s="33" t="n">
        <v>0</v>
      </c>
      <c r="OA19" s="33" t="n">
        <v>0</v>
      </c>
      <c r="OB19" s="33" t="n">
        <v>0</v>
      </c>
      <c r="OC19" s="33" t="n">
        <v>0</v>
      </c>
      <c r="OD19" s="33" t="n">
        <v>0</v>
      </c>
      <c r="OE19" s="33" t="n">
        <v>0</v>
      </c>
      <c r="OF19" s="33" t="n">
        <v>0</v>
      </c>
      <c r="OG19" s="33" t="n">
        <v>0</v>
      </c>
      <c r="OH19" s="33" t="n">
        <v>0</v>
      </c>
      <c r="OI19" s="33" t="n">
        <v>0</v>
      </c>
      <c r="OJ19" s="33" t="n">
        <v>0</v>
      </c>
      <c r="OK19" s="33" t="n">
        <v>0</v>
      </c>
      <c r="OL19" s="33" t="n">
        <v>0</v>
      </c>
      <c r="OM19" s="33" t="n">
        <v>0</v>
      </c>
      <c r="ON19" s="33" t="n">
        <v>0</v>
      </c>
      <c r="OO19" s="33" t="n">
        <v>0</v>
      </c>
      <c r="OP19" s="33" t="n">
        <v>0</v>
      </c>
      <c r="OQ19" s="33" t="n">
        <v>0</v>
      </c>
      <c r="OR19" s="33" t="n">
        <v>0</v>
      </c>
      <c r="OS19" s="33" t="n">
        <v>0</v>
      </c>
      <c r="OT19" s="33" t="n">
        <v>0</v>
      </c>
      <c r="OU19" s="33" t="n">
        <v>0</v>
      </c>
      <c r="OV19" s="33" t="n">
        <v>0</v>
      </c>
      <c r="OW19" s="33" t="n">
        <v>0</v>
      </c>
      <c r="OX19" s="33" t="n">
        <v>0</v>
      </c>
      <c r="OY19" s="33" t="n">
        <v>0</v>
      </c>
      <c r="OZ19" s="33" t="n">
        <v>0</v>
      </c>
      <c r="PA19" s="33" t="n">
        <v>0</v>
      </c>
      <c r="PB19" s="33" t="n">
        <v>0</v>
      </c>
      <c r="PC19" s="33" t="n">
        <v>0</v>
      </c>
      <c r="PD19" s="33" t="n">
        <v>0</v>
      </c>
      <c r="PE19" s="33" t="n">
        <v>0</v>
      </c>
      <c r="PF19" s="33" t="n">
        <v>0</v>
      </c>
      <c r="PG19" s="33" t="n">
        <v>0</v>
      </c>
      <c r="PH19" s="33" t="n">
        <v>0</v>
      </c>
      <c r="PI19" s="33" t="n">
        <v>0</v>
      </c>
      <c r="PJ19" s="33" t="n">
        <v>0</v>
      </c>
      <c r="PK19" s="33" t="n">
        <v>0</v>
      </c>
      <c r="PL19" s="33" t="n">
        <v>0</v>
      </c>
      <c r="PM19" s="33" t="n">
        <v>0</v>
      </c>
      <c r="PN19" s="33" t="n">
        <v>0</v>
      </c>
      <c r="PO19" s="33" t="n">
        <v>0</v>
      </c>
      <c r="PP19" s="33" t="n">
        <v>0</v>
      </c>
      <c r="PQ19" s="33" t="n">
        <v>0</v>
      </c>
      <c r="PR19" s="33" t="n">
        <v>0</v>
      </c>
      <c r="PS19" s="33" t="n">
        <v>0</v>
      </c>
      <c r="PT19" s="33" t="n">
        <v>0</v>
      </c>
      <c r="PU19" s="33" t="n">
        <v>0</v>
      </c>
      <c r="PV19" s="33" t="n">
        <v>0</v>
      </c>
      <c r="PW19" s="33" t="n">
        <v>0</v>
      </c>
      <c r="PX19" s="33" t="n">
        <v>0</v>
      </c>
      <c r="PY19" s="33" t="n">
        <v>0</v>
      </c>
      <c r="PZ19" s="33" t="n">
        <v>0</v>
      </c>
      <c r="QA19" s="33" t="n">
        <v>0</v>
      </c>
      <c r="QB19" s="33" t="n">
        <v>0</v>
      </c>
      <c r="QC19" s="33" t="n">
        <v>0</v>
      </c>
      <c r="QD19" s="33" t="n">
        <v>0</v>
      </c>
      <c r="QE19" s="33" t="n">
        <v>0</v>
      </c>
      <c r="QF19" s="33" t="n">
        <v>0</v>
      </c>
      <c r="QG19" s="33" t="n">
        <v>0</v>
      </c>
      <c r="QH19" s="33" t="n">
        <v>0</v>
      </c>
      <c r="QI19" s="33" t="n">
        <v>0</v>
      </c>
      <c r="QJ19" s="33" t="n">
        <v>0</v>
      </c>
      <c r="QK19" s="33" t="n">
        <v>0</v>
      </c>
      <c r="QL19" s="33" t="n">
        <v>0</v>
      </c>
      <c r="QM19" s="33" t="n">
        <v>0</v>
      </c>
      <c r="QN19" s="33" t="n">
        <v>0</v>
      </c>
      <c r="QO19" s="33" t="n">
        <v>0</v>
      </c>
      <c r="QP19" s="33" t="n">
        <v>0</v>
      </c>
      <c r="QQ19" s="33" t="n">
        <v>0</v>
      </c>
      <c r="QR19" s="33" t="n">
        <v>0</v>
      </c>
      <c r="QS19" s="33" t="n">
        <v>0</v>
      </c>
      <c r="QT19" s="33" t="n">
        <v>0</v>
      </c>
      <c r="QU19" s="33" t="n">
        <v>0</v>
      </c>
      <c r="QV19" s="33" t="n">
        <v>0</v>
      </c>
      <c r="QW19" s="33" t="n">
        <v>0</v>
      </c>
      <c r="QX19" s="33" t="n">
        <v>0</v>
      </c>
      <c r="QY19" s="33" t="n">
        <v>0</v>
      </c>
      <c r="QZ19" s="33" t="n">
        <v>0</v>
      </c>
      <c r="RA19" s="33" t="n">
        <v>0</v>
      </c>
      <c r="RB19" s="33" t="n">
        <v>0</v>
      </c>
      <c r="RC19" s="33" t="n">
        <v>0</v>
      </c>
      <c r="RD19" s="33" t="n">
        <v>0</v>
      </c>
      <c r="RE19" s="33" t="n">
        <v>0</v>
      </c>
      <c r="RF19" s="33" t="n">
        <v>0</v>
      </c>
      <c r="RG19" s="33" t="n">
        <v>0</v>
      </c>
      <c r="RH19" s="33" t="n">
        <v>0</v>
      </c>
      <c r="RI19" s="33" t="n">
        <v>0</v>
      </c>
      <c r="RJ19" s="33" t="n">
        <v>0</v>
      </c>
      <c r="RK19" s="33" t="n">
        <v>0</v>
      </c>
      <c r="RL19" s="33" t="n">
        <v>0</v>
      </c>
      <c r="RM19" s="33" t="n">
        <v>0</v>
      </c>
      <c r="RN19" s="33" t="n">
        <v>0</v>
      </c>
      <c r="RO19" s="33" t="n">
        <v>0</v>
      </c>
      <c r="RP19" s="33" t="n">
        <v>0</v>
      </c>
      <c r="RQ19" s="33" t="n">
        <v>0</v>
      </c>
      <c r="RR19" s="33" t="n">
        <v>0</v>
      </c>
      <c r="RS19" s="33" t="n">
        <v>0</v>
      </c>
      <c r="RT19" s="33" t="n">
        <v>0</v>
      </c>
      <c r="RU19" s="33" t="n">
        <v>0</v>
      </c>
      <c r="RV19" s="33" t="n">
        <v>0</v>
      </c>
      <c r="RW19" s="33" t="n">
        <v>0</v>
      </c>
    </row>
    <row r="20" hidden="1" outlineLevel="1" ht="13.05" customHeight="1">
      <c r="E20" s="21" t="inlineStr">
        <is>
          <t>DSO Cost</t>
        </is>
      </c>
      <c r="F20" s="29" t="n"/>
      <c r="G20" s="29" t="inlineStr">
        <is>
          <t>kEUR</t>
        </is>
      </c>
      <c r="H20" s="29" t="n"/>
      <c r="I20" s="29" t="n"/>
      <c r="J20" s="32" t="n">
        <v>0</v>
      </c>
      <c r="K20" s="29" t="n"/>
      <c r="L20" s="33" t="n">
        <v>0</v>
      </c>
      <c r="M20" s="33" t="n">
        <v>0</v>
      </c>
      <c r="N20" s="33" t="n">
        <v>0</v>
      </c>
      <c r="O20" s="33" t="n">
        <v>0</v>
      </c>
      <c r="P20" s="33" t="n">
        <v>0</v>
      </c>
      <c r="Q20" s="33" t="n">
        <v>0</v>
      </c>
      <c r="R20" s="33" t="n">
        <v>0</v>
      </c>
      <c r="S20" s="33" t="n">
        <v>0</v>
      </c>
      <c r="T20" s="33" t="n">
        <v>0</v>
      </c>
      <c r="U20" s="33" t="n">
        <v>0</v>
      </c>
      <c r="V20" s="33" t="n">
        <v>0</v>
      </c>
      <c r="W20" s="33" t="n">
        <v>0</v>
      </c>
      <c r="X20" s="33" t="n">
        <v>0</v>
      </c>
      <c r="Y20" s="33" t="n">
        <v>0</v>
      </c>
      <c r="Z20" s="33" t="n">
        <v>0</v>
      </c>
      <c r="AA20" s="33" t="n">
        <v>0</v>
      </c>
      <c r="AB20" s="33" t="n">
        <v>0</v>
      </c>
      <c r="AC20" s="33" t="n">
        <v>0</v>
      </c>
      <c r="AD20" s="33" t="n">
        <v>0</v>
      </c>
      <c r="AE20" s="33" t="n">
        <v>0</v>
      </c>
      <c r="AF20" s="33" t="n">
        <v>0</v>
      </c>
      <c r="AG20" s="33" t="n">
        <v>0</v>
      </c>
      <c r="AH20" s="33" t="n">
        <v>0</v>
      </c>
      <c r="AI20" s="33" t="n">
        <v>0</v>
      </c>
      <c r="AJ20" s="33" t="n">
        <v>0</v>
      </c>
      <c r="AK20" s="33" t="n">
        <v>0</v>
      </c>
      <c r="AL20" s="33" t="n">
        <v>0</v>
      </c>
      <c r="AM20" s="33" t="n">
        <v>0</v>
      </c>
      <c r="AN20" s="33" t="n">
        <v>0</v>
      </c>
      <c r="AO20" s="33" t="n">
        <v>0</v>
      </c>
      <c r="AP20" s="33" t="n">
        <v>0</v>
      </c>
      <c r="AQ20" s="33" t="n">
        <v>0</v>
      </c>
      <c r="AR20" s="33" t="n">
        <v>0</v>
      </c>
      <c r="AS20" s="33" t="n">
        <v>0</v>
      </c>
      <c r="AT20" s="33" t="n">
        <v>0</v>
      </c>
      <c r="AU20" s="33" t="n">
        <v>0</v>
      </c>
      <c r="AV20" s="33" t="n">
        <v>0</v>
      </c>
      <c r="AW20" s="33" t="n">
        <v>0</v>
      </c>
      <c r="AX20" s="33" t="n">
        <v>0</v>
      </c>
      <c r="AY20" s="33" t="n">
        <v>0</v>
      </c>
      <c r="AZ20" s="33" t="n">
        <v>0</v>
      </c>
      <c r="BA20" s="33" t="n">
        <v>0</v>
      </c>
      <c r="BB20" s="33" t="n">
        <v>0</v>
      </c>
      <c r="BC20" s="33" t="n">
        <v>0</v>
      </c>
      <c r="BD20" s="33" t="n">
        <v>0</v>
      </c>
      <c r="BE20" s="33" t="n">
        <v>0</v>
      </c>
      <c r="BF20" s="33" t="n">
        <v>0</v>
      </c>
      <c r="BG20" s="33" t="n">
        <v>0</v>
      </c>
      <c r="BH20" s="33" t="n">
        <v>0</v>
      </c>
      <c r="BI20" s="33" t="n">
        <v>0</v>
      </c>
      <c r="BJ20" s="33" t="n">
        <v>0</v>
      </c>
      <c r="BK20" s="33" t="n">
        <v>0</v>
      </c>
      <c r="BL20" s="33" t="n">
        <v>0</v>
      </c>
      <c r="BM20" s="33" t="n">
        <v>0</v>
      </c>
      <c r="BN20" s="33" t="n">
        <v>0</v>
      </c>
      <c r="BO20" s="33" t="n">
        <v>0</v>
      </c>
      <c r="BP20" s="33" t="n">
        <v>0</v>
      </c>
      <c r="BQ20" s="33" t="n">
        <v>0</v>
      </c>
      <c r="BR20" s="33" t="n">
        <v>0</v>
      </c>
      <c r="BS20" s="33" t="n">
        <v>0</v>
      </c>
      <c r="BT20" s="33" t="n">
        <v>0</v>
      </c>
      <c r="BU20" s="33" t="n">
        <v>0</v>
      </c>
      <c r="BV20" s="33" t="n">
        <v>0</v>
      </c>
      <c r="BW20" s="33" t="n">
        <v>0</v>
      </c>
      <c r="BX20" s="33" t="n">
        <v>0</v>
      </c>
      <c r="BY20" s="33" t="n">
        <v>0</v>
      </c>
      <c r="BZ20" s="33" t="n">
        <v>0</v>
      </c>
      <c r="CA20" s="33" t="n">
        <v>0</v>
      </c>
      <c r="CB20" s="33" t="n">
        <v>0</v>
      </c>
      <c r="CC20" s="33" t="n">
        <v>0</v>
      </c>
      <c r="CD20" s="33" t="n">
        <v>0</v>
      </c>
      <c r="CE20" s="33" t="n">
        <v>0</v>
      </c>
      <c r="CF20" s="33" t="n">
        <v>0</v>
      </c>
      <c r="CG20" s="33" t="n">
        <v>0</v>
      </c>
      <c r="CH20" s="33" t="n">
        <v>0</v>
      </c>
      <c r="CI20" s="33" t="n">
        <v>0</v>
      </c>
      <c r="CJ20" s="33" t="n">
        <v>0</v>
      </c>
      <c r="CK20" s="33" t="n">
        <v>0</v>
      </c>
      <c r="CL20" s="33" t="n">
        <v>0</v>
      </c>
      <c r="CM20" s="33" t="n">
        <v>0</v>
      </c>
      <c r="CN20" s="33" t="n">
        <v>0</v>
      </c>
      <c r="CO20" s="33" t="n">
        <v>0</v>
      </c>
      <c r="CP20" s="33" t="n">
        <v>0</v>
      </c>
      <c r="CQ20" s="33" t="n">
        <v>0</v>
      </c>
      <c r="CR20" s="33" t="n">
        <v>0</v>
      </c>
      <c r="CS20" s="33" t="n">
        <v>0</v>
      </c>
      <c r="CT20" s="33" t="n">
        <v>0</v>
      </c>
      <c r="CU20" s="33" t="n">
        <v>0</v>
      </c>
      <c r="CV20" s="33" t="n">
        <v>0</v>
      </c>
      <c r="CW20" s="33" t="n">
        <v>0</v>
      </c>
      <c r="CX20" s="33" t="n">
        <v>0</v>
      </c>
      <c r="CY20" s="33" t="n">
        <v>0</v>
      </c>
      <c r="CZ20" s="33" t="n">
        <v>0</v>
      </c>
      <c r="DA20" s="33" t="n">
        <v>0</v>
      </c>
      <c r="DB20" s="33" t="n">
        <v>0</v>
      </c>
      <c r="DC20" s="33" t="n">
        <v>0</v>
      </c>
      <c r="DD20" s="33" t="n">
        <v>0</v>
      </c>
      <c r="DE20" s="33" t="n">
        <v>0</v>
      </c>
      <c r="DF20" s="33" t="n">
        <v>0</v>
      </c>
      <c r="DG20" s="33" t="n">
        <v>0</v>
      </c>
      <c r="DH20" s="33" t="n">
        <v>0</v>
      </c>
      <c r="DI20" s="33" t="n">
        <v>0</v>
      </c>
      <c r="DJ20" s="33" t="n">
        <v>0</v>
      </c>
      <c r="DK20" s="33" t="n">
        <v>0</v>
      </c>
      <c r="DL20" s="33" t="n">
        <v>0</v>
      </c>
      <c r="DM20" s="33" t="n">
        <v>0</v>
      </c>
      <c r="DN20" s="33" t="n">
        <v>0</v>
      </c>
      <c r="DO20" s="33" t="n">
        <v>0</v>
      </c>
      <c r="DP20" s="33" t="n">
        <v>0</v>
      </c>
      <c r="DQ20" s="33" t="n">
        <v>0</v>
      </c>
      <c r="DR20" s="33" t="n">
        <v>0</v>
      </c>
      <c r="DS20" s="33" t="n">
        <v>0</v>
      </c>
      <c r="DT20" s="33" t="n">
        <v>0</v>
      </c>
      <c r="DU20" s="33" t="n">
        <v>0</v>
      </c>
      <c r="DV20" s="33" t="n">
        <v>0</v>
      </c>
      <c r="DW20" s="33" t="n">
        <v>0</v>
      </c>
      <c r="DX20" s="33" t="n">
        <v>0</v>
      </c>
      <c r="DY20" s="33" t="n">
        <v>0</v>
      </c>
      <c r="DZ20" s="33" t="n">
        <v>0</v>
      </c>
      <c r="EA20" s="33" t="n">
        <v>0</v>
      </c>
      <c r="EB20" s="33" t="n">
        <v>0</v>
      </c>
      <c r="EC20" s="33" t="n">
        <v>0</v>
      </c>
      <c r="ED20" s="33" t="n">
        <v>0</v>
      </c>
      <c r="EE20" s="33" t="n">
        <v>0</v>
      </c>
      <c r="EF20" s="33" t="n">
        <v>0</v>
      </c>
      <c r="EG20" s="33" t="n">
        <v>0</v>
      </c>
      <c r="EH20" s="33" t="n">
        <v>0</v>
      </c>
      <c r="EI20" s="33" t="n">
        <v>0</v>
      </c>
      <c r="EJ20" s="33" t="n">
        <v>0</v>
      </c>
      <c r="EK20" s="33" t="n">
        <v>0</v>
      </c>
      <c r="EL20" s="33" t="n">
        <v>0</v>
      </c>
      <c r="EM20" s="33" t="n">
        <v>0</v>
      </c>
      <c r="EN20" s="33" t="n">
        <v>0</v>
      </c>
      <c r="EO20" s="33" t="n">
        <v>0</v>
      </c>
      <c r="EP20" s="33" t="n">
        <v>0</v>
      </c>
      <c r="EQ20" s="33" t="n">
        <v>0</v>
      </c>
      <c r="ER20" s="33" t="n">
        <v>0</v>
      </c>
      <c r="ES20" s="33" t="n">
        <v>0</v>
      </c>
      <c r="ET20" s="33" t="n">
        <v>0</v>
      </c>
      <c r="EU20" s="33" t="n">
        <v>0</v>
      </c>
      <c r="EV20" s="33" t="n">
        <v>0</v>
      </c>
      <c r="EW20" s="33" t="n">
        <v>0</v>
      </c>
      <c r="EX20" s="33" t="n">
        <v>0</v>
      </c>
      <c r="EY20" s="33" t="n">
        <v>0</v>
      </c>
      <c r="EZ20" s="33" t="n">
        <v>0</v>
      </c>
      <c r="FA20" s="33" t="n">
        <v>0</v>
      </c>
      <c r="FB20" s="33" t="n">
        <v>0</v>
      </c>
      <c r="FC20" s="33" t="n">
        <v>0</v>
      </c>
      <c r="FD20" s="33" t="n">
        <v>0</v>
      </c>
      <c r="FE20" s="33" t="n">
        <v>0</v>
      </c>
      <c r="FF20" s="33" t="n">
        <v>0</v>
      </c>
      <c r="FG20" s="33" t="n">
        <v>0</v>
      </c>
      <c r="FH20" s="33" t="n">
        <v>0</v>
      </c>
      <c r="FI20" s="33" t="n">
        <v>0</v>
      </c>
      <c r="FJ20" s="33" t="n">
        <v>0</v>
      </c>
      <c r="FK20" s="33" t="n">
        <v>0</v>
      </c>
      <c r="FL20" s="33" t="n">
        <v>0</v>
      </c>
      <c r="FM20" s="33" t="n">
        <v>0</v>
      </c>
      <c r="FN20" s="33" t="n">
        <v>0</v>
      </c>
      <c r="FO20" s="33" t="n">
        <v>0</v>
      </c>
      <c r="FP20" s="33" t="n">
        <v>0</v>
      </c>
      <c r="FQ20" s="33" t="n">
        <v>0</v>
      </c>
      <c r="FR20" s="33" t="n">
        <v>0</v>
      </c>
      <c r="FS20" s="33" t="n">
        <v>0</v>
      </c>
      <c r="FT20" s="33" t="n">
        <v>0</v>
      </c>
      <c r="FU20" s="33" t="n">
        <v>0</v>
      </c>
      <c r="FV20" s="33" t="n">
        <v>0</v>
      </c>
      <c r="FW20" s="33" t="n">
        <v>0</v>
      </c>
      <c r="FX20" s="33" t="n">
        <v>0</v>
      </c>
      <c r="FY20" s="33" t="n">
        <v>0</v>
      </c>
      <c r="FZ20" s="33" t="n">
        <v>0</v>
      </c>
      <c r="GA20" s="33" t="n">
        <v>0</v>
      </c>
      <c r="GB20" s="33" t="n">
        <v>0</v>
      </c>
      <c r="GC20" s="33" t="n">
        <v>0</v>
      </c>
      <c r="GD20" s="33" t="n">
        <v>0</v>
      </c>
      <c r="GE20" s="33" t="n">
        <v>0</v>
      </c>
      <c r="GF20" s="33" t="n">
        <v>0</v>
      </c>
      <c r="GG20" s="33" t="n">
        <v>0</v>
      </c>
      <c r="GH20" s="33" t="n">
        <v>0</v>
      </c>
      <c r="GI20" s="33" t="n">
        <v>0</v>
      </c>
      <c r="GJ20" s="33" t="n">
        <v>0</v>
      </c>
      <c r="GK20" s="33" t="n">
        <v>0</v>
      </c>
      <c r="GL20" s="33" t="n">
        <v>0</v>
      </c>
      <c r="GM20" s="33" t="n">
        <v>0</v>
      </c>
      <c r="GN20" s="33" t="n">
        <v>0</v>
      </c>
      <c r="GO20" s="33" t="n">
        <v>0</v>
      </c>
      <c r="GP20" s="33" t="n">
        <v>0</v>
      </c>
      <c r="GQ20" s="33" t="n">
        <v>0</v>
      </c>
      <c r="GR20" s="33" t="n">
        <v>0</v>
      </c>
      <c r="GS20" s="33" t="n">
        <v>0</v>
      </c>
      <c r="GT20" s="33" t="n">
        <v>0</v>
      </c>
      <c r="GU20" s="33" t="n">
        <v>0</v>
      </c>
      <c r="GV20" s="33" t="n">
        <v>0</v>
      </c>
      <c r="GW20" s="33" t="n">
        <v>0</v>
      </c>
      <c r="GX20" s="33" t="n">
        <v>0</v>
      </c>
      <c r="GY20" s="33" t="n">
        <v>0</v>
      </c>
      <c r="GZ20" s="33" t="n">
        <v>0</v>
      </c>
      <c r="HA20" s="33" t="n">
        <v>0</v>
      </c>
      <c r="HB20" s="33" t="n">
        <v>0</v>
      </c>
      <c r="HC20" s="33" t="n">
        <v>0</v>
      </c>
      <c r="HD20" s="33" t="n">
        <v>0</v>
      </c>
      <c r="HE20" s="33" t="n">
        <v>0</v>
      </c>
      <c r="HF20" s="33" t="n">
        <v>0</v>
      </c>
      <c r="HG20" s="33" t="n">
        <v>0</v>
      </c>
      <c r="HH20" s="33" t="n">
        <v>0</v>
      </c>
      <c r="HI20" s="33" t="n">
        <v>0</v>
      </c>
      <c r="HJ20" s="33" t="n">
        <v>0</v>
      </c>
      <c r="HK20" s="33" t="n">
        <v>0</v>
      </c>
      <c r="HL20" s="33" t="n">
        <v>0</v>
      </c>
      <c r="HM20" s="33" t="n">
        <v>0</v>
      </c>
      <c r="HN20" s="33" t="n">
        <v>0</v>
      </c>
      <c r="HO20" s="33" t="n">
        <v>0</v>
      </c>
      <c r="HP20" s="33" t="n">
        <v>0</v>
      </c>
      <c r="HQ20" s="33" t="n">
        <v>0</v>
      </c>
      <c r="HR20" s="33" t="n">
        <v>0</v>
      </c>
      <c r="HS20" s="33" t="n">
        <v>0</v>
      </c>
      <c r="HT20" s="33" t="n">
        <v>0</v>
      </c>
      <c r="HU20" s="33" t="n">
        <v>0</v>
      </c>
      <c r="HV20" s="33" t="n">
        <v>0</v>
      </c>
      <c r="HW20" s="33" t="n">
        <v>0</v>
      </c>
      <c r="HX20" s="33" t="n">
        <v>0</v>
      </c>
      <c r="HY20" s="33" t="n">
        <v>0</v>
      </c>
      <c r="HZ20" s="33" t="n">
        <v>0</v>
      </c>
      <c r="IA20" s="33" t="n">
        <v>0</v>
      </c>
      <c r="IB20" s="33" t="n">
        <v>0</v>
      </c>
      <c r="IC20" s="33" t="n">
        <v>0</v>
      </c>
      <c r="ID20" s="33" t="n">
        <v>0</v>
      </c>
      <c r="IE20" s="33" t="n">
        <v>0</v>
      </c>
      <c r="IF20" s="33" t="n">
        <v>0</v>
      </c>
      <c r="IG20" s="33" t="n">
        <v>0</v>
      </c>
      <c r="IH20" s="33" t="n">
        <v>0</v>
      </c>
      <c r="II20" s="33" t="n">
        <v>0</v>
      </c>
      <c r="IJ20" s="33" t="n">
        <v>0</v>
      </c>
      <c r="IK20" s="33" t="n">
        <v>0</v>
      </c>
      <c r="IL20" s="33" t="n">
        <v>0</v>
      </c>
      <c r="IM20" s="33" t="n">
        <v>0</v>
      </c>
      <c r="IN20" s="33" t="n">
        <v>0</v>
      </c>
      <c r="IO20" s="33" t="n">
        <v>0</v>
      </c>
      <c r="IP20" s="33" t="n">
        <v>0</v>
      </c>
      <c r="IQ20" s="33" t="n">
        <v>0</v>
      </c>
      <c r="IR20" s="33" t="n">
        <v>0</v>
      </c>
      <c r="IS20" s="33" t="n">
        <v>0</v>
      </c>
      <c r="IT20" s="33" t="n">
        <v>0</v>
      </c>
      <c r="IU20" s="33" t="n">
        <v>0</v>
      </c>
      <c r="IV20" s="33" t="n">
        <v>0</v>
      </c>
      <c r="IW20" s="33" t="n">
        <v>0</v>
      </c>
      <c r="IX20" s="33" t="n">
        <v>0</v>
      </c>
      <c r="IY20" s="33" t="n">
        <v>0</v>
      </c>
      <c r="IZ20" s="33" t="n">
        <v>0</v>
      </c>
      <c r="JA20" s="33" t="n">
        <v>0</v>
      </c>
      <c r="JB20" s="33" t="n">
        <v>0</v>
      </c>
      <c r="JC20" s="33" t="n">
        <v>0</v>
      </c>
      <c r="JD20" s="33" t="n">
        <v>0</v>
      </c>
      <c r="JE20" s="33" t="n">
        <v>0</v>
      </c>
      <c r="JF20" s="33" t="n">
        <v>0</v>
      </c>
      <c r="JG20" s="33" t="n">
        <v>0</v>
      </c>
      <c r="JH20" s="33" t="n">
        <v>0</v>
      </c>
      <c r="JI20" s="33" t="n">
        <v>0</v>
      </c>
      <c r="JJ20" s="33" t="n">
        <v>0</v>
      </c>
      <c r="JK20" s="33" t="n">
        <v>0</v>
      </c>
      <c r="JL20" s="33" t="n">
        <v>0</v>
      </c>
      <c r="JM20" s="33" t="n">
        <v>0</v>
      </c>
      <c r="JN20" s="33" t="n">
        <v>0</v>
      </c>
      <c r="JO20" s="33" t="n">
        <v>0</v>
      </c>
      <c r="JP20" s="33" t="n">
        <v>0</v>
      </c>
      <c r="JQ20" s="33" t="n">
        <v>0</v>
      </c>
      <c r="JR20" s="33" t="n">
        <v>0</v>
      </c>
      <c r="JS20" s="33" t="n">
        <v>0</v>
      </c>
      <c r="JT20" s="33" t="n">
        <v>0</v>
      </c>
      <c r="JU20" s="33" t="n">
        <v>0</v>
      </c>
      <c r="JV20" s="33" t="n">
        <v>0</v>
      </c>
      <c r="JW20" s="33" t="n">
        <v>0</v>
      </c>
      <c r="JX20" s="33" t="n">
        <v>0</v>
      </c>
      <c r="JY20" s="33" t="n">
        <v>0</v>
      </c>
      <c r="JZ20" s="33" t="n">
        <v>0</v>
      </c>
      <c r="KA20" s="33" t="n">
        <v>0</v>
      </c>
      <c r="KB20" s="33" t="n">
        <v>0</v>
      </c>
      <c r="KC20" s="33" t="n">
        <v>0</v>
      </c>
      <c r="KD20" s="33" t="n">
        <v>0</v>
      </c>
      <c r="KE20" s="33" t="n">
        <v>0</v>
      </c>
      <c r="KF20" s="33" t="n">
        <v>0</v>
      </c>
      <c r="KG20" s="33" t="n">
        <v>0</v>
      </c>
      <c r="KH20" s="33" t="n">
        <v>0</v>
      </c>
      <c r="KI20" s="33" t="n">
        <v>0</v>
      </c>
      <c r="KJ20" s="33" t="n">
        <v>0</v>
      </c>
      <c r="KK20" s="33" t="n">
        <v>0</v>
      </c>
      <c r="KL20" s="33" t="n">
        <v>0</v>
      </c>
      <c r="KM20" s="33" t="n">
        <v>0</v>
      </c>
      <c r="KN20" s="33" t="n">
        <v>0</v>
      </c>
      <c r="KO20" s="33" t="n">
        <v>0</v>
      </c>
      <c r="KP20" s="33" t="n">
        <v>0</v>
      </c>
      <c r="KQ20" s="33" t="n">
        <v>0</v>
      </c>
      <c r="KR20" s="33" t="n">
        <v>0</v>
      </c>
      <c r="KS20" s="33" t="n">
        <v>0</v>
      </c>
      <c r="KT20" s="33" t="n">
        <v>0</v>
      </c>
      <c r="KU20" s="33" t="n">
        <v>0</v>
      </c>
      <c r="KV20" s="33" t="n">
        <v>0</v>
      </c>
      <c r="KW20" s="33" t="n">
        <v>0</v>
      </c>
      <c r="KX20" s="33" t="n">
        <v>0</v>
      </c>
      <c r="KY20" s="33" t="n">
        <v>0</v>
      </c>
      <c r="KZ20" s="33" t="n">
        <v>0</v>
      </c>
      <c r="LA20" s="33" t="n">
        <v>0</v>
      </c>
      <c r="LB20" s="33" t="n">
        <v>0</v>
      </c>
      <c r="LC20" s="33" t="n">
        <v>0</v>
      </c>
      <c r="LD20" s="33" t="n">
        <v>0</v>
      </c>
      <c r="LE20" s="33" t="n">
        <v>0</v>
      </c>
      <c r="LF20" s="33" t="n">
        <v>0</v>
      </c>
      <c r="LG20" s="33" t="n">
        <v>0</v>
      </c>
      <c r="LH20" s="33" t="n">
        <v>0</v>
      </c>
      <c r="LI20" s="33" t="n">
        <v>0</v>
      </c>
      <c r="LJ20" s="33" t="n">
        <v>0</v>
      </c>
      <c r="LK20" s="33" t="n">
        <v>0</v>
      </c>
      <c r="LL20" s="33" t="n">
        <v>0</v>
      </c>
      <c r="LM20" s="33" t="n">
        <v>0</v>
      </c>
      <c r="LN20" s="33" t="n">
        <v>0</v>
      </c>
      <c r="LO20" s="33" t="n">
        <v>0</v>
      </c>
      <c r="LP20" s="33" t="n">
        <v>0</v>
      </c>
      <c r="LQ20" s="33" t="n">
        <v>0</v>
      </c>
      <c r="LR20" s="33" t="n">
        <v>0</v>
      </c>
      <c r="LS20" s="33" t="n">
        <v>0</v>
      </c>
      <c r="LT20" s="33" t="n">
        <v>0</v>
      </c>
      <c r="LU20" s="33" t="n">
        <v>0</v>
      </c>
      <c r="LV20" s="33" t="n">
        <v>0</v>
      </c>
      <c r="LW20" s="33" t="n">
        <v>0</v>
      </c>
      <c r="LX20" s="33" t="n">
        <v>0</v>
      </c>
      <c r="LY20" s="33" t="n">
        <v>0</v>
      </c>
      <c r="LZ20" s="33" t="n">
        <v>0</v>
      </c>
      <c r="MA20" s="33" t="n">
        <v>0</v>
      </c>
      <c r="MB20" s="33" t="n">
        <v>0</v>
      </c>
      <c r="MC20" s="33" t="n">
        <v>0</v>
      </c>
      <c r="MD20" s="33" t="n">
        <v>0</v>
      </c>
      <c r="ME20" s="33" t="n">
        <v>0</v>
      </c>
      <c r="MF20" s="33" t="n">
        <v>0</v>
      </c>
      <c r="MG20" s="33" t="n">
        <v>0</v>
      </c>
      <c r="MH20" s="33" t="n">
        <v>0</v>
      </c>
      <c r="MI20" s="33" t="n">
        <v>0</v>
      </c>
      <c r="MJ20" s="33" t="n">
        <v>0</v>
      </c>
      <c r="MK20" s="33" t="n">
        <v>0</v>
      </c>
      <c r="ML20" s="33" t="n">
        <v>0</v>
      </c>
      <c r="MM20" s="33" t="n">
        <v>0</v>
      </c>
      <c r="MN20" s="33" t="n">
        <v>0</v>
      </c>
      <c r="MO20" s="33" t="n">
        <v>0</v>
      </c>
      <c r="MP20" s="33" t="n">
        <v>0</v>
      </c>
      <c r="MQ20" s="33" t="n">
        <v>0</v>
      </c>
      <c r="MR20" s="33" t="n">
        <v>0</v>
      </c>
      <c r="MS20" s="33" t="n">
        <v>0</v>
      </c>
      <c r="MT20" s="33" t="n">
        <v>0</v>
      </c>
      <c r="MU20" s="33" t="n">
        <v>0</v>
      </c>
      <c r="MV20" s="33" t="n">
        <v>0</v>
      </c>
      <c r="MW20" s="33" t="n">
        <v>0</v>
      </c>
      <c r="MX20" s="33" t="n">
        <v>0</v>
      </c>
      <c r="MY20" s="33" t="n">
        <v>0</v>
      </c>
      <c r="MZ20" s="33" t="n">
        <v>0</v>
      </c>
      <c r="NA20" s="33" t="n">
        <v>0</v>
      </c>
      <c r="NB20" s="33" t="n">
        <v>0</v>
      </c>
      <c r="NC20" s="33" t="n">
        <v>0</v>
      </c>
      <c r="ND20" s="33" t="n">
        <v>0</v>
      </c>
      <c r="NE20" s="33" t="n">
        <v>0</v>
      </c>
      <c r="NF20" s="33" t="n">
        <v>0</v>
      </c>
      <c r="NG20" s="33" t="n">
        <v>0</v>
      </c>
      <c r="NH20" s="33" t="n">
        <v>0</v>
      </c>
      <c r="NI20" s="33" t="n">
        <v>0</v>
      </c>
      <c r="NJ20" s="33" t="n">
        <v>0</v>
      </c>
      <c r="NK20" s="33" t="n">
        <v>0</v>
      </c>
      <c r="NL20" s="33" t="n">
        <v>0</v>
      </c>
      <c r="NM20" s="33" t="n">
        <v>0</v>
      </c>
      <c r="NN20" s="33" t="n">
        <v>0</v>
      </c>
      <c r="NO20" s="33" t="n">
        <v>0</v>
      </c>
      <c r="NP20" s="33" t="n">
        <v>0</v>
      </c>
      <c r="NQ20" s="33" t="n">
        <v>0</v>
      </c>
      <c r="NR20" s="33" t="n">
        <v>0</v>
      </c>
      <c r="NS20" s="33" t="n">
        <v>0</v>
      </c>
      <c r="NT20" s="33" t="n">
        <v>0</v>
      </c>
      <c r="NU20" s="33" t="n">
        <v>0</v>
      </c>
      <c r="NV20" s="33" t="n">
        <v>0</v>
      </c>
      <c r="NW20" s="33" t="n">
        <v>0</v>
      </c>
      <c r="NX20" s="33" t="n">
        <v>0</v>
      </c>
      <c r="NY20" s="33" t="n">
        <v>0</v>
      </c>
      <c r="NZ20" s="33" t="n">
        <v>0</v>
      </c>
      <c r="OA20" s="33" t="n">
        <v>0</v>
      </c>
      <c r="OB20" s="33" t="n">
        <v>0</v>
      </c>
      <c r="OC20" s="33" t="n">
        <v>0</v>
      </c>
      <c r="OD20" s="33" t="n">
        <v>0</v>
      </c>
      <c r="OE20" s="33" t="n">
        <v>0</v>
      </c>
      <c r="OF20" s="33" t="n">
        <v>0</v>
      </c>
      <c r="OG20" s="33" t="n">
        <v>0</v>
      </c>
      <c r="OH20" s="33" t="n">
        <v>0</v>
      </c>
      <c r="OI20" s="33" t="n">
        <v>0</v>
      </c>
      <c r="OJ20" s="33" t="n">
        <v>0</v>
      </c>
      <c r="OK20" s="33" t="n">
        <v>0</v>
      </c>
      <c r="OL20" s="33" t="n">
        <v>0</v>
      </c>
      <c r="OM20" s="33" t="n">
        <v>0</v>
      </c>
      <c r="ON20" s="33" t="n">
        <v>0</v>
      </c>
      <c r="OO20" s="33" t="n">
        <v>0</v>
      </c>
      <c r="OP20" s="33" t="n">
        <v>0</v>
      </c>
      <c r="OQ20" s="33" t="n">
        <v>0</v>
      </c>
      <c r="OR20" s="33" t="n">
        <v>0</v>
      </c>
      <c r="OS20" s="33" t="n">
        <v>0</v>
      </c>
      <c r="OT20" s="33" t="n">
        <v>0</v>
      </c>
      <c r="OU20" s="33" t="n">
        <v>0</v>
      </c>
      <c r="OV20" s="33" t="n">
        <v>0</v>
      </c>
      <c r="OW20" s="33" t="n">
        <v>0</v>
      </c>
      <c r="OX20" s="33" t="n">
        <v>0</v>
      </c>
      <c r="OY20" s="33" t="n">
        <v>0</v>
      </c>
      <c r="OZ20" s="33" t="n">
        <v>0</v>
      </c>
      <c r="PA20" s="33" t="n">
        <v>0</v>
      </c>
      <c r="PB20" s="33" t="n">
        <v>0</v>
      </c>
      <c r="PC20" s="33" t="n">
        <v>0</v>
      </c>
      <c r="PD20" s="33" t="n">
        <v>0</v>
      </c>
      <c r="PE20" s="33" t="n">
        <v>0</v>
      </c>
      <c r="PF20" s="33" t="n">
        <v>0</v>
      </c>
      <c r="PG20" s="33" t="n">
        <v>0</v>
      </c>
      <c r="PH20" s="33" t="n">
        <v>0</v>
      </c>
      <c r="PI20" s="33" t="n">
        <v>0</v>
      </c>
      <c r="PJ20" s="33" t="n">
        <v>0</v>
      </c>
      <c r="PK20" s="33" t="n">
        <v>0</v>
      </c>
      <c r="PL20" s="33" t="n">
        <v>0</v>
      </c>
      <c r="PM20" s="33" t="n">
        <v>0</v>
      </c>
      <c r="PN20" s="33" t="n">
        <v>0</v>
      </c>
      <c r="PO20" s="33" t="n">
        <v>0</v>
      </c>
      <c r="PP20" s="33" t="n">
        <v>0</v>
      </c>
      <c r="PQ20" s="33" t="n">
        <v>0</v>
      </c>
      <c r="PR20" s="33" t="n">
        <v>0</v>
      </c>
      <c r="PS20" s="33" t="n">
        <v>0</v>
      </c>
      <c r="PT20" s="33" t="n">
        <v>0</v>
      </c>
      <c r="PU20" s="33" t="n">
        <v>0</v>
      </c>
      <c r="PV20" s="33" t="n">
        <v>0</v>
      </c>
      <c r="PW20" s="33" t="n">
        <v>0</v>
      </c>
      <c r="PX20" s="33" t="n">
        <v>0</v>
      </c>
      <c r="PY20" s="33" t="n">
        <v>0</v>
      </c>
      <c r="PZ20" s="33" t="n">
        <v>0</v>
      </c>
      <c r="QA20" s="33" t="n">
        <v>0</v>
      </c>
      <c r="QB20" s="33" t="n">
        <v>0</v>
      </c>
      <c r="QC20" s="33" t="n">
        <v>0</v>
      </c>
      <c r="QD20" s="33" t="n">
        <v>0</v>
      </c>
      <c r="QE20" s="33" t="n">
        <v>0</v>
      </c>
      <c r="QF20" s="33" t="n">
        <v>0</v>
      </c>
      <c r="QG20" s="33" t="n">
        <v>0</v>
      </c>
      <c r="QH20" s="33" t="n">
        <v>0</v>
      </c>
      <c r="QI20" s="33" t="n">
        <v>0</v>
      </c>
      <c r="QJ20" s="33" t="n">
        <v>0</v>
      </c>
      <c r="QK20" s="33" t="n">
        <v>0</v>
      </c>
      <c r="QL20" s="33" t="n">
        <v>0</v>
      </c>
      <c r="QM20" s="33" t="n">
        <v>0</v>
      </c>
      <c r="QN20" s="33" t="n">
        <v>0</v>
      </c>
      <c r="QO20" s="33" t="n">
        <v>0</v>
      </c>
      <c r="QP20" s="33" t="n">
        <v>0</v>
      </c>
      <c r="QQ20" s="33" t="n">
        <v>0</v>
      </c>
      <c r="QR20" s="33" t="n">
        <v>0</v>
      </c>
      <c r="QS20" s="33" t="n">
        <v>0</v>
      </c>
      <c r="QT20" s="33" t="n">
        <v>0</v>
      </c>
      <c r="QU20" s="33" t="n">
        <v>0</v>
      </c>
      <c r="QV20" s="33" t="n">
        <v>0</v>
      </c>
      <c r="QW20" s="33" t="n">
        <v>0</v>
      </c>
      <c r="QX20" s="33" t="n">
        <v>0</v>
      </c>
      <c r="QY20" s="33" t="n">
        <v>0</v>
      </c>
      <c r="QZ20" s="33" t="n">
        <v>0</v>
      </c>
      <c r="RA20" s="33" t="n">
        <v>0</v>
      </c>
      <c r="RB20" s="33" t="n">
        <v>0</v>
      </c>
      <c r="RC20" s="33" t="n">
        <v>0</v>
      </c>
      <c r="RD20" s="33" t="n">
        <v>0</v>
      </c>
      <c r="RE20" s="33" t="n">
        <v>0</v>
      </c>
      <c r="RF20" s="33" t="n">
        <v>0</v>
      </c>
      <c r="RG20" s="33" t="n">
        <v>0</v>
      </c>
      <c r="RH20" s="33" t="n">
        <v>0</v>
      </c>
      <c r="RI20" s="33" t="n">
        <v>0</v>
      </c>
      <c r="RJ20" s="33" t="n">
        <v>0</v>
      </c>
      <c r="RK20" s="33" t="n">
        <v>0</v>
      </c>
      <c r="RL20" s="33" t="n">
        <v>0</v>
      </c>
      <c r="RM20" s="33" t="n">
        <v>0</v>
      </c>
      <c r="RN20" s="33" t="n">
        <v>0</v>
      </c>
      <c r="RO20" s="33" t="n">
        <v>0</v>
      </c>
      <c r="RP20" s="33" t="n">
        <v>0</v>
      </c>
      <c r="RQ20" s="33" t="n">
        <v>0</v>
      </c>
      <c r="RR20" s="33" t="n">
        <v>0</v>
      </c>
      <c r="RS20" s="33" t="n">
        <v>0</v>
      </c>
      <c r="RT20" s="33" t="n">
        <v>0</v>
      </c>
      <c r="RU20" s="33" t="n">
        <v>0</v>
      </c>
      <c r="RV20" s="33" t="n">
        <v>0</v>
      </c>
      <c r="RW20" s="33" t="n">
        <v>0</v>
      </c>
    </row>
    <row r="21" hidden="1" outlineLevel="1" ht="13.05" customHeight="1">
      <c r="E21" s="21" t="inlineStr">
        <is>
          <t>Nord Pool Cost</t>
        </is>
      </c>
      <c r="F21" s="29" t="n"/>
      <c r="G21" s="29" t="inlineStr">
        <is>
          <t>kEUR</t>
        </is>
      </c>
      <c r="H21" s="29" t="n"/>
      <c r="I21" s="29" t="n"/>
      <c r="J21" s="32" t="n">
        <v>0</v>
      </c>
      <c r="K21" s="29" t="n"/>
      <c r="L21" s="33" t="n">
        <v>0</v>
      </c>
      <c r="M21" s="33" t="n">
        <v>0</v>
      </c>
      <c r="N21" s="33" t="n">
        <v>0</v>
      </c>
      <c r="O21" s="33" t="n">
        <v>0</v>
      </c>
      <c r="P21" s="33" t="n">
        <v>0</v>
      </c>
      <c r="Q21" s="33" t="n">
        <v>0</v>
      </c>
      <c r="R21" s="33" t="n">
        <v>0</v>
      </c>
      <c r="S21" s="33" t="n">
        <v>0</v>
      </c>
      <c r="T21" s="33" t="n">
        <v>0</v>
      </c>
      <c r="U21" s="33" t="n">
        <v>0</v>
      </c>
      <c r="V21" s="33" t="n">
        <v>0</v>
      </c>
      <c r="W21" s="33" t="n">
        <v>0</v>
      </c>
      <c r="X21" s="33" t="n">
        <v>0</v>
      </c>
      <c r="Y21" s="33" t="n">
        <v>0</v>
      </c>
      <c r="Z21" s="33" t="n">
        <v>0</v>
      </c>
      <c r="AA21" s="33" t="n">
        <v>0</v>
      </c>
      <c r="AB21" s="33" t="n">
        <v>0</v>
      </c>
      <c r="AC21" s="33" t="n">
        <v>0</v>
      </c>
      <c r="AD21" s="33" t="n">
        <v>0</v>
      </c>
      <c r="AE21" s="33" t="n">
        <v>0</v>
      </c>
      <c r="AF21" s="33" t="n">
        <v>0</v>
      </c>
      <c r="AG21" s="33" t="n">
        <v>0</v>
      </c>
      <c r="AH21" s="33" t="n">
        <v>0</v>
      </c>
      <c r="AI21" s="33" t="n">
        <v>0</v>
      </c>
      <c r="AJ21" s="33" t="n">
        <v>0</v>
      </c>
      <c r="AK21" s="33" t="n">
        <v>0</v>
      </c>
      <c r="AL21" s="33" t="n">
        <v>0</v>
      </c>
      <c r="AM21" s="33" t="n">
        <v>0</v>
      </c>
      <c r="AN21" s="33" t="n">
        <v>0</v>
      </c>
      <c r="AO21" s="33" t="n">
        <v>0</v>
      </c>
      <c r="AP21" s="33" t="n">
        <v>0</v>
      </c>
      <c r="AQ21" s="33" t="n">
        <v>0</v>
      </c>
      <c r="AR21" s="33" t="n">
        <v>0</v>
      </c>
      <c r="AS21" s="33" t="n">
        <v>0</v>
      </c>
      <c r="AT21" s="33" t="n">
        <v>0</v>
      </c>
      <c r="AU21" s="33" t="n">
        <v>0</v>
      </c>
      <c r="AV21" s="33" t="n">
        <v>0</v>
      </c>
      <c r="AW21" s="33" t="n">
        <v>0</v>
      </c>
      <c r="AX21" s="33" t="n">
        <v>0</v>
      </c>
      <c r="AY21" s="33" t="n">
        <v>0</v>
      </c>
      <c r="AZ21" s="33" t="n">
        <v>0</v>
      </c>
      <c r="BA21" s="33" t="n">
        <v>0</v>
      </c>
      <c r="BB21" s="33" t="n">
        <v>0</v>
      </c>
      <c r="BC21" s="33" t="n">
        <v>0</v>
      </c>
      <c r="BD21" s="33" t="n">
        <v>0</v>
      </c>
      <c r="BE21" s="33" t="n">
        <v>0</v>
      </c>
      <c r="BF21" s="33" t="n">
        <v>0</v>
      </c>
      <c r="BG21" s="33" t="n">
        <v>0</v>
      </c>
      <c r="BH21" s="33" t="n">
        <v>0</v>
      </c>
      <c r="BI21" s="33" t="n">
        <v>0</v>
      </c>
      <c r="BJ21" s="33" t="n">
        <v>0</v>
      </c>
      <c r="BK21" s="33" t="n">
        <v>0</v>
      </c>
      <c r="BL21" s="33" t="n">
        <v>0</v>
      </c>
      <c r="BM21" s="33" t="n">
        <v>0</v>
      </c>
      <c r="BN21" s="33" t="n">
        <v>0</v>
      </c>
      <c r="BO21" s="33" t="n">
        <v>0</v>
      </c>
      <c r="BP21" s="33" t="n">
        <v>0</v>
      </c>
      <c r="BQ21" s="33" t="n">
        <v>0</v>
      </c>
      <c r="BR21" s="33" t="n">
        <v>0</v>
      </c>
      <c r="BS21" s="33" t="n">
        <v>0</v>
      </c>
      <c r="BT21" s="33" t="n">
        <v>0</v>
      </c>
      <c r="BU21" s="33" t="n">
        <v>0</v>
      </c>
      <c r="BV21" s="33" t="n">
        <v>0</v>
      </c>
      <c r="BW21" s="33" t="n">
        <v>0</v>
      </c>
      <c r="BX21" s="33" t="n">
        <v>0</v>
      </c>
      <c r="BY21" s="33" t="n">
        <v>0</v>
      </c>
      <c r="BZ21" s="33" t="n">
        <v>0</v>
      </c>
      <c r="CA21" s="33" t="n">
        <v>0</v>
      </c>
      <c r="CB21" s="33" t="n">
        <v>0</v>
      </c>
      <c r="CC21" s="33" t="n">
        <v>0</v>
      </c>
      <c r="CD21" s="33" t="n">
        <v>0</v>
      </c>
      <c r="CE21" s="33" t="n">
        <v>0</v>
      </c>
      <c r="CF21" s="33" t="n">
        <v>0</v>
      </c>
      <c r="CG21" s="33" t="n">
        <v>0</v>
      </c>
      <c r="CH21" s="33" t="n">
        <v>0</v>
      </c>
      <c r="CI21" s="33" t="n">
        <v>0</v>
      </c>
      <c r="CJ21" s="33" t="n">
        <v>0</v>
      </c>
      <c r="CK21" s="33" t="n">
        <v>0</v>
      </c>
      <c r="CL21" s="33" t="n">
        <v>0</v>
      </c>
      <c r="CM21" s="33" t="n">
        <v>0</v>
      </c>
      <c r="CN21" s="33" t="n">
        <v>0</v>
      </c>
      <c r="CO21" s="33" t="n">
        <v>0</v>
      </c>
      <c r="CP21" s="33" t="n">
        <v>0</v>
      </c>
      <c r="CQ21" s="33" t="n">
        <v>0</v>
      </c>
      <c r="CR21" s="33" t="n">
        <v>0</v>
      </c>
      <c r="CS21" s="33" t="n">
        <v>0</v>
      </c>
      <c r="CT21" s="33" t="n">
        <v>0</v>
      </c>
      <c r="CU21" s="33" t="n">
        <v>0</v>
      </c>
      <c r="CV21" s="33" t="n">
        <v>0</v>
      </c>
      <c r="CW21" s="33" t="n">
        <v>0</v>
      </c>
      <c r="CX21" s="33" t="n">
        <v>0</v>
      </c>
      <c r="CY21" s="33" t="n">
        <v>0</v>
      </c>
      <c r="CZ21" s="33" t="n">
        <v>0</v>
      </c>
      <c r="DA21" s="33" t="n">
        <v>0</v>
      </c>
      <c r="DB21" s="33" t="n">
        <v>0</v>
      </c>
      <c r="DC21" s="33" t="n">
        <v>0</v>
      </c>
      <c r="DD21" s="33" t="n">
        <v>0</v>
      </c>
      <c r="DE21" s="33" t="n">
        <v>0</v>
      </c>
      <c r="DF21" s="33" t="n">
        <v>0</v>
      </c>
      <c r="DG21" s="33" t="n">
        <v>0</v>
      </c>
      <c r="DH21" s="33" t="n">
        <v>0</v>
      </c>
      <c r="DI21" s="33" t="n">
        <v>0</v>
      </c>
      <c r="DJ21" s="33" t="n">
        <v>0</v>
      </c>
      <c r="DK21" s="33" t="n">
        <v>0</v>
      </c>
      <c r="DL21" s="33" t="n">
        <v>0</v>
      </c>
      <c r="DM21" s="33" t="n">
        <v>0</v>
      </c>
      <c r="DN21" s="33" t="n">
        <v>0</v>
      </c>
      <c r="DO21" s="33" t="n">
        <v>0</v>
      </c>
      <c r="DP21" s="33" t="n">
        <v>0</v>
      </c>
      <c r="DQ21" s="33" t="n">
        <v>0</v>
      </c>
      <c r="DR21" s="33" t="n">
        <v>0</v>
      </c>
      <c r="DS21" s="33" t="n">
        <v>0</v>
      </c>
      <c r="DT21" s="33" t="n">
        <v>0</v>
      </c>
      <c r="DU21" s="33" t="n">
        <v>0</v>
      </c>
      <c r="DV21" s="33" t="n">
        <v>0</v>
      </c>
      <c r="DW21" s="33" t="n">
        <v>0</v>
      </c>
      <c r="DX21" s="33" t="n">
        <v>0</v>
      </c>
      <c r="DY21" s="33" t="n">
        <v>0</v>
      </c>
      <c r="DZ21" s="33" t="n">
        <v>0</v>
      </c>
      <c r="EA21" s="33" t="n">
        <v>0</v>
      </c>
      <c r="EB21" s="33" t="n">
        <v>0</v>
      </c>
      <c r="EC21" s="33" t="n">
        <v>0</v>
      </c>
      <c r="ED21" s="33" t="n">
        <v>0</v>
      </c>
      <c r="EE21" s="33" t="n">
        <v>0</v>
      </c>
      <c r="EF21" s="33" t="n">
        <v>0</v>
      </c>
      <c r="EG21" s="33" t="n">
        <v>0</v>
      </c>
      <c r="EH21" s="33" t="n">
        <v>0</v>
      </c>
      <c r="EI21" s="33" t="n">
        <v>0</v>
      </c>
      <c r="EJ21" s="33" t="n">
        <v>0</v>
      </c>
      <c r="EK21" s="33" t="n">
        <v>0</v>
      </c>
      <c r="EL21" s="33" t="n">
        <v>0</v>
      </c>
      <c r="EM21" s="33" t="n">
        <v>0</v>
      </c>
      <c r="EN21" s="33" t="n">
        <v>0</v>
      </c>
      <c r="EO21" s="33" t="n">
        <v>0</v>
      </c>
      <c r="EP21" s="33" t="n">
        <v>0</v>
      </c>
      <c r="EQ21" s="33" t="n">
        <v>0</v>
      </c>
      <c r="ER21" s="33" t="n">
        <v>0</v>
      </c>
      <c r="ES21" s="33" t="n">
        <v>0</v>
      </c>
      <c r="ET21" s="33" t="n">
        <v>0</v>
      </c>
      <c r="EU21" s="33" t="n">
        <v>0</v>
      </c>
      <c r="EV21" s="33" t="n">
        <v>0</v>
      </c>
      <c r="EW21" s="33" t="n">
        <v>0</v>
      </c>
      <c r="EX21" s="33" t="n">
        <v>0</v>
      </c>
      <c r="EY21" s="33" t="n">
        <v>0</v>
      </c>
      <c r="EZ21" s="33" t="n">
        <v>0</v>
      </c>
      <c r="FA21" s="33" t="n">
        <v>0</v>
      </c>
      <c r="FB21" s="33" t="n">
        <v>0</v>
      </c>
      <c r="FC21" s="33" t="n">
        <v>0</v>
      </c>
      <c r="FD21" s="33" t="n">
        <v>0</v>
      </c>
      <c r="FE21" s="33" t="n">
        <v>0</v>
      </c>
      <c r="FF21" s="33" t="n">
        <v>0</v>
      </c>
      <c r="FG21" s="33" t="n">
        <v>0</v>
      </c>
      <c r="FH21" s="33" t="n">
        <v>0</v>
      </c>
      <c r="FI21" s="33" t="n">
        <v>0</v>
      </c>
      <c r="FJ21" s="33" t="n">
        <v>0</v>
      </c>
      <c r="FK21" s="33" t="n">
        <v>0</v>
      </c>
      <c r="FL21" s="33" t="n">
        <v>0</v>
      </c>
      <c r="FM21" s="33" t="n">
        <v>0</v>
      </c>
      <c r="FN21" s="33" t="n">
        <v>0</v>
      </c>
      <c r="FO21" s="33" t="n">
        <v>0</v>
      </c>
      <c r="FP21" s="33" t="n">
        <v>0</v>
      </c>
      <c r="FQ21" s="33" t="n">
        <v>0</v>
      </c>
      <c r="FR21" s="33" t="n">
        <v>0</v>
      </c>
      <c r="FS21" s="33" t="n">
        <v>0</v>
      </c>
      <c r="FT21" s="33" t="n">
        <v>0</v>
      </c>
      <c r="FU21" s="33" t="n">
        <v>0</v>
      </c>
      <c r="FV21" s="33" t="n">
        <v>0</v>
      </c>
      <c r="FW21" s="33" t="n">
        <v>0</v>
      </c>
      <c r="FX21" s="33" t="n">
        <v>0</v>
      </c>
      <c r="FY21" s="33" t="n">
        <v>0</v>
      </c>
      <c r="FZ21" s="33" t="n">
        <v>0</v>
      </c>
      <c r="GA21" s="33" t="n">
        <v>0</v>
      </c>
      <c r="GB21" s="33" t="n">
        <v>0</v>
      </c>
      <c r="GC21" s="33" t="n">
        <v>0</v>
      </c>
      <c r="GD21" s="33" t="n">
        <v>0</v>
      </c>
      <c r="GE21" s="33" t="n">
        <v>0</v>
      </c>
      <c r="GF21" s="33" t="n">
        <v>0</v>
      </c>
      <c r="GG21" s="33" t="n">
        <v>0</v>
      </c>
      <c r="GH21" s="33" t="n">
        <v>0</v>
      </c>
      <c r="GI21" s="33" t="n">
        <v>0</v>
      </c>
      <c r="GJ21" s="33" t="n">
        <v>0</v>
      </c>
      <c r="GK21" s="33" t="n">
        <v>0</v>
      </c>
      <c r="GL21" s="33" t="n">
        <v>0</v>
      </c>
      <c r="GM21" s="33" t="n">
        <v>0</v>
      </c>
      <c r="GN21" s="33" t="n">
        <v>0</v>
      </c>
      <c r="GO21" s="33" t="n">
        <v>0</v>
      </c>
      <c r="GP21" s="33" t="n">
        <v>0</v>
      </c>
      <c r="GQ21" s="33" t="n">
        <v>0</v>
      </c>
      <c r="GR21" s="33" t="n">
        <v>0</v>
      </c>
      <c r="GS21" s="33" t="n">
        <v>0</v>
      </c>
      <c r="GT21" s="33" t="n">
        <v>0</v>
      </c>
      <c r="GU21" s="33" t="n">
        <v>0</v>
      </c>
      <c r="GV21" s="33" t="n">
        <v>0</v>
      </c>
      <c r="GW21" s="33" t="n">
        <v>0</v>
      </c>
      <c r="GX21" s="33" t="n">
        <v>0</v>
      </c>
      <c r="GY21" s="33" t="n">
        <v>0</v>
      </c>
      <c r="GZ21" s="33" t="n">
        <v>0</v>
      </c>
      <c r="HA21" s="33" t="n">
        <v>0</v>
      </c>
      <c r="HB21" s="33" t="n">
        <v>0</v>
      </c>
      <c r="HC21" s="33" t="n">
        <v>0</v>
      </c>
      <c r="HD21" s="33" t="n">
        <v>0</v>
      </c>
      <c r="HE21" s="33" t="n">
        <v>0</v>
      </c>
      <c r="HF21" s="33" t="n">
        <v>0</v>
      </c>
      <c r="HG21" s="33" t="n">
        <v>0</v>
      </c>
      <c r="HH21" s="33" t="n">
        <v>0</v>
      </c>
      <c r="HI21" s="33" t="n">
        <v>0</v>
      </c>
      <c r="HJ21" s="33" t="n">
        <v>0</v>
      </c>
      <c r="HK21" s="33" t="n">
        <v>0</v>
      </c>
      <c r="HL21" s="33" t="n">
        <v>0</v>
      </c>
      <c r="HM21" s="33" t="n">
        <v>0</v>
      </c>
      <c r="HN21" s="33" t="n">
        <v>0</v>
      </c>
      <c r="HO21" s="33" t="n">
        <v>0</v>
      </c>
      <c r="HP21" s="33" t="n">
        <v>0</v>
      </c>
      <c r="HQ21" s="33" t="n">
        <v>0</v>
      </c>
      <c r="HR21" s="33" t="n">
        <v>0</v>
      </c>
      <c r="HS21" s="33" t="n">
        <v>0</v>
      </c>
      <c r="HT21" s="33" t="n">
        <v>0</v>
      </c>
      <c r="HU21" s="33" t="n">
        <v>0</v>
      </c>
      <c r="HV21" s="33" t="n">
        <v>0</v>
      </c>
      <c r="HW21" s="33" t="n">
        <v>0</v>
      </c>
      <c r="HX21" s="33" t="n">
        <v>0</v>
      </c>
      <c r="HY21" s="33" t="n">
        <v>0</v>
      </c>
      <c r="HZ21" s="33" t="n">
        <v>0</v>
      </c>
      <c r="IA21" s="33" t="n">
        <v>0</v>
      </c>
      <c r="IB21" s="33" t="n">
        <v>0</v>
      </c>
      <c r="IC21" s="33" t="n">
        <v>0</v>
      </c>
      <c r="ID21" s="33" t="n">
        <v>0</v>
      </c>
      <c r="IE21" s="33" t="n">
        <v>0</v>
      </c>
      <c r="IF21" s="33" t="n">
        <v>0</v>
      </c>
      <c r="IG21" s="33" t="n">
        <v>0</v>
      </c>
      <c r="IH21" s="33" t="n">
        <v>0</v>
      </c>
      <c r="II21" s="33" t="n">
        <v>0</v>
      </c>
      <c r="IJ21" s="33" t="n">
        <v>0</v>
      </c>
      <c r="IK21" s="33" t="n">
        <v>0</v>
      </c>
      <c r="IL21" s="33" t="n">
        <v>0</v>
      </c>
      <c r="IM21" s="33" t="n">
        <v>0</v>
      </c>
      <c r="IN21" s="33" t="n">
        <v>0</v>
      </c>
      <c r="IO21" s="33" t="n">
        <v>0</v>
      </c>
      <c r="IP21" s="33" t="n">
        <v>0</v>
      </c>
      <c r="IQ21" s="33" t="n">
        <v>0</v>
      </c>
      <c r="IR21" s="33" t="n">
        <v>0</v>
      </c>
      <c r="IS21" s="33" t="n">
        <v>0</v>
      </c>
      <c r="IT21" s="33" t="n">
        <v>0</v>
      </c>
      <c r="IU21" s="33" t="n">
        <v>0</v>
      </c>
      <c r="IV21" s="33" t="n">
        <v>0</v>
      </c>
      <c r="IW21" s="33" t="n">
        <v>0</v>
      </c>
      <c r="IX21" s="33" t="n">
        <v>0</v>
      </c>
      <c r="IY21" s="33" t="n">
        <v>0</v>
      </c>
      <c r="IZ21" s="33" t="n">
        <v>0</v>
      </c>
      <c r="JA21" s="33" t="n">
        <v>0</v>
      </c>
      <c r="JB21" s="33" t="n">
        <v>0</v>
      </c>
      <c r="JC21" s="33" t="n">
        <v>0</v>
      </c>
      <c r="JD21" s="33" t="n">
        <v>0</v>
      </c>
      <c r="JE21" s="33" t="n">
        <v>0</v>
      </c>
      <c r="JF21" s="33" t="n">
        <v>0</v>
      </c>
      <c r="JG21" s="33" t="n">
        <v>0</v>
      </c>
      <c r="JH21" s="33" t="n">
        <v>0</v>
      </c>
      <c r="JI21" s="33" t="n">
        <v>0</v>
      </c>
      <c r="JJ21" s="33" t="n">
        <v>0</v>
      </c>
      <c r="JK21" s="33" t="n">
        <v>0</v>
      </c>
      <c r="JL21" s="33" t="n">
        <v>0</v>
      </c>
      <c r="JM21" s="33" t="n">
        <v>0</v>
      </c>
      <c r="JN21" s="33" t="n">
        <v>0</v>
      </c>
      <c r="JO21" s="33" t="n">
        <v>0</v>
      </c>
      <c r="JP21" s="33" t="n">
        <v>0</v>
      </c>
      <c r="JQ21" s="33" t="n">
        <v>0</v>
      </c>
      <c r="JR21" s="33" t="n">
        <v>0</v>
      </c>
      <c r="JS21" s="33" t="n">
        <v>0</v>
      </c>
      <c r="JT21" s="33" t="n">
        <v>0</v>
      </c>
      <c r="JU21" s="33" t="n">
        <v>0</v>
      </c>
      <c r="JV21" s="33" t="n">
        <v>0</v>
      </c>
      <c r="JW21" s="33" t="n">
        <v>0</v>
      </c>
      <c r="JX21" s="33" t="n">
        <v>0</v>
      </c>
      <c r="JY21" s="33" t="n">
        <v>0</v>
      </c>
      <c r="JZ21" s="33" t="n">
        <v>0</v>
      </c>
      <c r="KA21" s="33" t="n">
        <v>0</v>
      </c>
      <c r="KB21" s="33" t="n">
        <v>0</v>
      </c>
      <c r="KC21" s="33" t="n">
        <v>0</v>
      </c>
      <c r="KD21" s="33" t="n">
        <v>0</v>
      </c>
      <c r="KE21" s="33" t="n">
        <v>0</v>
      </c>
      <c r="KF21" s="33" t="n">
        <v>0</v>
      </c>
      <c r="KG21" s="33" t="n">
        <v>0</v>
      </c>
      <c r="KH21" s="33" t="n">
        <v>0</v>
      </c>
      <c r="KI21" s="33" t="n">
        <v>0</v>
      </c>
      <c r="KJ21" s="33" t="n">
        <v>0</v>
      </c>
      <c r="KK21" s="33" t="n">
        <v>0</v>
      </c>
      <c r="KL21" s="33" t="n">
        <v>0</v>
      </c>
      <c r="KM21" s="33" t="n">
        <v>0</v>
      </c>
      <c r="KN21" s="33" t="n">
        <v>0</v>
      </c>
      <c r="KO21" s="33" t="n">
        <v>0</v>
      </c>
      <c r="KP21" s="33" t="n">
        <v>0</v>
      </c>
      <c r="KQ21" s="33" t="n">
        <v>0</v>
      </c>
      <c r="KR21" s="33" t="n">
        <v>0</v>
      </c>
      <c r="KS21" s="33" t="n">
        <v>0</v>
      </c>
      <c r="KT21" s="33" t="n">
        <v>0</v>
      </c>
      <c r="KU21" s="33" t="n">
        <v>0</v>
      </c>
      <c r="KV21" s="33" t="n">
        <v>0</v>
      </c>
      <c r="KW21" s="33" t="n">
        <v>0</v>
      </c>
      <c r="KX21" s="33" t="n">
        <v>0</v>
      </c>
      <c r="KY21" s="33" t="n">
        <v>0</v>
      </c>
      <c r="KZ21" s="33" t="n">
        <v>0</v>
      </c>
      <c r="LA21" s="33" t="n">
        <v>0</v>
      </c>
      <c r="LB21" s="33" t="n">
        <v>0</v>
      </c>
      <c r="LC21" s="33" t="n">
        <v>0</v>
      </c>
      <c r="LD21" s="33" t="n">
        <v>0</v>
      </c>
      <c r="LE21" s="33" t="n">
        <v>0</v>
      </c>
      <c r="LF21" s="33" t="n">
        <v>0</v>
      </c>
      <c r="LG21" s="33" t="n">
        <v>0</v>
      </c>
      <c r="LH21" s="33" t="n">
        <v>0</v>
      </c>
      <c r="LI21" s="33" t="n">
        <v>0</v>
      </c>
      <c r="LJ21" s="33" t="n">
        <v>0</v>
      </c>
      <c r="LK21" s="33" t="n">
        <v>0</v>
      </c>
      <c r="LL21" s="33" t="n">
        <v>0</v>
      </c>
      <c r="LM21" s="33" t="n">
        <v>0</v>
      </c>
      <c r="LN21" s="33" t="n">
        <v>0</v>
      </c>
      <c r="LO21" s="33" t="n">
        <v>0</v>
      </c>
      <c r="LP21" s="33" t="n">
        <v>0</v>
      </c>
      <c r="LQ21" s="33" t="n">
        <v>0</v>
      </c>
      <c r="LR21" s="33" t="n">
        <v>0</v>
      </c>
      <c r="LS21" s="33" t="n">
        <v>0</v>
      </c>
      <c r="LT21" s="33" t="n">
        <v>0</v>
      </c>
      <c r="LU21" s="33" t="n">
        <v>0</v>
      </c>
      <c r="LV21" s="33" t="n">
        <v>0</v>
      </c>
      <c r="LW21" s="33" t="n">
        <v>0</v>
      </c>
      <c r="LX21" s="33" t="n">
        <v>0</v>
      </c>
      <c r="LY21" s="33" t="n">
        <v>0</v>
      </c>
      <c r="LZ21" s="33" t="n">
        <v>0</v>
      </c>
      <c r="MA21" s="33" t="n">
        <v>0</v>
      </c>
      <c r="MB21" s="33" t="n">
        <v>0</v>
      </c>
      <c r="MC21" s="33" t="n">
        <v>0</v>
      </c>
      <c r="MD21" s="33" t="n">
        <v>0</v>
      </c>
      <c r="ME21" s="33" t="n">
        <v>0</v>
      </c>
      <c r="MF21" s="33" t="n">
        <v>0</v>
      </c>
      <c r="MG21" s="33" t="n">
        <v>0</v>
      </c>
      <c r="MH21" s="33" t="n">
        <v>0</v>
      </c>
      <c r="MI21" s="33" t="n">
        <v>0</v>
      </c>
      <c r="MJ21" s="33" t="n">
        <v>0</v>
      </c>
      <c r="MK21" s="33" t="n">
        <v>0</v>
      </c>
      <c r="ML21" s="33" t="n">
        <v>0</v>
      </c>
      <c r="MM21" s="33" t="n">
        <v>0</v>
      </c>
      <c r="MN21" s="33" t="n">
        <v>0</v>
      </c>
      <c r="MO21" s="33" t="n">
        <v>0</v>
      </c>
      <c r="MP21" s="33" t="n">
        <v>0</v>
      </c>
      <c r="MQ21" s="33" t="n">
        <v>0</v>
      </c>
      <c r="MR21" s="33" t="n">
        <v>0</v>
      </c>
      <c r="MS21" s="33" t="n">
        <v>0</v>
      </c>
      <c r="MT21" s="33" t="n">
        <v>0</v>
      </c>
      <c r="MU21" s="33" t="n">
        <v>0</v>
      </c>
      <c r="MV21" s="33" t="n">
        <v>0</v>
      </c>
      <c r="MW21" s="33" t="n">
        <v>0</v>
      </c>
      <c r="MX21" s="33" t="n">
        <v>0</v>
      </c>
      <c r="MY21" s="33" t="n">
        <v>0</v>
      </c>
      <c r="MZ21" s="33" t="n">
        <v>0</v>
      </c>
      <c r="NA21" s="33" t="n">
        <v>0</v>
      </c>
      <c r="NB21" s="33" t="n">
        <v>0</v>
      </c>
      <c r="NC21" s="33" t="n">
        <v>0</v>
      </c>
      <c r="ND21" s="33" t="n">
        <v>0</v>
      </c>
      <c r="NE21" s="33" t="n">
        <v>0</v>
      </c>
      <c r="NF21" s="33" t="n">
        <v>0</v>
      </c>
      <c r="NG21" s="33" t="n">
        <v>0</v>
      </c>
      <c r="NH21" s="33" t="n">
        <v>0</v>
      </c>
      <c r="NI21" s="33" t="n">
        <v>0</v>
      </c>
      <c r="NJ21" s="33" t="n">
        <v>0</v>
      </c>
      <c r="NK21" s="33" t="n">
        <v>0</v>
      </c>
      <c r="NL21" s="33" t="n">
        <v>0</v>
      </c>
      <c r="NM21" s="33" t="n">
        <v>0</v>
      </c>
      <c r="NN21" s="33" t="n">
        <v>0</v>
      </c>
      <c r="NO21" s="33" t="n">
        <v>0</v>
      </c>
      <c r="NP21" s="33" t="n">
        <v>0</v>
      </c>
      <c r="NQ21" s="33" t="n">
        <v>0</v>
      </c>
      <c r="NR21" s="33" t="n">
        <v>0</v>
      </c>
      <c r="NS21" s="33" t="n">
        <v>0</v>
      </c>
      <c r="NT21" s="33" t="n">
        <v>0</v>
      </c>
      <c r="NU21" s="33" t="n">
        <v>0</v>
      </c>
      <c r="NV21" s="33" t="n">
        <v>0</v>
      </c>
      <c r="NW21" s="33" t="n">
        <v>0</v>
      </c>
      <c r="NX21" s="33" t="n">
        <v>0</v>
      </c>
      <c r="NY21" s="33" t="n">
        <v>0</v>
      </c>
      <c r="NZ21" s="33" t="n">
        <v>0</v>
      </c>
      <c r="OA21" s="33" t="n">
        <v>0</v>
      </c>
      <c r="OB21" s="33" t="n">
        <v>0</v>
      </c>
      <c r="OC21" s="33" t="n">
        <v>0</v>
      </c>
      <c r="OD21" s="33" t="n">
        <v>0</v>
      </c>
      <c r="OE21" s="33" t="n">
        <v>0</v>
      </c>
      <c r="OF21" s="33" t="n">
        <v>0</v>
      </c>
      <c r="OG21" s="33" t="n">
        <v>0</v>
      </c>
      <c r="OH21" s="33" t="n">
        <v>0</v>
      </c>
      <c r="OI21" s="33" t="n">
        <v>0</v>
      </c>
      <c r="OJ21" s="33" t="n">
        <v>0</v>
      </c>
      <c r="OK21" s="33" t="n">
        <v>0</v>
      </c>
      <c r="OL21" s="33" t="n">
        <v>0</v>
      </c>
      <c r="OM21" s="33" t="n">
        <v>0</v>
      </c>
      <c r="ON21" s="33" t="n">
        <v>0</v>
      </c>
      <c r="OO21" s="33" t="n">
        <v>0</v>
      </c>
      <c r="OP21" s="33" t="n">
        <v>0</v>
      </c>
      <c r="OQ21" s="33" t="n">
        <v>0</v>
      </c>
      <c r="OR21" s="33" t="n">
        <v>0</v>
      </c>
      <c r="OS21" s="33" t="n">
        <v>0</v>
      </c>
      <c r="OT21" s="33" t="n">
        <v>0</v>
      </c>
      <c r="OU21" s="33" t="n">
        <v>0</v>
      </c>
      <c r="OV21" s="33" t="n">
        <v>0</v>
      </c>
      <c r="OW21" s="33" t="n">
        <v>0</v>
      </c>
      <c r="OX21" s="33" t="n">
        <v>0</v>
      </c>
      <c r="OY21" s="33" t="n">
        <v>0</v>
      </c>
      <c r="OZ21" s="33" t="n">
        <v>0</v>
      </c>
      <c r="PA21" s="33" t="n">
        <v>0</v>
      </c>
      <c r="PB21" s="33" t="n">
        <v>0</v>
      </c>
      <c r="PC21" s="33" t="n">
        <v>0</v>
      </c>
      <c r="PD21" s="33" t="n">
        <v>0</v>
      </c>
      <c r="PE21" s="33" t="n">
        <v>0</v>
      </c>
      <c r="PF21" s="33" t="n">
        <v>0</v>
      </c>
      <c r="PG21" s="33" t="n">
        <v>0</v>
      </c>
      <c r="PH21" s="33" t="n">
        <v>0</v>
      </c>
      <c r="PI21" s="33" t="n">
        <v>0</v>
      </c>
      <c r="PJ21" s="33" t="n">
        <v>0</v>
      </c>
      <c r="PK21" s="33" t="n">
        <v>0</v>
      </c>
      <c r="PL21" s="33" t="n">
        <v>0</v>
      </c>
      <c r="PM21" s="33" t="n">
        <v>0</v>
      </c>
      <c r="PN21" s="33" t="n">
        <v>0</v>
      </c>
      <c r="PO21" s="33" t="n">
        <v>0</v>
      </c>
      <c r="PP21" s="33" t="n">
        <v>0</v>
      </c>
      <c r="PQ21" s="33" t="n">
        <v>0</v>
      </c>
      <c r="PR21" s="33" t="n">
        <v>0</v>
      </c>
      <c r="PS21" s="33" t="n">
        <v>0</v>
      </c>
      <c r="PT21" s="33" t="n">
        <v>0</v>
      </c>
      <c r="PU21" s="33" t="n">
        <v>0</v>
      </c>
      <c r="PV21" s="33" t="n">
        <v>0</v>
      </c>
      <c r="PW21" s="33" t="n">
        <v>0</v>
      </c>
      <c r="PX21" s="33" t="n">
        <v>0</v>
      </c>
      <c r="PY21" s="33" t="n">
        <v>0</v>
      </c>
      <c r="PZ21" s="33" t="n">
        <v>0</v>
      </c>
      <c r="QA21" s="33" t="n">
        <v>0</v>
      </c>
      <c r="QB21" s="33" t="n">
        <v>0</v>
      </c>
      <c r="QC21" s="33" t="n">
        <v>0</v>
      </c>
      <c r="QD21" s="33" t="n">
        <v>0</v>
      </c>
      <c r="QE21" s="33" t="n">
        <v>0</v>
      </c>
      <c r="QF21" s="33" t="n">
        <v>0</v>
      </c>
      <c r="QG21" s="33" t="n">
        <v>0</v>
      </c>
      <c r="QH21" s="33" t="n">
        <v>0</v>
      </c>
      <c r="QI21" s="33" t="n">
        <v>0</v>
      </c>
      <c r="QJ21" s="33" t="n">
        <v>0</v>
      </c>
      <c r="QK21" s="33" t="n">
        <v>0</v>
      </c>
      <c r="QL21" s="33" t="n">
        <v>0</v>
      </c>
      <c r="QM21" s="33" t="n">
        <v>0</v>
      </c>
      <c r="QN21" s="33" t="n">
        <v>0</v>
      </c>
      <c r="QO21" s="33" t="n">
        <v>0</v>
      </c>
      <c r="QP21" s="33" t="n">
        <v>0</v>
      </c>
      <c r="QQ21" s="33" t="n">
        <v>0</v>
      </c>
      <c r="QR21" s="33" t="n">
        <v>0</v>
      </c>
      <c r="QS21" s="33" t="n">
        <v>0</v>
      </c>
      <c r="QT21" s="33" t="n">
        <v>0</v>
      </c>
      <c r="QU21" s="33" t="n">
        <v>0</v>
      </c>
      <c r="QV21" s="33" t="n">
        <v>0</v>
      </c>
      <c r="QW21" s="33" t="n">
        <v>0</v>
      </c>
      <c r="QX21" s="33" t="n">
        <v>0</v>
      </c>
      <c r="QY21" s="33" t="n">
        <v>0</v>
      </c>
      <c r="QZ21" s="33" t="n">
        <v>0</v>
      </c>
      <c r="RA21" s="33" t="n">
        <v>0</v>
      </c>
      <c r="RB21" s="33" t="n">
        <v>0</v>
      </c>
      <c r="RC21" s="33" t="n">
        <v>0</v>
      </c>
      <c r="RD21" s="33" t="n">
        <v>0</v>
      </c>
      <c r="RE21" s="33" t="n">
        <v>0</v>
      </c>
      <c r="RF21" s="33" t="n">
        <v>0</v>
      </c>
      <c r="RG21" s="33" t="n">
        <v>0</v>
      </c>
      <c r="RH21" s="33" t="n">
        <v>0</v>
      </c>
      <c r="RI21" s="33" t="n">
        <v>0</v>
      </c>
      <c r="RJ21" s="33" t="n">
        <v>0</v>
      </c>
      <c r="RK21" s="33" t="n">
        <v>0</v>
      </c>
      <c r="RL21" s="33" t="n">
        <v>0</v>
      </c>
      <c r="RM21" s="33" t="n">
        <v>0</v>
      </c>
      <c r="RN21" s="33" t="n">
        <v>0</v>
      </c>
      <c r="RO21" s="33" t="n">
        <v>0</v>
      </c>
      <c r="RP21" s="33" t="n">
        <v>0</v>
      </c>
      <c r="RQ21" s="33" t="n">
        <v>0</v>
      </c>
      <c r="RR21" s="33" t="n">
        <v>0</v>
      </c>
      <c r="RS21" s="33" t="n">
        <v>0</v>
      </c>
      <c r="RT21" s="33" t="n">
        <v>0</v>
      </c>
      <c r="RU21" s="33" t="n">
        <v>0</v>
      </c>
      <c r="RV21" s="33" t="n">
        <v>0</v>
      </c>
      <c r="RW21" s="33" t="n">
        <v>0</v>
      </c>
    </row>
    <row r="22" hidden="1" outlineLevel="1" ht="13.05" customHeight="1">
      <c r="E22" s="21" t="inlineStr">
        <is>
          <t>PPA Management Cost</t>
        </is>
      </c>
      <c r="F22" s="29" t="n"/>
      <c r="G22" s="29" t="inlineStr">
        <is>
          <t>kEUR</t>
        </is>
      </c>
      <c r="H22" s="29" t="n"/>
      <c r="I22" s="29" t="n"/>
      <c r="J22" s="32" t="n">
        <v>0</v>
      </c>
      <c r="K22" s="29" t="n"/>
      <c r="L22" s="33" t="n">
        <v>0</v>
      </c>
      <c r="M22" s="33" t="n">
        <v>0</v>
      </c>
      <c r="N22" s="33" t="n">
        <v>0</v>
      </c>
      <c r="O22" s="33" t="n">
        <v>0</v>
      </c>
      <c r="P22" s="33" t="n">
        <v>0</v>
      </c>
      <c r="Q22" s="33" t="n">
        <v>0</v>
      </c>
      <c r="R22" s="33" t="n">
        <v>0</v>
      </c>
      <c r="S22" s="33" t="n">
        <v>0</v>
      </c>
      <c r="T22" s="33" t="n">
        <v>0</v>
      </c>
      <c r="U22" s="33" t="n">
        <v>0</v>
      </c>
      <c r="V22" s="33" t="n">
        <v>0</v>
      </c>
      <c r="W22" s="33" t="n">
        <v>0</v>
      </c>
      <c r="X22" s="33" t="n">
        <v>0</v>
      </c>
      <c r="Y22" s="33" t="n">
        <v>0</v>
      </c>
      <c r="Z22" s="33" t="n">
        <v>0</v>
      </c>
      <c r="AA22" s="33" t="n">
        <v>0</v>
      </c>
      <c r="AB22" s="33" t="n">
        <v>0</v>
      </c>
      <c r="AC22" s="33" t="n">
        <v>0</v>
      </c>
      <c r="AD22" s="33" t="n">
        <v>0</v>
      </c>
      <c r="AE22" s="33" t="n">
        <v>0</v>
      </c>
      <c r="AF22" s="33" t="n">
        <v>0</v>
      </c>
      <c r="AG22" s="33" t="n">
        <v>0</v>
      </c>
      <c r="AH22" s="33" t="n">
        <v>0</v>
      </c>
      <c r="AI22" s="33" t="n">
        <v>0</v>
      </c>
      <c r="AJ22" s="33" t="n">
        <v>0</v>
      </c>
      <c r="AK22" s="33" t="n">
        <v>0</v>
      </c>
      <c r="AL22" s="33" t="n">
        <v>0</v>
      </c>
      <c r="AM22" s="33" t="n">
        <v>0</v>
      </c>
      <c r="AN22" s="33" t="n">
        <v>0</v>
      </c>
      <c r="AO22" s="33" t="n">
        <v>0</v>
      </c>
      <c r="AP22" s="33" t="n">
        <v>0</v>
      </c>
      <c r="AQ22" s="33" t="n">
        <v>0</v>
      </c>
      <c r="AR22" s="33" t="n">
        <v>0</v>
      </c>
      <c r="AS22" s="33" t="n">
        <v>0</v>
      </c>
      <c r="AT22" s="33" t="n">
        <v>0</v>
      </c>
      <c r="AU22" s="33" t="n">
        <v>0</v>
      </c>
      <c r="AV22" s="33" t="n">
        <v>0</v>
      </c>
      <c r="AW22" s="33" t="n">
        <v>0</v>
      </c>
      <c r="AX22" s="33" t="n">
        <v>0</v>
      </c>
      <c r="AY22" s="33" t="n">
        <v>0</v>
      </c>
      <c r="AZ22" s="33" t="n">
        <v>0</v>
      </c>
      <c r="BA22" s="33" t="n">
        <v>0</v>
      </c>
      <c r="BB22" s="33" t="n">
        <v>0</v>
      </c>
      <c r="BC22" s="33" t="n">
        <v>0</v>
      </c>
      <c r="BD22" s="33" t="n">
        <v>0</v>
      </c>
      <c r="BE22" s="33" t="n">
        <v>0</v>
      </c>
      <c r="BF22" s="33" t="n">
        <v>0</v>
      </c>
      <c r="BG22" s="33" t="n">
        <v>0</v>
      </c>
      <c r="BH22" s="33" t="n">
        <v>0</v>
      </c>
      <c r="BI22" s="33" t="n">
        <v>0</v>
      </c>
      <c r="BJ22" s="33" t="n">
        <v>0</v>
      </c>
      <c r="BK22" s="33" t="n">
        <v>0</v>
      </c>
      <c r="BL22" s="33" t="n">
        <v>0</v>
      </c>
      <c r="BM22" s="33" t="n">
        <v>0</v>
      </c>
      <c r="BN22" s="33" t="n">
        <v>0</v>
      </c>
      <c r="BO22" s="33" t="n">
        <v>0</v>
      </c>
      <c r="BP22" s="33" t="n">
        <v>0</v>
      </c>
      <c r="BQ22" s="33" t="n">
        <v>0</v>
      </c>
      <c r="BR22" s="33" t="n">
        <v>0</v>
      </c>
      <c r="BS22" s="33" t="n">
        <v>0</v>
      </c>
      <c r="BT22" s="33" t="n">
        <v>0</v>
      </c>
      <c r="BU22" s="33" t="n">
        <v>0</v>
      </c>
      <c r="BV22" s="33" t="n">
        <v>0</v>
      </c>
      <c r="BW22" s="33" t="n">
        <v>0</v>
      </c>
      <c r="BX22" s="33" t="n">
        <v>0</v>
      </c>
      <c r="BY22" s="33" t="n">
        <v>0</v>
      </c>
      <c r="BZ22" s="33" t="n">
        <v>0</v>
      </c>
      <c r="CA22" s="33" t="n">
        <v>0</v>
      </c>
      <c r="CB22" s="33" t="n">
        <v>0</v>
      </c>
      <c r="CC22" s="33" t="n">
        <v>0</v>
      </c>
      <c r="CD22" s="33" t="n">
        <v>0</v>
      </c>
      <c r="CE22" s="33" t="n">
        <v>0</v>
      </c>
      <c r="CF22" s="33" t="n">
        <v>0</v>
      </c>
      <c r="CG22" s="33" t="n">
        <v>0</v>
      </c>
      <c r="CH22" s="33" t="n">
        <v>0</v>
      </c>
      <c r="CI22" s="33" t="n">
        <v>0</v>
      </c>
      <c r="CJ22" s="33" t="n">
        <v>0</v>
      </c>
      <c r="CK22" s="33" t="n">
        <v>0</v>
      </c>
      <c r="CL22" s="33" t="n">
        <v>0</v>
      </c>
      <c r="CM22" s="33" t="n">
        <v>0</v>
      </c>
      <c r="CN22" s="33" t="n">
        <v>0</v>
      </c>
      <c r="CO22" s="33" t="n">
        <v>0</v>
      </c>
      <c r="CP22" s="33" t="n">
        <v>0</v>
      </c>
      <c r="CQ22" s="33" t="n">
        <v>0</v>
      </c>
      <c r="CR22" s="33" t="n">
        <v>0</v>
      </c>
      <c r="CS22" s="33" t="n">
        <v>0</v>
      </c>
      <c r="CT22" s="33" t="n">
        <v>0</v>
      </c>
      <c r="CU22" s="33" t="n">
        <v>0</v>
      </c>
      <c r="CV22" s="33" t="n">
        <v>0</v>
      </c>
      <c r="CW22" s="33" t="n">
        <v>0</v>
      </c>
      <c r="CX22" s="33" t="n">
        <v>0</v>
      </c>
      <c r="CY22" s="33" t="n">
        <v>0</v>
      </c>
      <c r="CZ22" s="33" t="n">
        <v>0</v>
      </c>
      <c r="DA22" s="33" t="n">
        <v>0</v>
      </c>
      <c r="DB22" s="33" t="n">
        <v>0</v>
      </c>
      <c r="DC22" s="33" t="n">
        <v>0</v>
      </c>
      <c r="DD22" s="33" t="n">
        <v>0</v>
      </c>
      <c r="DE22" s="33" t="n">
        <v>0</v>
      </c>
      <c r="DF22" s="33" t="n">
        <v>0</v>
      </c>
      <c r="DG22" s="33" t="n">
        <v>0</v>
      </c>
      <c r="DH22" s="33" t="n">
        <v>0</v>
      </c>
      <c r="DI22" s="33" t="n">
        <v>0</v>
      </c>
      <c r="DJ22" s="33" t="n">
        <v>0</v>
      </c>
      <c r="DK22" s="33" t="n">
        <v>0</v>
      </c>
      <c r="DL22" s="33" t="n">
        <v>0</v>
      </c>
      <c r="DM22" s="33" t="n">
        <v>0</v>
      </c>
      <c r="DN22" s="33" t="n">
        <v>0</v>
      </c>
      <c r="DO22" s="33" t="n">
        <v>0</v>
      </c>
      <c r="DP22" s="33" t="n">
        <v>0</v>
      </c>
      <c r="DQ22" s="33" t="n">
        <v>0</v>
      </c>
      <c r="DR22" s="33" t="n">
        <v>0</v>
      </c>
      <c r="DS22" s="33" t="n">
        <v>0</v>
      </c>
      <c r="DT22" s="33" t="n">
        <v>0</v>
      </c>
      <c r="DU22" s="33" t="n">
        <v>0</v>
      </c>
      <c r="DV22" s="33" t="n">
        <v>0</v>
      </c>
      <c r="DW22" s="33" t="n">
        <v>0</v>
      </c>
      <c r="DX22" s="33" t="n">
        <v>0</v>
      </c>
      <c r="DY22" s="33" t="n">
        <v>0</v>
      </c>
      <c r="DZ22" s="33" t="n">
        <v>0</v>
      </c>
      <c r="EA22" s="33" t="n">
        <v>0</v>
      </c>
      <c r="EB22" s="33" t="n">
        <v>0</v>
      </c>
      <c r="EC22" s="33" t="n">
        <v>0</v>
      </c>
      <c r="ED22" s="33" t="n">
        <v>0</v>
      </c>
      <c r="EE22" s="33" t="n">
        <v>0</v>
      </c>
      <c r="EF22" s="33" t="n">
        <v>0</v>
      </c>
      <c r="EG22" s="33" t="n">
        <v>0</v>
      </c>
      <c r="EH22" s="33" t="n">
        <v>0</v>
      </c>
      <c r="EI22" s="33" t="n">
        <v>0</v>
      </c>
      <c r="EJ22" s="33" t="n">
        <v>0</v>
      </c>
      <c r="EK22" s="33" t="n">
        <v>0</v>
      </c>
      <c r="EL22" s="33" t="n">
        <v>0</v>
      </c>
      <c r="EM22" s="33" t="n">
        <v>0</v>
      </c>
      <c r="EN22" s="33" t="n">
        <v>0</v>
      </c>
      <c r="EO22" s="33" t="n">
        <v>0</v>
      </c>
      <c r="EP22" s="33" t="n">
        <v>0</v>
      </c>
      <c r="EQ22" s="33" t="n">
        <v>0</v>
      </c>
      <c r="ER22" s="33" t="n">
        <v>0</v>
      </c>
      <c r="ES22" s="33" t="n">
        <v>0</v>
      </c>
      <c r="ET22" s="33" t="n">
        <v>0</v>
      </c>
      <c r="EU22" s="33" t="n">
        <v>0</v>
      </c>
      <c r="EV22" s="33" t="n">
        <v>0</v>
      </c>
      <c r="EW22" s="33" t="n">
        <v>0</v>
      </c>
      <c r="EX22" s="33" t="n">
        <v>0</v>
      </c>
      <c r="EY22" s="33" t="n">
        <v>0</v>
      </c>
      <c r="EZ22" s="33" t="n">
        <v>0</v>
      </c>
      <c r="FA22" s="33" t="n">
        <v>0</v>
      </c>
      <c r="FB22" s="33" t="n">
        <v>0</v>
      </c>
      <c r="FC22" s="33" t="n">
        <v>0</v>
      </c>
      <c r="FD22" s="33" t="n">
        <v>0</v>
      </c>
      <c r="FE22" s="33" t="n">
        <v>0</v>
      </c>
      <c r="FF22" s="33" t="n">
        <v>0</v>
      </c>
      <c r="FG22" s="33" t="n">
        <v>0</v>
      </c>
      <c r="FH22" s="33" t="n">
        <v>0</v>
      </c>
      <c r="FI22" s="33" t="n">
        <v>0</v>
      </c>
      <c r="FJ22" s="33" t="n">
        <v>0</v>
      </c>
      <c r="FK22" s="33" t="n">
        <v>0</v>
      </c>
      <c r="FL22" s="33" t="n">
        <v>0</v>
      </c>
      <c r="FM22" s="33" t="n">
        <v>0</v>
      </c>
      <c r="FN22" s="33" t="n">
        <v>0</v>
      </c>
      <c r="FO22" s="33" t="n">
        <v>0</v>
      </c>
      <c r="FP22" s="33" t="n">
        <v>0</v>
      </c>
      <c r="FQ22" s="33" t="n">
        <v>0</v>
      </c>
      <c r="FR22" s="33" t="n">
        <v>0</v>
      </c>
      <c r="FS22" s="33" t="n">
        <v>0</v>
      </c>
      <c r="FT22" s="33" t="n">
        <v>0</v>
      </c>
      <c r="FU22" s="33" t="n">
        <v>0</v>
      </c>
      <c r="FV22" s="33" t="n">
        <v>0</v>
      </c>
      <c r="FW22" s="33" t="n">
        <v>0</v>
      </c>
      <c r="FX22" s="33" t="n">
        <v>0</v>
      </c>
      <c r="FY22" s="33" t="n">
        <v>0</v>
      </c>
      <c r="FZ22" s="33" t="n">
        <v>0</v>
      </c>
      <c r="GA22" s="33" t="n">
        <v>0</v>
      </c>
      <c r="GB22" s="33" t="n">
        <v>0</v>
      </c>
      <c r="GC22" s="33" t="n">
        <v>0</v>
      </c>
      <c r="GD22" s="33" t="n">
        <v>0</v>
      </c>
      <c r="GE22" s="33" t="n">
        <v>0</v>
      </c>
      <c r="GF22" s="33" t="n">
        <v>0</v>
      </c>
      <c r="GG22" s="33" t="n">
        <v>0</v>
      </c>
      <c r="GH22" s="33" t="n">
        <v>0</v>
      </c>
      <c r="GI22" s="33" t="n">
        <v>0</v>
      </c>
      <c r="GJ22" s="33" t="n">
        <v>0</v>
      </c>
      <c r="GK22" s="33" t="n">
        <v>0</v>
      </c>
      <c r="GL22" s="33" t="n">
        <v>0</v>
      </c>
      <c r="GM22" s="33" t="n">
        <v>0</v>
      </c>
      <c r="GN22" s="33" t="n">
        <v>0</v>
      </c>
      <c r="GO22" s="33" t="n">
        <v>0</v>
      </c>
      <c r="GP22" s="33" t="n">
        <v>0</v>
      </c>
      <c r="GQ22" s="33" t="n">
        <v>0</v>
      </c>
      <c r="GR22" s="33" t="n">
        <v>0</v>
      </c>
      <c r="GS22" s="33" t="n">
        <v>0</v>
      </c>
      <c r="GT22" s="33" t="n">
        <v>0</v>
      </c>
      <c r="GU22" s="33" t="n">
        <v>0</v>
      </c>
      <c r="GV22" s="33" t="n">
        <v>0</v>
      </c>
      <c r="GW22" s="33" t="n">
        <v>0</v>
      </c>
      <c r="GX22" s="33" t="n">
        <v>0</v>
      </c>
      <c r="GY22" s="33" t="n">
        <v>0</v>
      </c>
      <c r="GZ22" s="33" t="n">
        <v>0</v>
      </c>
      <c r="HA22" s="33" t="n">
        <v>0</v>
      </c>
      <c r="HB22" s="33" t="n">
        <v>0</v>
      </c>
      <c r="HC22" s="33" t="n">
        <v>0</v>
      </c>
      <c r="HD22" s="33" t="n">
        <v>0</v>
      </c>
      <c r="HE22" s="33" t="n">
        <v>0</v>
      </c>
      <c r="HF22" s="33" t="n">
        <v>0</v>
      </c>
      <c r="HG22" s="33" t="n">
        <v>0</v>
      </c>
      <c r="HH22" s="33" t="n">
        <v>0</v>
      </c>
      <c r="HI22" s="33" t="n">
        <v>0</v>
      </c>
      <c r="HJ22" s="33" t="n">
        <v>0</v>
      </c>
      <c r="HK22" s="33" t="n">
        <v>0</v>
      </c>
      <c r="HL22" s="33" t="n">
        <v>0</v>
      </c>
      <c r="HM22" s="33" t="n">
        <v>0</v>
      </c>
      <c r="HN22" s="33" t="n">
        <v>0</v>
      </c>
      <c r="HO22" s="33" t="n">
        <v>0</v>
      </c>
      <c r="HP22" s="33" t="n">
        <v>0</v>
      </c>
      <c r="HQ22" s="33" t="n">
        <v>0</v>
      </c>
      <c r="HR22" s="33" t="n">
        <v>0</v>
      </c>
      <c r="HS22" s="33" t="n">
        <v>0</v>
      </c>
      <c r="HT22" s="33" t="n">
        <v>0</v>
      </c>
      <c r="HU22" s="33" t="n">
        <v>0</v>
      </c>
      <c r="HV22" s="33" t="n">
        <v>0</v>
      </c>
      <c r="HW22" s="33" t="n">
        <v>0</v>
      </c>
      <c r="HX22" s="33" t="n">
        <v>0</v>
      </c>
      <c r="HY22" s="33" t="n">
        <v>0</v>
      </c>
      <c r="HZ22" s="33" t="n">
        <v>0</v>
      </c>
      <c r="IA22" s="33" t="n">
        <v>0</v>
      </c>
      <c r="IB22" s="33" t="n">
        <v>0</v>
      </c>
      <c r="IC22" s="33" t="n">
        <v>0</v>
      </c>
      <c r="ID22" s="33" t="n">
        <v>0</v>
      </c>
      <c r="IE22" s="33" t="n">
        <v>0</v>
      </c>
      <c r="IF22" s="33" t="n">
        <v>0</v>
      </c>
      <c r="IG22" s="33" t="n">
        <v>0</v>
      </c>
      <c r="IH22" s="33" t="n">
        <v>0</v>
      </c>
      <c r="II22" s="33" t="n">
        <v>0</v>
      </c>
      <c r="IJ22" s="33" t="n">
        <v>0</v>
      </c>
      <c r="IK22" s="33" t="n">
        <v>0</v>
      </c>
      <c r="IL22" s="33" t="n">
        <v>0</v>
      </c>
      <c r="IM22" s="33" t="n">
        <v>0</v>
      </c>
      <c r="IN22" s="33" t="n">
        <v>0</v>
      </c>
      <c r="IO22" s="33" t="n">
        <v>0</v>
      </c>
      <c r="IP22" s="33" t="n">
        <v>0</v>
      </c>
      <c r="IQ22" s="33" t="n">
        <v>0</v>
      </c>
      <c r="IR22" s="33" t="n">
        <v>0</v>
      </c>
      <c r="IS22" s="33" t="n">
        <v>0</v>
      </c>
      <c r="IT22" s="33" t="n">
        <v>0</v>
      </c>
      <c r="IU22" s="33" t="n">
        <v>0</v>
      </c>
      <c r="IV22" s="33" t="n">
        <v>0</v>
      </c>
      <c r="IW22" s="33" t="n">
        <v>0</v>
      </c>
      <c r="IX22" s="33" t="n">
        <v>0</v>
      </c>
      <c r="IY22" s="33" t="n">
        <v>0</v>
      </c>
      <c r="IZ22" s="33" t="n">
        <v>0</v>
      </c>
      <c r="JA22" s="33" t="n">
        <v>0</v>
      </c>
      <c r="JB22" s="33" t="n">
        <v>0</v>
      </c>
      <c r="JC22" s="33" t="n">
        <v>0</v>
      </c>
      <c r="JD22" s="33" t="n">
        <v>0</v>
      </c>
      <c r="JE22" s="33" t="n">
        <v>0</v>
      </c>
      <c r="JF22" s="33" t="n">
        <v>0</v>
      </c>
      <c r="JG22" s="33" t="n">
        <v>0</v>
      </c>
      <c r="JH22" s="33" t="n">
        <v>0</v>
      </c>
      <c r="JI22" s="33" t="n">
        <v>0</v>
      </c>
      <c r="JJ22" s="33" t="n">
        <v>0</v>
      </c>
      <c r="JK22" s="33" t="n">
        <v>0</v>
      </c>
      <c r="JL22" s="33" t="n">
        <v>0</v>
      </c>
      <c r="JM22" s="33" t="n">
        <v>0</v>
      </c>
      <c r="JN22" s="33" t="n">
        <v>0</v>
      </c>
      <c r="JO22" s="33" t="n">
        <v>0</v>
      </c>
      <c r="JP22" s="33" t="n">
        <v>0</v>
      </c>
      <c r="JQ22" s="33" t="n">
        <v>0</v>
      </c>
      <c r="JR22" s="33" t="n">
        <v>0</v>
      </c>
      <c r="JS22" s="33" t="n">
        <v>0</v>
      </c>
      <c r="JT22" s="33" t="n">
        <v>0</v>
      </c>
      <c r="JU22" s="33" t="n">
        <v>0</v>
      </c>
      <c r="JV22" s="33" t="n">
        <v>0</v>
      </c>
      <c r="JW22" s="33" t="n">
        <v>0</v>
      </c>
      <c r="JX22" s="33" t="n">
        <v>0</v>
      </c>
      <c r="JY22" s="33" t="n">
        <v>0</v>
      </c>
      <c r="JZ22" s="33" t="n">
        <v>0</v>
      </c>
      <c r="KA22" s="33" t="n">
        <v>0</v>
      </c>
      <c r="KB22" s="33" t="n">
        <v>0</v>
      </c>
      <c r="KC22" s="33" t="n">
        <v>0</v>
      </c>
      <c r="KD22" s="33" t="n">
        <v>0</v>
      </c>
      <c r="KE22" s="33" t="n">
        <v>0</v>
      </c>
      <c r="KF22" s="33" t="n">
        <v>0</v>
      </c>
      <c r="KG22" s="33" t="n">
        <v>0</v>
      </c>
      <c r="KH22" s="33" t="n">
        <v>0</v>
      </c>
      <c r="KI22" s="33" t="n">
        <v>0</v>
      </c>
      <c r="KJ22" s="33" t="n">
        <v>0</v>
      </c>
      <c r="KK22" s="33" t="n">
        <v>0</v>
      </c>
      <c r="KL22" s="33" t="n">
        <v>0</v>
      </c>
      <c r="KM22" s="33" t="n">
        <v>0</v>
      </c>
      <c r="KN22" s="33" t="n">
        <v>0</v>
      </c>
      <c r="KO22" s="33" t="n">
        <v>0</v>
      </c>
      <c r="KP22" s="33" t="n">
        <v>0</v>
      </c>
      <c r="KQ22" s="33" t="n">
        <v>0</v>
      </c>
      <c r="KR22" s="33" t="n">
        <v>0</v>
      </c>
      <c r="KS22" s="33" t="n">
        <v>0</v>
      </c>
      <c r="KT22" s="33" t="n">
        <v>0</v>
      </c>
      <c r="KU22" s="33" t="n">
        <v>0</v>
      </c>
      <c r="KV22" s="33" t="n">
        <v>0</v>
      </c>
      <c r="KW22" s="33" t="n">
        <v>0</v>
      </c>
      <c r="KX22" s="33" t="n">
        <v>0</v>
      </c>
      <c r="KY22" s="33" t="n">
        <v>0</v>
      </c>
      <c r="KZ22" s="33" t="n">
        <v>0</v>
      </c>
      <c r="LA22" s="33" t="n">
        <v>0</v>
      </c>
      <c r="LB22" s="33" t="n">
        <v>0</v>
      </c>
      <c r="LC22" s="33" t="n">
        <v>0</v>
      </c>
      <c r="LD22" s="33" t="n">
        <v>0</v>
      </c>
      <c r="LE22" s="33" t="n">
        <v>0</v>
      </c>
      <c r="LF22" s="33" t="n">
        <v>0</v>
      </c>
      <c r="LG22" s="33" t="n">
        <v>0</v>
      </c>
      <c r="LH22" s="33" t="n">
        <v>0</v>
      </c>
      <c r="LI22" s="33" t="n">
        <v>0</v>
      </c>
      <c r="LJ22" s="33" t="n">
        <v>0</v>
      </c>
      <c r="LK22" s="33" t="n">
        <v>0</v>
      </c>
      <c r="LL22" s="33" t="n">
        <v>0</v>
      </c>
      <c r="LM22" s="33" t="n">
        <v>0</v>
      </c>
      <c r="LN22" s="33" t="n">
        <v>0</v>
      </c>
      <c r="LO22" s="33" t="n">
        <v>0</v>
      </c>
      <c r="LP22" s="33" t="n">
        <v>0</v>
      </c>
      <c r="LQ22" s="33" t="n">
        <v>0</v>
      </c>
      <c r="LR22" s="33" t="n">
        <v>0</v>
      </c>
      <c r="LS22" s="33" t="n">
        <v>0</v>
      </c>
      <c r="LT22" s="33" t="n">
        <v>0</v>
      </c>
      <c r="LU22" s="33" t="n">
        <v>0</v>
      </c>
      <c r="LV22" s="33" t="n">
        <v>0</v>
      </c>
      <c r="LW22" s="33" t="n">
        <v>0</v>
      </c>
      <c r="LX22" s="33" t="n">
        <v>0</v>
      </c>
      <c r="LY22" s="33" t="n">
        <v>0</v>
      </c>
      <c r="LZ22" s="33" t="n">
        <v>0</v>
      </c>
      <c r="MA22" s="33" t="n">
        <v>0</v>
      </c>
      <c r="MB22" s="33" t="n">
        <v>0</v>
      </c>
      <c r="MC22" s="33" t="n">
        <v>0</v>
      </c>
      <c r="MD22" s="33" t="n">
        <v>0</v>
      </c>
      <c r="ME22" s="33" t="n">
        <v>0</v>
      </c>
      <c r="MF22" s="33" t="n">
        <v>0</v>
      </c>
      <c r="MG22" s="33" t="n">
        <v>0</v>
      </c>
      <c r="MH22" s="33" t="n">
        <v>0</v>
      </c>
      <c r="MI22" s="33" t="n">
        <v>0</v>
      </c>
      <c r="MJ22" s="33" t="n">
        <v>0</v>
      </c>
      <c r="MK22" s="33" t="n">
        <v>0</v>
      </c>
      <c r="ML22" s="33" t="n">
        <v>0</v>
      </c>
      <c r="MM22" s="33" t="n">
        <v>0</v>
      </c>
      <c r="MN22" s="33" t="n">
        <v>0</v>
      </c>
      <c r="MO22" s="33" t="n">
        <v>0</v>
      </c>
      <c r="MP22" s="33" t="n">
        <v>0</v>
      </c>
      <c r="MQ22" s="33" t="n">
        <v>0</v>
      </c>
      <c r="MR22" s="33" t="n">
        <v>0</v>
      </c>
      <c r="MS22" s="33" t="n">
        <v>0</v>
      </c>
      <c r="MT22" s="33" t="n">
        <v>0</v>
      </c>
      <c r="MU22" s="33" t="n">
        <v>0</v>
      </c>
      <c r="MV22" s="33" t="n">
        <v>0</v>
      </c>
      <c r="MW22" s="33" t="n">
        <v>0</v>
      </c>
      <c r="MX22" s="33" t="n">
        <v>0</v>
      </c>
      <c r="MY22" s="33" t="n">
        <v>0</v>
      </c>
      <c r="MZ22" s="33" t="n">
        <v>0</v>
      </c>
      <c r="NA22" s="33" t="n">
        <v>0</v>
      </c>
      <c r="NB22" s="33" t="n">
        <v>0</v>
      </c>
      <c r="NC22" s="33" t="n">
        <v>0</v>
      </c>
      <c r="ND22" s="33" t="n">
        <v>0</v>
      </c>
      <c r="NE22" s="33" t="n">
        <v>0</v>
      </c>
      <c r="NF22" s="33" t="n">
        <v>0</v>
      </c>
      <c r="NG22" s="33" t="n">
        <v>0</v>
      </c>
      <c r="NH22" s="33" t="n">
        <v>0</v>
      </c>
      <c r="NI22" s="33" t="n">
        <v>0</v>
      </c>
      <c r="NJ22" s="33" t="n">
        <v>0</v>
      </c>
      <c r="NK22" s="33" t="n">
        <v>0</v>
      </c>
      <c r="NL22" s="33" t="n">
        <v>0</v>
      </c>
      <c r="NM22" s="33" t="n">
        <v>0</v>
      </c>
      <c r="NN22" s="33" t="n">
        <v>0</v>
      </c>
      <c r="NO22" s="33" t="n">
        <v>0</v>
      </c>
      <c r="NP22" s="33" t="n">
        <v>0</v>
      </c>
      <c r="NQ22" s="33" t="n">
        <v>0</v>
      </c>
      <c r="NR22" s="33" t="n">
        <v>0</v>
      </c>
      <c r="NS22" s="33" t="n">
        <v>0</v>
      </c>
      <c r="NT22" s="33" t="n">
        <v>0</v>
      </c>
      <c r="NU22" s="33" t="n">
        <v>0</v>
      </c>
      <c r="NV22" s="33" t="n">
        <v>0</v>
      </c>
      <c r="NW22" s="33" t="n">
        <v>0</v>
      </c>
      <c r="NX22" s="33" t="n">
        <v>0</v>
      </c>
      <c r="NY22" s="33" t="n">
        <v>0</v>
      </c>
      <c r="NZ22" s="33" t="n">
        <v>0</v>
      </c>
      <c r="OA22" s="33" t="n">
        <v>0</v>
      </c>
      <c r="OB22" s="33" t="n">
        <v>0</v>
      </c>
      <c r="OC22" s="33" t="n">
        <v>0</v>
      </c>
      <c r="OD22" s="33" t="n">
        <v>0</v>
      </c>
      <c r="OE22" s="33" t="n">
        <v>0</v>
      </c>
      <c r="OF22" s="33" t="n">
        <v>0</v>
      </c>
      <c r="OG22" s="33" t="n">
        <v>0</v>
      </c>
      <c r="OH22" s="33" t="n">
        <v>0</v>
      </c>
      <c r="OI22" s="33" t="n">
        <v>0</v>
      </c>
      <c r="OJ22" s="33" t="n">
        <v>0</v>
      </c>
      <c r="OK22" s="33" t="n">
        <v>0</v>
      </c>
      <c r="OL22" s="33" t="n">
        <v>0</v>
      </c>
      <c r="OM22" s="33" t="n">
        <v>0</v>
      </c>
      <c r="ON22" s="33" t="n">
        <v>0</v>
      </c>
      <c r="OO22" s="33" t="n">
        <v>0</v>
      </c>
      <c r="OP22" s="33" t="n">
        <v>0</v>
      </c>
      <c r="OQ22" s="33" t="n">
        <v>0</v>
      </c>
      <c r="OR22" s="33" t="n">
        <v>0</v>
      </c>
      <c r="OS22" s="33" t="n">
        <v>0</v>
      </c>
      <c r="OT22" s="33" t="n">
        <v>0</v>
      </c>
      <c r="OU22" s="33" t="n">
        <v>0</v>
      </c>
      <c r="OV22" s="33" t="n">
        <v>0</v>
      </c>
      <c r="OW22" s="33" t="n">
        <v>0</v>
      </c>
      <c r="OX22" s="33" t="n">
        <v>0</v>
      </c>
      <c r="OY22" s="33" t="n">
        <v>0</v>
      </c>
      <c r="OZ22" s="33" t="n">
        <v>0</v>
      </c>
      <c r="PA22" s="33" t="n">
        <v>0</v>
      </c>
      <c r="PB22" s="33" t="n">
        <v>0</v>
      </c>
      <c r="PC22" s="33" t="n">
        <v>0</v>
      </c>
      <c r="PD22" s="33" t="n">
        <v>0</v>
      </c>
      <c r="PE22" s="33" t="n">
        <v>0</v>
      </c>
      <c r="PF22" s="33" t="n">
        <v>0</v>
      </c>
      <c r="PG22" s="33" t="n">
        <v>0</v>
      </c>
      <c r="PH22" s="33" t="n">
        <v>0</v>
      </c>
      <c r="PI22" s="33" t="n">
        <v>0</v>
      </c>
      <c r="PJ22" s="33" t="n">
        <v>0</v>
      </c>
      <c r="PK22" s="33" t="n">
        <v>0</v>
      </c>
      <c r="PL22" s="33" t="n">
        <v>0</v>
      </c>
      <c r="PM22" s="33" t="n">
        <v>0</v>
      </c>
      <c r="PN22" s="33" t="n">
        <v>0</v>
      </c>
      <c r="PO22" s="33" t="n">
        <v>0</v>
      </c>
      <c r="PP22" s="33" t="n">
        <v>0</v>
      </c>
      <c r="PQ22" s="33" t="n">
        <v>0</v>
      </c>
      <c r="PR22" s="33" t="n">
        <v>0</v>
      </c>
      <c r="PS22" s="33" t="n">
        <v>0</v>
      </c>
      <c r="PT22" s="33" t="n">
        <v>0</v>
      </c>
      <c r="PU22" s="33" t="n">
        <v>0</v>
      </c>
      <c r="PV22" s="33" t="n">
        <v>0</v>
      </c>
      <c r="PW22" s="33" t="n">
        <v>0</v>
      </c>
      <c r="PX22" s="33" t="n">
        <v>0</v>
      </c>
      <c r="PY22" s="33" t="n">
        <v>0</v>
      </c>
      <c r="PZ22" s="33" t="n">
        <v>0</v>
      </c>
      <c r="QA22" s="33" t="n">
        <v>0</v>
      </c>
      <c r="QB22" s="33" t="n">
        <v>0</v>
      </c>
      <c r="QC22" s="33" t="n">
        <v>0</v>
      </c>
      <c r="QD22" s="33" t="n">
        <v>0</v>
      </c>
      <c r="QE22" s="33" t="n">
        <v>0</v>
      </c>
      <c r="QF22" s="33" t="n">
        <v>0</v>
      </c>
      <c r="QG22" s="33" t="n">
        <v>0</v>
      </c>
      <c r="QH22" s="33" t="n">
        <v>0</v>
      </c>
      <c r="QI22" s="33" t="n">
        <v>0</v>
      </c>
      <c r="QJ22" s="33" t="n">
        <v>0</v>
      </c>
      <c r="QK22" s="33" t="n">
        <v>0</v>
      </c>
      <c r="QL22" s="33" t="n">
        <v>0</v>
      </c>
      <c r="QM22" s="33" t="n">
        <v>0</v>
      </c>
      <c r="QN22" s="33" t="n">
        <v>0</v>
      </c>
      <c r="QO22" s="33" t="n">
        <v>0</v>
      </c>
      <c r="QP22" s="33" t="n">
        <v>0</v>
      </c>
      <c r="QQ22" s="33" t="n">
        <v>0</v>
      </c>
      <c r="QR22" s="33" t="n">
        <v>0</v>
      </c>
      <c r="QS22" s="33" t="n">
        <v>0</v>
      </c>
      <c r="QT22" s="33" t="n">
        <v>0</v>
      </c>
      <c r="QU22" s="33" t="n">
        <v>0</v>
      </c>
      <c r="QV22" s="33" t="n">
        <v>0</v>
      </c>
      <c r="QW22" s="33" t="n">
        <v>0</v>
      </c>
      <c r="QX22" s="33" t="n">
        <v>0</v>
      </c>
      <c r="QY22" s="33" t="n">
        <v>0</v>
      </c>
      <c r="QZ22" s="33" t="n">
        <v>0</v>
      </c>
      <c r="RA22" s="33" t="n">
        <v>0</v>
      </c>
      <c r="RB22" s="33" t="n">
        <v>0</v>
      </c>
      <c r="RC22" s="33" t="n">
        <v>0</v>
      </c>
      <c r="RD22" s="33" t="n">
        <v>0</v>
      </c>
      <c r="RE22" s="33" t="n">
        <v>0</v>
      </c>
      <c r="RF22" s="33" t="n">
        <v>0</v>
      </c>
      <c r="RG22" s="33" t="n">
        <v>0</v>
      </c>
      <c r="RH22" s="33" t="n">
        <v>0</v>
      </c>
      <c r="RI22" s="33" t="n">
        <v>0</v>
      </c>
      <c r="RJ22" s="33" t="n">
        <v>0</v>
      </c>
      <c r="RK22" s="33" t="n">
        <v>0</v>
      </c>
      <c r="RL22" s="33" t="n">
        <v>0</v>
      </c>
      <c r="RM22" s="33" t="n">
        <v>0</v>
      </c>
      <c r="RN22" s="33" t="n">
        <v>0</v>
      </c>
      <c r="RO22" s="33" t="n">
        <v>0</v>
      </c>
      <c r="RP22" s="33" t="n">
        <v>0</v>
      </c>
      <c r="RQ22" s="33" t="n">
        <v>0</v>
      </c>
      <c r="RR22" s="33" t="n">
        <v>0</v>
      </c>
      <c r="RS22" s="33" t="n">
        <v>0</v>
      </c>
      <c r="RT22" s="33" t="n">
        <v>0</v>
      </c>
      <c r="RU22" s="33" t="n">
        <v>0</v>
      </c>
      <c r="RV22" s="33" t="n">
        <v>0</v>
      </c>
      <c r="RW22" s="33" t="n">
        <v>0</v>
      </c>
    </row>
    <row r="23" hidden="1" outlineLevel="1" ht="13.05" customHeight="1">
      <c r="E23" s="21" t="inlineStr">
        <is>
          <t>Total Production Costs</t>
        </is>
      </c>
      <c r="F23" s="29" t="n"/>
      <c r="G23" s="29" t="inlineStr">
        <is>
          <t>kEUR</t>
        </is>
      </c>
      <c r="H23" s="29" t="n"/>
      <c r="I23" s="29" t="n"/>
      <c r="J23" s="32" t="n">
        <v>0</v>
      </c>
      <c r="K23" s="29" t="n"/>
      <c r="L23" s="33" t="n">
        <v>0</v>
      </c>
      <c r="M23" s="33" t="n">
        <v>0</v>
      </c>
      <c r="N23" s="33" t="n">
        <v>0</v>
      </c>
      <c r="O23" s="33" t="n">
        <v>0</v>
      </c>
      <c r="P23" s="33" t="n">
        <v>0</v>
      </c>
      <c r="Q23" s="33" t="n">
        <v>0</v>
      </c>
      <c r="R23" s="33" t="n">
        <v>0</v>
      </c>
      <c r="S23" s="33" t="n">
        <v>0</v>
      </c>
      <c r="T23" s="33" t="n">
        <v>0</v>
      </c>
      <c r="U23" s="33" t="n">
        <v>0</v>
      </c>
      <c r="V23" s="33" t="n">
        <v>0</v>
      </c>
      <c r="W23" s="33" t="n">
        <v>0</v>
      </c>
      <c r="X23" s="33" t="n">
        <v>0</v>
      </c>
      <c r="Y23" s="33" t="n">
        <v>0</v>
      </c>
      <c r="Z23" s="33" t="n">
        <v>0</v>
      </c>
      <c r="AA23" s="33" t="n">
        <v>0</v>
      </c>
      <c r="AB23" s="33" t="n">
        <v>0</v>
      </c>
      <c r="AC23" s="33" t="n">
        <v>0</v>
      </c>
      <c r="AD23" s="33" t="n">
        <v>0</v>
      </c>
      <c r="AE23" s="33" t="n">
        <v>0</v>
      </c>
      <c r="AF23" s="33" t="n">
        <v>0</v>
      </c>
      <c r="AG23" s="33" t="n">
        <v>0</v>
      </c>
      <c r="AH23" s="33" t="n">
        <v>0</v>
      </c>
      <c r="AI23" s="33" t="n">
        <v>0</v>
      </c>
      <c r="AJ23" s="33" t="n">
        <v>0</v>
      </c>
      <c r="AK23" s="33" t="n">
        <v>0</v>
      </c>
      <c r="AL23" s="33" t="n">
        <v>0</v>
      </c>
      <c r="AM23" s="33" t="n">
        <v>0</v>
      </c>
      <c r="AN23" s="33" t="n">
        <v>0</v>
      </c>
      <c r="AO23" s="33" t="n">
        <v>0</v>
      </c>
      <c r="AP23" s="33" t="n">
        <v>0</v>
      </c>
      <c r="AQ23" s="33" t="n">
        <v>0</v>
      </c>
      <c r="AR23" s="33" t="n">
        <v>0</v>
      </c>
      <c r="AS23" s="33" t="n">
        <v>0</v>
      </c>
      <c r="AT23" s="33" t="n">
        <v>0</v>
      </c>
      <c r="AU23" s="33" t="n">
        <v>0</v>
      </c>
      <c r="AV23" s="33" t="n">
        <v>0</v>
      </c>
      <c r="AW23" s="33" t="n">
        <v>0</v>
      </c>
      <c r="AX23" s="33" t="n">
        <v>0</v>
      </c>
      <c r="AY23" s="33" t="n">
        <v>0</v>
      </c>
      <c r="AZ23" s="33" t="n">
        <v>0</v>
      </c>
      <c r="BA23" s="33" t="n">
        <v>0</v>
      </c>
      <c r="BB23" s="33" t="n">
        <v>0</v>
      </c>
      <c r="BC23" s="33" t="n">
        <v>0</v>
      </c>
      <c r="BD23" s="33" t="n">
        <v>0</v>
      </c>
      <c r="BE23" s="33" t="n">
        <v>0</v>
      </c>
      <c r="BF23" s="33" t="n">
        <v>0</v>
      </c>
      <c r="BG23" s="33" t="n">
        <v>0</v>
      </c>
      <c r="BH23" s="33" t="n">
        <v>0</v>
      </c>
      <c r="BI23" s="33" t="n">
        <v>0</v>
      </c>
      <c r="BJ23" s="33" t="n">
        <v>0</v>
      </c>
      <c r="BK23" s="33" t="n">
        <v>0</v>
      </c>
      <c r="BL23" s="33" t="n">
        <v>0</v>
      </c>
      <c r="BM23" s="33" t="n">
        <v>0</v>
      </c>
      <c r="BN23" s="33" t="n">
        <v>0</v>
      </c>
      <c r="BO23" s="33" t="n">
        <v>0</v>
      </c>
      <c r="BP23" s="33" t="n">
        <v>0</v>
      </c>
      <c r="BQ23" s="33" t="n">
        <v>0</v>
      </c>
      <c r="BR23" s="33" t="n">
        <v>0</v>
      </c>
      <c r="BS23" s="33" t="n">
        <v>0</v>
      </c>
      <c r="BT23" s="33" t="n">
        <v>0</v>
      </c>
      <c r="BU23" s="33" t="n">
        <v>0</v>
      </c>
      <c r="BV23" s="33" t="n">
        <v>0</v>
      </c>
      <c r="BW23" s="33" t="n">
        <v>0</v>
      </c>
      <c r="BX23" s="33" t="n">
        <v>0</v>
      </c>
      <c r="BY23" s="33" t="n">
        <v>0</v>
      </c>
      <c r="BZ23" s="33" t="n">
        <v>0</v>
      </c>
      <c r="CA23" s="33" t="n">
        <v>0</v>
      </c>
      <c r="CB23" s="33" t="n">
        <v>0</v>
      </c>
      <c r="CC23" s="33" t="n">
        <v>0</v>
      </c>
      <c r="CD23" s="33" t="n">
        <v>0</v>
      </c>
      <c r="CE23" s="33" t="n">
        <v>0</v>
      </c>
      <c r="CF23" s="33" t="n">
        <v>0</v>
      </c>
      <c r="CG23" s="33" t="n">
        <v>0</v>
      </c>
      <c r="CH23" s="33" t="n">
        <v>0</v>
      </c>
      <c r="CI23" s="33" t="n">
        <v>0</v>
      </c>
      <c r="CJ23" s="33" t="n">
        <v>0</v>
      </c>
      <c r="CK23" s="33" t="n">
        <v>0</v>
      </c>
      <c r="CL23" s="33" t="n">
        <v>0</v>
      </c>
      <c r="CM23" s="33" t="n">
        <v>0</v>
      </c>
      <c r="CN23" s="33" t="n">
        <v>0</v>
      </c>
      <c r="CO23" s="33" t="n">
        <v>0</v>
      </c>
      <c r="CP23" s="33" t="n">
        <v>0</v>
      </c>
      <c r="CQ23" s="33" t="n">
        <v>0</v>
      </c>
      <c r="CR23" s="33" t="n">
        <v>0</v>
      </c>
      <c r="CS23" s="33" t="n">
        <v>0</v>
      </c>
      <c r="CT23" s="33" t="n">
        <v>0</v>
      </c>
      <c r="CU23" s="33" t="n">
        <v>0</v>
      </c>
      <c r="CV23" s="33" t="n">
        <v>0</v>
      </c>
      <c r="CW23" s="33" t="n">
        <v>0</v>
      </c>
      <c r="CX23" s="33" t="n">
        <v>0</v>
      </c>
      <c r="CY23" s="33" t="n">
        <v>0</v>
      </c>
      <c r="CZ23" s="33" t="n">
        <v>0</v>
      </c>
      <c r="DA23" s="33" t="n">
        <v>0</v>
      </c>
      <c r="DB23" s="33" t="n">
        <v>0</v>
      </c>
      <c r="DC23" s="33" t="n">
        <v>0</v>
      </c>
      <c r="DD23" s="33" t="n">
        <v>0</v>
      </c>
      <c r="DE23" s="33" t="n">
        <v>0</v>
      </c>
      <c r="DF23" s="33" t="n">
        <v>0</v>
      </c>
      <c r="DG23" s="33" t="n">
        <v>0</v>
      </c>
      <c r="DH23" s="33" t="n">
        <v>0</v>
      </c>
      <c r="DI23" s="33" t="n">
        <v>0</v>
      </c>
      <c r="DJ23" s="33" t="n">
        <v>0</v>
      </c>
      <c r="DK23" s="33" t="n">
        <v>0</v>
      </c>
      <c r="DL23" s="33" t="n">
        <v>0</v>
      </c>
      <c r="DM23" s="33" t="n">
        <v>0</v>
      </c>
      <c r="DN23" s="33" t="n">
        <v>0</v>
      </c>
      <c r="DO23" s="33" t="n">
        <v>0</v>
      </c>
      <c r="DP23" s="33" t="n">
        <v>0</v>
      </c>
      <c r="DQ23" s="33" t="n">
        <v>0</v>
      </c>
      <c r="DR23" s="33" t="n">
        <v>0</v>
      </c>
      <c r="DS23" s="33" t="n">
        <v>0</v>
      </c>
      <c r="DT23" s="33" t="n">
        <v>0</v>
      </c>
      <c r="DU23" s="33" t="n">
        <v>0</v>
      </c>
      <c r="DV23" s="33" t="n">
        <v>0</v>
      </c>
      <c r="DW23" s="33" t="n">
        <v>0</v>
      </c>
      <c r="DX23" s="33" t="n">
        <v>0</v>
      </c>
      <c r="DY23" s="33" t="n">
        <v>0</v>
      </c>
      <c r="DZ23" s="33" t="n">
        <v>0</v>
      </c>
      <c r="EA23" s="33" t="n">
        <v>0</v>
      </c>
      <c r="EB23" s="33" t="n">
        <v>0</v>
      </c>
      <c r="EC23" s="33" t="n">
        <v>0</v>
      </c>
      <c r="ED23" s="33" t="n">
        <v>0</v>
      </c>
      <c r="EE23" s="33" t="n">
        <v>0</v>
      </c>
      <c r="EF23" s="33" t="n">
        <v>0</v>
      </c>
      <c r="EG23" s="33" t="n">
        <v>0</v>
      </c>
      <c r="EH23" s="33" t="n">
        <v>0</v>
      </c>
      <c r="EI23" s="33" t="n">
        <v>0</v>
      </c>
      <c r="EJ23" s="33" t="n">
        <v>0</v>
      </c>
      <c r="EK23" s="33" t="n">
        <v>0</v>
      </c>
      <c r="EL23" s="33" t="n">
        <v>0</v>
      </c>
      <c r="EM23" s="33" t="n">
        <v>0</v>
      </c>
      <c r="EN23" s="33" t="n">
        <v>0</v>
      </c>
      <c r="EO23" s="33" t="n">
        <v>0</v>
      </c>
      <c r="EP23" s="33" t="n">
        <v>0</v>
      </c>
      <c r="EQ23" s="33" t="n">
        <v>0</v>
      </c>
      <c r="ER23" s="33" t="n">
        <v>0</v>
      </c>
      <c r="ES23" s="33" t="n">
        <v>0</v>
      </c>
      <c r="ET23" s="33" t="n">
        <v>0</v>
      </c>
      <c r="EU23" s="33" t="n">
        <v>0</v>
      </c>
      <c r="EV23" s="33" t="n">
        <v>0</v>
      </c>
      <c r="EW23" s="33" t="n">
        <v>0</v>
      </c>
      <c r="EX23" s="33" t="n">
        <v>0</v>
      </c>
      <c r="EY23" s="33" t="n">
        <v>0</v>
      </c>
      <c r="EZ23" s="33" t="n">
        <v>0</v>
      </c>
      <c r="FA23" s="33" t="n">
        <v>0</v>
      </c>
      <c r="FB23" s="33" t="n">
        <v>0</v>
      </c>
      <c r="FC23" s="33" t="n">
        <v>0</v>
      </c>
      <c r="FD23" s="33" t="n">
        <v>0</v>
      </c>
      <c r="FE23" s="33" t="n">
        <v>0</v>
      </c>
      <c r="FF23" s="33" t="n">
        <v>0</v>
      </c>
      <c r="FG23" s="33" t="n">
        <v>0</v>
      </c>
      <c r="FH23" s="33" t="n">
        <v>0</v>
      </c>
      <c r="FI23" s="33" t="n">
        <v>0</v>
      </c>
      <c r="FJ23" s="33" t="n">
        <v>0</v>
      </c>
      <c r="FK23" s="33" t="n">
        <v>0</v>
      </c>
      <c r="FL23" s="33" t="n">
        <v>0</v>
      </c>
      <c r="FM23" s="33" t="n">
        <v>0</v>
      </c>
      <c r="FN23" s="33" t="n">
        <v>0</v>
      </c>
      <c r="FO23" s="33" t="n">
        <v>0</v>
      </c>
      <c r="FP23" s="33" t="n">
        <v>0</v>
      </c>
      <c r="FQ23" s="33" t="n">
        <v>0</v>
      </c>
      <c r="FR23" s="33" t="n">
        <v>0</v>
      </c>
      <c r="FS23" s="33" t="n">
        <v>0</v>
      </c>
      <c r="FT23" s="33" t="n">
        <v>0</v>
      </c>
      <c r="FU23" s="33" t="n">
        <v>0</v>
      </c>
      <c r="FV23" s="33" t="n">
        <v>0</v>
      </c>
      <c r="FW23" s="33" t="n">
        <v>0</v>
      </c>
      <c r="FX23" s="33" t="n">
        <v>0</v>
      </c>
      <c r="FY23" s="33" t="n">
        <v>0</v>
      </c>
      <c r="FZ23" s="33" t="n">
        <v>0</v>
      </c>
      <c r="GA23" s="33" t="n">
        <v>0</v>
      </c>
      <c r="GB23" s="33" t="n">
        <v>0</v>
      </c>
      <c r="GC23" s="33" t="n">
        <v>0</v>
      </c>
      <c r="GD23" s="33" t="n">
        <v>0</v>
      </c>
      <c r="GE23" s="33" t="n">
        <v>0</v>
      </c>
      <c r="GF23" s="33" t="n">
        <v>0</v>
      </c>
      <c r="GG23" s="33" t="n">
        <v>0</v>
      </c>
      <c r="GH23" s="33" t="n">
        <v>0</v>
      </c>
      <c r="GI23" s="33" t="n">
        <v>0</v>
      </c>
      <c r="GJ23" s="33" t="n">
        <v>0</v>
      </c>
      <c r="GK23" s="33" t="n">
        <v>0</v>
      </c>
      <c r="GL23" s="33" t="n">
        <v>0</v>
      </c>
      <c r="GM23" s="33" t="n">
        <v>0</v>
      </c>
      <c r="GN23" s="33" t="n">
        <v>0</v>
      </c>
      <c r="GO23" s="33" t="n">
        <v>0</v>
      </c>
      <c r="GP23" s="33" t="n">
        <v>0</v>
      </c>
      <c r="GQ23" s="33" t="n">
        <v>0</v>
      </c>
      <c r="GR23" s="33" t="n">
        <v>0</v>
      </c>
      <c r="GS23" s="33" t="n">
        <v>0</v>
      </c>
      <c r="GT23" s="33" t="n">
        <v>0</v>
      </c>
      <c r="GU23" s="33" t="n">
        <v>0</v>
      </c>
      <c r="GV23" s="33" t="n">
        <v>0</v>
      </c>
      <c r="GW23" s="33" t="n">
        <v>0</v>
      </c>
      <c r="GX23" s="33" t="n">
        <v>0</v>
      </c>
      <c r="GY23" s="33" t="n">
        <v>0</v>
      </c>
      <c r="GZ23" s="33" t="n">
        <v>0</v>
      </c>
      <c r="HA23" s="33" t="n">
        <v>0</v>
      </c>
      <c r="HB23" s="33" t="n">
        <v>0</v>
      </c>
      <c r="HC23" s="33" t="n">
        <v>0</v>
      </c>
      <c r="HD23" s="33" t="n">
        <v>0</v>
      </c>
      <c r="HE23" s="33" t="n">
        <v>0</v>
      </c>
      <c r="HF23" s="33" t="n">
        <v>0</v>
      </c>
      <c r="HG23" s="33" t="n">
        <v>0</v>
      </c>
      <c r="HH23" s="33" t="n">
        <v>0</v>
      </c>
      <c r="HI23" s="33" t="n">
        <v>0</v>
      </c>
      <c r="HJ23" s="33" t="n">
        <v>0</v>
      </c>
      <c r="HK23" s="33" t="n">
        <v>0</v>
      </c>
      <c r="HL23" s="33" t="n">
        <v>0</v>
      </c>
      <c r="HM23" s="33" t="n">
        <v>0</v>
      </c>
      <c r="HN23" s="33" t="n">
        <v>0</v>
      </c>
      <c r="HO23" s="33" t="n">
        <v>0</v>
      </c>
      <c r="HP23" s="33" t="n">
        <v>0</v>
      </c>
      <c r="HQ23" s="33" t="n">
        <v>0</v>
      </c>
      <c r="HR23" s="33" t="n">
        <v>0</v>
      </c>
      <c r="HS23" s="33" t="n">
        <v>0</v>
      </c>
      <c r="HT23" s="33" t="n">
        <v>0</v>
      </c>
      <c r="HU23" s="33" t="n">
        <v>0</v>
      </c>
      <c r="HV23" s="33" t="n">
        <v>0</v>
      </c>
      <c r="HW23" s="33" t="n">
        <v>0</v>
      </c>
      <c r="HX23" s="33" t="n">
        <v>0</v>
      </c>
      <c r="HY23" s="33" t="n">
        <v>0</v>
      </c>
      <c r="HZ23" s="33" t="n">
        <v>0</v>
      </c>
      <c r="IA23" s="33" t="n">
        <v>0</v>
      </c>
      <c r="IB23" s="33" t="n">
        <v>0</v>
      </c>
      <c r="IC23" s="33" t="n">
        <v>0</v>
      </c>
      <c r="ID23" s="33" t="n">
        <v>0</v>
      </c>
      <c r="IE23" s="33" t="n">
        <v>0</v>
      </c>
      <c r="IF23" s="33" t="n">
        <v>0</v>
      </c>
      <c r="IG23" s="33" t="n">
        <v>0</v>
      </c>
      <c r="IH23" s="33" t="n">
        <v>0</v>
      </c>
      <c r="II23" s="33" t="n">
        <v>0</v>
      </c>
      <c r="IJ23" s="33" t="n">
        <v>0</v>
      </c>
      <c r="IK23" s="33" t="n">
        <v>0</v>
      </c>
      <c r="IL23" s="33" t="n">
        <v>0</v>
      </c>
      <c r="IM23" s="33" t="n">
        <v>0</v>
      </c>
      <c r="IN23" s="33" t="n">
        <v>0</v>
      </c>
      <c r="IO23" s="33" t="n">
        <v>0</v>
      </c>
      <c r="IP23" s="33" t="n">
        <v>0</v>
      </c>
      <c r="IQ23" s="33" t="n">
        <v>0</v>
      </c>
      <c r="IR23" s="33" t="n">
        <v>0</v>
      </c>
      <c r="IS23" s="33" t="n">
        <v>0</v>
      </c>
      <c r="IT23" s="33" t="n">
        <v>0</v>
      </c>
      <c r="IU23" s="33" t="n">
        <v>0</v>
      </c>
      <c r="IV23" s="33" t="n">
        <v>0</v>
      </c>
      <c r="IW23" s="33" t="n">
        <v>0</v>
      </c>
      <c r="IX23" s="33" t="n">
        <v>0</v>
      </c>
      <c r="IY23" s="33" t="n">
        <v>0</v>
      </c>
      <c r="IZ23" s="33" t="n">
        <v>0</v>
      </c>
      <c r="JA23" s="33" t="n">
        <v>0</v>
      </c>
      <c r="JB23" s="33" t="n">
        <v>0</v>
      </c>
      <c r="JC23" s="33" t="n">
        <v>0</v>
      </c>
      <c r="JD23" s="33" t="n">
        <v>0</v>
      </c>
      <c r="JE23" s="33" t="n">
        <v>0</v>
      </c>
      <c r="JF23" s="33" t="n">
        <v>0</v>
      </c>
      <c r="JG23" s="33" t="n">
        <v>0</v>
      </c>
      <c r="JH23" s="33" t="n">
        <v>0</v>
      </c>
      <c r="JI23" s="33" t="n">
        <v>0</v>
      </c>
      <c r="JJ23" s="33" t="n">
        <v>0</v>
      </c>
      <c r="JK23" s="33" t="n">
        <v>0</v>
      </c>
      <c r="JL23" s="33" t="n">
        <v>0</v>
      </c>
      <c r="JM23" s="33" t="n">
        <v>0</v>
      </c>
      <c r="JN23" s="33" t="n">
        <v>0</v>
      </c>
      <c r="JO23" s="33" t="n">
        <v>0</v>
      </c>
      <c r="JP23" s="33" t="n">
        <v>0</v>
      </c>
      <c r="JQ23" s="33" t="n">
        <v>0</v>
      </c>
      <c r="JR23" s="33" t="n">
        <v>0</v>
      </c>
      <c r="JS23" s="33" t="n">
        <v>0</v>
      </c>
      <c r="JT23" s="33" t="n">
        <v>0</v>
      </c>
      <c r="JU23" s="33" t="n">
        <v>0</v>
      </c>
      <c r="JV23" s="33" t="n">
        <v>0</v>
      </c>
      <c r="JW23" s="33" t="n">
        <v>0</v>
      </c>
      <c r="JX23" s="33" t="n">
        <v>0</v>
      </c>
      <c r="JY23" s="33" t="n">
        <v>0</v>
      </c>
      <c r="JZ23" s="33" t="n">
        <v>0</v>
      </c>
      <c r="KA23" s="33" t="n">
        <v>0</v>
      </c>
      <c r="KB23" s="33" t="n">
        <v>0</v>
      </c>
      <c r="KC23" s="33" t="n">
        <v>0</v>
      </c>
      <c r="KD23" s="33" t="n">
        <v>0</v>
      </c>
      <c r="KE23" s="33" t="n">
        <v>0</v>
      </c>
      <c r="KF23" s="33" t="n">
        <v>0</v>
      </c>
      <c r="KG23" s="33" t="n">
        <v>0</v>
      </c>
      <c r="KH23" s="33" t="n">
        <v>0</v>
      </c>
      <c r="KI23" s="33" t="n">
        <v>0</v>
      </c>
      <c r="KJ23" s="33" t="n">
        <v>0</v>
      </c>
      <c r="KK23" s="33" t="n">
        <v>0</v>
      </c>
      <c r="KL23" s="33" t="n">
        <v>0</v>
      </c>
      <c r="KM23" s="33" t="n">
        <v>0</v>
      </c>
      <c r="KN23" s="33" t="n">
        <v>0</v>
      </c>
      <c r="KO23" s="33" t="n">
        <v>0</v>
      </c>
      <c r="KP23" s="33" t="n">
        <v>0</v>
      </c>
      <c r="KQ23" s="33" t="n">
        <v>0</v>
      </c>
      <c r="KR23" s="33" t="n">
        <v>0</v>
      </c>
      <c r="KS23" s="33" t="n">
        <v>0</v>
      </c>
      <c r="KT23" s="33" t="n">
        <v>0</v>
      </c>
      <c r="KU23" s="33" t="n">
        <v>0</v>
      </c>
      <c r="KV23" s="33" t="n">
        <v>0</v>
      </c>
      <c r="KW23" s="33" t="n">
        <v>0</v>
      </c>
      <c r="KX23" s="33" t="n">
        <v>0</v>
      </c>
      <c r="KY23" s="33" t="n">
        <v>0</v>
      </c>
      <c r="KZ23" s="33" t="n">
        <v>0</v>
      </c>
      <c r="LA23" s="33" t="n">
        <v>0</v>
      </c>
      <c r="LB23" s="33" t="n">
        <v>0</v>
      </c>
      <c r="LC23" s="33" t="n">
        <v>0</v>
      </c>
      <c r="LD23" s="33" t="n">
        <v>0</v>
      </c>
      <c r="LE23" s="33" t="n">
        <v>0</v>
      </c>
      <c r="LF23" s="33" t="n">
        <v>0</v>
      </c>
      <c r="LG23" s="33" t="n">
        <v>0</v>
      </c>
      <c r="LH23" s="33" t="n">
        <v>0</v>
      </c>
      <c r="LI23" s="33" t="n">
        <v>0</v>
      </c>
      <c r="LJ23" s="33" t="n">
        <v>0</v>
      </c>
      <c r="LK23" s="33" t="n">
        <v>0</v>
      </c>
      <c r="LL23" s="33" t="n">
        <v>0</v>
      </c>
      <c r="LM23" s="33" t="n">
        <v>0</v>
      </c>
      <c r="LN23" s="33" t="n">
        <v>0</v>
      </c>
      <c r="LO23" s="33" t="n">
        <v>0</v>
      </c>
      <c r="LP23" s="33" t="n">
        <v>0</v>
      </c>
      <c r="LQ23" s="33" t="n">
        <v>0</v>
      </c>
      <c r="LR23" s="33" t="n">
        <v>0</v>
      </c>
      <c r="LS23" s="33" t="n">
        <v>0</v>
      </c>
      <c r="LT23" s="33" t="n">
        <v>0</v>
      </c>
      <c r="LU23" s="33" t="n">
        <v>0</v>
      </c>
      <c r="LV23" s="33" t="n">
        <v>0</v>
      </c>
      <c r="LW23" s="33" t="n">
        <v>0</v>
      </c>
      <c r="LX23" s="33" t="n">
        <v>0</v>
      </c>
      <c r="LY23" s="33" t="n">
        <v>0</v>
      </c>
      <c r="LZ23" s="33" t="n">
        <v>0</v>
      </c>
      <c r="MA23" s="33" t="n">
        <v>0</v>
      </c>
      <c r="MB23" s="33" t="n">
        <v>0</v>
      </c>
      <c r="MC23" s="33" t="n">
        <v>0</v>
      </c>
      <c r="MD23" s="33" t="n">
        <v>0</v>
      </c>
      <c r="ME23" s="33" t="n">
        <v>0</v>
      </c>
      <c r="MF23" s="33" t="n">
        <v>0</v>
      </c>
      <c r="MG23" s="33" t="n">
        <v>0</v>
      </c>
      <c r="MH23" s="33" t="n">
        <v>0</v>
      </c>
      <c r="MI23" s="33" t="n">
        <v>0</v>
      </c>
      <c r="MJ23" s="33" t="n">
        <v>0</v>
      </c>
      <c r="MK23" s="33" t="n">
        <v>0</v>
      </c>
      <c r="ML23" s="33" t="n">
        <v>0</v>
      </c>
      <c r="MM23" s="33" t="n">
        <v>0</v>
      </c>
      <c r="MN23" s="33" t="n">
        <v>0</v>
      </c>
      <c r="MO23" s="33" t="n">
        <v>0</v>
      </c>
      <c r="MP23" s="33" t="n">
        <v>0</v>
      </c>
      <c r="MQ23" s="33" t="n">
        <v>0</v>
      </c>
      <c r="MR23" s="33" t="n">
        <v>0</v>
      </c>
      <c r="MS23" s="33" t="n">
        <v>0</v>
      </c>
      <c r="MT23" s="33" t="n">
        <v>0</v>
      </c>
      <c r="MU23" s="33" t="n">
        <v>0</v>
      </c>
      <c r="MV23" s="33" t="n">
        <v>0</v>
      </c>
      <c r="MW23" s="33" t="n">
        <v>0</v>
      </c>
      <c r="MX23" s="33" t="n">
        <v>0</v>
      </c>
      <c r="MY23" s="33" t="n">
        <v>0</v>
      </c>
      <c r="MZ23" s="33" t="n">
        <v>0</v>
      </c>
      <c r="NA23" s="33" t="n">
        <v>0</v>
      </c>
      <c r="NB23" s="33" t="n">
        <v>0</v>
      </c>
      <c r="NC23" s="33" t="n">
        <v>0</v>
      </c>
      <c r="ND23" s="33" t="n">
        <v>0</v>
      </c>
      <c r="NE23" s="33" t="n">
        <v>0</v>
      </c>
      <c r="NF23" s="33" t="n">
        <v>0</v>
      </c>
      <c r="NG23" s="33" t="n">
        <v>0</v>
      </c>
      <c r="NH23" s="33" t="n">
        <v>0</v>
      </c>
      <c r="NI23" s="33" t="n">
        <v>0</v>
      </c>
      <c r="NJ23" s="33" t="n">
        <v>0</v>
      </c>
      <c r="NK23" s="33" t="n">
        <v>0</v>
      </c>
      <c r="NL23" s="33" t="n">
        <v>0</v>
      </c>
      <c r="NM23" s="33" t="n">
        <v>0</v>
      </c>
      <c r="NN23" s="33" t="n">
        <v>0</v>
      </c>
      <c r="NO23" s="33" t="n">
        <v>0</v>
      </c>
      <c r="NP23" s="33" t="n">
        <v>0</v>
      </c>
      <c r="NQ23" s="33" t="n">
        <v>0</v>
      </c>
      <c r="NR23" s="33" t="n">
        <v>0</v>
      </c>
      <c r="NS23" s="33" t="n">
        <v>0</v>
      </c>
      <c r="NT23" s="33" t="n">
        <v>0</v>
      </c>
      <c r="NU23" s="33" t="n">
        <v>0</v>
      </c>
      <c r="NV23" s="33" t="n">
        <v>0</v>
      </c>
      <c r="NW23" s="33" t="n">
        <v>0</v>
      </c>
      <c r="NX23" s="33" t="n">
        <v>0</v>
      </c>
      <c r="NY23" s="33" t="n">
        <v>0</v>
      </c>
      <c r="NZ23" s="33" t="n">
        <v>0</v>
      </c>
      <c r="OA23" s="33" t="n">
        <v>0</v>
      </c>
      <c r="OB23" s="33" t="n">
        <v>0</v>
      </c>
      <c r="OC23" s="33" t="n">
        <v>0</v>
      </c>
      <c r="OD23" s="33" t="n">
        <v>0</v>
      </c>
      <c r="OE23" s="33" t="n">
        <v>0</v>
      </c>
      <c r="OF23" s="33" t="n">
        <v>0</v>
      </c>
      <c r="OG23" s="33" t="n">
        <v>0</v>
      </c>
      <c r="OH23" s="33" t="n">
        <v>0</v>
      </c>
      <c r="OI23" s="33" t="n">
        <v>0</v>
      </c>
      <c r="OJ23" s="33" t="n">
        <v>0</v>
      </c>
      <c r="OK23" s="33" t="n">
        <v>0</v>
      </c>
      <c r="OL23" s="33" t="n">
        <v>0</v>
      </c>
      <c r="OM23" s="33" t="n">
        <v>0</v>
      </c>
      <c r="ON23" s="33" t="n">
        <v>0</v>
      </c>
      <c r="OO23" s="33" t="n">
        <v>0</v>
      </c>
      <c r="OP23" s="33" t="n">
        <v>0</v>
      </c>
      <c r="OQ23" s="33" t="n">
        <v>0</v>
      </c>
      <c r="OR23" s="33" t="n">
        <v>0</v>
      </c>
      <c r="OS23" s="33" t="n">
        <v>0</v>
      </c>
      <c r="OT23" s="33" t="n">
        <v>0</v>
      </c>
      <c r="OU23" s="33" t="n">
        <v>0</v>
      </c>
      <c r="OV23" s="33" t="n">
        <v>0</v>
      </c>
      <c r="OW23" s="33" t="n">
        <v>0</v>
      </c>
      <c r="OX23" s="33" t="n">
        <v>0</v>
      </c>
      <c r="OY23" s="33" t="n">
        <v>0</v>
      </c>
      <c r="OZ23" s="33" t="n">
        <v>0</v>
      </c>
      <c r="PA23" s="33" t="n">
        <v>0</v>
      </c>
      <c r="PB23" s="33" t="n">
        <v>0</v>
      </c>
      <c r="PC23" s="33" t="n">
        <v>0</v>
      </c>
      <c r="PD23" s="33" t="n">
        <v>0</v>
      </c>
      <c r="PE23" s="33" t="n">
        <v>0</v>
      </c>
      <c r="PF23" s="33" t="n">
        <v>0</v>
      </c>
      <c r="PG23" s="33" t="n">
        <v>0</v>
      </c>
      <c r="PH23" s="33" t="n">
        <v>0</v>
      </c>
      <c r="PI23" s="33" t="n">
        <v>0</v>
      </c>
      <c r="PJ23" s="33" t="n">
        <v>0</v>
      </c>
      <c r="PK23" s="33" t="n">
        <v>0</v>
      </c>
      <c r="PL23" s="33" t="n">
        <v>0</v>
      </c>
      <c r="PM23" s="33" t="n">
        <v>0</v>
      </c>
      <c r="PN23" s="33" t="n">
        <v>0</v>
      </c>
      <c r="PO23" s="33" t="n">
        <v>0</v>
      </c>
      <c r="PP23" s="33" t="n">
        <v>0</v>
      </c>
      <c r="PQ23" s="33" t="n">
        <v>0</v>
      </c>
      <c r="PR23" s="33" t="n">
        <v>0</v>
      </c>
      <c r="PS23" s="33" t="n">
        <v>0</v>
      </c>
      <c r="PT23" s="33" t="n">
        <v>0</v>
      </c>
      <c r="PU23" s="33" t="n">
        <v>0</v>
      </c>
      <c r="PV23" s="33" t="n">
        <v>0</v>
      </c>
      <c r="PW23" s="33" t="n">
        <v>0</v>
      </c>
      <c r="PX23" s="33" t="n">
        <v>0</v>
      </c>
      <c r="PY23" s="33" t="n">
        <v>0</v>
      </c>
      <c r="PZ23" s="33" t="n">
        <v>0</v>
      </c>
      <c r="QA23" s="33" t="n">
        <v>0</v>
      </c>
      <c r="QB23" s="33" t="n">
        <v>0</v>
      </c>
      <c r="QC23" s="33" t="n">
        <v>0</v>
      </c>
      <c r="QD23" s="33" t="n">
        <v>0</v>
      </c>
      <c r="QE23" s="33" t="n">
        <v>0</v>
      </c>
      <c r="QF23" s="33" t="n">
        <v>0</v>
      </c>
      <c r="QG23" s="33" t="n">
        <v>0</v>
      </c>
      <c r="QH23" s="33" t="n">
        <v>0</v>
      </c>
      <c r="QI23" s="33" t="n">
        <v>0</v>
      </c>
      <c r="QJ23" s="33" t="n">
        <v>0</v>
      </c>
      <c r="QK23" s="33" t="n">
        <v>0</v>
      </c>
      <c r="QL23" s="33" t="n">
        <v>0</v>
      </c>
      <c r="QM23" s="33" t="n">
        <v>0</v>
      </c>
      <c r="QN23" s="33" t="n">
        <v>0</v>
      </c>
      <c r="QO23" s="33" t="n">
        <v>0</v>
      </c>
      <c r="QP23" s="33" t="n">
        <v>0</v>
      </c>
      <c r="QQ23" s="33" t="n">
        <v>0</v>
      </c>
      <c r="QR23" s="33" t="n">
        <v>0</v>
      </c>
      <c r="QS23" s="33" t="n">
        <v>0</v>
      </c>
      <c r="QT23" s="33" t="n">
        <v>0</v>
      </c>
      <c r="QU23" s="33" t="n">
        <v>0</v>
      </c>
      <c r="QV23" s="33" t="n">
        <v>0</v>
      </c>
      <c r="QW23" s="33" t="n">
        <v>0</v>
      </c>
      <c r="QX23" s="33" t="n">
        <v>0</v>
      </c>
      <c r="QY23" s="33" t="n">
        <v>0</v>
      </c>
      <c r="QZ23" s="33" t="n">
        <v>0</v>
      </c>
      <c r="RA23" s="33" t="n">
        <v>0</v>
      </c>
      <c r="RB23" s="33" t="n">
        <v>0</v>
      </c>
      <c r="RC23" s="33" t="n">
        <v>0</v>
      </c>
      <c r="RD23" s="33" t="n">
        <v>0</v>
      </c>
      <c r="RE23" s="33" t="n">
        <v>0</v>
      </c>
      <c r="RF23" s="33" t="n">
        <v>0</v>
      </c>
      <c r="RG23" s="33" t="n">
        <v>0</v>
      </c>
      <c r="RH23" s="33" t="n">
        <v>0</v>
      </c>
      <c r="RI23" s="33" t="n">
        <v>0</v>
      </c>
      <c r="RJ23" s="33" t="n">
        <v>0</v>
      </c>
      <c r="RK23" s="33" t="n">
        <v>0</v>
      </c>
      <c r="RL23" s="33" t="n">
        <v>0</v>
      </c>
      <c r="RM23" s="33" t="n">
        <v>0</v>
      </c>
      <c r="RN23" s="33" t="n">
        <v>0</v>
      </c>
      <c r="RO23" s="33" t="n">
        <v>0</v>
      </c>
      <c r="RP23" s="33" t="n">
        <v>0</v>
      </c>
      <c r="RQ23" s="33" t="n">
        <v>0</v>
      </c>
      <c r="RR23" s="33" t="n">
        <v>0</v>
      </c>
      <c r="RS23" s="33" t="n">
        <v>0</v>
      </c>
      <c r="RT23" s="33" t="n">
        <v>0</v>
      </c>
      <c r="RU23" s="33" t="n">
        <v>0</v>
      </c>
      <c r="RV23" s="33" t="n">
        <v>0</v>
      </c>
      <c r="RW23" s="33" t="n">
        <v>0</v>
      </c>
    </row>
    <row r="24" hidden="1" outlineLevel="1" ht="13.05" customHeight="1">
      <c r="E24" s="21" t="inlineStr">
        <is>
          <t>Balancing Cost</t>
        </is>
      </c>
      <c r="F24" s="29" t="n"/>
      <c r="G24" s="29" t="inlineStr">
        <is>
          <t>kEUR</t>
        </is>
      </c>
      <c r="H24" s="29" t="n"/>
      <c r="I24" s="29" t="n"/>
      <c r="J24" s="32" t="n">
        <v>0</v>
      </c>
      <c r="K24" s="29" t="n"/>
      <c r="L24" s="33" t="n">
        <v>0</v>
      </c>
      <c r="M24" s="33" t="n">
        <v>0</v>
      </c>
      <c r="N24" s="33" t="n">
        <v>0</v>
      </c>
      <c r="O24" s="33" t="n">
        <v>0</v>
      </c>
      <c r="P24" s="33" t="n">
        <v>0</v>
      </c>
      <c r="Q24" s="33" t="n">
        <v>0</v>
      </c>
      <c r="R24" s="33" t="n">
        <v>0</v>
      </c>
      <c r="S24" s="33" t="n">
        <v>0</v>
      </c>
      <c r="T24" s="33" t="n">
        <v>0</v>
      </c>
      <c r="U24" s="33" t="n">
        <v>0</v>
      </c>
      <c r="V24" s="33" t="n">
        <v>0</v>
      </c>
      <c r="W24" s="33" t="n">
        <v>0</v>
      </c>
      <c r="X24" s="33" t="n">
        <v>0</v>
      </c>
      <c r="Y24" s="33" t="n">
        <v>0</v>
      </c>
      <c r="Z24" s="33" t="n">
        <v>0</v>
      </c>
      <c r="AA24" s="33" t="n">
        <v>0</v>
      </c>
      <c r="AB24" s="33" t="n">
        <v>0</v>
      </c>
      <c r="AC24" s="33" t="n">
        <v>0</v>
      </c>
      <c r="AD24" s="33" t="n">
        <v>0</v>
      </c>
      <c r="AE24" s="33" t="n">
        <v>0</v>
      </c>
      <c r="AF24" s="33" t="n">
        <v>0</v>
      </c>
      <c r="AG24" s="33" t="n">
        <v>0</v>
      </c>
      <c r="AH24" s="33" t="n">
        <v>0</v>
      </c>
      <c r="AI24" s="33" t="n">
        <v>0</v>
      </c>
      <c r="AJ24" s="33" t="n">
        <v>0</v>
      </c>
      <c r="AK24" s="33" t="n">
        <v>0</v>
      </c>
      <c r="AL24" s="33" t="n">
        <v>0</v>
      </c>
      <c r="AM24" s="33" t="n">
        <v>0</v>
      </c>
      <c r="AN24" s="33" t="n">
        <v>0</v>
      </c>
      <c r="AO24" s="33" t="n">
        <v>0</v>
      </c>
      <c r="AP24" s="33" t="n">
        <v>0</v>
      </c>
      <c r="AQ24" s="33" t="n">
        <v>0</v>
      </c>
      <c r="AR24" s="33" t="n">
        <v>0</v>
      </c>
      <c r="AS24" s="33" t="n">
        <v>0</v>
      </c>
      <c r="AT24" s="33" t="n">
        <v>0</v>
      </c>
      <c r="AU24" s="33" t="n">
        <v>0</v>
      </c>
      <c r="AV24" s="33" t="n">
        <v>0</v>
      </c>
      <c r="AW24" s="33" t="n">
        <v>0</v>
      </c>
      <c r="AX24" s="33" t="n">
        <v>0</v>
      </c>
      <c r="AY24" s="33" t="n">
        <v>0</v>
      </c>
      <c r="AZ24" s="33" t="n">
        <v>0</v>
      </c>
      <c r="BA24" s="33" t="n">
        <v>0</v>
      </c>
      <c r="BB24" s="33" t="n">
        <v>0</v>
      </c>
      <c r="BC24" s="33" t="n">
        <v>0</v>
      </c>
      <c r="BD24" s="33" t="n">
        <v>0</v>
      </c>
      <c r="BE24" s="33" t="n">
        <v>0</v>
      </c>
      <c r="BF24" s="33" t="n">
        <v>0</v>
      </c>
      <c r="BG24" s="33" t="n">
        <v>0</v>
      </c>
      <c r="BH24" s="33" t="n">
        <v>0</v>
      </c>
      <c r="BI24" s="33" t="n">
        <v>0</v>
      </c>
      <c r="BJ24" s="33" t="n">
        <v>0</v>
      </c>
      <c r="BK24" s="33" t="n">
        <v>0</v>
      </c>
      <c r="BL24" s="33" t="n">
        <v>0</v>
      </c>
      <c r="BM24" s="33" t="n">
        <v>0</v>
      </c>
      <c r="BN24" s="33" t="n">
        <v>0</v>
      </c>
      <c r="BO24" s="33" t="n">
        <v>0</v>
      </c>
      <c r="BP24" s="33" t="n">
        <v>0</v>
      </c>
      <c r="BQ24" s="33" t="n">
        <v>0</v>
      </c>
      <c r="BR24" s="33" t="n">
        <v>0</v>
      </c>
      <c r="BS24" s="33" t="n">
        <v>0</v>
      </c>
      <c r="BT24" s="33" t="n">
        <v>0</v>
      </c>
      <c r="BU24" s="33" t="n">
        <v>0</v>
      </c>
      <c r="BV24" s="33" t="n">
        <v>0</v>
      </c>
      <c r="BW24" s="33" t="n">
        <v>0</v>
      </c>
      <c r="BX24" s="33" t="n">
        <v>0</v>
      </c>
      <c r="BY24" s="33" t="n">
        <v>0</v>
      </c>
      <c r="BZ24" s="33" t="n">
        <v>0</v>
      </c>
      <c r="CA24" s="33" t="n">
        <v>0</v>
      </c>
      <c r="CB24" s="33" t="n">
        <v>0</v>
      </c>
      <c r="CC24" s="33" t="n">
        <v>0</v>
      </c>
      <c r="CD24" s="33" t="n">
        <v>0</v>
      </c>
      <c r="CE24" s="33" t="n">
        <v>0</v>
      </c>
      <c r="CF24" s="33" t="n">
        <v>0</v>
      </c>
      <c r="CG24" s="33" t="n">
        <v>0</v>
      </c>
      <c r="CH24" s="33" t="n">
        <v>0</v>
      </c>
      <c r="CI24" s="33" t="n">
        <v>0</v>
      </c>
      <c r="CJ24" s="33" t="n">
        <v>0</v>
      </c>
      <c r="CK24" s="33" t="n">
        <v>0</v>
      </c>
      <c r="CL24" s="33" t="n">
        <v>0</v>
      </c>
      <c r="CM24" s="33" t="n">
        <v>0</v>
      </c>
      <c r="CN24" s="33" t="n">
        <v>0</v>
      </c>
      <c r="CO24" s="33" t="n">
        <v>0</v>
      </c>
      <c r="CP24" s="33" t="n">
        <v>0</v>
      </c>
      <c r="CQ24" s="33" t="n">
        <v>0</v>
      </c>
      <c r="CR24" s="33" t="n">
        <v>0</v>
      </c>
      <c r="CS24" s="33" t="n">
        <v>0</v>
      </c>
      <c r="CT24" s="33" t="n">
        <v>0</v>
      </c>
      <c r="CU24" s="33" t="n">
        <v>0</v>
      </c>
      <c r="CV24" s="33" t="n">
        <v>0</v>
      </c>
      <c r="CW24" s="33" t="n">
        <v>0</v>
      </c>
      <c r="CX24" s="33" t="n">
        <v>0</v>
      </c>
      <c r="CY24" s="33" t="n">
        <v>0</v>
      </c>
      <c r="CZ24" s="33" t="n">
        <v>0</v>
      </c>
      <c r="DA24" s="33" t="n">
        <v>0</v>
      </c>
      <c r="DB24" s="33" t="n">
        <v>0</v>
      </c>
      <c r="DC24" s="33" t="n">
        <v>0</v>
      </c>
      <c r="DD24" s="33" t="n">
        <v>0</v>
      </c>
      <c r="DE24" s="33" t="n">
        <v>0</v>
      </c>
      <c r="DF24" s="33" t="n">
        <v>0</v>
      </c>
      <c r="DG24" s="33" t="n">
        <v>0</v>
      </c>
      <c r="DH24" s="33" t="n">
        <v>0</v>
      </c>
      <c r="DI24" s="33" t="n">
        <v>0</v>
      </c>
      <c r="DJ24" s="33" t="n">
        <v>0</v>
      </c>
      <c r="DK24" s="33" t="n">
        <v>0</v>
      </c>
      <c r="DL24" s="33" t="n">
        <v>0</v>
      </c>
      <c r="DM24" s="33" t="n">
        <v>0</v>
      </c>
      <c r="DN24" s="33" t="n">
        <v>0</v>
      </c>
      <c r="DO24" s="33" t="n">
        <v>0</v>
      </c>
      <c r="DP24" s="33" t="n">
        <v>0</v>
      </c>
      <c r="DQ24" s="33" t="n">
        <v>0</v>
      </c>
      <c r="DR24" s="33" t="n">
        <v>0</v>
      </c>
      <c r="DS24" s="33" t="n">
        <v>0</v>
      </c>
      <c r="DT24" s="33" t="n">
        <v>0</v>
      </c>
      <c r="DU24" s="33" t="n">
        <v>0</v>
      </c>
      <c r="DV24" s="33" t="n">
        <v>0</v>
      </c>
      <c r="DW24" s="33" t="n">
        <v>0</v>
      </c>
      <c r="DX24" s="33" t="n">
        <v>0</v>
      </c>
      <c r="DY24" s="33" t="n">
        <v>0</v>
      </c>
      <c r="DZ24" s="33" t="n">
        <v>0</v>
      </c>
      <c r="EA24" s="33" t="n">
        <v>0</v>
      </c>
      <c r="EB24" s="33" t="n">
        <v>0</v>
      </c>
      <c r="EC24" s="33" t="n">
        <v>0</v>
      </c>
      <c r="ED24" s="33" t="n">
        <v>0</v>
      </c>
      <c r="EE24" s="33" t="n">
        <v>0</v>
      </c>
      <c r="EF24" s="33" t="n">
        <v>0</v>
      </c>
      <c r="EG24" s="33" t="n">
        <v>0</v>
      </c>
      <c r="EH24" s="33" t="n">
        <v>0</v>
      </c>
      <c r="EI24" s="33" t="n">
        <v>0</v>
      </c>
      <c r="EJ24" s="33" t="n">
        <v>0</v>
      </c>
      <c r="EK24" s="33" t="n">
        <v>0</v>
      </c>
      <c r="EL24" s="33" t="n">
        <v>0</v>
      </c>
      <c r="EM24" s="33" t="n">
        <v>0</v>
      </c>
      <c r="EN24" s="33" t="n">
        <v>0</v>
      </c>
      <c r="EO24" s="33" t="n">
        <v>0</v>
      </c>
      <c r="EP24" s="33" t="n">
        <v>0</v>
      </c>
      <c r="EQ24" s="33" t="n">
        <v>0</v>
      </c>
      <c r="ER24" s="33" t="n">
        <v>0</v>
      </c>
      <c r="ES24" s="33" t="n">
        <v>0</v>
      </c>
      <c r="ET24" s="33" t="n">
        <v>0</v>
      </c>
      <c r="EU24" s="33" t="n">
        <v>0</v>
      </c>
      <c r="EV24" s="33" t="n">
        <v>0</v>
      </c>
      <c r="EW24" s="33" t="n">
        <v>0</v>
      </c>
      <c r="EX24" s="33" t="n">
        <v>0</v>
      </c>
      <c r="EY24" s="33" t="n">
        <v>0</v>
      </c>
      <c r="EZ24" s="33" t="n">
        <v>0</v>
      </c>
      <c r="FA24" s="33" t="n">
        <v>0</v>
      </c>
      <c r="FB24" s="33" t="n">
        <v>0</v>
      </c>
      <c r="FC24" s="33" t="n">
        <v>0</v>
      </c>
      <c r="FD24" s="33" t="n">
        <v>0</v>
      </c>
      <c r="FE24" s="33" t="n">
        <v>0</v>
      </c>
      <c r="FF24" s="33" t="n">
        <v>0</v>
      </c>
      <c r="FG24" s="33" t="n">
        <v>0</v>
      </c>
      <c r="FH24" s="33" t="n">
        <v>0</v>
      </c>
      <c r="FI24" s="33" t="n">
        <v>0</v>
      </c>
      <c r="FJ24" s="33" t="n">
        <v>0</v>
      </c>
      <c r="FK24" s="33" t="n">
        <v>0</v>
      </c>
      <c r="FL24" s="33" t="n">
        <v>0</v>
      </c>
      <c r="FM24" s="33" t="n">
        <v>0</v>
      </c>
      <c r="FN24" s="33" t="n">
        <v>0</v>
      </c>
      <c r="FO24" s="33" t="n">
        <v>0</v>
      </c>
      <c r="FP24" s="33" t="n">
        <v>0</v>
      </c>
      <c r="FQ24" s="33" t="n">
        <v>0</v>
      </c>
      <c r="FR24" s="33" t="n">
        <v>0</v>
      </c>
      <c r="FS24" s="33" t="n">
        <v>0</v>
      </c>
      <c r="FT24" s="33" t="n">
        <v>0</v>
      </c>
      <c r="FU24" s="33" t="n">
        <v>0</v>
      </c>
      <c r="FV24" s="33" t="n">
        <v>0</v>
      </c>
      <c r="FW24" s="33" t="n">
        <v>0</v>
      </c>
      <c r="FX24" s="33" t="n">
        <v>0</v>
      </c>
      <c r="FY24" s="33" t="n">
        <v>0</v>
      </c>
      <c r="FZ24" s="33" t="n">
        <v>0</v>
      </c>
      <c r="GA24" s="33" t="n">
        <v>0</v>
      </c>
      <c r="GB24" s="33" t="n">
        <v>0</v>
      </c>
      <c r="GC24" s="33" t="n">
        <v>0</v>
      </c>
      <c r="GD24" s="33" t="n">
        <v>0</v>
      </c>
      <c r="GE24" s="33" t="n">
        <v>0</v>
      </c>
      <c r="GF24" s="33" t="n">
        <v>0</v>
      </c>
      <c r="GG24" s="33" t="n">
        <v>0</v>
      </c>
      <c r="GH24" s="33" t="n">
        <v>0</v>
      </c>
      <c r="GI24" s="33" t="n">
        <v>0</v>
      </c>
      <c r="GJ24" s="33" t="n">
        <v>0</v>
      </c>
      <c r="GK24" s="33" t="n">
        <v>0</v>
      </c>
      <c r="GL24" s="33" t="n">
        <v>0</v>
      </c>
      <c r="GM24" s="33" t="n">
        <v>0</v>
      </c>
      <c r="GN24" s="33" t="n">
        <v>0</v>
      </c>
      <c r="GO24" s="33" t="n">
        <v>0</v>
      </c>
      <c r="GP24" s="33" t="n">
        <v>0</v>
      </c>
      <c r="GQ24" s="33" t="n">
        <v>0</v>
      </c>
      <c r="GR24" s="33" t="n">
        <v>0</v>
      </c>
      <c r="GS24" s="33" t="n">
        <v>0</v>
      </c>
      <c r="GT24" s="33" t="n">
        <v>0</v>
      </c>
      <c r="GU24" s="33" t="n">
        <v>0</v>
      </c>
      <c r="GV24" s="33" t="n">
        <v>0</v>
      </c>
      <c r="GW24" s="33" t="n">
        <v>0</v>
      </c>
      <c r="GX24" s="33" t="n">
        <v>0</v>
      </c>
      <c r="GY24" s="33" t="n">
        <v>0</v>
      </c>
      <c r="GZ24" s="33" t="n">
        <v>0</v>
      </c>
      <c r="HA24" s="33" t="n">
        <v>0</v>
      </c>
      <c r="HB24" s="33" t="n">
        <v>0</v>
      </c>
      <c r="HC24" s="33" t="n">
        <v>0</v>
      </c>
      <c r="HD24" s="33" t="n">
        <v>0</v>
      </c>
      <c r="HE24" s="33" t="n">
        <v>0</v>
      </c>
      <c r="HF24" s="33" t="n">
        <v>0</v>
      </c>
      <c r="HG24" s="33" t="n">
        <v>0</v>
      </c>
      <c r="HH24" s="33" t="n">
        <v>0</v>
      </c>
      <c r="HI24" s="33" t="n">
        <v>0</v>
      </c>
      <c r="HJ24" s="33" t="n">
        <v>0</v>
      </c>
      <c r="HK24" s="33" t="n">
        <v>0</v>
      </c>
      <c r="HL24" s="33" t="n">
        <v>0</v>
      </c>
      <c r="HM24" s="33" t="n">
        <v>0</v>
      </c>
      <c r="HN24" s="33" t="n">
        <v>0</v>
      </c>
      <c r="HO24" s="33" t="n">
        <v>0</v>
      </c>
      <c r="HP24" s="33" t="n">
        <v>0</v>
      </c>
      <c r="HQ24" s="33" t="n">
        <v>0</v>
      </c>
      <c r="HR24" s="33" t="n">
        <v>0</v>
      </c>
      <c r="HS24" s="33" t="n">
        <v>0</v>
      </c>
      <c r="HT24" s="33" t="n">
        <v>0</v>
      </c>
      <c r="HU24" s="33" t="n">
        <v>0</v>
      </c>
      <c r="HV24" s="33" t="n">
        <v>0</v>
      </c>
      <c r="HW24" s="33" t="n">
        <v>0</v>
      </c>
      <c r="HX24" s="33" t="n">
        <v>0</v>
      </c>
      <c r="HY24" s="33" t="n">
        <v>0</v>
      </c>
      <c r="HZ24" s="33" t="n">
        <v>0</v>
      </c>
      <c r="IA24" s="33" t="n">
        <v>0</v>
      </c>
      <c r="IB24" s="33" t="n">
        <v>0</v>
      </c>
      <c r="IC24" s="33" t="n">
        <v>0</v>
      </c>
      <c r="ID24" s="33" t="n">
        <v>0</v>
      </c>
      <c r="IE24" s="33" t="n">
        <v>0</v>
      </c>
      <c r="IF24" s="33" t="n">
        <v>0</v>
      </c>
      <c r="IG24" s="33" t="n">
        <v>0</v>
      </c>
      <c r="IH24" s="33" t="n">
        <v>0</v>
      </c>
      <c r="II24" s="33" t="n">
        <v>0</v>
      </c>
      <c r="IJ24" s="33" t="n">
        <v>0</v>
      </c>
      <c r="IK24" s="33" t="n">
        <v>0</v>
      </c>
      <c r="IL24" s="33" t="n">
        <v>0</v>
      </c>
      <c r="IM24" s="33" t="n">
        <v>0</v>
      </c>
      <c r="IN24" s="33" t="n">
        <v>0</v>
      </c>
      <c r="IO24" s="33" t="n">
        <v>0</v>
      </c>
      <c r="IP24" s="33" t="n">
        <v>0</v>
      </c>
      <c r="IQ24" s="33" t="n">
        <v>0</v>
      </c>
      <c r="IR24" s="33" t="n">
        <v>0</v>
      </c>
      <c r="IS24" s="33" t="n">
        <v>0</v>
      </c>
      <c r="IT24" s="33" t="n">
        <v>0</v>
      </c>
      <c r="IU24" s="33" t="n">
        <v>0</v>
      </c>
      <c r="IV24" s="33" t="n">
        <v>0</v>
      </c>
      <c r="IW24" s="33" t="n">
        <v>0</v>
      </c>
      <c r="IX24" s="33" t="n">
        <v>0</v>
      </c>
      <c r="IY24" s="33" t="n">
        <v>0</v>
      </c>
      <c r="IZ24" s="33" t="n">
        <v>0</v>
      </c>
      <c r="JA24" s="33" t="n">
        <v>0</v>
      </c>
      <c r="JB24" s="33" t="n">
        <v>0</v>
      </c>
      <c r="JC24" s="33" t="n">
        <v>0</v>
      </c>
      <c r="JD24" s="33" t="n">
        <v>0</v>
      </c>
      <c r="JE24" s="33" t="n">
        <v>0</v>
      </c>
      <c r="JF24" s="33" t="n">
        <v>0</v>
      </c>
      <c r="JG24" s="33" t="n">
        <v>0</v>
      </c>
      <c r="JH24" s="33" t="n">
        <v>0</v>
      </c>
      <c r="JI24" s="33" t="n">
        <v>0</v>
      </c>
      <c r="JJ24" s="33" t="n">
        <v>0</v>
      </c>
      <c r="JK24" s="33" t="n">
        <v>0</v>
      </c>
      <c r="JL24" s="33" t="n">
        <v>0</v>
      </c>
      <c r="JM24" s="33" t="n">
        <v>0</v>
      </c>
      <c r="JN24" s="33" t="n">
        <v>0</v>
      </c>
      <c r="JO24" s="33" t="n">
        <v>0</v>
      </c>
      <c r="JP24" s="33" t="n">
        <v>0</v>
      </c>
      <c r="JQ24" s="33" t="n">
        <v>0</v>
      </c>
      <c r="JR24" s="33" t="n">
        <v>0</v>
      </c>
      <c r="JS24" s="33" t="n">
        <v>0</v>
      </c>
      <c r="JT24" s="33" t="n">
        <v>0</v>
      </c>
      <c r="JU24" s="33" t="n">
        <v>0</v>
      </c>
      <c r="JV24" s="33" t="n">
        <v>0</v>
      </c>
      <c r="JW24" s="33" t="n">
        <v>0</v>
      </c>
      <c r="JX24" s="33" t="n">
        <v>0</v>
      </c>
      <c r="JY24" s="33" t="n">
        <v>0</v>
      </c>
      <c r="JZ24" s="33" t="n">
        <v>0</v>
      </c>
      <c r="KA24" s="33" t="n">
        <v>0</v>
      </c>
      <c r="KB24" s="33" t="n">
        <v>0</v>
      </c>
      <c r="KC24" s="33" t="n">
        <v>0</v>
      </c>
      <c r="KD24" s="33" t="n">
        <v>0</v>
      </c>
      <c r="KE24" s="33" t="n">
        <v>0</v>
      </c>
      <c r="KF24" s="33" t="n">
        <v>0</v>
      </c>
      <c r="KG24" s="33" t="n">
        <v>0</v>
      </c>
      <c r="KH24" s="33" t="n">
        <v>0</v>
      </c>
      <c r="KI24" s="33" t="n">
        <v>0</v>
      </c>
      <c r="KJ24" s="33" t="n">
        <v>0</v>
      </c>
      <c r="KK24" s="33" t="n">
        <v>0</v>
      </c>
      <c r="KL24" s="33" t="n">
        <v>0</v>
      </c>
      <c r="KM24" s="33" t="n">
        <v>0</v>
      </c>
      <c r="KN24" s="33" t="n">
        <v>0</v>
      </c>
      <c r="KO24" s="33" t="n">
        <v>0</v>
      </c>
      <c r="KP24" s="33" t="n">
        <v>0</v>
      </c>
      <c r="KQ24" s="33" t="n">
        <v>0</v>
      </c>
      <c r="KR24" s="33" t="n">
        <v>0</v>
      </c>
      <c r="KS24" s="33" t="n">
        <v>0</v>
      </c>
      <c r="KT24" s="33" t="n">
        <v>0</v>
      </c>
      <c r="KU24" s="33" t="n">
        <v>0</v>
      </c>
      <c r="KV24" s="33" t="n">
        <v>0</v>
      </c>
      <c r="KW24" s="33" t="n">
        <v>0</v>
      </c>
      <c r="KX24" s="33" t="n">
        <v>0</v>
      </c>
      <c r="KY24" s="33" t="n">
        <v>0</v>
      </c>
      <c r="KZ24" s="33" t="n">
        <v>0</v>
      </c>
      <c r="LA24" s="33" t="n">
        <v>0</v>
      </c>
      <c r="LB24" s="33" t="n">
        <v>0</v>
      </c>
      <c r="LC24" s="33" t="n">
        <v>0</v>
      </c>
      <c r="LD24" s="33" t="n">
        <v>0</v>
      </c>
      <c r="LE24" s="33" t="n">
        <v>0</v>
      </c>
      <c r="LF24" s="33" t="n">
        <v>0</v>
      </c>
      <c r="LG24" s="33" t="n">
        <v>0</v>
      </c>
      <c r="LH24" s="33" t="n">
        <v>0</v>
      </c>
      <c r="LI24" s="33" t="n">
        <v>0</v>
      </c>
      <c r="LJ24" s="33" t="n">
        <v>0</v>
      </c>
      <c r="LK24" s="33" t="n">
        <v>0</v>
      </c>
      <c r="LL24" s="33" t="n">
        <v>0</v>
      </c>
      <c r="LM24" s="33" t="n">
        <v>0</v>
      </c>
      <c r="LN24" s="33" t="n">
        <v>0</v>
      </c>
      <c r="LO24" s="33" t="n">
        <v>0</v>
      </c>
      <c r="LP24" s="33" t="n">
        <v>0</v>
      </c>
      <c r="LQ24" s="33" t="n">
        <v>0</v>
      </c>
      <c r="LR24" s="33" t="n">
        <v>0</v>
      </c>
      <c r="LS24" s="33" t="n">
        <v>0</v>
      </c>
      <c r="LT24" s="33" t="n">
        <v>0</v>
      </c>
      <c r="LU24" s="33" t="n">
        <v>0</v>
      </c>
      <c r="LV24" s="33" t="n">
        <v>0</v>
      </c>
      <c r="LW24" s="33" t="n">
        <v>0</v>
      </c>
      <c r="LX24" s="33" t="n">
        <v>0</v>
      </c>
      <c r="LY24" s="33" t="n">
        <v>0</v>
      </c>
      <c r="LZ24" s="33" t="n">
        <v>0</v>
      </c>
      <c r="MA24" s="33" t="n">
        <v>0</v>
      </c>
      <c r="MB24" s="33" t="n">
        <v>0</v>
      </c>
      <c r="MC24" s="33" t="n">
        <v>0</v>
      </c>
      <c r="MD24" s="33" t="n">
        <v>0</v>
      </c>
      <c r="ME24" s="33" t="n">
        <v>0</v>
      </c>
      <c r="MF24" s="33" t="n">
        <v>0</v>
      </c>
      <c r="MG24" s="33" t="n">
        <v>0</v>
      </c>
      <c r="MH24" s="33" t="n">
        <v>0</v>
      </c>
      <c r="MI24" s="33" t="n">
        <v>0</v>
      </c>
      <c r="MJ24" s="33" t="n">
        <v>0</v>
      </c>
      <c r="MK24" s="33" t="n">
        <v>0</v>
      </c>
      <c r="ML24" s="33" t="n">
        <v>0</v>
      </c>
      <c r="MM24" s="33" t="n">
        <v>0</v>
      </c>
      <c r="MN24" s="33" t="n">
        <v>0</v>
      </c>
      <c r="MO24" s="33" t="n">
        <v>0</v>
      </c>
      <c r="MP24" s="33" t="n">
        <v>0</v>
      </c>
      <c r="MQ24" s="33" t="n">
        <v>0</v>
      </c>
      <c r="MR24" s="33" t="n">
        <v>0</v>
      </c>
      <c r="MS24" s="33" t="n">
        <v>0</v>
      </c>
      <c r="MT24" s="33" t="n">
        <v>0</v>
      </c>
      <c r="MU24" s="33" t="n">
        <v>0</v>
      </c>
      <c r="MV24" s="33" t="n">
        <v>0</v>
      </c>
      <c r="MW24" s="33" t="n">
        <v>0</v>
      </c>
      <c r="MX24" s="33" t="n">
        <v>0</v>
      </c>
      <c r="MY24" s="33" t="n">
        <v>0</v>
      </c>
      <c r="MZ24" s="33" t="n">
        <v>0</v>
      </c>
      <c r="NA24" s="33" t="n">
        <v>0</v>
      </c>
      <c r="NB24" s="33" t="n">
        <v>0</v>
      </c>
      <c r="NC24" s="33" t="n">
        <v>0</v>
      </c>
      <c r="ND24" s="33" t="n">
        <v>0</v>
      </c>
      <c r="NE24" s="33" t="n">
        <v>0</v>
      </c>
      <c r="NF24" s="33" t="n">
        <v>0</v>
      </c>
      <c r="NG24" s="33" t="n">
        <v>0</v>
      </c>
      <c r="NH24" s="33" t="n">
        <v>0</v>
      </c>
      <c r="NI24" s="33" t="n">
        <v>0</v>
      </c>
      <c r="NJ24" s="33" t="n">
        <v>0</v>
      </c>
      <c r="NK24" s="33" t="n">
        <v>0</v>
      </c>
      <c r="NL24" s="33" t="n">
        <v>0</v>
      </c>
      <c r="NM24" s="33" t="n">
        <v>0</v>
      </c>
      <c r="NN24" s="33" t="n">
        <v>0</v>
      </c>
      <c r="NO24" s="33" t="n">
        <v>0</v>
      </c>
      <c r="NP24" s="33" t="n">
        <v>0</v>
      </c>
      <c r="NQ24" s="33" t="n">
        <v>0</v>
      </c>
      <c r="NR24" s="33" t="n">
        <v>0</v>
      </c>
      <c r="NS24" s="33" t="n">
        <v>0</v>
      </c>
      <c r="NT24" s="33" t="n">
        <v>0</v>
      </c>
      <c r="NU24" s="33" t="n">
        <v>0</v>
      </c>
      <c r="NV24" s="33" t="n">
        <v>0</v>
      </c>
      <c r="NW24" s="33" t="n">
        <v>0</v>
      </c>
      <c r="NX24" s="33" t="n">
        <v>0</v>
      </c>
      <c r="NY24" s="33" t="n">
        <v>0</v>
      </c>
      <c r="NZ24" s="33" t="n">
        <v>0</v>
      </c>
      <c r="OA24" s="33" t="n">
        <v>0</v>
      </c>
      <c r="OB24" s="33" t="n">
        <v>0</v>
      </c>
      <c r="OC24" s="33" t="n">
        <v>0</v>
      </c>
      <c r="OD24" s="33" t="n">
        <v>0</v>
      </c>
      <c r="OE24" s="33" t="n">
        <v>0</v>
      </c>
      <c r="OF24" s="33" t="n">
        <v>0</v>
      </c>
      <c r="OG24" s="33" t="n">
        <v>0</v>
      </c>
      <c r="OH24" s="33" t="n">
        <v>0</v>
      </c>
      <c r="OI24" s="33" t="n">
        <v>0</v>
      </c>
      <c r="OJ24" s="33" t="n">
        <v>0</v>
      </c>
      <c r="OK24" s="33" t="n">
        <v>0</v>
      </c>
      <c r="OL24" s="33" t="n">
        <v>0</v>
      </c>
      <c r="OM24" s="33" t="n">
        <v>0</v>
      </c>
      <c r="ON24" s="33" t="n">
        <v>0</v>
      </c>
      <c r="OO24" s="33" t="n">
        <v>0</v>
      </c>
      <c r="OP24" s="33" t="n">
        <v>0</v>
      </c>
      <c r="OQ24" s="33" t="n">
        <v>0</v>
      </c>
      <c r="OR24" s="33" t="n">
        <v>0</v>
      </c>
      <c r="OS24" s="33" t="n">
        <v>0</v>
      </c>
      <c r="OT24" s="33" t="n">
        <v>0</v>
      </c>
      <c r="OU24" s="33" t="n">
        <v>0</v>
      </c>
      <c r="OV24" s="33" t="n">
        <v>0</v>
      </c>
      <c r="OW24" s="33" t="n">
        <v>0</v>
      </c>
      <c r="OX24" s="33" t="n">
        <v>0</v>
      </c>
      <c r="OY24" s="33" t="n">
        <v>0</v>
      </c>
      <c r="OZ24" s="33" t="n">
        <v>0</v>
      </c>
      <c r="PA24" s="33" t="n">
        <v>0</v>
      </c>
      <c r="PB24" s="33" t="n">
        <v>0</v>
      </c>
      <c r="PC24" s="33" t="n">
        <v>0</v>
      </c>
      <c r="PD24" s="33" t="n">
        <v>0</v>
      </c>
      <c r="PE24" s="33" t="n">
        <v>0</v>
      </c>
      <c r="PF24" s="33" t="n">
        <v>0</v>
      </c>
      <c r="PG24" s="33" t="n">
        <v>0</v>
      </c>
      <c r="PH24" s="33" t="n">
        <v>0</v>
      </c>
      <c r="PI24" s="33" t="n">
        <v>0</v>
      </c>
      <c r="PJ24" s="33" t="n">
        <v>0</v>
      </c>
      <c r="PK24" s="33" t="n">
        <v>0</v>
      </c>
      <c r="PL24" s="33" t="n">
        <v>0</v>
      </c>
      <c r="PM24" s="33" t="n">
        <v>0</v>
      </c>
      <c r="PN24" s="33" t="n">
        <v>0</v>
      </c>
      <c r="PO24" s="33" t="n">
        <v>0</v>
      </c>
      <c r="PP24" s="33" t="n">
        <v>0</v>
      </c>
      <c r="PQ24" s="33" t="n">
        <v>0</v>
      </c>
      <c r="PR24" s="33" t="n">
        <v>0</v>
      </c>
      <c r="PS24" s="33" t="n">
        <v>0</v>
      </c>
      <c r="PT24" s="33" t="n">
        <v>0</v>
      </c>
      <c r="PU24" s="33" t="n">
        <v>0</v>
      </c>
      <c r="PV24" s="33" t="n">
        <v>0</v>
      </c>
      <c r="PW24" s="33" t="n">
        <v>0</v>
      </c>
      <c r="PX24" s="33" t="n">
        <v>0</v>
      </c>
      <c r="PY24" s="33" t="n">
        <v>0</v>
      </c>
      <c r="PZ24" s="33" t="n">
        <v>0</v>
      </c>
      <c r="QA24" s="33" t="n">
        <v>0</v>
      </c>
      <c r="QB24" s="33" t="n">
        <v>0</v>
      </c>
      <c r="QC24" s="33" t="n">
        <v>0</v>
      </c>
      <c r="QD24" s="33" t="n">
        <v>0</v>
      </c>
      <c r="QE24" s="33" t="n">
        <v>0</v>
      </c>
      <c r="QF24" s="33" t="n">
        <v>0</v>
      </c>
      <c r="QG24" s="33" t="n">
        <v>0</v>
      </c>
      <c r="QH24" s="33" t="n">
        <v>0</v>
      </c>
      <c r="QI24" s="33" t="n">
        <v>0</v>
      </c>
      <c r="QJ24" s="33" t="n">
        <v>0</v>
      </c>
      <c r="QK24" s="33" t="n">
        <v>0</v>
      </c>
      <c r="QL24" s="33" t="n">
        <v>0</v>
      </c>
      <c r="QM24" s="33" t="n">
        <v>0</v>
      </c>
      <c r="QN24" s="33" t="n">
        <v>0</v>
      </c>
      <c r="QO24" s="33" t="n">
        <v>0</v>
      </c>
      <c r="QP24" s="33" t="n">
        <v>0</v>
      </c>
      <c r="QQ24" s="33" t="n">
        <v>0</v>
      </c>
      <c r="QR24" s="33" t="n">
        <v>0</v>
      </c>
      <c r="QS24" s="33" t="n">
        <v>0</v>
      </c>
      <c r="QT24" s="33" t="n">
        <v>0</v>
      </c>
      <c r="QU24" s="33" t="n">
        <v>0</v>
      </c>
      <c r="QV24" s="33" t="n">
        <v>0</v>
      </c>
      <c r="QW24" s="33" t="n">
        <v>0</v>
      </c>
      <c r="QX24" s="33" t="n">
        <v>0</v>
      </c>
      <c r="QY24" s="33" t="n">
        <v>0</v>
      </c>
      <c r="QZ24" s="33" t="n">
        <v>0</v>
      </c>
      <c r="RA24" s="33" t="n">
        <v>0</v>
      </c>
      <c r="RB24" s="33" t="n">
        <v>0</v>
      </c>
      <c r="RC24" s="33" t="n">
        <v>0</v>
      </c>
      <c r="RD24" s="33" t="n">
        <v>0</v>
      </c>
      <c r="RE24" s="33" t="n">
        <v>0</v>
      </c>
      <c r="RF24" s="33" t="n">
        <v>0</v>
      </c>
      <c r="RG24" s="33" t="n">
        <v>0</v>
      </c>
      <c r="RH24" s="33" t="n">
        <v>0</v>
      </c>
      <c r="RI24" s="33" t="n">
        <v>0</v>
      </c>
      <c r="RJ24" s="33" t="n">
        <v>0</v>
      </c>
      <c r="RK24" s="33" t="n">
        <v>0</v>
      </c>
      <c r="RL24" s="33" t="n">
        <v>0</v>
      </c>
      <c r="RM24" s="33" t="n">
        <v>0</v>
      </c>
      <c r="RN24" s="33" t="n">
        <v>0</v>
      </c>
      <c r="RO24" s="33" t="n">
        <v>0</v>
      </c>
      <c r="RP24" s="33" t="n">
        <v>0</v>
      </c>
      <c r="RQ24" s="33" t="n">
        <v>0</v>
      </c>
      <c r="RR24" s="33" t="n">
        <v>0</v>
      </c>
      <c r="RS24" s="33" t="n">
        <v>0</v>
      </c>
      <c r="RT24" s="33" t="n">
        <v>0</v>
      </c>
      <c r="RU24" s="33" t="n">
        <v>0</v>
      </c>
      <c r="RV24" s="33" t="n">
        <v>0</v>
      </c>
      <c r="RW24" s="33" t="n">
        <v>0</v>
      </c>
    </row>
    <row r="25" hidden="1" outlineLevel="1" ht="13.05" customHeight="1">
      <c r="E25" s="25" t="inlineStr">
        <is>
          <t>Gross Revenue</t>
        </is>
      </c>
      <c r="F25" s="26" t="n"/>
      <c r="G25" s="26" t="inlineStr">
        <is>
          <t>kEUR</t>
        </is>
      </c>
      <c r="H25" s="26" t="n"/>
      <c r="I25" s="26" t="n"/>
      <c r="J25" s="27" t="n">
        <v>3341718.495299425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6648.864239690722</v>
      </c>
      <c r="CR25" s="28" t="n">
        <v>6660.61344051335</v>
      </c>
      <c r="CS25" s="28" t="n">
        <v>6672.383403336072</v>
      </c>
      <c r="CT25" s="28" t="n">
        <v>6684.174164847397</v>
      </c>
      <c r="CU25" s="28" t="n">
        <v>6695.985761800663</v>
      </c>
      <c r="CV25" s="28" t="n">
        <v>6707.81823101416</v>
      </c>
      <c r="CW25" s="28" t="n">
        <v>6719.671609371232</v>
      </c>
      <c r="CX25" s="28" t="n">
        <v>6731.545933820411</v>
      </c>
      <c r="CY25" s="28" t="n">
        <v>6743.441241375506</v>
      </c>
      <c r="CZ25" s="28" t="n">
        <v>6755.357569115745</v>
      </c>
      <c r="DA25" s="28" t="n">
        <v>6767.294954185876</v>
      </c>
      <c r="DB25" s="28" t="n">
        <v>6779.253433796281</v>
      </c>
      <c r="DC25" s="28" t="n">
        <v>6791.233045223099</v>
      </c>
      <c r="DD25" s="28" t="n">
        <v>6803.233825808342</v>
      </c>
      <c r="DE25" s="28" t="n">
        <v>6815.255812960005</v>
      </c>
      <c r="DF25" s="28" t="n">
        <v>6827.299044152192</v>
      </c>
      <c r="DG25" s="28" t="n">
        <v>6839.363556925219</v>
      </c>
      <c r="DH25" s="28" t="n">
        <v>6851.449388885751</v>
      </c>
      <c r="DI25" s="28" t="n">
        <v>6863.556577706894</v>
      </c>
      <c r="DJ25" s="28" t="n">
        <v>6875.685161128338</v>
      </c>
      <c r="DK25" s="28" t="n">
        <v>6887.83517695646</v>
      </c>
      <c r="DL25" s="28" t="n">
        <v>6900.006663064437</v>
      </c>
      <c r="DM25" s="28" t="n">
        <v>6912.199657392382</v>
      </c>
      <c r="DN25" s="28" t="n">
        <v>6924.414197947443</v>
      </c>
      <c r="DO25" s="28" t="n">
        <v>6936.650322803939</v>
      </c>
      <c r="DP25" s="28" t="n">
        <v>6948.908070103462</v>
      </c>
      <c r="DQ25" s="28" t="n">
        <v>6961.187478055011</v>
      </c>
      <c r="DR25" s="28" t="n">
        <v>6973.488584935099</v>
      </c>
      <c r="DS25" s="28" t="n">
        <v>6985.81142908788</v>
      </c>
      <c r="DT25" s="28" t="n">
        <v>6998.156048925267</v>
      </c>
      <c r="DU25" s="28" t="n">
        <v>7010.522482927043</v>
      </c>
      <c r="DV25" s="28" t="n">
        <v>7022.910769641</v>
      </c>
      <c r="DW25" s="28" t="n">
        <v>7035.320947683039</v>
      </c>
      <c r="DX25" s="28" t="n">
        <v>7047.753055737304</v>
      </c>
      <c r="DY25" s="28" t="n">
        <v>7060.207132556295</v>
      </c>
      <c r="DZ25" s="28" t="n">
        <v>7072.683216960992</v>
      </c>
      <c r="EA25" s="28" t="n">
        <v>7085.181347840977</v>
      </c>
      <c r="EB25" s="28" t="n">
        <v>7097.701564154554</v>
      </c>
      <c r="EC25" s="28" t="n">
        <v>7110.243904928864</v>
      </c>
      <c r="ED25" s="28" t="n">
        <v>7122.808409260022</v>
      </c>
      <c r="EE25" s="28" t="n">
        <v>7135.395116313225</v>
      </c>
      <c r="EF25" s="28" t="n">
        <v>7148.004065322878</v>
      </c>
      <c r="EG25" s="28" t="n">
        <v>7160.635295592719</v>
      </c>
      <c r="EH25" s="28" t="n">
        <v>7173.288846495938</v>
      </c>
      <c r="EI25" s="28" t="n">
        <v>7185.964757475302</v>
      </c>
      <c r="EJ25" s="28" t="n">
        <v>7198.663068043278</v>
      </c>
      <c r="EK25" s="28" t="n">
        <v>7211.383817782156</v>
      </c>
      <c r="EL25" s="28" t="n">
        <v>7224.12704634417</v>
      </c>
      <c r="EM25" s="28" t="n">
        <v>7236.892793451622</v>
      </c>
      <c r="EN25" s="28" t="n">
        <v>7249.681098897012</v>
      </c>
      <c r="EO25" s="28" t="n">
        <v>7262.492002543152</v>
      </c>
      <c r="EP25" s="28" t="n">
        <v>7275.325544323303</v>
      </c>
      <c r="EQ25" s="28" t="n">
        <v>7288.181764241283</v>
      </c>
      <c r="ER25" s="28" t="n">
        <v>7301.060702371605</v>
      </c>
      <c r="ES25" s="28" t="n">
        <v>7313.962398859597</v>
      </c>
      <c r="ET25" s="28" t="n">
        <v>7326.886893921531</v>
      </c>
      <c r="EU25" s="28" t="n">
        <v>7339.834227844743</v>
      </c>
      <c r="EV25" s="28" t="n">
        <v>7352.804440987754</v>
      </c>
      <c r="EW25" s="28" t="n">
        <v>7365.797573780414</v>
      </c>
      <c r="EX25" s="28" t="n">
        <v>7378.813666724013</v>
      </c>
      <c r="EY25" s="28" t="n">
        <v>7391.852760391404</v>
      </c>
      <c r="EZ25" s="28" t="n">
        <v>7404.914895427146</v>
      </c>
      <c r="FA25" s="28" t="n">
        <v>7418.000112547608</v>
      </c>
      <c r="FB25" s="28" t="n">
        <v>7431.108452541125</v>
      </c>
      <c r="FC25" s="28" t="n">
        <v>7444.239956268097</v>
      </c>
      <c r="FD25" s="28" t="n">
        <v>7457.394664661137</v>
      </c>
      <c r="FE25" s="28" t="n">
        <v>7470.572618725178</v>
      </c>
      <c r="FF25" s="28" t="n">
        <v>7483.773859537627</v>
      </c>
      <c r="FG25" s="28" t="n">
        <v>7496.998428248468</v>
      </c>
      <c r="FH25" s="28" t="n">
        <v>7510.246366080405</v>
      </c>
      <c r="FI25" s="28" t="n">
        <v>7523.517714328989</v>
      </c>
      <c r="FJ25" s="28" t="n">
        <v>7536.81251436274</v>
      </c>
      <c r="FK25" s="28" t="n">
        <v>7550.130807623284</v>
      </c>
      <c r="FL25" s="28" t="n">
        <v>7563.472635625477</v>
      </c>
      <c r="FM25" s="28" t="n">
        <v>7576.838039957534</v>
      </c>
      <c r="FN25" s="28" t="n">
        <v>7590.22706228116</v>
      </c>
      <c r="FO25" s="28" t="n">
        <v>7603.639744331688</v>
      </c>
      <c r="FP25" s="28" t="n">
        <v>7617.076127918191</v>
      </c>
      <c r="FQ25" s="28" t="n">
        <v>7630.536254923631</v>
      </c>
      <c r="FR25" s="28" t="n">
        <v>7644.020167304975</v>
      </c>
      <c r="FS25" s="28" t="n">
        <v>7657.527907093337</v>
      </c>
      <c r="FT25" s="28" t="n">
        <v>7671.059516394102</v>
      </c>
      <c r="FU25" s="28" t="n">
        <v>7684.615037387058</v>
      </c>
      <c r="FV25" s="28" t="n">
        <v>7698.194512326534</v>
      </c>
      <c r="FW25" s="28" t="n">
        <v>7711.797983541519</v>
      </c>
      <c r="FX25" s="28" t="n">
        <v>7725.425493435806</v>
      </c>
      <c r="FY25" s="28" t="n">
        <v>7739.077084488123</v>
      </c>
      <c r="FZ25" s="28" t="n">
        <v>7752.752799252256</v>
      </c>
      <c r="GA25" s="28" t="n">
        <v>7766.452680357191</v>
      </c>
      <c r="GB25" s="28" t="n">
        <v>7780.176770507239</v>
      </c>
      <c r="GC25" s="28" t="n">
        <v>7793.925112482183</v>
      </c>
      <c r="GD25" s="28" t="n">
        <v>7807.697749137393</v>
      </c>
      <c r="GE25" s="28" t="n">
        <v>7821.494723403974</v>
      </c>
      <c r="GF25" s="28" t="n">
        <v>7835.316078288888</v>
      </c>
      <c r="GG25" s="28" t="n">
        <v>7849.161856875108</v>
      </c>
      <c r="GH25" s="28" t="n">
        <v>7863.032102321725</v>
      </c>
      <c r="GI25" s="28" t="n">
        <v>7876.926857864099</v>
      </c>
      <c r="GJ25" s="28" t="n">
        <v>7890.846166814001</v>
      </c>
      <c r="GK25" s="28" t="n">
        <v>7904.790072559726</v>
      </c>
      <c r="GL25" s="28" t="n">
        <v>7918.758618566245</v>
      </c>
      <c r="GM25" s="28" t="n">
        <v>7932.751848375339</v>
      </c>
      <c r="GN25" s="28" t="n">
        <v>7946.769805605726</v>
      </c>
      <c r="GO25" s="28" t="n">
        <v>7960.812533953207</v>
      </c>
      <c r="GP25" s="28" t="n">
        <v>7974.880077190795</v>
      </c>
      <c r="GQ25" s="28" t="n">
        <v>7988.97247916886</v>
      </c>
      <c r="GR25" s="28" t="n">
        <v>8003.08978381525</v>
      </c>
      <c r="GS25" s="28" t="n">
        <v>8017.232035135446</v>
      </c>
      <c r="GT25" s="28" t="n">
        <v>8031.399277212688</v>
      </c>
      <c r="GU25" s="28" t="n">
        <v>8045.591554208117</v>
      </c>
      <c r="GV25" s="28" t="n">
        <v>8059.808910360906</v>
      </c>
      <c r="GW25" s="28" t="n">
        <v>8074.051389988411</v>
      </c>
      <c r="GX25" s="28" t="n">
        <v>8088.319037486295</v>
      </c>
      <c r="GY25" s="28" t="n">
        <v>8102.611897328675</v>
      </c>
      <c r="GZ25" s="28" t="n">
        <v>8116.930014068257</v>
      </c>
      <c r="HA25" s="28" t="n">
        <v>8131.27343233648</v>
      </c>
      <c r="HB25" s="28" t="n">
        <v>8145.642196843644</v>
      </c>
      <c r="HC25" s="28" t="n">
        <v>8160.036352379061</v>
      </c>
      <c r="HD25" s="28" t="n">
        <v>8174.455943811193</v>
      </c>
      <c r="HE25" s="28" t="n">
        <v>8188.901016087784</v>
      </c>
      <c r="HF25" s="28" t="n">
        <v>8203.371614236004</v>
      </c>
      <c r="HG25" s="28" t="n">
        <v>8217.867783362595</v>
      </c>
      <c r="HH25" s="28" t="n">
        <v>8232.389568654009</v>
      </c>
      <c r="HI25" s="28" t="n">
        <v>8246.937015376538</v>
      </c>
      <c r="HJ25" s="28" t="n">
        <v>8261.51016887647</v>
      </c>
      <c r="HK25" s="28" t="n">
        <v>8276.109074580225</v>
      </c>
      <c r="HL25" s="28" t="n">
        <v>8290.733777994494</v>
      </c>
      <c r="HM25" s="28" t="n">
        <v>8305.384324706383</v>
      </c>
      <c r="HN25" s="28" t="n">
        <v>8320.060760383558</v>
      </c>
      <c r="HO25" s="28" t="n">
        <v>8334.76313077438</v>
      </c>
      <c r="HP25" s="28" t="n">
        <v>8349.491481708052</v>
      </c>
      <c r="HQ25" s="28" t="n">
        <v>8364.245859094764</v>
      </c>
      <c r="HR25" s="28" t="n">
        <v>8379.026308925833</v>
      </c>
      <c r="HS25" s="28" t="n">
        <v>8393.832877273848</v>
      </c>
      <c r="HT25" s="28" t="n">
        <v>8408.665610292812</v>
      </c>
      <c r="HU25" s="28" t="n">
        <v>8423.524554218286</v>
      </c>
      <c r="HV25" s="28" t="n">
        <v>8438.409755367536</v>
      </c>
      <c r="HW25" s="28" t="n">
        <v>8453.321260139675</v>
      </c>
      <c r="HX25" s="28" t="n">
        <v>8468.259115015802</v>
      </c>
      <c r="HY25" s="28" t="n">
        <v>8483.223366559161</v>
      </c>
      <c r="HZ25" s="28" t="n">
        <v>8498.214061415272</v>
      </c>
      <c r="IA25" s="28" t="n">
        <v>8513.231246312087</v>
      </c>
      <c r="IB25" s="28" t="n">
        <v>8528.274968060125</v>
      </c>
      <c r="IC25" s="28" t="n">
        <v>8543.345273552632</v>
      </c>
      <c r="ID25" s="28" t="n">
        <v>8558.442209765708</v>
      </c>
      <c r="IE25" s="28" t="n">
        <v>8573.565823758474</v>
      </c>
      <c r="IF25" s="28" t="n">
        <v>8588.716162673205</v>
      </c>
      <c r="IG25" s="28" t="n">
        <v>8603.893273735486</v>
      </c>
      <c r="IH25" s="28" t="n">
        <v>8619.097204254344</v>
      </c>
      <c r="II25" s="28" t="n">
        <v>8634.328001622414</v>
      </c>
      <c r="IJ25" s="28" t="n">
        <v>8649.585713316075</v>
      </c>
      <c r="IK25" s="28" t="n">
        <v>8664.870386895609</v>
      </c>
      <c r="IL25" s="28" t="n">
        <v>8680.182070005323</v>
      </c>
      <c r="IM25" s="28" t="n">
        <v>8695.520810373742</v>
      </c>
      <c r="IN25" s="28" t="n">
        <v>8710.886655813714</v>
      </c>
      <c r="IO25" s="28" t="n">
        <v>8726.279654222575</v>
      </c>
      <c r="IP25" s="28" t="n">
        <v>8741.699853582317</v>
      </c>
      <c r="IQ25" s="28" t="n">
        <v>8757.147301959702</v>
      </c>
      <c r="IR25" s="28" t="n">
        <v>8772.622047506447</v>
      </c>
      <c r="IS25" s="28" t="n">
        <v>8788.124138459345</v>
      </c>
      <c r="IT25" s="28" t="n">
        <v>8803.653623140439</v>
      </c>
      <c r="IU25" s="28" t="n">
        <v>8819.210549957155</v>
      </c>
      <c r="IV25" s="28" t="n">
        <v>8834.794967402457</v>
      </c>
      <c r="IW25" s="28" t="n">
        <v>8850.406924055011</v>
      </c>
      <c r="IX25" s="28" t="n">
        <v>8866.046468579318</v>
      </c>
      <c r="IY25" s="28" t="n">
        <v>8881.713649725869</v>
      </c>
      <c r="IZ25" s="28" t="n">
        <v>8897.408516331321</v>
      </c>
      <c r="JA25" s="28" t="n">
        <v>8913.131117318617</v>
      </c>
      <c r="JB25" s="28" t="n">
        <v>8928.881501697146</v>
      </c>
      <c r="JC25" s="28" t="n">
        <v>8944.659718562914</v>
      </c>
      <c r="JD25" s="28" t="n">
        <v>8960.46581709868</v>
      </c>
      <c r="JE25" s="28" t="n">
        <v>8976.299846574104</v>
      </c>
      <c r="JF25" s="28" t="n">
        <v>8992.161856345934</v>
      </c>
      <c r="JG25" s="28" t="n">
        <v>9008.051895858112</v>
      </c>
      <c r="JH25" s="28" t="n">
        <v>9023.970014641962</v>
      </c>
      <c r="JI25" s="28" t="n">
        <v>9039.916262316336</v>
      </c>
      <c r="JJ25" s="28" t="n">
        <v>9055.89068858777</v>
      </c>
      <c r="JK25" s="28" t="n">
        <v>9071.893343250624</v>
      </c>
      <c r="JL25" s="28" t="n">
        <v>9087.924276187267</v>
      </c>
      <c r="JM25" s="28" t="n">
        <v>9103.9835373682</v>
      </c>
      <c r="JN25" s="28" t="n">
        <v>9120.071176852236</v>
      </c>
      <c r="JO25" s="28" t="n">
        <v>9136.187244786643</v>
      </c>
      <c r="JP25" s="28" t="n">
        <v>9152.331791407303</v>
      </c>
      <c r="JQ25" s="28" t="n">
        <v>9168.504867038873</v>
      </c>
      <c r="JR25" s="28" t="n">
        <v>9184.706522094941</v>
      </c>
      <c r="JS25" s="28" t="n">
        <v>9200.936807078175</v>
      </c>
      <c r="JT25" s="28" t="n">
        <v>9217.19577258048</v>
      </c>
      <c r="JU25" s="28" t="n">
        <v>9233.483469283185</v>
      </c>
      <c r="JV25" s="28" t="n">
        <v>9249.799947957154</v>
      </c>
      <c r="JW25" s="28" t="n">
        <v>9266.145259462979</v>
      </c>
      <c r="JX25" s="28" t="n">
        <v>9282.519454751126</v>
      </c>
      <c r="JY25" s="28" t="n">
        <v>9298.922584862097</v>
      </c>
      <c r="JZ25" s="28" t="n">
        <v>9315.354700926582</v>
      </c>
      <c r="KA25" s="28" t="n">
        <v>9331.815854165636</v>
      </c>
      <c r="KB25" s="28" t="n">
        <v>9348.30609589081</v>
      </c>
      <c r="KC25" s="28" t="n">
        <v>9364.825477504344</v>
      </c>
      <c r="KD25" s="28" t="n">
        <v>9381.374050499298</v>
      </c>
      <c r="KE25" s="28" t="n">
        <v>9397.951866459734</v>
      </c>
      <c r="KF25" s="28" t="n">
        <v>9414.55897706086</v>
      </c>
      <c r="KG25" s="28" t="n">
        <v>9431.19543406921</v>
      </c>
      <c r="KH25" s="28" t="n">
        <v>9447.861289342787</v>
      </c>
      <c r="KI25" s="28" t="n">
        <v>9464.556594831229</v>
      </c>
      <c r="KJ25" s="28" t="n">
        <v>9481.281402575984</v>
      </c>
      <c r="KK25" s="28" t="n">
        <v>9498.035764710456</v>
      </c>
      <c r="KL25" s="28" t="n">
        <v>9514.819733460174</v>
      </c>
      <c r="KM25" s="28" t="n">
        <v>9531.633361142956</v>
      </c>
      <c r="KN25" s="28" t="n">
        <v>9548.476700169076</v>
      </c>
      <c r="KO25" s="28" t="n">
        <v>9565.349803041405</v>
      </c>
      <c r="KP25" s="28" t="n">
        <v>9582.252722355612</v>
      </c>
      <c r="KQ25" s="28" t="n">
        <v>9599.185510800304</v>
      </c>
      <c r="KR25" s="28" t="n">
        <v>9616.148221157178</v>
      </c>
      <c r="KS25" s="28" t="n">
        <v>9633.140906301214</v>
      </c>
      <c r="KT25" s="28" t="n">
        <v>9650.163619200837</v>
      </c>
      <c r="KU25" s="28" t="n">
        <v>9667.216412918055</v>
      </c>
      <c r="KV25" s="28" t="n">
        <v>9684.299340608641</v>
      </c>
      <c r="KW25" s="28" t="n">
        <v>9701.412455522319</v>
      </c>
      <c r="KX25" s="28" t="n">
        <v>9718.555811002891</v>
      </c>
      <c r="KY25" s="28" t="n">
        <v>9735.72946048843</v>
      </c>
      <c r="KZ25" s="28" t="n">
        <v>9752.933457511443</v>
      </c>
      <c r="LA25" s="28" t="n">
        <v>9770.167855699028</v>
      </c>
      <c r="LB25" s="28" t="n">
        <v>9787.432708773056</v>
      </c>
      <c r="LC25" s="28" t="n">
        <v>9804.728070550314</v>
      </c>
      <c r="LD25" s="28" t="n">
        <v>9822.053994942704</v>
      </c>
      <c r="LE25" s="28" t="n">
        <v>9839.410535957393</v>
      </c>
      <c r="LF25" s="28" t="n">
        <v>9856.797747696977</v>
      </c>
      <c r="LG25" s="28" t="n">
        <v>9874.21568435966</v>
      </c>
      <c r="LH25" s="28" t="n">
        <v>9891.664400239422</v>
      </c>
      <c r="LI25" s="28" t="n">
        <v>9909.143949726187</v>
      </c>
      <c r="LJ25" s="28" t="n">
        <v>9926.654387305991</v>
      </c>
      <c r="LK25" s="28" t="n">
        <v>9944.195767561137</v>
      </c>
      <c r="LL25" s="28" t="n">
        <v>9961.768145170408</v>
      </c>
      <c r="LM25" s="28" t="n">
        <v>9979.371574909183</v>
      </c>
      <c r="LN25" s="28" t="n">
        <v>9997.006111649656</v>
      </c>
      <c r="LO25" s="28" t="n">
        <v>10014.67181036097</v>
      </c>
      <c r="LP25" s="28" t="n">
        <v>10032.36872610942</v>
      </c>
      <c r="LQ25" s="28" t="n">
        <v>10050.09691405858</v>
      </c>
      <c r="LR25" s="28" t="n">
        <v>10067.85642946954</v>
      </c>
      <c r="LS25" s="28" t="n">
        <v>10085.64732770101</v>
      </c>
      <c r="LT25" s="28" t="n">
        <v>10103.46966420955</v>
      </c>
      <c r="LU25" s="28" t="n">
        <v>10121.3234945497</v>
      </c>
      <c r="LV25" s="28" t="n">
        <v>10139.20887437418</v>
      </c>
      <c r="LW25" s="28" t="n">
        <v>10157.12585943404</v>
      </c>
      <c r="LX25" s="28" t="n">
        <v>10175.07450557887</v>
      </c>
      <c r="LY25" s="28" t="n">
        <v>10193.05486875693</v>
      </c>
      <c r="LZ25" s="28" t="n">
        <v>10211.06700501535</v>
      </c>
      <c r="MA25" s="28" t="n">
        <v>10229.11097050032</v>
      </c>
      <c r="MB25" s="28" t="n">
        <v>10247.18682145723</v>
      </c>
      <c r="MC25" s="28" t="n">
        <v>10265.29461423086</v>
      </c>
      <c r="MD25" s="28" t="n">
        <v>10283.43440526555</v>
      </c>
      <c r="ME25" s="28" t="n">
        <v>10301.60625110541</v>
      </c>
      <c r="MF25" s="28" t="n">
        <v>10319.81020839444</v>
      </c>
      <c r="MG25" s="28" t="n">
        <v>10338.04633387675</v>
      </c>
      <c r="MH25" s="28" t="n">
        <v>10356.31468439671</v>
      </c>
      <c r="MI25" s="28" t="n">
        <v>10374.61531689917</v>
      </c>
      <c r="MJ25" s="28" t="n">
        <v>10392.94828842957</v>
      </c>
      <c r="MK25" s="28" t="n">
        <v>10411.31365613418</v>
      </c>
      <c r="ML25" s="28" t="n">
        <v>10429.71147726025</v>
      </c>
      <c r="MM25" s="28" t="n">
        <v>10448.14180915616</v>
      </c>
      <c r="MN25" s="28" t="n">
        <v>10466.60470927169</v>
      </c>
      <c r="MO25" s="28" t="n">
        <v>10485.10023515808</v>
      </c>
      <c r="MP25" s="28" t="n">
        <v>10503.6284444683</v>
      </c>
      <c r="MQ25" s="28" t="n">
        <v>10522.1893949572</v>
      </c>
      <c r="MR25" s="28" t="n">
        <v>10540.78314448168</v>
      </c>
      <c r="MS25" s="28" t="n">
        <v>10559.40975100088</v>
      </c>
      <c r="MT25" s="28" t="n">
        <v>10578.06927257636</v>
      </c>
      <c r="MU25" s="28" t="n">
        <v>10596.76176737228</v>
      </c>
      <c r="MV25" s="28" t="n">
        <v>10615.48729365557</v>
      </c>
      <c r="MW25" s="28" t="n">
        <v>10634.24590979616</v>
      </c>
      <c r="MX25" s="28" t="n">
        <v>10653.03767426708</v>
      </c>
      <c r="MY25" s="28" t="n">
        <v>10671.86264564472</v>
      </c>
      <c r="MZ25" s="28" t="n">
        <v>10690.72088260896</v>
      </c>
      <c r="NA25" s="28" t="n">
        <v>10709.6124439434</v>
      </c>
      <c r="NB25" s="28" t="n">
        <v>10728.53738853548</v>
      </c>
      <c r="NC25" s="28" t="n">
        <v>10747.49577537672</v>
      </c>
      <c r="ND25" s="28" t="n">
        <v>10766.4876635629</v>
      </c>
      <c r="NE25" s="28" t="n">
        <v>10785.51311229419</v>
      </c>
      <c r="NF25" s="28" t="n">
        <v>10804.5721808754</v>
      </c>
      <c r="NG25" s="28" t="n">
        <v>10823.66492871613</v>
      </c>
      <c r="NH25" s="28" t="n">
        <v>10842.79141533097</v>
      </c>
      <c r="NI25" s="28" t="n">
        <v>10861.95170033967</v>
      </c>
      <c r="NJ25" s="28" t="n">
        <v>10881.14584346732</v>
      </c>
      <c r="NK25" s="28" t="n">
        <v>10900.37390454459</v>
      </c>
      <c r="NL25" s="28" t="n">
        <v>10919.63594350783</v>
      </c>
      <c r="NM25" s="28" t="n">
        <v>10938.93202039934</v>
      </c>
      <c r="NN25" s="28" t="n">
        <v>10958.2621953675</v>
      </c>
      <c r="NO25" s="28" t="n">
        <v>10977.62652866698</v>
      </c>
      <c r="NP25" s="28" t="n">
        <v>10997.02508065894</v>
      </c>
      <c r="NQ25" s="28" t="n">
        <v>11016.45791181119</v>
      </c>
      <c r="NR25" s="28" t="n">
        <v>11035.92508269839</v>
      </c>
      <c r="NS25" s="28" t="n">
        <v>11055.42665400227</v>
      </c>
      <c r="NT25" s="28" t="n">
        <v>11074.96268651175</v>
      </c>
      <c r="NU25" s="28" t="n">
        <v>11094.53324112319</v>
      </c>
      <c r="NV25" s="28" t="n">
        <v>11114.13837884057</v>
      </c>
      <c r="NW25" s="28" t="n">
        <v>11133.77816077565</v>
      </c>
      <c r="NX25" s="28" t="n">
        <v>11153.45264814819</v>
      </c>
      <c r="NY25" s="28" t="n">
        <v>11173.16190228614</v>
      </c>
      <c r="NZ25" s="28" t="n">
        <v>11192.9059846258</v>
      </c>
      <c r="OA25" s="28" t="n">
        <v>11212.68495671206</v>
      </c>
      <c r="OB25" s="28" t="n">
        <v>11232.49888019855</v>
      </c>
      <c r="OC25" s="28" t="n">
        <v>11252.34781684784</v>
      </c>
      <c r="OD25" s="28" t="n">
        <v>11272.23182853167</v>
      </c>
      <c r="OE25" s="28" t="n">
        <v>11292.15097723109</v>
      </c>
      <c r="OF25" s="28" t="n">
        <v>11312.10532503668</v>
      </c>
      <c r="OG25" s="28" t="n">
        <v>11332.09493414874</v>
      </c>
      <c r="OH25" s="28" t="n">
        <v>11352.11986687749</v>
      </c>
      <c r="OI25" s="28" t="n">
        <v>11372.18018564326</v>
      </c>
      <c r="OJ25" s="28" t="n">
        <v>11392.27595297666</v>
      </c>
      <c r="OK25" s="28" t="n">
        <v>11412.40723151884</v>
      </c>
      <c r="OL25" s="28" t="n">
        <v>11432.5740840216</v>
      </c>
      <c r="OM25" s="28" t="n">
        <v>11452.77657334765</v>
      </c>
      <c r="ON25" s="28" t="n">
        <v>11473.0147624708</v>
      </c>
      <c r="OO25" s="28" t="n">
        <v>11493.2887144761</v>
      </c>
      <c r="OP25" s="28" t="n">
        <v>11513.59849256011</v>
      </c>
      <c r="OQ25" s="28" t="n">
        <v>11533.94416003105</v>
      </c>
      <c r="OR25" s="28" t="n">
        <v>11554.32578030903</v>
      </c>
      <c r="OS25" s="28" t="n">
        <v>11574.7434169262</v>
      </c>
      <c r="OT25" s="28" t="n">
        <v>11595.19713352701</v>
      </c>
      <c r="OU25" s="28" t="n">
        <v>11615.68699386834</v>
      </c>
      <c r="OV25" s="28" t="n">
        <v>11636.21306181978</v>
      </c>
      <c r="OW25" s="28" t="n">
        <v>11656.77540136374</v>
      </c>
      <c r="OX25" s="28" t="n">
        <v>11677.37407659571</v>
      </c>
      <c r="OY25" s="28" t="n">
        <v>11698.00915172446</v>
      </c>
      <c r="OZ25" s="28" t="n">
        <v>11718.6806910722</v>
      </c>
      <c r="PA25" s="28" t="n">
        <v>11739.38875907482</v>
      </c>
      <c r="PB25" s="28" t="n">
        <v>11760.13342028205</v>
      </c>
      <c r="PC25" s="28" t="n">
        <v>11780.91473935772</v>
      </c>
      <c r="PD25" s="28" t="n">
        <v>11801.73278107989</v>
      </c>
      <c r="PE25" s="28" t="n">
        <v>11822.58761034113</v>
      </c>
      <c r="PF25" s="28" t="n">
        <v>11843.47929214865</v>
      </c>
      <c r="PG25" s="28" t="n">
        <v>11864.40789162454</v>
      </c>
      <c r="PH25" s="28" t="n">
        <v>11885.37347400599</v>
      </c>
      <c r="PI25" s="28" t="n">
        <v>11906.37610464544</v>
      </c>
      <c r="PJ25" s="28" t="n">
        <v>11927.41584901081</v>
      </c>
      <c r="PK25" s="28" t="n">
        <v>11948.49277268576</v>
      </c>
      <c r="PL25" s="28" t="n">
        <v>11969.60694136979</v>
      </c>
      <c r="PM25" s="28" t="n">
        <v>11990.7584208785</v>
      </c>
      <c r="PN25" s="28" t="n">
        <v>12011.94727714384</v>
      </c>
      <c r="PO25" s="28" t="n">
        <v>12033.17357621421</v>
      </c>
      <c r="PP25" s="28" t="n">
        <v>12054.43738425476</v>
      </c>
      <c r="PQ25" s="28" t="n">
        <v>12075.73876754756</v>
      </c>
      <c r="PR25" s="28" t="n">
        <v>12097.07779249178</v>
      </c>
      <c r="PS25" s="28" t="n">
        <v>12118.45452560396</v>
      </c>
      <c r="PT25" s="28" t="n">
        <v>12139.86903351814</v>
      </c>
      <c r="PU25" s="28" t="n">
        <v>12161.32138298616</v>
      </c>
      <c r="PV25" s="28" t="n">
        <v>12182.81164087776</v>
      </c>
      <c r="PW25" s="28" t="n">
        <v>12204.3398741809</v>
      </c>
      <c r="PX25" s="28" t="n">
        <v>12225.90615000187</v>
      </c>
      <c r="PY25" s="28" t="n">
        <v>12247.51053556557</v>
      </c>
      <c r="PZ25" s="28" t="n">
        <v>12269.15309821568</v>
      </c>
      <c r="QA25" s="28" t="n">
        <v>12290.8339054149</v>
      </c>
      <c r="QB25" s="28" t="n">
        <v>12312.55302474512</v>
      </c>
      <c r="QC25" s="28" t="n">
        <v>12334.31052390767</v>
      </c>
      <c r="QD25" s="28" t="n">
        <v>12356.10647072351</v>
      </c>
      <c r="QE25" s="28" t="n">
        <v>12377.94093313345</v>
      </c>
      <c r="QF25" s="28" t="n">
        <v>12399.81397919835</v>
      </c>
      <c r="QG25" s="28" t="n">
        <v>12421.72567709935</v>
      </c>
      <c r="QH25" s="28" t="n">
        <v>12443.67609513805</v>
      </c>
      <c r="QI25" s="28" t="n">
        <v>12465.66530173679</v>
      </c>
      <c r="QJ25" s="28" t="n">
        <v>12487.69336543878</v>
      </c>
      <c r="QK25" s="28" t="n">
        <v>12509.76035490836</v>
      </c>
      <c r="QL25" s="28" t="n">
        <v>12531.86633893122</v>
      </c>
      <c r="QM25" s="28" t="n">
        <v>0</v>
      </c>
      <c r="QN25" s="28" t="n">
        <v>0</v>
      </c>
      <c r="QO25" s="28" t="n">
        <v>0</v>
      </c>
      <c r="QP25" s="28" t="n">
        <v>0</v>
      </c>
      <c r="QQ25" s="28" t="n">
        <v>0</v>
      </c>
      <c r="QR25" s="28" t="n">
        <v>0</v>
      </c>
      <c r="QS25" s="28" t="n">
        <v>0</v>
      </c>
      <c r="QT25" s="28" t="n">
        <v>0</v>
      </c>
      <c r="QU25" s="28" t="n">
        <v>0</v>
      </c>
      <c r="QV25" s="28" t="n">
        <v>0</v>
      </c>
      <c r="QW25" s="28" t="n">
        <v>0</v>
      </c>
      <c r="QX25" s="28" t="n">
        <v>0</v>
      </c>
      <c r="QY25" s="28" t="n">
        <v>0</v>
      </c>
      <c r="QZ25" s="28" t="n">
        <v>0</v>
      </c>
      <c r="RA25" s="28" t="n">
        <v>0</v>
      </c>
      <c r="RB25" s="28" t="n">
        <v>0</v>
      </c>
      <c r="RC25" s="28" t="n">
        <v>0</v>
      </c>
      <c r="RD25" s="28" t="n">
        <v>0</v>
      </c>
      <c r="RE25" s="28" t="n">
        <v>0</v>
      </c>
      <c r="RF25" s="28" t="n">
        <v>0</v>
      </c>
      <c r="RG25" s="28" t="n">
        <v>0</v>
      </c>
      <c r="RH25" s="28" t="n">
        <v>0</v>
      </c>
      <c r="RI25" s="28" t="n">
        <v>0</v>
      </c>
      <c r="RJ25" s="28" t="n">
        <v>0</v>
      </c>
      <c r="RK25" s="28" t="n">
        <v>0</v>
      </c>
      <c r="RL25" s="28" t="n">
        <v>0</v>
      </c>
      <c r="RM25" s="28" t="n">
        <v>0</v>
      </c>
      <c r="RN25" s="28" t="n">
        <v>0</v>
      </c>
      <c r="RO25" s="28" t="n">
        <v>0</v>
      </c>
      <c r="RP25" s="28" t="n">
        <v>0</v>
      </c>
      <c r="RQ25" s="28" t="n">
        <v>0</v>
      </c>
      <c r="RR25" s="28" t="n">
        <v>0</v>
      </c>
      <c r="RS25" s="28" t="n">
        <v>0</v>
      </c>
      <c r="RT25" s="28" t="n">
        <v>0</v>
      </c>
      <c r="RU25" s="28" t="n">
        <v>0</v>
      </c>
      <c r="RV25" s="28" t="n">
        <v>0</v>
      </c>
      <c r="RW25" s="28" t="n">
        <v>0</v>
      </c>
    </row>
    <row r="26" hidden="1" outlineLevel="1" ht="13.05" customHeight="1">
      <c r="E26" s="21" t="inlineStr">
        <is>
          <t>Total Costs</t>
        </is>
      </c>
      <c r="F26" s="29" t="n"/>
      <c r="G26" s="29" t="inlineStr">
        <is>
          <t>kEUR</t>
        </is>
      </c>
      <c r="H26" s="29" t="n"/>
      <c r="I26" s="29" t="n"/>
      <c r="J26" s="32" t="n">
        <v>0</v>
      </c>
      <c r="K26" s="29" t="n"/>
      <c r="L26" s="33" t="n">
        <v>0</v>
      </c>
      <c r="M26" s="33" t="n">
        <v>0</v>
      </c>
      <c r="N26" s="33" t="n">
        <v>0</v>
      </c>
      <c r="O26" s="33" t="n">
        <v>0</v>
      </c>
      <c r="P26" s="33" t="n">
        <v>0</v>
      </c>
      <c r="Q26" s="33" t="n">
        <v>0</v>
      </c>
      <c r="R26" s="33" t="n">
        <v>0</v>
      </c>
      <c r="S26" s="33" t="n">
        <v>0</v>
      </c>
      <c r="T26" s="33" t="n">
        <v>0</v>
      </c>
      <c r="U26" s="33" t="n">
        <v>0</v>
      </c>
      <c r="V26" s="33" t="n">
        <v>0</v>
      </c>
      <c r="W26" s="33" t="n">
        <v>0</v>
      </c>
      <c r="X26" s="33" t="n">
        <v>0</v>
      </c>
      <c r="Y26" s="33" t="n">
        <v>0</v>
      </c>
      <c r="Z26" s="33" t="n">
        <v>0</v>
      </c>
      <c r="AA26" s="33" t="n">
        <v>0</v>
      </c>
      <c r="AB26" s="33" t="n">
        <v>0</v>
      </c>
      <c r="AC26" s="33" t="n">
        <v>0</v>
      </c>
      <c r="AD26" s="33" t="n">
        <v>0</v>
      </c>
      <c r="AE26" s="33" t="n">
        <v>0</v>
      </c>
      <c r="AF26" s="33" t="n">
        <v>0</v>
      </c>
      <c r="AG26" s="33" t="n">
        <v>0</v>
      </c>
      <c r="AH26" s="33" t="n">
        <v>0</v>
      </c>
      <c r="AI26" s="33" t="n">
        <v>0</v>
      </c>
      <c r="AJ26" s="33" t="n">
        <v>0</v>
      </c>
      <c r="AK26" s="33" t="n">
        <v>0</v>
      </c>
      <c r="AL26" s="33" t="n">
        <v>0</v>
      </c>
      <c r="AM26" s="33" t="n">
        <v>0</v>
      </c>
      <c r="AN26" s="33" t="n">
        <v>0</v>
      </c>
      <c r="AO26" s="33" t="n">
        <v>0</v>
      </c>
      <c r="AP26" s="33" t="n">
        <v>0</v>
      </c>
      <c r="AQ26" s="33" t="n">
        <v>0</v>
      </c>
      <c r="AR26" s="33" t="n">
        <v>0</v>
      </c>
      <c r="AS26" s="33" t="n">
        <v>0</v>
      </c>
      <c r="AT26" s="33" t="n">
        <v>0</v>
      </c>
      <c r="AU26" s="33" t="n">
        <v>0</v>
      </c>
      <c r="AV26" s="33" t="n">
        <v>0</v>
      </c>
      <c r="AW26" s="33" t="n">
        <v>0</v>
      </c>
      <c r="AX26" s="33" t="n">
        <v>0</v>
      </c>
      <c r="AY26" s="33" t="n">
        <v>0</v>
      </c>
      <c r="AZ26" s="33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3" t="n">
        <v>0</v>
      </c>
      <c r="BM26" s="33" t="n">
        <v>0</v>
      </c>
      <c r="BN26" s="33" t="n">
        <v>0</v>
      </c>
      <c r="BO26" s="33" t="n">
        <v>0</v>
      </c>
      <c r="BP26" s="33" t="n">
        <v>0</v>
      </c>
      <c r="BQ26" s="33" t="n">
        <v>0</v>
      </c>
      <c r="BR26" s="33" t="n">
        <v>0</v>
      </c>
      <c r="BS26" s="33" t="n">
        <v>0</v>
      </c>
      <c r="BT26" s="33" t="n">
        <v>0</v>
      </c>
      <c r="BU26" s="33" t="n">
        <v>0</v>
      </c>
      <c r="BV26" s="33" t="n">
        <v>0</v>
      </c>
      <c r="BW26" s="33" t="n">
        <v>0</v>
      </c>
      <c r="BX26" s="33" t="n">
        <v>0</v>
      </c>
      <c r="BY26" s="33" t="n">
        <v>0</v>
      </c>
      <c r="BZ26" s="33" t="n">
        <v>0</v>
      </c>
      <c r="CA26" s="33" t="n">
        <v>0</v>
      </c>
      <c r="CB26" s="33" t="n">
        <v>0</v>
      </c>
      <c r="CC26" s="33" t="n">
        <v>0</v>
      </c>
      <c r="CD26" s="33" t="n">
        <v>0</v>
      </c>
      <c r="CE26" s="33" t="n">
        <v>0</v>
      </c>
      <c r="CF26" s="33" t="n">
        <v>0</v>
      </c>
      <c r="CG26" s="33" t="n">
        <v>0</v>
      </c>
      <c r="CH26" s="33" t="n">
        <v>0</v>
      </c>
      <c r="CI26" s="33" t="n">
        <v>0</v>
      </c>
      <c r="CJ26" s="33" t="n">
        <v>0</v>
      </c>
      <c r="CK26" s="33" t="n">
        <v>0</v>
      </c>
      <c r="CL26" s="33" t="n">
        <v>0</v>
      </c>
      <c r="CM26" s="33" t="n">
        <v>0</v>
      </c>
      <c r="CN26" s="33" t="n">
        <v>0</v>
      </c>
      <c r="CO26" s="33" t="n">
        <v>0</v>
      </c>
      <c r="CP26" s="33" t="n">
        <v>0</v>
      </c>
      <c r="CQ26" s="33" t="n">
        <v>0</v>
      </c>
      <c r="CR26" s="33" t="n">
        <v>0</v>
      </c>
      <c r="CS26" s="33" t="n">
        <v>0</v>
      </c>
      <c r="CT26" s="33" t="n">
        <v>0</v>
      </c>
      <c r="CU26" s="33" t="n">
        <v>0</v>
      </c>
      <c r="CV26" s="33" t="n">
        <v>0</v>
      </c>
      <c r="CW26" s="33" t="n">
        <v>0</v>
      </c>
      <c r="CX26" s="33" t="n">
        <v>0</v>
      </c>
      <c r="CY26" s="33" t="n">
        <v>0</v>
      </c>
      <c r="CZ26" s="33" t="n">
        <v>0</v>
      </c>
      <c r="DA26" s="33" t="n">
        <v>0</v>
      </c>
      <c r="DB26" s="33" t="n">
        <v>0</v>
      </c>
      <c r="DC26" s="33" t="n">
        <v>0</v>
      </c>
      <c r="DD26" s="33" t="n">
        <v>0</v>
      </c>
      <c r="DE26" s="33" t="n">
        <v>0</v>
      </c>
      <c r="DF26" s="33" t="n">
        <v>0</v>
      </c>
      <c r="DG26" s="33" t="n">
        <v>0</v>
      </c>
      <c r="DH26" s="33" t="n">
        <v>0</v>
      </c>
      <c r="DI26" s="33" t="n">
        <v>0</v>
      </c>
      <c r="DJ26" s="33" t="n">
        <v>0</v>
      </c>
      <c r="DK26" s="33" t="n">
        <v>0</v>
      </c>
      <c r="DL26" s="33" t="n">
        <v>0</v>
      </c>
      <c r="DM26" s="33" t="n">
        <v>0</v>
      </c>
      <c r="DN26" s="33" t="n">
        <v>0</v>
      </c>
      <c r="DO26" s="33" t="n">
        <v>0</v>
      </c>
      <c r="DP26" s="33" t="n">
        <v>0</v>
      </c>
      <c r="DQ26" s="33" t="n">
        <v>0</v>
      </c>
      <c r="DR26" s="33" t="n">
        <v>0</v>
      </c>
      <c r="DS26" s="33" t="n">
        <v>0</v>
      </c>
      <c r="DT26" s="33" t="n">
        <v>0</v>
      </c>
      <c r="DU26" s="33" t="n">
        <v>0</v>
      </c>
      <c r="DV26" s="33" t="n">
        <v>0</v>
      </c>
      <c r="DW26" s="33" t="n">
        <v>0</v>
      </c>
      <c r="DX26" s="33" t="n">
        <v>0</v>
      </c>
      <c r="DY26" s="33" t="n">
        <v>0</v>
      </c>
      <c r="DZ26" s="33" t="n">
        <v>0</v>
      </c>
      <c r="EA26" s="33" t="n">
        <v>0</v>
      </c>
      <c r="EB26" s="33" t="n">
        <v>0</v>
      </c>
      <c r="EC26" s="33" t="n">
        <v>0</v>
      </c>
      <c r="ED26" s="33" t="n">
        <v>0</v>
      </c>
      <c r="EE26" s="33" t="n">
        <v>0</v>
      </c>
      <c r="EF26" s="33" t="n">
        <v>0</v>
      </c>
      <c r="EG26" s="33" t="n">
        <v>0</v>
      </c>
      <c r="EH26" s="33" t="n">
        <v>0</v>
      </c>
      <c r="EI26" s="33" t="n">
        <v>0</v>
      </c>
      <c r="EJ26" s="33" t="n">
        <v>0</v>
      </c>
      <c r="EK26" s="33" t="n">
        <v>0</v>
      </c>
      <c r="EL26" s="33" t="n">
        <v>0</v>
      </c>
      <c r="EM26" s="33" t="n">
        <v>0</v>
      </c>
      <c r="EN26" s="33" t="n">
        <v>0</v>
      </c>
      <c r="EO26" s="33" t="n">
        <v>0</v>
      </c>
      <c r="EP26" s="33" t="n">
        <v>0</v>
      </c>
      <c r="EQ26" s="33" t="n">
        <v>0</v>
      </c>
      <c r="ER26" s="33" t="n">
        <v>0</v>
      </c>
      <c r="ES26" s="33" t="n">
        <v>0</v>
      </c>
      <c r="ET26" s="33" t="n">
        <v>0</v>
      </c>
      <c r="EU26" s="33" t="n">
        <v>0</v>
      </c>
      <c r="EV26" s="33" t="n">
        <v>0</v>
      </c>
      <c r="EW26" s="33" t="n">
        <v>0</v>
      </c>
      <c r="EX26" s="33" t="n">
        <v>0</v>
      </c>
      <c r="EY26" s="33" t="n">
        <v>0</v>
      </c>
      <c r="EZ26" s="33" t="n">
        <v>0</v>
      </c>
      <c r="FA26" s="33" t="n">
        <v>0</v>
      </c>
      <c r="FB26" s="33" t="n">
        <v>0</v>
      </c>
      <c r="FC26" s="33" t="n">
        <v>0</v>
      </c>
      <c r="FD26" s="33" t="n">
        <v>0</v>
      </c>
      <c r="FE26" s="33" t="n">
        <v>0</v>
      </c>
      <c r="FF26" s="33" t="n">
        <v>0</v>
      </c>
      <c r="FG26" s="33" t="n">
        <v>0</v>
      </c>
      <c r="FH26" s="33" t="n">
        <v>0</v>
      </c>
      <c r="FI26" s="33" t="n">
        <v>0</v>
      </c>
      <c r="FJ26" s="33" t="n">
        <v>0</v>
      </c>
      <c r="FK26" s="33" t="n">
        <v>0</v>
      </c>
      <c r="FL26" s="33" t="n">
        <v>0</v>
      </c>
      <c r="FM26" s="33" t="n">
        <v>0</v>
      </c>
      <c r="FN26" s="33" t="n">
        <v>0</v>
      </c>
      <c r="FO26" s="33" t="n">
        <v>0</v>
      </c>
      <c r="FP26" s="33" t="n">
        <v>0</v>
      </c>
      <c r="FQ26" s="33" t="n">
        <v>0</v>
      </c>
      <c r="FR26" s="33" t="n">
        <v>0</v>
      </c>
      <c r="FS26" s="33" t="n">
        <v>0</v>
      </c>
      <c r="FT26" s="33" t="n">
        <v>0</v>
      </c>
      <c r="FU26" s="33" t="n">
        <v>0</v>
      </c>
      <c r="FV26" s="33" t="n">
        <v>0</v>
      </c>
      <c r="FW26" s="33" t="n">
        <v>0</v>
      </c>
      <c r="FX26" s="33" t="n">
        <v>0</v>
      </c>
      <c r="FY26" s="33" t="n">
        <v>0</v>
      </c>
      <c r="FZ26" s="33" t="n">
        <v>0</v>
      </c>
      <c r="GA26" s="33" t="n">
        <v>0</v>
      </c>
      <c r="GB26" s="33" t="n">
        <v>0</v>
      </c>
      <c r="GC26" s="33" t="n">
        <v>0</v>
      </c>
      <c r="GD26" s="33" t="n">
        <v>0</v>
      </c>
      <c r="GE26" s="33" t="n">
        <v>0</v>
      </c>
      <c r="GF26" s="33" t="n">
        <v>0</v>
      </c>
      <c r="GG26" s="33" t="n">
        <v>0</v>
      </c>
      <c r="GH26" s="33" t="n">
        <v>0</v>
      </c>
      <c r="GI26" s="33" t="n">
        <v>0</v>
      </c>
      <c r="GJ26" s="33" t="n">
        <v>0</v>
      </c>
      <c r="GK26" s="33" t="n">
        <v>0</v>
      </c>
      <c r="GL26" s="33" t="n">
        <v>0</v>
      </c>
      <c r="GM26" s="33" t="n">
        <v>0</v>
      </c>
      <c r="GN26" s="33" t="n">
        <v>0</v>
      </c>
      <c r="GO26" s="33" t="n">
        <v>0</v>
      </c>
      <c r="GP26" s="33" t="n">
        <v>0</v>
      </c>
      <c r="GQ26" s="33" t="n">
        <v>0</v>
      </c>
      <c r="GR26" s="33" t="n">
        <v>0</v>
      </c>
      <c r="GS26" s="33" t="n">
        <v>0</v>
      </c>
      <c r="GT26" s="33" t="n">
        <v>0</v>
      </c>
      <c r="GU26" s="33" t="n">
        <v>0</v>
      </c>
      <c r="GV26" s="33" t="n">
        <v>0</v>
      </c>
      <c r="GW26" s="33" t="n">
        <v>0</v>
      </c>
      <c r="GX26" s="33" t="n">
        <v>0</v>
      </c>
      <c r="GY26" s="33" t="n">
        <v>0</v>
      </c>
      <c r="GZ26" s="33" t="n">
        <v>0</v>
      </c>
      <c r="HA26" s="33" t="n">
        <v>0</v>
      </c>
      <c r="HB26" s="33" t="n">
        <v>0</v>
      </c>
      <c r="HC26" s="33" t="n">
        <v>0</v>
      </c>
      <c r="HD26" s="33" t="n">
        <v>0</v>
      </c>
      <c r="HE26" s="33" t="n">
        <v>0</v>
      </c>
      <c r="HF26" s="33" t="n">
        <v>0</v>
      </c>
      <c r="HG26" s="33" t="n">
        <v>0</v>
      </c>
      <c r="HH26" s="33" t="n">
        <v>0</v>
      </c>
      <c r="HI26" s="33" t="n">
        <v>0</v>
      </c>
      <c r="HJ26" s="33" t="n">
        <v>0</v>
      </c>
      <c r="HK26" s="33" t="n">
        <v>0</v>
      </c>
      <c r="HL26" s="33" t="n">
        <v>0</v>
      </c>
      <c r="HM26" s="33" t="n">
        <v>0</v>
      </c>
      <c r="HN26" s="33" t="n">
        <v>0</v>
      </c>
      <c r="HO26" s="33" t="n">
        <v>0</v>
      </c>
      <c r="HP26" s="33" t="n">
        <v>0</v>
      </c>
      <c r="HQ26" s="33" t="n">
        <v>0</v>
      </c>
      <c r="HR26" s="33" t="n">
        <v>0</v>
      </c>
      <c r="HS26" s="33" t="n">
        <v>0</v>
      </c>
      <c r="HT26" s="33" t="n">
        <v>0</v>
      </c>
      <c r="HU26" s="33" t="n">
        <v>0</v>
      </c>
      <c r="HV26" s="33" t="n">
        <v>0</v>
      </c>
      <c r="HW26" s="33" t="n">
        <v>0</v>
      </c>
      <c r="HX26" s="33" t="n">
        <v>0</v>
      </c>
      <c r="HY26" s="33" t="n">
        <v>0</v>
      </c>
      <c r="HZ26" s="33" t="n">
        <v>0</v>
      </c>
      <c r="IA26" s="33" t="n">
        <v>0</v>
      </c>
      <c r="IB26" s="33" t="n">
        <v>0</v>
      </c>
      <c r="IC26" s="33" t="n">
        <v>0</v>
      </c>
      <c r="ID26" s="33" t="n">
        <v>0</v>
      </c>
      <c r="IE26" s="33" t="n">
        <v>0</v>
      </c>
      <c r="IF26" s="33" t="n">
        <v>0</v>
      </c>
      <c r="IG26" s="33" t="n">
        <v>0</v>
      </c>
      <c r="IH26" s="33" t="n">
        <v>0</v>
      </c>
      <c r="II26" s="33" t="n">
        <v>0</v>
      </c>
      <c r="IJ26" s="33" t="n">
        <v>0</v>
      </c>
      <c r="IK26" s="33" t="n">
        <v>0</v>
      </c>
      <c r="IL26" s="33" t="n">
        <v>0</v>
      </c>
      <c r="IM26" s="33" t="n">
        <v>0</v>
      </c>
      <c r="IN26" s="33" t="n">
        <v>0</v>
      </c>
      <c r="IO26" s="33" t="n">
        <v>0</v>
      </c>
      <c r="IP26" s="33" t="n">
        <v>0</v>
      </c>
      <c r="IQ26" s="33" t="n">
        <v>0</v>
      </c>
      <c r="IR26" s="33" t="n">
        <v>0</v>
      </c>
      <c r="IS26" s="33" t="n">
        <v>0</v>
      </c>
      <c r="IT26" s="33" t="n">
        <v>0</v>
      </c>
      <c r="IU26" s="33" t="n">
        <v>0</v>
      </c>
      <c r="IV26" s="33" t="n">
        <v>0</v>
      </c>
      <c r="IW26" s="33" t="n">
        <v>0</v>
      </c>
      <c r="IX26" s="33" t="n">
        <v>0</v>
      </c>
      <c r="IY26" s="33" t="n">
        <v>0</v>
      </c>
      <c r="IZ26" s="33" t="n">
        <v>0</v>
      </c>
      <c r="JA26" s="33" t="n">
        <v>0</v>
      </c>
      <c r="JB26" s="33" t="n">
        <v>0</v>
      </c>
      <c r="JC26" s="33" t="n">
        <v>0</v>
      </c>
      <c r="JD26" s="33" t="n">
        <v>0</v>
      </c>
      <c r="JE26" s="33" t="n">
        <v>0</v>
      </c>
      <c r="JF26" s="33" t="n">
        <v>0</v>
      </c>
      <c r="JG26" s="33" t="n">
        <v>0</v>
      </c>
      <c r="JH26" s="33" t="n">
        <v>0</v>
      </c>
      <c r="JI26" s="33" t="n">
        <v>0</v>
      </c>
      <c r="JJ26" s="33" t="n">
        <v>0</v>
      </c>
      <c r="JK26" s="33" t="n">
        <v>0</v>
      </c>
      <c r="JL26" s="33" t="n">
        <v>0</v>
      </c>
      <c r="JM26" s="33" t="n">
        <v>0</v>
      </c>
      <c r="JN26" s="33" t="n">
        <v>0</v>
      </c>
      <c r="JO26" s="33" t="n">
        <v>0</v>
      </c>
      <c r="JP26" s="33" t="n">
        <v>0</v>
      </c>
      <c r="JQ26" s="33" t="n">
        <v>0</v>
      </c>
      <c r="JR26" s="33" t="n">
        <v>0</v>
      </c>
      <c r="JS26" s="33" t="n">
        <v>0</v>
      </c>
      <c r="JT26" s="33" t="n">
        <v>0</v>
      </c>
      <c r="JU26" s="33" t="n">
        <v>0</v>
      </c>
      <c r="JV26" s="33" t="n">
        <v>0</v>
      </c>
      <c r="JW26" s="33" t="n">
        <v>0</v>
      </c>
      <c r="JX26" s="33" t="n">
        <v>0</v>
      </c>
      <c r="JY26" s="33" t="n">
        <v>0</v>
      </c>
      <c r="JZ26" s="33" t="n">
        <v>0</v>
      </c>
      <c r="KA26" s="33" t="n">
        <v>0</v>
      </c>
      <c r="KB26" s="33" t="n">
        <v>0</v>
      </c>
      <c r="KC26" s="33" t="n">
        <v>0</v>
      </c>
      <c r="KD26" s="33" t="n">
        <v>0</v>
      </c>
      <c r="KE26" s="33" t="n">
        <v>0</v>
      </c>
      <c r="KF26" s="33" t="n">
        <v>0</v>
      </c>
      <c r="KG26" s="33" t="n">
        <v>0</v>
      </c>
      <c r="KH26" s="33" t="n">
        <v>0</v>
      </c>
      <c r="KI26" s="33" t="n">
        <v>0</v>
      </c>
      <c r="KJ26" s="33" t="n">
        <v>0</v>
      </c>
      <c r="KK26" s="33" t="n">
        <v>0</v>
      </c>
      <c r="KL26" s="33" t="n">
        <v>0</v>
      </c>
      <c r="KM26" s="33" t="n">
        <v>0</v>
      </c>
      <c r="KN26" s="33" t="n">
        <v>0</v>
      </c>
      <c r="KO26" s="33" t="n">
        <v>0</v>
      </c>
      <c r="KP26" s="33" t="n">
        <v>0</v>
      </c>
      <c r="KQ26" s="33" t="n">
        <v>0</v>
      </c>
      <c r="KR26" s="33" t="n">
        <v>0</v>
      </c>
      <c r="KS26" s="33" t="n">
        <v>0</v>
      </c>
      <c r="KT26" s="33" t="n">
        <v>0</v>
      </c>
      <c r="KU26" s="33" t="n">
        <v>0</v>
      </c>
      <c r="KV26" s="33" t="n">
        <v>0</v>
      </c>
      <c r="KW26" s="33" t="n">
        <v>0</v>
      </c>
      <c r="KX26" s="33" t="n">
        <v>0</v>
      </c>
      <c r="KY26" s="33" t="n">
        <v>0</v>
      </c>
      <c r="KZ26" s="33" t="n">
        <v>0</v>
      </c>
      <c r="LA26" s="33" t="n">
        <v>0</v>
      </c>
      <c r="LB26" s="33" t="n">
        <v>0</v>
      </c>
      <c r="LC26" s="33" t="n">
        <v>0</v>
      </c>
      <c r="LD26" s="33" t="n">
        <v>0</v>
      </c>
      <c r="LE26" s="33" t="n">
        <v>0</v>
      </c>
      <c r="LF26" s="33" t="n">
        <v>0</v>
      </c>
      <c r="LG26" s="33" t="n">
        <v>0</v>
      </c>
      <c r="LH26" s="33" t="n">
        <v>0</v>
      </c>
      <c r="LI26" s="33" t="n">
        <v>0</v>
      </c>
      <c r="LJ26" s="33" t="n">
        <v>0</v>
      </c>
      <c r="LK26" s="33" t="n">
        <v>0</v>
      </c>
      <c r="LL26" s="33" t="n">
        <v>0</v>
      </c>
      <c r="LM26" s="33" t="n">
        <v>0</v>
      </c>
      <c r="LN26" s="33" t="n">
        <v>0</v>
      </c>
      <c r="LO26" s="33" t="n">
        <v>0</v>
      </c>
      <c r="LP26" s="33" t="n">
        <v>0</v>
      </c>
      <c r="LQ26" s="33" t="n">
        <v>0</v>
      </c>
      <c r="LR26" s="33" t="n">
        <v>0</v>
      </c>
      <c r="LS26" s="33" t="n">
        <v>0</v>
      </c>
      <c r="LT26" s="33" t="n">
        <v>0</v>
      </c>
      <c r="LU26" s="33" t="n">
        <v>0</v>
      </c>
      <c r="LV26" s="33" t="n">
        <v>0</v>
      </c>
      <c r="LW26" s="33" t="n">
        <v>0</v>
      </c>
      <c r="LX26" s="33" t="n">
        <v>0</v>
      </c>
      <c r="LY26" s="33" t="n">
        <v>0</v>
      </c>
      <c r="LZ26" s="33" t="n">
        <v>0</v>
      </c>
      <c r="MA26" s="33" t="n">
        <v>0</v>
      </c>
      <c r="MB26" s="33" t="n">
        <v>0</v>
      </c>
      <c r="MC26" s="33" t="n">
        <v>0</v>
      </c>
      <c r="MD26" s="33" t="n">
        <v>0</v>
      </c>
      <c r="ME26" s="33" t="n">
        <v>0</v>
      </c>
      <c r="MF26" s="33" t="n">
        <v>0</v>
      </c>
      <c r="MG26" s="33" t="n">
        <v>0</v>
      </c>
      <c r="MH26" s="33" t="n">
        <v>0</v>
      </c>
      <c r="MI26" s="33" t="n">
        <v>0</v>
      </c>
      <c r="MJ26" s="33" t="n">
        <v>0</v>
      </c>
      <c r="MK26" s="33" t="n">
        <v>0</v>
      </c>
      <c r="ML26" s="33" t="n">
        <v>0</v>
      </c>
      <c r="MM26" s="33" t="n">
        <v>0</v>
      </c>
      <c r="MN26" s="33" t="n">
        <v>0</v>
      </c>
      <c r="MO26" s="33" t="n">
        <v>0</v>
      </c>
      <c r="MP26" s="33" t="n">
        <v>0</v>
      </c>
      <c r="MQ26" s="33" t="n">
        <v>0</v>
      </c>
      <c r="MR26" s="33" t="n">
        <v>0</v>
      </c>
      <c r="MS26" s="33" t="n">
        <v>0</v>
      </c>
      <c r="MT26" s="33" t="n">
        <v>0</v>
      </c>
      <c r="MU26" s="33" t="n">
        <v>0</v>
      </c>
      <c r="MV26" s="33" t="n">
        <v>0</v>
      </c>
      <c r="MW26" s="33" t="n">
        <v>0</v>
      </c>
      <c r="MX26" s="33" t="n">
        <v>0</v>
      </c>
      <c r="MY26" s="33" t="n">
        <v>0</v>
      </c>
      <c r="MZ26" s="33" t="n">
        <v>0</v>
      </c>
      <c r="NA26" s="33" t="n">
        <v>0</v>
      </c>
      <c r="NB26" s="33" t="n">
        <v>0</v>
      </c>
      <c r="NC26" s="33" t="n">
        <v>0</v>
      </c>
      <c r="ND26" s="33" t="n">
        <v>0</v>
      </c>
      <c r="NE26" s="33" t="n">
        <v>0</v>
      </c>
      <c r="NF26" s="33" t="n">
        <v>0</v>
      </c>
      <c r="NG26" s="33" t="n">
        <v>0</v>
      </c>
      <c r="NH26" s="33" t="n">
        <v>0</v>
      </c>
      <c r="NI26" s="33" t="n">
        <v>0</v>
      </c>
      <c r="NJ26" s="33" t="n">
        <v>0</v>
      </c>
      <c r="NK26" s="33" t="n">
        <v>0</v>
      </c>
      <c r="NL26" s="33" t="n">
        <v>0</v>
      </c>
      <c r="NM26" s="33" t="n">
        <v>0</v>
      </c>
      <c r="NN26" s="33" t="n">
        <v>0</v>
      </c>
      <c r="NO26" s="33" t="n">
        <v>0</v>
      </c>
      <c r="NP26" s="33" t="n">
        <v>0</v>
      </c>
      <c r="NQ26" s="33" t="n">
        <v>0</v>
      </c>
      <c r="NR26" s="33" t="n">
        <v>0</v>
      </c>
      <c r="NS26" s="33" t="n">
        <v>0</v>
      </c>
      <c r="NT26" s="33" t="n">
        <v>0</v>
      </c>
      <c r="NU26" s="33" t="n">
        <v>0</v>
      </c>
      <c r="NV26" s="33" t="n">
        <v>0</v>
      </c>
      <c r="NW26" s="33" t="n">
        <v>0</v>
      </c>
      <c r="NX26" s="33" t="n">
        <v>0</v>
      </c>
      <c r="NY26" s="33" t="n">
        <v>0</v>
      </c>
      <c r="NZ26" s="33" t="n">
        <v>0</v>
      </c>
      <c r="OA26" s="33" t="n">
        <v>0</v>
      </c>
      <c r="OB26" s="33" t="n">
        <v>0</v>
      </c>
      <c r="OC26" s="33" t="n">
        <v>0</v>
      </c>
      <c r="OD26" s="33" t="n">
        <v>0</v>
      </c>
      <c r="OE26" s="33" t="n">
        <v>0</v>
      </c>
      <c r="OF26" s="33" t="n">
        <v>0</v>
      </c>
      <c r="OG26" s="33" t="n">
        <v>0</v>
      </c>
      <c r="OH26" s="33" t="n">
        <v>0</v>
      </c>
      <c r="OI26" s="33" t="n">
        <v>0</v>
      </c>
      <c r="OJ26" s="33" t="n">
        <v>0</v>
      </c>
      <c r="OK26" s="33" t="n">
        <v>0</v>
      </c>
      <c r="OL26" s="33" t="n">
        <v>0</v>
      </c>
      <c r="OM26" s="33" t="n">
        <v>0</v>
      </c>
      <c r="ON26" s="33" t="n">
        <v>0</v>
      </c>
      <c r="OO26" s="33" t="n">
        <v>0</v>
      </c>
      <c r="OP26" s="33" t="n">
        <v>0</v>
      </c>
      <c r="OQ26" s="33" t="n">
        <v>0</v>
      </c>
      <c r="OR26" s="33" t="n">
        <v>0</v>
      </c>
      <c r="OS26" s="33" t="n">
        <v>0</v>
      </c>
      <c r="OT26" s="33" t="n">
        <v>0</v>
      </c>
      <c r="OU26" s="33" t="n">
        <v>0</v>
      </c>
      <c r="OV26" s="33" t="n">
        <v>0</v>
      </c>
      <c r="OW26" s="33" t="n">
        <v>0</v>
      </c>
      <c r="OX26" s="33" t="n">
        <v>0</v>
      </c>
      <c r="OY26" s="33" t="n">
        <v>0</v>
      </c>
      <c r="OZ26" s="33" t="n">
        <v>0</v>
      </c>
      <c r="PA26" s="33" t="n">
        <v>0</v>
      </c>
      <c r="PB26" s="33" t="n">
        <v>0</v>
      </c>
      <c r="PC26" s="33" t="n">
        <v>0</v>
      </c>
      <c r="PD26" s="33" t="n">
        <v>0</v>
      </c>
      <c r="PE26" s="33" t="n">
        <v>0</v>
      </c>
      <c r="PF26" s="33" t="n">
        <v>0</v>
      </c>
      <c r="PG26" s="33" t="n">
        <v>0</v>
      </c>
      <c r="PH26" s="33" t="n">
        <v>0</v>
      </c>
      <c r="PI26" s="33" t="n">
        <v>0</v>
      </c>
      <c r="PJ26" s="33" t="n">
        <v>0</v>
      </c>
      <c r="PK26" s="33" t="n">
        <v>0</v>
      </c>
      <c r="PL26" s="33" t="n">
        <v>0</v>
      </c>
      <c r="PM26" s="33" t="n">
        <v>0</v>
      </c>
      <c r="PN26" s="33" t="n">
        <v>0</v>
      </c>
      <c r="PO26" s="33" t="n">
        <v>0</v>
      </c>
      <c r="PP26" s="33" t="n">
        <v>0</v>
      </c>
      <c r="PQ26" s="33" t="n">
        <v>0</v>
      </c>
      <c r="PR26" s="33" t="n">
        <v>0</v>
      </c>
      <c r="PS26" s="33" t="n">
        <v>0</v>
      </c>
      <c r="PT26" s="33" t="n">
        <v>0</v>
      </c>
      <c r="PU26" s="33" t="n">
        <v>0</v>
      </c>
      <c r="PV26" s="33" t="n">
        <v>0</v>
      </c>
      <c r="PW26" s="33" t="n">
        <v>0</v>
      </c>
      <c r="PX26" s="33" t="n">
        <v>0</v>
      </c>
      <c r="PY26" s="33" t="n">
        <v>0</v>
      </c>
      <c r="PZ26" s="33" t="n">
        <v>0</v>
      </c>
      <c r="QA26" s="33" t="n">
        <v>0</v>
      </c>
      <c r="QB26" s="33" t="n">
        <v>0</v>
      </c>
      <c r="QC26" s="33" t="n">
        <v>0</v>
      </c>
      <c r="QD26" s="33" t="n">
        <v>0</v>
      </c>
      <c r="QE26" s="33" t="n">
        <v>0</v>
      </c>
      <c r="QF26" s="33" t="n">
        <v>0</v>
      </c>
      <c r="QG26" s="33" t="n">
        <v>0</v>
      </c>
      <c r="QH26" s="33" t="n">
        <v>0</v>
      </c>
      <c r="QI26" s="33" t="n">
        <v>0</v>
      </c>
      <c r="QJ26" s="33" t="n">
        <v>0</v>
      </c>
      <c r="QK26" s="33" t="n">
        <v>0</v>
      </c>
      <c r="QL26" s="33" t="n">
        <v>0</v>
      </c>
      <c r="QM26" s="33" t="n">
        <v>0</v>
      </c>
      <c r="QN26" s="33" t="n">
        <v>0</v>
      </c>
      <c r="QO26" s="33" t="n">
        <v>0</v>
      </c>
      <c r="QP26" s="33" t="n">
        <v>0</v>
      </c>
      <c r="QQ26" s="33" t="n">
        <v>0</v>
      </c>
      <c r="QR26" s="33" t="n">
        <v>0</v>
      </c>
      <c r="QS26" s="33" t="n">
        <v>0</v>
      </c>
      <c r="QT26" s="33" t="n">
        <v>0</v>
      </c>
      <c r="QU26" s="33" t="n">
        <v>0</v>
      </c>
      <c r="QV26" s="33" t="n">
        <v>0</v>
      </c>
      <c r="QW26" s="33" t="n">
        <v>0</v>
      </c>
      <c r="QX26" s="33" t="n">
        <v>0</v>
      </c>
      <c r="QY26" s="33" t="n">
        <v>0</v>
      </c>
      <c r="QZ26" s="33" t="n">
        <v>0</v>
      </c>
      <c r="RA26" s="33" t="n">
        <v>0</v>
      </c>
      <c r="RB26" s="33" t="n">
        <v>0</v>
      </c>
      <c r="RC26" s="33" t="n">
        <v>0</v>
      </c>
      <c r="RD26" s="33" t="n">
        <v>0</v>
      </c>
      <c r="RE26" s="33" t="n">
        <v>0</v>
      </c>
      <c r="RF26" s="33" t="n">
        <v>0</v>
      </c>
      <c r="RG26" s="33" t="n">
        <v>0</v>
      </c>
      <c r="RH26" s="33" t="n">
        <v>0</v>
      </c>
      <c r="RI26" s="33" t="n">
        <v>0</v>
      </c>
      <c r="RJ26" s="33" t="n">
        <v>0</v>
      </c>
      <c r="RK26" s="33" t="n">
        <v>0</v>
      </c>
      <c r="RL26" s="33" t="n">
        <v>0</v>
      </c>
      <c r="RM26" s="33" t="n">
        <v>0</v>
      </c>
      <c r="RN26" s="33" t="n">
        <v>0</v>
      </c>
      <c r="RO26" s="33" t="n">
        <v>0</v>
      </c>
      <c r="RP26" s="33" t="n">
        <v>0</v>
      </c>
      <c r="RQ26" s="33" t="n">
        <v>0</v>
      </c>
      <c r="RR26" s="33" t="n">
        <v>0</v>
      </c>
      <c r="RS26" s="33" t="n">
        <v>0</v>
      </c>
      <c r="RT26" s="33" t="n">
        <v>0</v>
      </c>
      <c r="RU26" s="33" t="n">
        <v>0</v>
      </c>
      <c r="RV26" s="33" t="n">
        <v>0</v>
      </c>
      <c r="RW26" s="33" t="n">
        <v>0</v>
      </c>
    </row>
    <row r="27" ht="13.05" customHeight="1">
      <c r="E27" s="34" t="inlineStr">
        <is>
          <t>Net Revenue</t>
        </is>
      </c>
      <c r="F27" s="35" t="n"/>
      <c r="G27" s="35" t="inlineStr">
        <is>
          <t>kEUR</t>
        </is>
      </c>
      <c r="H27" s="35" t="n"/>
      <c r="I27" s="35" t="n"/>
      <c r="J27" s="36" t="n">
        <v>3341718.495299425</v>
      </c>
      <c r="K27" s="35" t="n"/>
      <c r="L27" s="37" t="n">
        <v>0</v>
      </c>
      <c r="M27" s="37" t="n">
        <v>0</v>
      </c>
      <c r="N27" s="37" t="n">
        <v>0</v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7" t="n">
        <v>0</v>
      </c>
      <c r="W27" s="37" t="n">
        <v>0</v>
      </c>
      <c r="X27" s="37" t="n">
        <v>0</v>
      </c>
      <c r="Y27" s="37" t="n">
        <v>0</v>
      </c>
      <c r="Z27" s="37" t="n">
        <v>0</v>
      </c>
      <c r="AA27" s="37" t="n">
        <v>0</v>
      </c>
      <c r="AB27" s="37" t="n">
        <v>0</v>
      </c>
      <c r="AC27" s="37" t="n">
        <v>0</v>
      </c>
      <c r="AD27" s="37" t="n">
        <v>0</v>
      </c>
      <c r="AE27" s="37" t="n">
        <v>0</v>
      </c>
      <c r="AF27" s="37" t="n">
        <v>0</v>
      </c>
      <c r="AG27" s="37" t="n">
        <v>0</v>
      </c>
      <c r="AH27" s="37" t="n">
        <v>0</v>
      </c>
      <c r="AI27" s="37" t="n">
        <v>0</v>
      </c>
      <c r="AJ27" s="37" t="n">
        <v>0</v>
      </c>
      <c r="AK27" s="37" t="n">
        <v>0</v>
      </c>
      <c r="AL27" s="37" t="n">
        <v>0</v>
      </c>
      <c r="AM27" s="37" t="n">
        <v>0</v>
      </c>
      <c r="AN27" s="37" t="n">
        <v>0</v>
      </c>
      <c r="AO27" s="37" t="n">
        <v>0</v>
      </c>
      <c r="AP27" s="37" t="n">
        <v>0</v>
      </c>
      <c r="AQ27" s="37" t="n">
        <v>0</v>
      </c>
      <c r="AR27" s="37" t="n">
        <v>0</v>
      </c>
      <c r="AS27" s="37" t="n">
        <v>0</v>
      </c>
      <c r="AT27" s="37" t="n">
        <v>0</v>
      </c>
      <c r="AU27" s="37" t="n">
        <v>0</v>
      </c>
      <c r="AV27" s="37" t="n">
        <v>0</v>
      </c>
      <c r="AW27" s="37" t="n">
        <v>0</v>
      </c>
      <c r="AX27" s="37" t="n">
        <v>0</v>
      </c>
      <c r="AY27" s="37" t="n">
        <v>0</v>
      </c>
      <c r="AZ27" s="37" t="n">
        <v>0</v>
      </c>
      <c r="BA27" s="37" t="n">
        <v>0</v>
      </c>
      <c r="BB27" s="37" t="n">
        <v>0</v>
      </c>
      <c r="BC27" s="37" t="n">
        <v>0</v>
      </c>
      <c r="BD27" s="37" t="n">
        <v>0</v>
      </c>
      <c r="BE27" s="37" t="n">
        <v>0</v>
      </c>
      <c r="BF27" s="37" t="n">
        <v>0</v>
      </c>
      <c r="BG27" s="37" t="n">
        <v>0</v>
      </c>
      <c r="BH27" s="37" t="n">
        <v>0</v>
      </c>
      <c r="BI27" s="37" t="n">
        <v>0</v>
      </c>
      <c r="BJ27" s="37" t="n">
        <v>0</v>
      </c>
      <c r="BK27" s="37" t="n">
        <v>0</v>
      </c>
      <c r="BL27" s="37" t="n">
        <v>0</v>
      </c>
      <c r="BM27" s="37" t="n">
        <v>0</v>
      </c>
      <c r="BN27" s="37" t="n">
        <v>0</v>
      </c>
      <c r="BO27" s="37" t="n">
        <v>0</v>
      </c>
      <c r="BP27" s="37" t="n">
        <v>0</v>
      </c>
      <c r="BQ27" s="37" t="n">
        <v>0</v>
      </c>
      <c r="BR27" s="37" t="n">
        <v>0</v>
      </c>
      <c r="BS27" s="37" t="n">
        <v>0</v>
      </c>
      <c r="BT27" s="37" t="n">
        <v>0</v>
      </c>
      <c r="BU27" s="37" t="n">
        <v>0</v>
      </c>
      <c r="BV27" s="37" t="n">
        <v>0</v>
      </c>
      <c r="BW27" s="37" t="n">
        <v>0</v>
      </c>
      <c r="BX27" s="37" t="n">
        <v>0</v>
      </c>
      <c r="BY27" s="37" t="n">
        <v>0</v>
      </c>
      <c r="BZ27" s="37" t="n">
        <v>0</v>
      </c>
      <c r="CA27" s="37" t="n">
        <v>0</v>
      </c>
      <c r="CB27" s="37" t="n">
        <v>0</v>
      </c>
      <c r="CC27" s="37" t="n">
        <v>0</v>
      </c>
      <c r="CD27" s="37" t="n">
        <v>0</v>
      </c>
      <c r="CE27" s="37" t="n">
        <v>0</v>
      </c>
      <c r="CF27" s="37" t="n">
        <v>0</v>
      </c>
      <c r="CG27" s="37" t="n">
        <v>0</v>
      </c>
      <c r="CH27" s="37" t="n">
        <v>0</v>
      </c>
      <c r="CI27" s="37" t="n">
        <v>0</v>
      </c>
      <c r="CJ27" s="37" t="n">
        <v>0</v>
      </c>
      <c r="CK27" s="37" t="n">
        <v>0</v>
      </c>
      <c r="CL27" s="37" t="n">
        <v>0</v>
      </c>
      <c r="CM27" s="37" t="n">
        <v>0</v>
      </c>
      <c r="CN27" s="37" t="n">
        <v>0</v>
      </c>
      <c r="CO27" s="37" t="n">
        <v>0</v>
      </c>
      <c r="CP27" s="37" t="n">
        <v>0</v>
      </c>
      <c r="CQ27" s="37" t="n">
        <v>6648.864239690722</v>
      </c>
      <c r="CR27" s="37" t="n">
        <v>6660.61344051335</v>
      </c>
      <c r="CS27" s="37" t="n">
        <v>6672.383403336072</v>
      </c>
      <c r="CT27" s="37" t="n">
        <v>6684.174164847397</v>
      </c>
      <c r="CU27" s="37" t="n">
        <v>6695.985761800663</v>
      </c>
      <c r="CV27" s="37" t="n">
        <v>6707.81823101416</v>
      </c>
      <c r="CW27" s="37" t="n">
        <v>6719.671609371232</v>
      </c>
      <c r="CX27" s="37" t="n">
        <v>6731.545933820411</v>
      </c>
      <c r="CY27" s="37" t="n">
        <v>6743.441241375506</v>
      </c>
      <c r="CZ27" s="37" t="n">
        <v>6755.357569115745</v>
      </c>
      <c r="DA27" s="37" t="n">
        <v>6767.294954185876</v>
      </c>
      <c r="DB27" s="37" t="n">
        <v>6779.253433796281</v>
      </c>
      <c r="DC27" s="37" t="n">
        <v>6791.233045223099</v>
      </c>
      <c r="DD27" s="37" t="n">
        <v>6803.233825808342</v>
      </c>
      <c r="DE27" s="37" t="n">
        <v>6815.255812960005</v>
      </c>
      <c r="DF27" s="37" t="n">
        <v>6827.299044152192</v>
      </c>
      <c r="DG27" s="37" t="n">
        <v>6839.363556925219</v>
      </c>
      <c r="DH27" s="37" t="n">
        <v>6851.449388885751</v>
      </c>
      <c r="DI27" s="37" t="n">
        <v>6863.556577706894</v>
      </c>
      <c r="DJ27" s="37" t="n">
        <v>6875.685161128338</v>
      </c>
      <c r="DK27" s="37" t="n">
        <v>6887.83517695646</v>
      </c>
      <c r="DL27" s="37" t="n">
        <v>6900.006663064437</v>
      </c>
      <c r="DM27" s="37" t="n">
        <v>6912.199657392382</v>
      </c>
      <c r="DN27" s="37" t="n">
        <v>6924.414197947443</v>
      </c>
      <c r="DO27" s="37" t="n">
        <v>6936.650322803939</v>
      </c>
      <c r="DP27" s="37" t="n">
        <v>6948.908070103462</v>
      </c>
      <c r="DQ27" s="37" t="n">
        <v>6961.187478055011</v>
      </c>
      <c r="DR27" s="37" t="n">
        <v>6973.488584935099</v>
      </c>
      <c r="DS27" s="37" t="n">
        <v>6985.81142908788</v>
      </c>
      <c r="DT27" s="37" t="n">
        <v>6998.156048925267</v>
      </c>
      <c r="DU27" s="37" t="n">
        <v>7010.522482927043</v>
      </c>
      <c r="DV27" s="37" t="n">
        <v>7022.910769641</v>
      </c>
      <c r="DW27" s="37" t="n">
        <v>7035.320947683039</v>
      </c>
      <c r="DX27" s="37" t="n">
        <v>7047.753055737304</v>
      </c>
      <c r="DY27" s="37" t="n">
        <v>7060.207132556295</v>
      </c>
      <c r="DZ27" s="37" t="n">
        <v>7072.683216960992</v>
      </c>
      <c r="EA27" s="37" t="n">
        <v>7085.181347840977</v>
      </c>
      <c r="EB27" s="37" t="n">
        <v>7097.701564154554</v>
      </c>
      <c r="EC27" s="37" t="n">
        <v>7110.243904928864</v>
      </c>
      <c r="ED27" s="37" t="n">
        <v>7122.808409260022</v>
      </c>
      <c r="EE27" s="37" t="n">
        <v>7135.395116313225</v>
      </c>
      <c r="EF27" s="37" t="n">
        <v>7148.004065322878</v>
      </c>
      <c r="EG27" s="37" t="n">
        <v>7160.635295592719</v>
      </c>
      <c r="EH27" s="37" t="n">
        <v>7173.288846495938</v>
      </c>
      <c r="EI27" s="37" t="n">
        <v>7185.964757475302</v>
      </c>
      <c r="EJ27" s="37" t="n">
        <v>7198.663068043278</v>
      </c>
      <c r="EK27" s="37" t="n">
        <v>7211.383817782156</v>
      </c>
      <c r="EL27" s="37" t="n">
        <v>7224.12704634417</v>
      </c>
      <c r="EM27" s="37" t="n">
        <v>7236.892793451622</v>
      </c>
      <c r="EN27" s="37" t="n">
        <v>7249.681098897012</v>
      </c>
      <c r="EO27" s="37" t="n">
        <v>7262.492002543152</v>
      </c>
      <c r="EP27" s="37" t="n">
        <v>7275.325544323303</v>
      </c>
      <c r="EQ27" s="37" t="n">
        <v>7288.181764241283</v>
      </c>
      <c r="ER27" s="37" t="n">
        <v>7301.060702371605</v>
      </c>
      <c r="ES27" s="37" t="n">
        <v>7313.962398859597</v>
      </c>
      <c r="ET27" s="37" t="n">
        <v>7326.886893921531</v>
      </c>
      <c r="EU27" s="37" t="n">
        <v>7339.834227844743</v>
      </c>
      <c r="EV27" s="37" t="n">
        <v>7352.804440987754</v>
      </c>
      <c r="EW27" s="37" t="n">
        <v>7365.797573780414</v>
      </c>
      <c r="EX27" s="37" t="n">
        <v>7378.813666724013</v>
      </c>
      <c r="EY27" s="37" t="n">
        <v>7391.852760391404</v>
      </c>
      <c r="EZ27" s="37" t="n">
        <v>7404.914895427146</v>
      </c>
      <c r="FA27" s="37" t="n">
        <v>7418.000112547608</v>
      </c>
      <c r="FB27" s="37" t="n">
        <v>7431.108452541125</v>
      </c>
      <c r="FC27" s="37" t="n">
        <v>7444.239956268097</v>
      </c>
      <c r="FD27" s="37" t="n">
        <v>7457.394664661137</v>
      </c>
      <c r="FE27" s="37" t="n">
        <v>7470.572618725178</v>
      </c>
      <c r="FF27" s="37" t="n">
        <v>7483.773859537627</v>
      </c>
      <c r="FG27" s="37" t="n">
        <v>7496.998428248468</v>
      </c>
      <c r="FH27" s="37" t="n">
        <v>7510.246366080405</v>
      </c>
      <c r="FI27" s="37" t="n">
        <v>7523.517714328989</v>
      </c>
      <c r="FJ27" s="37" t="n">
        <v>7536.81251436274</v>
      </c>
      <c r="FK27" s="37" t="n">
        <v>7550.130807623284</v>
      </c>
      <c r="FL27" s="37" t="n">
        <v>7563.472635625477</v>
      </c>
      <c r="FM27" s="37" t="n">
        <v>7576.838039957534</v>
      </c>
      <c r="FN27" s="37" t="n">
        <v>7590.22706228116</v>
      </c>
      <c r="FO27" s="37" t="n">
        <v>7603.639744331688</v>
      </c>
      <c r="FP27" s="37" t="n">
        <v>7617.076127918191</v>
      </c>
      <c r="FQ27" s="37" t="n">
        <v>7630.536254923631</v>
      </c>
      <c r="FR27" s="37" t="n">
        <v>7644.020167304975</v>
      </c>
      <c r="FS27" s="37" t="n">
        <v>7657.527907093337</v>
      </c>
      <c r="FT27" s="37" t="n">
        <v>7671.059516394102</v>
      </c>
      <c r="FU27" s="37" t="n">
        <v>7684.615037387058</v>
      </c>
      <c r="FV27" s="37" t="n">
        <v>7698.194512326534</v>
      </c>
      <c r="FW27" s="37" t="n">
        <v>7711.797983541519</v>
      </c>
      <c r="FX27" s="37" t="n">
        <v>7725.425493435806</v>
      </c>
      <c r="FY27" s="37" t="n">
        <v>7739.077084488123</v>
      </c>
      <c r="FZ27" s="37" t="n">
        <v>7752.752799252256</v>
      </c>
      <c r="GA27" s="37" t="n">
        <v>7766.452680357191</v>
      </c>
      <c r="GB27" s="37" t="n">
        <v>7780.176770507239</v>
      </c>
      <c r="GC27" s="37" t="n">
        <v>7793.925112482183</v>
      </c>
      <c r="GD27" s="37" t="n">
        <v>7807.697749137393</v>
      </c>
      <c r="GE27" s="37" t="n">
        <v>7821.494723403974</v>
      </c>
      <c r="GF27" s="37" t="n">
        <v>7835.316078288888</v>
      </c>
      <c r="GG27" s="37" t="n">
        <v>7849.161856875108</v>
      </c>
      <c r="GH27" s="37" t="n">
        <v>7863.032102321725</v>
      </c>
      <c r="GI27" s="37" t="n">
        <v>7876.926857864099</v>
      </c>
      <c r="GJ27" s="37" t="n">
        <v>7890.846166814001</v>
      </c>
      <c r="GK27" s="37" t="n">
        <v>7904.790072559726</v>
      </c>
      <c r="GL27" s="37" t="n">
        <v>7918.758618566245</v>
      </c>
      <c r="GM27" s="37" t="n">
        <v>7932.751848375339</v>
      </c>
      <c r="GN27" s="37" t="n">
        <v>7946.769805605726</v>
      </c>
      <c r="GO27" s="37" t="n">
        <v>7960.812533953207</v>
      </c>
      <c r="GP27" s="37" t="n">
        <v>7974.880077190795</v>
      </c>
      <c r="GQ27" s="37" t="n">
        <v>7988.97247916886</v>
      </c>
      <c r="GR27" s="37" t="n">
        <v>8003.08978381525</v>
      </c>
      <c r="GS27" s="37" t="n">
        <v>8017.232035135446</v>
      </c>
      <c r="GT27" s="37" t="n">
        <v>8031.399277212688</v>
      </c>
      <c r="GU27" s="37" t="n">
        <v>8045.591554208117</v>
      </c>
      <c r="GV27" s="37" t="n">
        <v>8059.808910360906</v>
      </c>
      <c r="GW27" s="37" t="n">
        <v>8074.051389988411</v>
      </c>
      <c r="GX27" s="37" t="n">
        <v>8088.319037486295</v>
      </c>
      <c r="GY27" s="37" t="n">
        <v>8102.611897328675</v>
      </c>
      <c r="GZ27" s="37" t="n">
        <v>8116.930014068257</v>
      </c>
      <c r="HA27" s="37" t="n">
        <v>8131.27343233648</v>
      </c>
      <c r="HB27" s="37" t="n">
        <v>8145.642196843644</v>
      </c>
      <c r="HC27" s="37" t="n">
        <v>8160.036352379061</v>
      </c>
      <c r="HD27" s="37" t="n">
        <v>8174.455943811193</v>
      </c>
      <c r="HE27" s="37" t="n">
        <v>8188.901016087784</v>
      </c>
      <c r="HF27" s="37" t="n">
        <v>8203.371614236004</v>
      </c>
      <c r="HG27" s="37" t="n">
        <v>8217.867783362595</v>
      </c>
      <c r="HH27" s="37" t="n">
        <v>8232.389568654009</v>
      </c>
      <c r="HI27" s="37" t="n">
        <v>8246.937015376538</v>
      </c>
      <c r="HJ27" s="37" t="n">
        <v>8261.51016887647</v>
      </c>
      <c r="HK27" s="37" t="n">
        <v>8276.109074580225</v>
      </c>
      <c r="HL27" s="37" t="n">
        <v>8290.733777994494</v>
      </c>
      <c r="HM27" s="37" t="n">
        <v>8305.384324706383</v>
      </c>
      <c r="HN27" s="37" t="n">
        <v>8320.060760383558</v>
      </c>
      <c r="HO27" s="37" t="n">
        <v>8334.76313077438</v>
      </c>
      <c r="HP27" s="37" t="n">
        <v>8349.491481708052</v>
      </c>
      <c r="HQ27" s="37" t="n">
        <v>8364.245859094764</v>
      </c>
      <c r="HR27" s="37" t="n">
        <v>8379.026308925833</v>
      </c>
      <c r="HS27" s="37" t="n">
        <v>8393.832877273848</v>
      </c>
      <c r="HT27" s="37" t="n">
        <v>8408.665610292812</v>
      </c>
      <c r="HU27" s="37" t="n">
        <v>8423.524554218286</v>
      </c>
      <c r="HV27" s="37" t="n">
        <v>8438.409755367536</v>
      </c>
      <c r="HW27" s="37" t="n">
        <v>8453.321260139675</v>
      </c>
      <c r="HX27" s="37" t="n">
        <v>8468.259115015802</v>
      </c>
      <c r="HY27" s="37" t="n">
        <v>8483.223366559161</v>
      </c>
      <c r="HZ27" s="37" t="n">
        <v>8498.214061415272</v>
      </c>
      <c r="IA27" s="37" t="n">
        <v>8513.231246312087</v>
      </c>
      <c r="IB27" s="37" t="n">
        <v>8528.274968060125</v>
      </c>
      <c r="IC27" s="37" t="n">
        <v>8543.345273552632</v>
      </c>
      <c r="ID27" s="37" t="n">
        <v>8558.442209765708</v>
      </c>
      <c r="IE27" s="37" t="n">
        <v>8573.565823758474</v>
      </c>
      <c r="IF27" s="37" t="n">
        <v>8588.716162673205</v>
      </c>
      <c r="IG27" s="37" t="n">
        <v>8603.893273735486</v>
      </c>
      <c r="IH27" s="37" t="n">
        <v>8619.097204254344</v>
      </c>
      <c r="II27" s="37" t="n">
        <v>8634.328001622414</v>
      </c>
      <c r="IJ27" s="37" t="n">
        <v>8649.585713316075</v>
      </c>
      <c r="IK27" s="37" t="n">
        <v>8664.870386895609</v>
      </c>
      <c r="IL27" s="37" t="n">
        <v>8680.182070005323</v>
      </c>
      <c r="IM27" s="37" t="n">
        <v>8695.520810373742</v>
      </c>
      <c r="IN27" s="37" t="n">
        <v>8710.886655813714</v>
      </c>
      <c r="IO27" s="37" t="n">
        <v>8726.279654222575</v>
      </c>
      <c r="IP27" s="37" t="n">
        <v>8741.699853582317</v>
      </c>
      <c r="IQ27" s="37" t="n">
        <v>8757.147301959702</v>
      </c>
      <c r="IR27" s="37" t="n">
        <v>8772.622047506447</v>
      </c>
      <c r="IS27" s="37" t="n">
        <v>8788.124138459345</v>
      </c>
      <c r="IT27" s="37" t="n">
        <v>8803.653623140439</v>
      </c>
      <c r="IU27" s="37" t="n">
        <v>8819.210549957155</v>
      </c>
      <c r="IV27" s="37" t="n">
        <v>8834.794967402457</v>
      </c>
      <c r="IW27" s="37" t="n">
        <v>8850.406924055011</v>
      </c>
      <c r="IX27" s="37" t="n">
        <v>8866.046468579318</v>
      </c>
      <c r="IY27" s="37" t="n">
        <v>8881.713649725869</v>
      </c>
      <c r="IZ27" s="37" t="n">
        <v>8897.408516331321</v>
      </c>
      <c r="JA27" s="37" t="n">
        <v>8913.131117318617</v>
      </c>
      <c r="JB27" s="37" t="n">
        <v>8928.881501697146</v>
      </c>
      <c r="JC27" s="37" t="n">
        <v>8944.659718562914</v>
      </c>
      <c r="JD27" s="37" t="n">
        <v>8960.46581709868</v>
      </c>
      <c r="JE27" s="37" t="n">
        <v>8976.299846574104</v>
      </c>
      <c r="JF27" s="37" t="n">
        <v>8992.161856345934</v>
      </c>
      <c r="JG27" s="37" t="n">
        <v>9008.051895858112</v>
      </c>
      <c r="JH27" s="37" t="n">
        <v>9023.970014641962</v>
      </c>
      <c r="JI27" s="37" t="n">
        <v>9039.916262316336</v>
      </c>
      <c r="JJ27" s="37" t="n">
        <v>9055.89068858777</v>
      </c>
      <c r="JK27" s="37" t="n">
        <v>9071.893343250624</v>
      </c>
      <c r="JL27" s="37" t="n">
        <v>9087.924276187267</v>
      </c>
      <c r="JM27" s="37" t="n">
        <v>9103.9835373682</v>
      </c>
      <c r="JN27" s="37" t="n">
        <v>9120.071176852236</v>
      </c>
      <c r="JO27" s="37" t="n">
        <v>9136.187244786643</v>
      </c>
      <c r="JP27" s="37" t="n">
        <v>9152.331791407303</v>
      </c>
      <c r="JQ27" s="37" t="n">
        <v>9168.504867038873</v>
      </c>
      <c r="JR27" s="37" t="n">
        <v>9184.706522094941</v>
      </c>
      <c r="JS27" s="37" t="n">
        <v>9200.936807078175</v>
      </c>
      <c r="JT27" s="37" t="n">
        <v>9217.19577258048</v>
      </c>
      <c r="JU27" s="37" t="n">
        <v>9233.483469283185</v>
      </c>
      <c r="JV27" s="37" t="n">
        <v>9249.799947957154</v>
      </c>
      <c r="JW27" s="37" t="n">
        <v>9266.145259462979</v>
      </c>
      <c r="JX27" s="37" t="n">
        <v>9282.519454751126</v>
      </c>
      <c r="JY27" s="37" t="n">
        <v>9298.922584862097</v>
      </c>
      <c r="JZ27" s="37" t="n">
        <v>9315.354700926582</v>
      </c>
      <c r="KA27" s="37" t="n">
        <v>9331.815854165636</v>
      </c>
      <c r="KB27" s="37" t="n">
        <v>9348.30609589081</v>
      </c>
      <c r="KC27" s="37" t="n">
        <v>9364.825477504344</v>
      </c>
      <c r="KD27" s="37" t="n">
        <v>9381.374050499298</v>
      </c>
      <c r="KE27" s="37" t="n">
        <v>9397.951866459734</v>
      </c>
      <c r="KF27" s="37" t="n">
        <v>9414.55897706086</v>
      </c>
      <c r="KG27" s="37" t="n">
        <v>9431.19543406921</v>
      </c>
      <c r="KH27" s="37" t="n">
        <v>9447.861289342787</v>
      </c>
      <c r="KI27" s="37" t="n">
        <v>9464.556594831229</v>
      </c>
      <c r="KJ27" s="37" t="n">
        <v>9481.281402575984</v>
      </c>
      <c r="KK27" s="37" t="n">
        <v>9498.035764710456</v>
      </c>
      <c r="KL27" s="37" t="n">
        <v>9514.819733460174</v>
      </c>
      <c r="KM27" s="37" t="n">
        <v>9531.633361142956</v>
      </c>
      <c r="KN27" s="37" t="n">
        <v>9548.476700169076</v>
      </c>
      <c r="KO27" s="37" t="n">
        <v>9565.349803041405</v>
      </c>
      <c r="KP27" s="37" t="n">
        <v>9582.252722355612</v>
      </c>
      <c r="KQ27" s="37" t="n">
        <v>9599.185510800304</v>
      </c>
      <c r="KR27" s="37" t="n">
        <v>9616.148221157178</v>
      </c>
      <c r="KS27" s="37" t="n">
        <v>9633.140906301214</v>
      </c>
      <c r="KT27" s="37" t="n">
        <v>9650.163619200837</v>
      </c>
      <c r="KU27" s="37" t="n">
        <v>9667.216412918055</v>
      </c>
      <c r="KV27" s="37" t="n">
        <v>9684.299340608641</v>
      </c>
      <c r="KW27" s="37" t="n">
        <v>9701.412455522319</v>
      </c>
      <c r="KX27" s="37" t="n">
        <v>9718.555811002891</v>
      </c>
      <c r="KY27" s="37" t="n">
        <v>9735.72946048843</v>
      </c>
      <c r="KZ27" s="37" t="n">
        <v>9752.933457511443</v>
      </c>
      <c r="LA27" s="37" t="n">
        <v>9770.167855699028</v>
      </c>
      <c r="LB27" s="37" t="n">
        <v>9787.432708773056</v>
      </c>
      <c r="LC27" s="37" t="n">
        <v>9804.728070550314</v>
      </c>
      <c r="LD27" s="37" t="n">
        <v>9822.053994942704</v>
      </c>
      <c r="LE27" s="37" t="n">
        <v>9839.410535957393</v>
      </c>
      <c r="LF27" s="37" t="n">
        <v>9856.797747696977</v>
      </c>
      <c r="LG27" s="37" t="n">
        <v>9874.21568435966</v>
      </c>
      <c r="LH27" s="37" t="n">
        <v>9891.664400239422</v>
      </c>
      <c r="LI27" s="37" t="n">
        <v>9909.143949726187</v>
      </c>
      <c r="LJ27" s="37" t="n">
        <v>9926.654387305991</v>
      </c>
      <c r="LK27" s="37" t="n">
        <v>9944.195767561137</v>
      </c>
      <c r="LL27" s="37" t="n">
        <v>9961.768145170408</v>
      </c>
      <c r="LM27" s="37" t="n">
        <v>9979.371574909183</v>
      </c>
      <c r="LN27" s="37" t="n">
        <v>9997.006111649656</v>
      </c>
      <c r="LO27" s="37" t="n">
        <v>10014.67181036097</v>
      </c>
      <c r="LP27" s="37" t="n">
        <v>10032.36872610942</v>
      </c>
      <c r="LQ27" s="37" t="n">
        <v>10050.09691405858</v>
      </c>
      <c r="LR27" s="37" t="n">
        <v>10067.85642946954</v>
      </c>
      <c r="LS27" s="37" t="n">
        <v>10085.64732770101</v>
      </c>
      <c r="LT27" s="37" t="n">
        <v>10103.46966420955</v>
      </c>
      <c r="LU27" s="37" t="n">
        <v>10121.3234945497</v>
      </c>
      <c r="LV27" s="37" t="n">
        <v>10139.20887437418</v>
      </c>
      <c r="LW27" s="37" t="n">
        <v>10157.12585943404</v>
      </c>
      <c r="LX27" s="37" t="n">
        <v>10175.07450557887</v>
      </c>
      <c r="LY27" s="37" t="n">
        <v>10193.05486875693</v>
      </c>
      <c r="LZ27" s="37" t="n">
        <v>10211.06700501535</v>
      </c>
      <c r="MA27" s="37" t="n">
        <v>10229.11097050032</v>
      </c>
      <c r="MB27" s="37" t="n">
        <v>10247.18682145723</v>
      </c>
      <c r="MC27" s="37" t="n">
        <v>10265.29461423086</v>
      </c>
      <c r="MD27" s="37" t="n">
        <v>10283.43440526555</v>
      </c>
      <c r="ME27" s="37" t="n">
        <v>10301.60625110541</v>
      </c>
      <c r="MF27" s="37" t="n">
        <v>10319.81020839444</v>
      </c>
      <c r="MG27" s="37" t="n">
        <v>10338.04633387675</v>
      </c>
      <c r="MH27" s="37" t="n">
        <v>10356.31468439671</v>
      </c>
      <c r="MI27" s="37" t="n">
        <v>10374.61531689917</v>
      </c>
      <c r="MJ27" s="37" t="n">
        <v>10392.94828842957</v>
      </c>
      <c r="MK27" s="37" t="n">
        <v>10411.31365613418</v>
      </c>
      <c r="ML27" s="37" t="n">
        <v>10429.71147726025</v>
      </c>
      <c r="MM27" s="37" t="n">
        <v>10448.14180915616</v>
      </c>
      <c r="MN27" s="37" t="n">
        <v>10466.60470927169</v>
      </c>
      <c r="MO27" s="37" t="n">
        <v>10485.10023515808</v>
      </c>
      <c r="MP27" s="37" t="n">
        <v>10503.6284444683</v>
      </c>
      <c r="MQ27" s="37" t="n">
        <v>10522.1893949572</v>
      </c>
      <c r="MR27" s="37" t="n">
        <v>10540.78314448168</v>
      </c>
      <c r="MS27" s="37" t="n">
        <v>10559.40975100088</v>
      </c>
      <c r="MT27" s="37" t="n">
        <v>10578.06927257636</v>
      </c>
      <c r="MU27" s="37" t="n">
        <v>10596.76176737228</v>
      </c>
      <c r="MV27" s="37" t="n">
        <v>10615.48729365557</v>
      </c>
      <c r="MW27" s="37" t="n">
        <v>10634.24590979616</v>
      </c>
      <c r="MX27" s="37" t="n">
        <v>10653.03767426708</v>
      </c>
      <c r="MY27" s="37" t="n">
        <v>10671.86264564472</v>
      </c>
      <c r="MZ27" s="37" t="n">
        <v>10690.72088260896</v>
      </c>
      <c r="NA27" s="37" t="n">
        <v>10709.6124439434</v>
      </c>
      <c r="NB27" s="37" t="n">
        <v>10728.53738853548</v>
      </c>
      <c r="NC27" s="37" t="n">
        <v>10747.49577537672</v>
      </c>
      <c r="ND27" s="37" t="n">
        <v>10766.4876635629</v>
      </c>
      <c r="NE27" s="37" t="n">
        <v>10785.51311229419</v>
      </c>
      <c r="NF27" s="37" t="n">
        <v>10804.5721808754</v>
      </c>
      <c r="NG27" s="37" t="n">
        <v>10823.66492871613</v>
      </c>
      <c r="NH27" s="37" t="n">
        <v>10842.79141533097</v>
      </c>
      <c r="NI27" s="37" t="n">
        <v>10861.95170033967</v>
      </c>
      <c r="NJ27" s="37" t="n">
        <v>10881.14584346732</v>
      </c>
      <c r="NK27" s="37" t="n">
        <v>10900.37390454459</v>
      </c>
      <c r="NL27" s="37" t="n">
        <v>10919.63594350783</v>
      </c>
      <c r="NM27" s="37" t="n">
        <v>10938.93202039934</v>
      </c>
      <c r="NN27" s="37" t="n">
        <v>10958.2621953675</v>
      </c>
      <c r="NO27" s="37" t="n">
        <v>10977.62652866698</v>
      </c>
      <c r="NP27" s="37" t="n">
        <v>10997.02508065894</v>
      </c>
      <c r="NQ27" s="37" t="n">
        <v>11016.45791181119</v>
      </c>
      <c r="NR27" s="37" t="n">
        <v>11035.92508269839</v>
      </c>
      <c r="NS27" s="37" t="n">
        <v>11055.42665400227</v>
      </c>
      <c r="NT27" s="37" t="n">
        <v>11074.96268651175</v>
      </c>
      <c r="NU27" s="37" t="n">
        <v>11094.53324112319</v>
      </c>
      <c r="NV27" s="37" t="n">
        <v>11114.13837884057</v>
      </c>
      <c r="NW27" s="37" t="n">
        <v>11133.77816077565</v>
      </c>
      <c r="NX27" s="37" t="n">
        <v>11153.45264814819</v>
      </c>
      <c r="NY27" s="37" t="n">
        <v>11173.16190228614</v>
      </c>
      <c r="NZ27" s="37" t="n">
        <v>11192.9059846258</v>
      </c>
      <c r="OA27" s="37" t="n">
        <v>11212.68495671206</v>
      </c>
      <c r="OB27" s="37" t="n">
        <v>11232.49888019855</v>
      </c>
      <c r="OC27" s="37" t="n">
        <v>11252.34781684784</v>
      </c>
      <c r="OD27" s="37" t="n">
        <v>11272.23182853167</v>
      </c>
      <c r="OE27" s="37" t="n">
        <v>11292.15097723109</v>
      </c>
      <c r="OF27" s="37" t="n">
        <v>11312.10532503668</v>
      </c>
      <c r="OG27" s="37" t="n">
        <v>11332.09493414874</v>
      </c>
      <c r="OH27" s="37" t="n">
        <v>11352.11986687749</v>
      </c>
      <c r="OI27" s="37" t="n">
        <v>11372.18018564326</v>
      </c>
      <c r="OJ27" s="37" t="n">
        <v>11392.27595297666</v>
      </c>
      <c r="OK27" s="37" t="n">
        <v>11412.40723151884</v>
      </c>
      <c r="OL27" s="37" t="n">
        <v>11432.5740840216</v>
      </c>
      <c r="OM27" s="37" t="n">
        <v>11452.77657334765</v>
      </c>
      <c r="ON27" s="37" t="n">
        <v>11473.0147624708</v>
      </c>
      <c r="OO27" s="37" t="n">
        <v>11493.2887144761</v>
      </c>
      <c r="OP27" s="37" t="n">
        <v>11513.59849256011</v>
      </c>
      <c r="OQ27" s="37" t="n">
        <v>11533.94416003105</v>
      </c>
      <c r="OR27" s="37" t="n">
        <v>11554.32578030903</v>
      </c>
      <c r="OS27" s="37" t="n">
        <v>11574.7434169262</v>
      </c>
      <c r="OT27" s="37" t="n">
        <v>11595.19713352701</v>
      </c>
      <c r="OU27" s="37" t="n">
        <v>11615.68699386834</v>
      </c>
      <c r="OV27" s="37" t="n">
        <v>11636.21306181978</v>
      </c>
      <c r="OW27" s="37" t="n">
        <v>11656.77540136374</v>
      </c>
      <c r="OX27" s="37" t="n">
        <v>11677.37407659571</v>
      </c>
      <c r="OY27" s="37" t="n">
        <v>11698.00915172446</v>
      </c>
      <c r="OZ27" s="37" t="n">
        <v>11718.6806910722</v>
      </c>
      <c r="PA27" s="37" t="n">
        <v>11739.38875907482</v>
      </c>
      <c r="PB27" s="37" t="n">
        <v>11760.13342028205</v>
      </c>
      <c r="PC27" s="37" t="n">
        <v>11780.91473935772</v>
      </c>
      <c r="PD27" s="37" t="n">
        <v>11801.73278107989</v>
      </c>
      <c r="PE27" s="37" t="n">
        <v>11822.58761034113</v>
      </c>
      <c r="PF27" s="37" t="n">
        <v>11843.47929214865</v>
      </c>
      <c r="PG27" s="37" t="n">
        <v>11864.40789162454</v>
      </c>
      <c r="PH27" s="37" t="n">
        <v>11885.37347400599</v>
      </c>
      <c r="PI27" s="37" t="n">
        <v>11906.37610464544</v>
      </c>
      <c r="PJ27" s="37" t="n">
        <v>11927.41584901081</v>
      </c>
      <c r="PK27" s="37" t="n">
        <v>11948.49277268576</v>
      </c>
      <c r="PL27" s="37" t="n">
        <v>11969.60694136979</v>
      </c>
      <c r="PM27" s="37" t="n">
        <v>11990.7584208785</v>
      </c>
      <c r="PN27" s="37" t="n">
        <v>12011.94727714384</v>
      </c>
      <c r="PO27" s="37" t="n">
        <v>12033.17357621421</v>
      </c>
      <c r="PP27" s="37" t="n">
        <v>12054.43738425476</v>
      </c>
      <c r="PQ27" s="37" t="n">
        <v>12075.73876754756</v>
      </c>
      <c r="PR27" s="37" t="n">
        <v>12097.07779249178</v>
      </c>
      <c r="PS27" s="37" t="n">
        <v>12118.45452560396</v>
      </c>
      <c r="PT27" s="37" t="n">
        <v>12139.86903351814</v>
      </c>
      <c r="PU27" s="37" t="n">
        <v>12161.32138298616</v>
      </c>
      <c r="PV27" s="37" t="n">
        <v>12182.81164087776</v>
      </c>
      <c r="PW27" s="37" t="n">
        <v>12204.3398741809</v>
      </c>
      <c r="PX27" s="37" t="n">
        <v>12225.90615000187</v>
      </c>
      <c r="PY27" s="37" t="n">
        <v>12247.51053556557</v>
      </c>
      <c r="PZ27" s="37" t="n">
        <v>12269.15309821568</v>
      </c>
      <c r="QA27" s="37" t="n">
        <v>12290.8339054149</v>
      </c>
      <c r="QB27" s="37" t="n">
        <v>12312.55302474512</v>
      </c>
      <c r="QC27" s="37" t="n">
        <v>12334.31052390767</v>
      </c>
      <c r="QD27" s="37" t="n">
        <v>12356.10647072351</v>
      </c>
      <c r="QE27" s="37" t="n">
        <v>12377.94093313345</v>
      </c>
      <c r="QF27" s="37" t="n">
        <v>12399.81397919835</v>
      </c>
      <c r="QG27" s="37" t="n">
        <v>12421.72567709935</v>
      </c>
      <c r="QH27" s="37" t="n">
        <v>12443.67609513805</v>
      </c>
      <c r="QI27" s="37" t="n">
        <v>12465.66530173679</v>
      </c>
      <c r="QJ27" s="37" t="n">
        <v>12487.69336543878</v>
      </c>
      <c r="QK27" s="37" t="n">
        <v>12509.76035490836</v>
      </c>
      <c r="QL27" s="37" t="n">
        <v>12531.86633893122</v>
      </c>
      <c r="QM27" s="37" t="n">
        <v>0</v>
      </c>
      <c r="QN27" s="37" t="n">
        <v>0</v>
      </c>
      <c r="QO27" s="37" t="n">
        <v>0</v>
      </c>
      <c r="QP27" s="37" t="n">
        <v>0</v>
      </c>
      <c r="QQ27" s="37" t="n">
        <v>0</v>
      </c>
      <c r="QR27" s="37" t="n">
        <v>0</v>
      </c>
      <c r="QS27" s="37" t="n">
        <v>0</v>
      </c>
      <c r="QT27" s="37" t="n">
        <v>0</v>
      </c>
      <c r="QU27" s="37" t="n">
        <v>0</v>
      </c>
      <c r="QV27" s="37" t="n">
        <v>0</v>
      </c>
      <c r="QW27" s="37" t="n">
        <v>0</v>
      </c>
      <c r="QX27" s="37" t="n">
        <v>0</v>
      </c>
      <c r="QY27" s="37" t="n">
        <v>0</v>
      </c>
      <c r="QZ27" s="37" t="n">
        <v>0</v>
      </c>
      <c r="RA27" s="37" t="n">
        <v>0</v>
      </c>
      <c r="RB27" s="37" t="n">
        <v>0</v>
      </c>
      <c r="RC27" s="37" t="n">
        <v>0</v>
      </c>
      <c r="RD27" s="37" t="n">
        <v>0</v>
      </c>
      <c r="RE27" s="37" t="n">
        <v>0</v>
      </c>
      <c r="RF27" s="37" t="n">
        <v>0</v>
      </c>
      <c r="RG27" s="37" t="n">
        <v>0</v>
      </c>
      <c r="RH27" s="37" t="n">
        <v>0</v>
      </c>
      <c r="RI27" s="37" t="n">
        <v>0</v>
      </c>
      <c r="RJ27" s="37" t="n">
        <v>0</v>
      </c>
      <c r="RK27" s="37" t="n">
        <v>0</v>
      </c>
      <c r="RL27" s="37" t="n">
        <v>0</v>
      </c>
      <c r="RM27" s="37" t="n">
        <v>0</v>
      </c>
      <c r="RN27" s="37" t="n">
        <v>0</v>
      </c>
      <c r="RO27" s="37" t="n">
        <v>0</v>
      </c>
      <c r="RP27" s="37" t="n">
        <v>0</v>
      </c>
      <c r="RQ27" s="37" t="n">
        <v>0</v>
      </c>
      <c r="RR27" s="37" t="n">
        <v>0</v>
      </c>
      <c r="RS27" s="37" t="n">
        <v>0</v>
      </c>
      <c r="RT27" s="37" t="n">
        <v>0</v>
      </c>
      <c r="RU27" s="37" t="n">
        <v>0</v>
      </c>
      <c r="RV27" s="37" t="n">
        <v>0</v>
      </c>
      <c r="RW27" s="37" t="n">
        <v>0</v>
      </c>
    </row>
    <row r="28" ht="5.25" customHeight="1">
      <c r="A28" s="38" t="n"/>
      <c r="B28" s="38" t="n"/>
      <c r="C28" s="38" t="n"/>
      <c r="D28" s="38" t="n"/>
      <c r="E28" s="38" t="inlineStr">
        <is>
          <t>Production &amp; Revenue</t>
        </is>
      </c>
      <c r="F28" s="38" t="n"/>
      <c r="G28" s="38" t="n"/>
    </row>
    <row r="29" ht="13.05" customHeight="1">
      <c r="E29" s="39" t="inlineStr">
        <is>
          <t>BESS Revenue</t>
        </is>
      </c>
      <c r="F29" s="39" t="n"/>
      <c r="G29" s="39" t="n"/>
    </row>
    <row r="30" ht="13.05" customHeight="1">
      <c r="E30" s="25" t="inlineStr">
        <is>
          <t>Discharge Volume</t>
        </is>
      </c>
      <c r="F30" s="26" t="n"/>
      <c r="G30" s="26" t="inlineStr">
        <is>
          <t>MWh</t>
        </is>
      </c>
      <c r="H30" s="26" t="n"/>
      <c r="I30" s="26" t="n"/>
      <c r="J30" s="27" t="n">
        <v>0</v>
      </c>
      <c r="K30" s="26" t="n"/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 t="n">
        <v>0</v>
      </c>
      <c r="EB30" s="28" t="n">
        <v>0</v>
      </c>
      <c r="EC30" s="28" t="n">
        <v>0</v>
      </c>
      <c r="ED30" s="28" t="n">
        <v>0</v>
      </c>
      <c r="EE30" s="28" t="n">
        <v>0</v>
      </c>
      <c r="EF30" s="28" t="n">
        <v>0</v>
      </c>
      <c r="EG30" s="28" t="n">
        <v>0</v>
      </c>
      <c r="EH30" s="28" t="n">
        <v>0</v>
      </c>
      <c r="EI30" s="28" t="n">
        <v>0</v>
      </c>
      <c r="EJ30" s="28" t="n">
        <v>0</v>
      </c>
      <c r="EK30" s="28" t="n">
        <v>0</v>
      </c>
      <c r="EL30" s="28" t="n">
        <v>0</v>
      </c>
      <c r="EM30" s="28" t="n">
        <v>0</v>
      </c>
      <c r="EN30" s="28" t="n">
        <v>0</v>
      </c>
      <c r="EO30" s="28" t="n">
        <v>0</v>
      </c>
      <c r="EP30" s="28" t="n">
        <v>0</v>
      </c>
      <c r="EQ30" s="28" t="n">
        <v>0</v>
      </c>
      <c r="ER30" s="28" t="n">
        <v>0</v>
      </c>
      <c r="ES30" s="28" t="n">
        <v>0</v>
      </c>
      <c r="ET30" s="28" t="n">
        <v>0</v>
      </c>
      <c r="EU30" s="28" t="n">
        <v>0</v>
      </c>
      <c r="EV30" s="28" t="n">
        <v>0</v>
      </c>
      <c r="EW30" s="28" t="n">
        <v>0</v>
      </c>
      <c r="EX30" s="28" t="n">
        <v>0</v>
      </c>
      <c r="EY30" s="28" t="n">
        <v>0</v>
      </c>
      <c r="EZ30" s="28" t="n">
        <v>0</v>
      </c>
      <c r="FA30" s="28" t="n">
        <v>0</v>
      </c>
      <c r="FB30" s="28" t="n">
        <v>0</v>
      </c>
      <c r="FC30" s="28" t="n">
        <v>0</v>
      </c>
      <c r="FD30" s="28" t="n">
        <v>0</v>
      </c>
      <c r="FE30" s="28" t="n">
        <v>0</v>
      </c>
      <c r="FF30" s="28" t="n">
        <v>0</v>
      </c>
      <c r="FG30" s="28" t="n">
        <v>0</v>
      </c>
      <c r="FH30" s="28" t="n">
        <v>0</v>
      </c>
      <c r="FI30" s="28" t="n">
        <v>0</v>
      </c>
      <c r="FJ30" s="28" t="n">
        <v>0</v>
      </c>
      <c r="FK30" s="28" t="n">
        <v>0</v>
      </c>
      <c r="FL30" s="28" t="n">
        <v>0</v>
      </c>
      <c r="FM30" s="28" t="n">
        <v>0</v>
      </c>
      <c r="FN30" s="28" t="n">
        <v>0</v>
      </c>
      <c r="FO30" s="28" t="n">
        <v>0</v>
      </c>
      <c r="FP30" s="28" t="n">
        <v>0</v>
      </c>
      <c r="FQ30" s="28" t="n">
        <v>0</v>
      </c>
      <c r="FR30" s="28" t="n">
        <v>0</v>
      </c>
      <c r="FS30" s="28" t="n">
        <v>0</v>
      </c>
      <c r="FT30" s="28" t="n">
        <v>0</v>
      </c>
      <c r="FU30" s="28" t="n">
        <v>0</v>
      </c>
      <c r="FV30" s="28" t="n">
        <v>0</v>
      </c>
      <c r="FW30" s="28" t="n">
        <v>0</v>
      </c>
      <c r="FX30" s="28" t="n">
        <v>0</v>
      </c>
      <c r="FY30" s="28" t="n">
        <v>0</v>
      </c>
      <c r="FZ30" s="28" t="n">
        <v>0</v>
      </c>
      <c r="GA30" s="28" t="n">
        <v>0</v>
      </c>
      <c r="GB30" s="28" t="n">
        <v>0</v>
      </c>
      <c r="GC30" s="28" t="n">
        <v>0</v>
      </c>
      <c r="GD30" s="28" t="n">
        <v>0</v>
      </c>
      <c r="GE30" s="28" t="n">
        <v>0</v>
      </c>
      <c r="GF30" s="28" t="n">
        <v>0</v>
      </c>
      <c r="GG30" s="28" t="n">
        <v>0</v>
      </c>
      <c r="GH30" s="28" t="n">
        <v>0</v>
      </c>
      <c r="GI30" s="28" t="n">
        <v>0</v>
      </c>
      <c r="GJ30" s="28" t="n">
        <v>0</v>
      </c>
      <c r="GK30" s="28" t="n">
        <v>0</v>
      </c>
      <c r="GL30" s="28" t="n">
        <v>0</v>
      </c>
      <c r="GM30" s="28" t="n">
        <v>0</v>
      </c>
      <c r="GN30" s="28" t="n">
        <v>0</v>
      </c>
      <c r="GO30" s="28" t="n">
        <v>0</v>
      </c>
      <c r="GP30" s="28" t="n">
        <v>0</v>
      </c>
      <c r="GQ30" s="28" t="n">
        <v>0</v>
      </c>
      <c r="GR30" s="28" t="n">
        <v>0</v>
      </c>
      <c r="GS30" s="28" t="n">
        <v>0</v>
      </c>
      <c r="GT30" s="28" t="n">
        <v>0</v>
      </c>
      <c r="GU30" s="28" t="n">
        <v>0</v>
      </c>
      <c r="GV30" s="28" t="n">
        <v>0</v>
      </c>
      <c r="GW30" s="28" t="n">
        <v>0</v>
      </c>
      <c r="GX30" s="28" t="n">
        <v>0</v>
      </c>
      <c r="GY30" s="28" t="n">
        <v>0</v>
      </c>
      <c r="GZ30" s="28" t="n">
        <v>0</v>
      </c>
      <c r="HA30" s="28" t="n">
        <v>0</v>
      </c>
      <c r="HB30" s="28" t="n">
        <v>0</v>
      </c>
      <c r="HC30" s="28" t="n">
        <v>0</v>
      </c>
      <c r="HD30" s="28" t="n">
        <v>0</v>
      </c>
      <c r="HE30" s="28" t="n">
        <v>0</v>
      </c>
      <c r="HF30" s="28" t="n">
        <v>0</v>
      </c>
      <c r="HG30" s="28" t="n">
        <v>0</v>
      </c>
      <c r="HH30" s="28" t="n">
        <v>0</v>
      </c>
      <c r="HI30" s="28" t="n">
        <v>0</v>
      </c>
      <c r="HJ30" s="28" t="n">
        <v>0</v>
      </c>
      <c r="HK30" s="28" t="n">
        <v>0</v>
      </c>
      <c r="HL30" s="28" t="n">
        <v>0</v>
      </c>
      <c r="HM30" s="28" t="n">
        <v>0</v>
      </c>
      <c r="HN30" s="28" t="n">
        <v>0</v>
      </c>
      <c r="HO30" s="28" t="n">
        <v>0</v>
      </c>
      <c r="HP30" s="28" t="n">
        <v>0</v>
      </c>
      <c r="HQ30" s="28" t="n">
        <v>0</v>
      </c>
      <c r="HR30" s="28" t="n">
        <v>0</v>
      </c>
      <c r="HS30" s="28" t="n">
        <v>0</v>
      </c>
      <c r="HT30" s="28" t="n">
        <v>0</v>
      </c>
      <c r="HU30" s="28" t="n">
        <v>0</v>
      </c>
      <c r="HV30" s="28" t="n">
        <v>0</v>
      </c>
      <c r="HW30" s="28" t="n">
        <v>0</v>
      </c>
      <c r="HX30" s="28" t="n">
        <v>0</v>
      </c>
      <c r="HY30" s="28" t="n">
        <v>0</v>
      </c>
      <c r="HZ30" s="28" t="n">
        <v>0</v>
      </c>
      <c r="IA30" s="28" t="n">
        <v>0</v>
      </c>
      <c r="IB30" s="28" t="n">
        <v>0</v>
      </c>
      <c r="IC30" s="28" t="n">
        <v>0</v>
      </c>
      <c r="ID30" s="28" t="n">
        <v>0</v>
      </c>
      <c r="IE30" s="28" t="n">
        <v>0</v>
      </c>
      <c r="IF30" s="28" t="n">
        <v>0</v>
      </c>
      <c r="IG30" s="28" t="n">
        <v>0</v>
      </c>
      <c r="IH30" s="28" t="n">
        <v>0</v>
      </c>
      <c r="II30" s="28" t="n">
        <v>0</v>
      </c>
      <c r="IJ30" s="28" t="n">
        <v>0</v>
      </c>
      <c r="IK30" s="28" t="n">
        <v>0</v>
      </c>
      <c r="IL30" s="28" t="n">
        <v>0</v>
      </c>
      <c r="IM30" s="28" t="n">
        <v>0</v>
      </c>
      <c r="IN30" s="28" t="n">
        <v>0</v>
      </c>
      <c r="IO30" s="28" t="n">
        <v>0</v>
      </c>
      <c r="IP30" s="28" t="n">
        <v>0</v>
      </c>
      <c r="IQ30" s="28" t="n">
        <v>0</v>
      </c>
      <c r="IR30" s="28" t="n">
        <v>0</v>
      </c>
      <c r="IS30" s="28" t="n">
        <v>0</v>
      </c>
      <c r="IT30" s="28" t="n">
        <v>0</v>
      </c>
      <c r="IU30" s="28" t="n">
        <v>0</v>
      </c>
      <c r="IV30" s="28" t="n">
        <v>0</v>
      </c>
      <c r="IW30" s="28" t="n">
        <v>0</v>
      </c>
      <c r="IX30" s="28" t="n">
        <v>0</v>
      </c>
      <c r="IY30" s="28" t="n">
        <v>0</v>
      </c>
      <c r="IZ30" s="28" t="n">
        <v>0</v>
      </c>
      <c r="JA30" s="28" t="n">
        <v>0</v>
      </c>
      <c r="JB30" s="28" t="n">
        <v>0</v>
      </c>
      <c r="JC30" s="28" t="n">
        <v>0</v>
      </c>
      <c r="JD30" s="28" t="n">
        <v>0</v>
      </c>
      <c r="JE30" s="28" t="n">
        <v>0</v>
      </c>
      <c r="JF30" s="28" t="n">
        <v>0</v>
      </c>
      <c r="JG30" s="28" t="n">
        <v>0</v>
      </c>
      <c r="JH30" s="28" t="n">
        <v>0</v>
      </c>
      <c r="JI30" s="28" t="n">
        <v>0</v>
      </c>
      <c r="JJ30" s="28" t="n">
        <v>0</v>
      </c>
      <c r="JK30" s="28" t="n">
        <v>0</v>
      </c>
      <c r="JL30" s="28" t="n">
        <v>0</v>
      </c>
      <c r="JM30" s="28" t="n">
        <v>0</v>
      </c>
      <c r="JN30" s="28" t="n">
        <v>0</v>
      </c>
      <c r="JO30" s="28" t="n">
        <v>0</v>
      </c>
      <c r="JP30" s="28" t="n">
        <v>0</v>
      </c>
      <c r="JQ30" s="28" t="n">
        <v>0</v>
      </c>
      <c r="JR30" s="28" t="n">
        <v>0</v>
      </c>
      <c r="JS30" s="28" t="n">
        <v>0</v>
      </c>
      <c r="JT30" s="28" t="n">
        <v>0</v>
      </c>
      <c r="JU30" s="28" t="n">
        <v>0</v>
      </c>
      <c r="JV30" s="28" t="n">
        <v>0</v>
      </c>
      <c r="JW30" s="28" t="n">
        <v>0</v>
      </c>
      <c r="JX30" s="28" t="n">
        <v>0</v>
      </c>
      <c r="JY30" s="28" t="n">
        <v>0</v>
      </c>
      <c r="JZ30" s="28" t="n">
        <v>0</v>
      </c>
      <c r="KA30" s="28" t="n">
        <v>0</v>
      </c>
      <c r="KB30" s="28" t="n">
        <v>0</v>
      </c>
      <c r="KC30" s="28" t="n">
        <v>0</v>
      </c>
      <c r="KD30" s="28" t="n">
        <v>0</v>
      </c>
      <c r="KE30" s="28" t="n">
        <v>0</v>
      </c>
      <c r="KF30" s="28" t="n">
        <v>0</v>
      </c>
      <c r="KG30" s="28" t="n">
        <v>0</v>
      </c>
      <c r="KH30" s="28" t="n">
        <v>0</v>
      </c>
      <c r="KI30" s="28" t="n">
        <v>0</v>
      </c>
      <c r="KJ30" s="28" t="n">
        <v>0</v>
      </c>
      <c r="KK30" s="28" t="n">
        <v>0</v>
      </c>
      <c r="KL30" s="28" t="n">
        <v>0</v>
      </c>
      <c r="KM30" s="28" t="n">
        <v>0</v>
      </c>
      <c r="KN30" s="28" t="n">
        <v>0</v>
      </c>
      <c r="KO30" s="28" t="n">
        <v>0</v>
      </c>
      <c r="KP30" s="28" t="n">
        <v>0</v>
      </c>
      <c r="KQ30" s="28" t="n">
        <v>0</v>
      </c>
      <c r="KR30" s="28" t="n">
        <v>0</v>
      </c>
      <c r="KS30" s="28" t="n">
        <v>0</v>
      </c>
      <c r="KT30" s="28" t="n">
        <v>0</v>
      </c>
      <c r="KU30" s="28" t="n">
        <v>0</v>
      </c>
      <c r="KV30" s="28" t="n">
        <v>0</v>
      </c>
      <c r="KW30" s="28" t="n">
        <v>0</v>
      </c>
      <c r="KX30" s="28" t="n">
        <v>0</v>
      </c>
      <c r="KY30" s="28" t="n">
        <v>0</v>
      </c>
      <c r="KZ30" s="28" t="n">
        <v>0</v>
      </c>
      <c r="LA30" s="28" t="n">
        <v>0</v>
      </c>
      <c r="LB30" s="28" t="n">
        <v>0</v>
      </c>
      <c r="LC30" s="28" t="n">
        <v>0</v>
      </c>
      <c r="LD30" s="28" t="n">
        <v>0</v>
      </c>
      <c r="LE30" s="28" t="n">
        <v>0</v>
      </c>
      <c r="LF30" s="28" t="n">
        <v>0</v>
      </c>
      <c r="LG30" s="28" t="n">
        <v>0</v>
      </c>
      <c r="LH30" s="28" t="n">
        <v>0</v>
      </c>
      <c r="LI30" s="28" t="n">
        <v>0</v>
      </c>
      <c r="LJ30" s="28" t="n">
        <v>0</v>
      </c>
      <c r="LK30" s="28" t="n">
        <v>0</v>
      </c>
      <c r="LL30" s="28" t="n">
        <v>0</v>
      </c>
      <c r="LM30" s="28" t="n">
        <v>0</v>
      </c>
      <c r="LN30" s="28" t="n">
        <v>0</v>
      </c>
      <c r="LO30" s="28" t="n">
        <v>0</v>
      </c>
      <c r="LP30" s="28" t="n">
        <v>0</v>
      </c>
      <c r="LQ30" s="28" t="n">
        <v>0</v>
      </c>
      <c r="LR30" s="28" t="n">
        <v>0</v>
      </c>
      <c r="LS30" s="28" t="n">
        <v>0</v>
      </c>
      <c r="LT30" s="28" t="n">
        <v>0</v>
      </c>
      <c r="LU30" s="28" t="n">
        <v>0</v>
      </c>
      <c r="LV30" s="28" t="n">
        <v>0</v>
      </c>
      <c r="LW30" s="28" t="n">
        <v>0</v>
      </c>
      <c r="LX30" s="28" t="n">
        <v>0</v>
      </c>
      <c r="LY30" s="28" t="n">
        <v>0</v>
      </c>
      <c r="LZ30" s="28" t="n">
        <v>0</v>
      </c>
      <c r="MA30" s="28" t="n">
        <v>0</v>
      </c>
      <c r="MB30" s="28" t="n">
        <v>0</v>
      </c>
      <c r="MC30" s="28" t="n">
        <v>0</v>
      </c>
      <c r="MD30" s="28" t="n">
        <v>0</v>
      </c>
      <c r="ME30" s="28" t="n">
        <v>0</v>
      </c>
      <c r="MF30" s="28" t="n">
        <v>0</v>
      </c>
      <c r="MG30" s="28" t="n">
        <v>0</v>
      </c>
      <c r="MH30" s="28" t="n">
        <v>0</v>
      </c>
      <c r="MI30" s="28" t="n">
        <v>0</v>
      </c>
      <c r="MJ30" s="28" t="n">
        <v>0</v>
      </c>
      <c r="MK30" s="28" t="n">
        <v>0</v>
      </c>
      <c r="ML30" s="28" t="n">
        <v>0</v>
      </c>
      <c r="MM30" s="28" t="n">
        <v>0</v>
      </c>
      <c r="MN30" s="28" t="n">
        <v>0</v>
      </c>
      <c r="MO30" s="28" t="n">
        <v>0</v>
      </c>
      <c r="MP30" s="28" t="n">
        <v>0</v>
      </c>
      <c r="MQ30" s="28" t="n">
        <v>0</v>
      </c>
      <c r="MR30" s="28" t="n">
        <v>0</v>
      </c>
      <c r="MS30" s="28" t="n">
        <v>0</v>
      </c>
      <c r="MT30" s="28" t="n">
        <v>0</v>
      </c>
      <c r="MU30" s="28" t="n">
        <v>0</v>
      </c>
      <c r="MV30" s="28" t="n">
        <v>0</v>
      </c>
      <c r="MW30" s="28" t="n">
        <v>0</v>
      </c>
      <c r="MX30" s="28" t="n">
        <v>0</v>
      </c>
      <c r="MY30" s="28" t="n">
        <v>0</v>
      </c>
      <c r="MZ30" s="28" t="n">
        <v>0</v>
      </c>
      <c r="NA30" s="28" t="n">
        <v>0</v>
      </c>
      <c r="NB30" s="28" t="n">
        <v>0</v>
      </c>
      <c r="NC30" s="28" t="n">
        <v>0</v>
      </c>
      <c r="ND30" s="28" t="n">
        <v>0</v>
      </c>
      <c r="NE30" s="28" t="n">
        <v>0</v>
      </c>
      <c r="NF30" s="28" t="n">
        <v>0</v>
      </c>
      <c r="NG30" s="28" t="n">
        <v>0</v>
      </c>
      <c r="NH30" s="28" t="n">
        <v>0</v>
      </c>
      <c r="NI30" s="28" t="n">
        <v>0</v>
      </c>
      <c r="NJ30" s="28" t="n">
        <v>0</v>
      </c>
      <c r="NK30" s="28" t="n">
        <v>0</v>
      </c>
      <c r="NL30" s="28" t="n">
        <v>0</v>
      </c>
      <c r="NM30" s="28" t="n">
        <v>0</v>
      </c>
      <c r="NN30" s="28" t="n">
        <v>0</v>
      </c>
      <c r="NO30" s="28" t="n">
        <v>0</v>
      </c>
      <c r="NP30" s="28" t="n">
        <v>0</v>
      </c>
      <c r="NQ30" s="28" t="n">
        <v>0</v>
      </c>
      <c r="NR30" s="28" t="n">
        <v>0</v>
      </c>
      <c r="NS30" s="28" t="n">
        <v>0</v>
      </c>
      <c r="NT30" s="28" t="n">
        <v>0</v>
      </c>
      <c r="NU30" s="28" t="n">
        <v>0</v>
      </c>
      <c r="NV30" s="28" t="n">
        <v>0</v>
      </c>
      <c r="NW30" s="28" t="n">
        <v>0</v>
      </c>
      <c r="NX30" s="28" t="n">
        <v>0</v>
      </c>
      <c r="NY30" s="28" t="n">
        <v>0</v>
      </c>
      <c r="NZ30" s="28" t="n">
        <v>0</v>
      </c>
      <c r="OA30" s="28" t="n">
        <v>0</v>
      </c>
      <c r="OB30" s="28" t="n">
        <v>0</v>
      </c>
      <c r="OC30" s="28" t="n">
        <v>0</v>
      </c>
      <c r="OD30" s="28" t="n">
        <v>0</v>
      </c>
      <c r="OE30" s="28" t="n">
        <v>0</v>
      </c>
      <c r="OF30" s="28" t="n">
        <v>0</v>
      </c>
      <c r="OG30" s="28" t="n">
        <v>0</v>
      </c>
      <c r="OH30" s="28" t="n">
        <v>0</v>
      </c>
      <c r="OI30" s="28" t="n">
        <v>0</v>
      </c>
      <c r="OJ30" s="28" t="n">
        <v>0</v>
      </c>
      <c r="OK30" s="28" t="n">
        <v>0</v>
      </c>
      <c r="OL30" s="28" t="n">
        <v>0</v>
      </c>
      <c r="OM30" s="28" t="n">
        <v>0</v>
      </c>
      <c r="ON30" s="28" t="n">
        <v>0</v>
      </c>
      <c r="OO30" s="28" t="n">
        <v>0</v>
      </c>
      <c r="OP30" s="28" t="n">
        <v>0</v>
      </c>
      <c r="OQ30" s="28" t="n">
        <v>0</v>
      </c>
      <c r="OR30" s="28" t="n">
        <v>0</v>
      </c>
      <c r="OS30" s="28" t="n">
        <v>0</v>
      </c>
      <c r="OT30" s="28" t="n">
        <v>0</v>
      </c>
      <c r="OU30" s="28" t="n">
        <v>0</v>
      </c>
      <c r="OV30" s="28" t="n">
        <v>0</v>
      </c>
      <c r="OW30" s="28" t="n">
        <v>0</v>
      </c>
      <c r="OX30" s="28" t="n">
        <v>0</v>
      </c>
      <c r="OY30" s="28" t="n">
        <v>0</v>
      </c>
      <c r="OZ30" s="28" t="n">
        <v>0</v>
      </c>
      <c r="PA30" s="28" t="n">
        <v>0</v>
      </c>
      <c r="PB30" s="28" t="n">
        <v>0</v>
      </c>
      <c r="PC30" s="28" t="n">
        <v>0</v>
      </c>
      <c r="PD30" s="28" t="n">
        <v>0</v>
      </c>
      <c r="PE30" s="28" t="n">
        <v>0</v>
      </c>
      <c r="PF30" s="28" t="n">
        <v>0</v>
      </c>
      <c r="PG30" s="28" t="n">
        <v>0</v>
      </c>
      <c r="PH30" s="28" t="n">
        <v>0</v>
      </c>
      <c r="PI30" s="28" t="n">
        <v>0</v>
      </c>
      <c r="PJ30" s="28" t="n">
        <v>0</v>
      </c>
      <c r="PK30" s="28" t="n">
        <v>0</v>
      </c>
      <c r="PL30" s="28" t="n">
        <v>0</v>
      </c>
      <c r="PM30" s="28" t="n">
        <v>0</v>
      </c>
      <c r="PN30" s="28" t="n">
        <v>0</v>
      </c>
      <c r="PO30" s="28" t="n">
        <v>0</v>
      </c>
      <c r="PP30" s="28" t="n">
        <v>0</v>
      </c>
      <c r="PQ30" s="28" t="n">
        <v>0</v>
      </c>
      <c r="PR30" s="28" t="n">
        <v>0</v>
      </c>
      <c r="PS30" s="28" t="n">
        <v>0</v>
      </c>
      <c r="PT30" s="28" t="n">
        <v>0</v>
      </c>
      <c r="PU30" s="28" t="n">
        <v>0</v>
      </c>
      <c r="PV30" s="28" t="n">
        <v>0</v>
      </c>
      <c r="PW30" s="28" t="n">
        <v>0</v>
      </c>
      <c r="PX30" s="28" t="n">
        <v>0</v>
      </c>
      <c r="PY30" s="28" t="n">
        <v>0</v>
      </c>
      <c r="PZ30" s="28" t="n">
        <v>0</v>
      </c>
      <c r="QA30" s="28" t="n">
        <v>0</v>
      </c>
      <c r="QB30" s="28" t="n">
        <v>0</v>
      </c>
      <c r="QC30" s="28" t="n">
        <v>0</v>
      </c>
      <c r="QD30" s="28" t="n">
        <v>0</v>
      </c>
      <c r="QE30" s="28" t="n">
        <v>0</v>
      </c>
      <c r="QF30" s="28" t="n">
        <v>0</v>
      </c>
      <c r="QG30" s="28" t="n">
        <v>0</v>
      </c>
      <c r="QH30" s="28" t="n">
        <v>0</v>
      </c>
      <c r="QI30" s="28" t="n">
        <v>0</v>
      </c>
      <c r="QJ30" s="28" t="n">
        <v>0</v>
      </c>
      <c r="QK30" s="28" t="n">
        <v>0</v>
      </c>
      <c r="QL30" s="28" t="n">
        <v>0</v>
      </c>
      <c r="QM30" s="28" t="n">
        <v>0</v>
      </c>
      <c r="QN30" s="28" t="n">
        <v>0</v>
      </c>
      <c r="QO30" s="28" t="n">
        <v>0</v>
      </c>
      <c r="QP30" s="28" t="n">
        <v>0</v>
      </c>
      <c r="QQ30" s="28" t="n">
        <v>0</v>
      </c>
      <c r="QR30" s="28" t="n">
        <v>0</v>
      </c>
      <c r="QS30" s="28" t="n">
        <v>0</v>
      </c>
      <c r="QT30" s="28" t="n">
        <v>0</v>
      </c>
      <c r="QU30" s="28" t="n">
        <v>0</v>
      </c>
      <c r="QV30" s="28" t="n">
        <v>0</v>
      </c>
      <c r="QW30" s="28" t="n">
        <v>0</v>
      </c>
      <c r="QX30" s="28" t="n">
        <v>0</v>
      </c>
      <c r="QY30" s="28" t="n">
        <v>0</v>
      </c>
      <c r="QZ30" s="28" t="n">
        <v>0</v>
      </c>
      <c r="RA30" s="28" t="n">
        <v>0</v>
      </c>
      <c r="RB30" s="28" t="n">
        <v>0</v>
      </c>
      <c r="RC30" s="28" t="n">
        <v>0</v>
      </c>
      <c r="RD30" s="28" t="n">
        <v>0</v>
      </c>
      <c r="RE30" s="28" t="n">
        <v>0</v>
      </c>
      <c r="RF30" s="28" t="n">
        <v>0</v>
      </c>
      <c r="RG30" s="28" t="n">
        <v>0</v>
      </c>
      <c r="RH30" s="28" t="n">
        <v>0</v>
      </c>
      <c r="RI30" s="28" t="n">
        <v>0</v>
      </c>
      <c r="RJ30" s="28" t="n">
        <v>0</v>
      </c>
      <c r="RK30" s="28" t="n">
        <v>0</v>
      </c>
      <c r="RL30" s="28" t="n">
        <v>0</v>
      </c>
      <c r="RM30" s="28" t="n">
        <v>0</v>
      </c>
      <c r="RN30" s="28" t="n">
        <v>0</v>
      </c>
      <c r="RO30" s="28" t="n">
        <v>0</v>
      </c>
      <c r="RP30" s="28" t="n">
        <v>0</v>
      </c>
      <c r="RQ30" s="28" t="n">
        <v>0</v>
      </c>
      <c r="RR30" s="28" t="n">
        <v>0</v>
      </c>
      <c r="RS30" s="28" t="n">
        <v>0</v>
      </c>
      <c r="RT30" s="28" t="n">
        <v>0</v>
      </c>
      <c r="RU30" s="28" t="n">
        <v>0</v>
      </c>
      <c r="RV30" s="28" t="n">
        <v>0</v>
      </c>
      <c r="RW30" s="28" t="n">
        <v>0</v>
      </c>
    </row>
    <row r="31" hidden="1" outlineLevel="1" ht="13.05" customHeight="1">
      <c r="E31" s="21" t="inlineStr">
        <is>
          <t>Discharge Indexation Factor</t>
        </is>
      </c>
      <c r="F31" s="29" t="n"/>
      <c r="G31" s="29" t="inlineStr">
        <is>
          <t>x</t>
        </is>
      </c>
      <c r="H31" s="29" t="n"/>
      <c r="I31" s="29" t="n"/>
      <c r="J31" s="30" t="n">
        <v>1</v>
      </c>
      <c r="K31" s="29" t="n"/>
      <c r="L31" s="31" t="n">
        <v>1</v>
      </c>
      <c r="M31" s="31" t="n">
        <v>1</v>
      </c>
      <c r="N31" s="31" t="n">
        <v>1</v>
      </c>
      <c r="O31" s="31" t="n">
        <v>1</v>
      </c>
      <c r="P31" s="31" t="n">
        <v>1</v>
      </c>
      <c r="Q31" s="31" t="n">
        <v>1</v>
      </c>
      <c r="R31" s="31" t="n">
        <v>1</v>
      </c>
      <c r="S31" s="31" t="n">
        <v>1</v>
      </c>
      <c r="T31" s="31" t="n">
        <v>1</v>
      </c>
      <c r="U31" s="31" t="n">
        <v>1</v>
      </c>
      <c r="V31" s="31" t="n">
        <v>1</v>
      </c>
      <c r="W31" s="31" t="n">
        <v>1</v>
      </c>
      <c r="X31" s="31" t="n">
        <v>1</v>
      </c>
      <c r="Y31" s="31" t="n">
        <v>1</v>
      </c>
      <c r="Z31" s="31" t="n">
        <v>1</v>
      </c>
      <c r="AA31" s="31" t="n">
        <v>1</v>
      </c>
      <c r="AB31" s="31" t="n">
        <v>1</v>
      </c>
      <c r="AC31" s="31" t="n">
        <v>1</v>
      </c>
      <c r="AD31" s="31" t="n">
        <v>1</v>
      </c>
      <c r="AE31" s="31" t="n">
        <v>1</v>
      </c>
      <c r="AF31" s="31" t="n">
        <v>1</v>
      </c>
      <c r="AG31" s="31" t="n">
        <v>1</v>
      </c>
      <c r="AH31" s="31" t="n">
        <v>1</v>
      </c>
      <c r="AI31" s="31" t="n">
        <v>1</v>
      </c>
      <c r="AJ31" s="31" t="n">
        <v>1</v>
      </c>
      <c r="AK31" s="31" t="n">
        <v>1</v>
      </c>
      <c r="AL31" s="31" t="n">
        <v>1</v>
      </c>
      <c r="AM31" s="31" t="n">
        <v>1</v>
      </c>
      <c r="AN31" s="31" t="n">
        <v>1</v>
      </c>
      <c r="AO31" s="31" t="n">
        <v>1</v>
      </c>
      <c r="AP31" s="31" t="n">
        <v>1</v>
      </c>
      <c r="AQ31" s="31" t="n">
        <v>1</v>
      </c>
      <c r="AR31" s="31" t="n">
        <v>1</v>
      </c>
      <c r="AS31" s="31" t="n">
        <v>1</v>
      </c>
      <c r="AT31" s="31" t="n">
        <v>1</v>
      </c>
      <c r="AU31" s="31" t="n">
        <v>1</v>
      </c>
      <c r="AV31" s="31" t="n">
        <v>1</v>
      </c>
      <c r="AW31" s="31" t="n">
        <v>1</v>
      </c>
      <c r="AX31" s="31" t="n">
        <v>1</v>
      </c>
      <c r="AY31" s="31" t="n">
        <v>1</v>
      </c>
      <c r="AZ31" s="31" t="n">
        <v>1</v>
      </c>
      <c r="BA31" s="31" t="n">
        <v>1</v>
      </c>
      <c r="BB31" s="31" t="n">
        <v>1</v>
      </c>
      <c r="BC31" s="31" t="n">
        <v>1</v>
      </c>
      <c r="BD31" s="31" t="n">
        <v>1</v>
      </c>
      <c r="BE31" s="31" t="n">
        <v>1</v>
      </c>
      <c r="BF31" s="31" t="n">
        <v>1</v>
      </c>
      <c r="BG31" s="31" t="n">
        <v>1</v>
      </c>
      <c r="BH31" s="31" t="n">
        <v>1</v>
      </c>
      <c r="BI31" s="31" t="n">
        <v>1</v>
      </c>
      <c r="BJ31" s="31" t="n">
        <v>1</v>
      </c>
      <c r="BK31" s="31" t="n">
        <v>1</v>
      </c>
      <c r="BL31" s="31" t="n">
        <v>1</v>
      </c>
      <c r="BM31" s="31" t="n">
        <v>1</v>
      </c>
      <c r="BN31" s="31" t="n">
        <v>1</v>
      </c>
      <c r="BO31" s="31" t="n">
        <v>1</v>
      </c>
      <c r="BP31" s="31" t="n">
        <v>1</v>
      </c>
      <c r="BQ31" s="31" t="n">
        <v>1</v>
      </c>
      <c r="BR31" s="31" t="n">
        <v>1</v>
      </c>
      <c r="BS31" s="31" t="n">
        <v>1</v>
      </c>
      <c r="BT31" s="31" t="n">
        <v>1</v>
      </c>
      <c r="BU31" s="31" t="n">
        <v>1</v>
      </c>
      <c r="BV31" s="31" t="n">
        <v>1</v>
      </c>
      <c r="BW31" s="31" t="n">
        <v>1</v>
      </c>
      <c r="BX31" s="31" t="n">
        <v>1</v>
      </c>
      <c r="BY31" s="31" t="n">
        <v>1</v>
      </c>
      <c r="BZ31" s="31" t="n">
        <v>1</v>
      </c>
      <c r="CA31" s="31" t="n">
        <v>1</v>
      </c>
      <c r="CB31" s="31" t="n">
        <v>1</v>
      </c>
      <c r="CC31" s="31" t="n">
        <v>1</v>
      </c>
      <c r="CD31" s="31" t="n">
        <v>1</v>
      </c>
      <c r="CE31" s="31" t="n">
        <v>1</v>
      </c>
      <c r="CF31" s="31" t="n">
        <v>1</v>
      </c>
      <c r="CG31" s="31" t="n">
        <v>1</v>
      </c>
      <c r="CH31" s="31" t="n">
        <v>1</v>
      </c>
      <c r="CI31" s="31" t="n">
        <v>1</v>
      </c>
      <c r="CJ31" s="31" t="n">
        <v>1</v>
      </c>
      <c r="CK31" s="31" t="n">
        <v>1</v>
      </c>
      <c r="CL31" s="31" t="n">
        <v>1</v>
      </c>
      <c r="CM31" s="31" t="n">
        <v>1</v>
      </c>
      <c r="CN31" s="31" t="n">
        <v>1</v>
      </c>
      <c r="CO31" s="31" t="n">
        <v>1</v>
      </c>
      <c r="CP31" s="31" t="n">
        <v>1</v>
      </c>
      <c r="CQ31" s="31" t="n">
        <v>1</v>
      </c>
      <c r="CR31" s="31" t="n">
        <v>1</v>
      </c>
      <c r="CS31" s="31" t="n">
        <v>1</v>
      </c>
      <c r="CT31" s="31" t="n">
        <v>1</v>
      </c>
      <c r="CU31" s="31" t="n">
        <v>1</v>
      </c>
      <c r="CV31" s="31" t="n">
        <v>1</v>
      </c>
      <c r="CW31" s="31" t="n">
        <v>1</v>
      </c>
      <c r="CX31" s="31" t="n">
        <v>1</v>
      </c>
      <c r="CY31" s="31" t="n">
        <v>1</v>
      </c>
      <c r="CZ31" s="31" t="n">
        <v>1</v>
      </c>
      <c r="DA31" s="31" t="n">
        <v>1</v>
      </c>
      <c r="DB31" s="31" t="n">
        <v>1</v>
      </c>
      <c r="DC31" s="31" t="n">
        <v>1</v>
      </c>
      <c r="DD31" s="31" t="n">
        <v>1</v>
      </c>
      <c r="DE31" s="31" t="n">
        <v>1</v>
      </c>
      <c r="DF31" s="31" t="n">
        <v>1</v>
      </c>
      <c r="DG31" s="31" t="n">
        <v>1</v>
      </c>
      <c r="DH31" s="31" t="n">
        <v>1</v>
      </c>
      <c r="DI31" s="31" t="n">
        <v>1</v>
      </c>
      <c r="DJ31" s="31" t="n">
        <v>1</v>
      </c>
      <c r="DK31" s="31" t="n">
        <v>1</v>
      </c>
      <c r="DL31" s="31" t="n">
        <v>1</v>
      </c>
      <c r="DM31" s="31" t="n">
        <v>1</v>
      </c>
      <c r="DN31" s="31" t="n">
        <v>1</v>
      </c>
      <c r="DO31" s="31" t="n">
        <v>1</v>
      </c>
      <c r="DP31" s="31" t="n">
        <v>1</v>
      </c>
      <c r="DQ31" s="31" t="n">
        <v>1</v>
      </c>
      <c r="DR31" s="31" t="n">
        <v>1</v>
      </c>
      <c r="DS31" s="31" t="n">
        <v>1</v>
      </c>
      <c r="DT31" s="31" t="n">
        <v>1</v>
      </c>
      <c r="DU31" s="31" t="n">
        <v>1</v>
      </c>
      <c r="DV31" s="31" t="n">
        <v>1</v>
      </c>
      <c r="DW31" s="31" t="n">
        <v>1</v>
      </c>
      <c r="DX31" s="31" t="n">
        <v>1</v>
      </c>
      <c r="DY31" s="31" t="n">
        <v>1</v>
      </c>
      <c r="DZ31" s="31" t="n">
        <v>1</v>
      </c>
      <c r="EA31" s="31" t="n">
        <v>1</v>
      </c>
      <c r="EB31" s="31" t="n">
        <v>1</v>
      </c>
      <c r="EC31" s="31" t="n">
        <v>1</v>
      </c>
      <c r="ED31" s="31" t="n">
        <v>1</v>
      </c>
      <c r="EE31" s="31" t="n">
        <v>1</v>
      </c>
      <c r="EF31" s="31" t="n">
        <v>1</v>
      </c>
      <c r="EG31" s="31" t="n">
        <v>1</v>
      </c>
      <c r="EH31" s="31" t="n">
        <v>1</v>
      </c>
      <c r="EI31" s="31" t="n">
        <v>1</v>
      </c>
      <c r="EJ31" s="31" t="n">
        <v>1</v>
      </c>
      <c r="EK31" s="31" t="n">
        <v>1</v>
      </c>
      <c r="EL31" s="31" t="n">
        <v>1</v>
      </c>
      <c r="EM31" s="31" t="n">
        <v>1</v>
      </c>
      <c r="EN31" s="31" t="n">
        <v>1</v>
      </c>
      <c r="EO31" s="31" t="n">
        <v>1</v>
      </c>
      <c r="EP31" s="31" t="n">
        <v>1</v>
      </c>
      <c r="EQ31" s="31" t="n">
        <v>1</v>
      </c>
      <c r="ER31" s="31" t="n">
        <v>1</v>
      </c>
      <c r="ES31" s="31" t="n">
        <v>1</v>
      </c>
      <c r="ET31" s="31" t="n">
        <v>1</v>
      </c>
      <c r="EU31" s="31" t="n">
        <v>1</v>
      </c>
      <c r="EV31" s="31" t="n">
        <v>1</v>
      </c>
      <c r="EW31" s="31" t="n">
        <v>1</v>
      </c>
      <c r="EX31" s="31" t="n">
        <v>1</v>
      </c>
      <c r="EY31" s="31" t="n">
        <v>1</v>
      </c>
      <c r="EZ31" s="31" t="n">
        <v>1</v>
      </c>
      <c r="FA31" s="31" t="n">
        <v>1</v>
      </c>
      <c r="FB31" s="31" t="n">
        <v>1</v>
      </c>
      <c r="FC31" s="31" t="n">
        <v>1</v>
      </c>
      <c r="FD31" s="31" t="n">
        <v>1</v>
      </c>
      <c r="FE31" s="31" t="n">
        <v>1</v>
      </c>
      <c r="FF31" s="31" t="n">
        <v>1</v>
      </c>
      <c r="FG31" s="31" t="n">
        <v>1</v>
      </c>
      <c r="FH31" s="31" t="n">
        <v>1</v>
      </c>
      <c r="FI31" s="31" t="n">
        <v>1</v>
      </c>
      <c r="FJ31" s="31" t="n">
        <v>1</v>
      </c>
      <c r="FK31" s="31" t="n">
        <v>1</v>
      </c>
      <c r="FL31" s="31" t="n">
        <v>1</v>
      </c>
      <c r="FM31" s="31" t="n">
        <v>1</v>
      </c>
      <c r="FN31" s="31" t="n">
        <v>1</v>
      </c>
      <c r="FO31" s="31" t="n">
        <v>1</v>
      </c>
      <c r="FP31" s="31" t="n">
        <v>1</v>
      </c>
      <c r="FQ31" s="31" t="n">
        <v>1</v>
      </c>
      <c r="FR31" s="31" t="n">
        <v>1</v>
      </c>
      <c r="FS31" s="31" t="n">
        <v>1</v>
      </c>
      <c r="FT31" s="31" t="n">
        <v>1</v>
      </c>
      <c r="FU31" s="31" t="n">
        <v>1</v>
      </c>
      <c r="FV31" s="31" t="n">
        <v>1</v>
      </c>
      <c r="FW31" s="31" t="n">
        <v>1</v>
      </c>
      <c r="FX31" s="31" t="n">
        <v>1</v>
      </c>
      <c r="FY31" s="31" t="n">
        <v>1</v>
      </c>
      <c r="FZ31" s="31" t="n">
        <v>1</v>
      </c>
      <c r="GA31" s="31" t="n">
        <v>1</v>
      </c>
      <c r="GB31" s="31" t="n">
        <v>1</v>
      </c>
      <c r="GC31" s="31" t="n">
        <v>1</v>
      </c>
      <c r="GD31" s="31" t="n">
        <v>1</v>
      </c>
      <c r="GE31" s="31" t="n">
        <v>1</v>
      </c>
      <c r="GF31" s="31" t="n">
        <v>1</v>
      </c>
      <c r="GG31" s="31" t="n">
        <v>1</v>
      </c>
      <c r="GH31" s="31" t="n">
        <v>1</v>
      </c>
      <c r="GI31" s="31" t="n">
        <v>1</v>
      </c>
      <c r="GJ31" s="31" t="n">
        <v>1</v>
      </c>
      <c r="GK31" s="31" t="n">
        <v>1</v>
      </c>
      <c r="GL31" s="31" t="n">
        <v>1</v>
      </c>
      <c r="GM31" s="31" t="n">
        <v>1</v>
      </c>
      <c r="GN31" s="31" t="n">
        <v>1</v>
      </c>
      <c r="GO31" s="31" t="n">
        <v>1</v>
      </c>
      <c r="GP31" s="31" t="n">
        <v>1</v>
      </c>
      <c r="GQ31" s="31" t="n">
        <v>1</v>
      </c>
      <c r="GR31" s="31" t="n">
        <v>1</v>
      </c>
      <c r="GS31" s="31" t="n">
        <v>1</v>
      </c>
      <c r="GT31" s="31" t="n">
        <v>1</v>
      </c>
      <c r="GU31" s="31" t="n">
        <v>1</v>
      </c>
      <c r="GV31" s="31" t="n">
        <v>1</v>
      </c>
      <c r="GW31" s="31" t="n">
        <v>1</v>
      </c>
      <c r="GX31" s="31" t="n">
        <v>1</v>
      </c>
      <c r="GY31" s="31" t="n">
        <v>1</v>
      </c>
      <c r="GZ31" s="31" t="n">
        <v>1</v>
      </c>
      <c r="HA31" s="31" t="n">
        <v>1</v>
      </c>
      <c r="HB31" s="31" t="n">
        <v>1</v>
      </c>
      <c r="HC31" s="31" t="n">
        <v>1</v>
      </c>
      <c r="HD31" s="31" t="n">
        <v>1</v>
      </c>
      <c r="HE31" s="31" t="n">
        <v>1</v>
      </c>
      <c r="HF31" s="31" t="n">
        <v>1</v>
      </c>
      <c r="HG31" s="31" t="n">
        <v>1</v>
      </c>
      <c r="HH31" s="31" t="n">
        <v>1</v>
      </c>
      <c r="HI31" s="31" t="n">
        <v>1</v>
      </c>
      <c r="HJ31" s="31" t="n">
        <v>1</v>
      </c>
      <c r="HK31" s="31" t="n">
        <v>1</v>
      </c>
      <c r="HL31" s="31" t="n">
        <v>1</v>
      </c>
      <c r="HM31" s="31" t="n">
        <v>1</v>
      </c>
      <c r="HN31" s="31" t="n">
        <v>1</v>
      </c>
      <c r="HO31" s="31" t="n">
        <v>1</v>
      </c>
      <c r="HP31" s="31" t="n">
        <v>1</v>
      </c>
      <c r="HQ31" s="31" t="n">
        <v>1</v>
      </c>
      <c r="HR31" s="31" t="n">
        <v>1</v>
      </c>
      <c r="HS31" s="31" t="n">
        <v>1</v>
      </c>
      <c r="HT31" s="31" t="n">
        <v>1</v>
      </c>
      <c r="HU31" s="31" t="n">
        <v>1</v>
      </c>
      <c r="HV31" s="31" t="n">
        <v>1</v>
      </c>
      <c r="HW31" s="31" t="n">
        <v>1</v>
      </c>
      <c r="HX31" s="31" t="n">
        <v>1</v>
      </c>
      <c r="HY31" s="31" t="n">
        <v>1</v>
      </c>
      <c r="HZ31" s="31" t="n">
        <v>1</v>
      </c>
      <c r="IA31" s="31" t="n">
        <v>1</v>
      </c>
      <c r="IB31" s="31" t="n">
        <v>1</v>
      </c>
      <c r="IC31" s="31" t="n">
        <v>1</v>
      </c>
      <c r="ID31" s="31" t="n">
        <v>1</v>
      </c>
      <c r="IE31" s="31" t="n">
        <v>1</v>
      </c>
      <c r="IF31" s="31" t="n">
        <v>1</v>
      </c>
      <c r="IG31" s="31" t="n">
        <v>1</v>
      </c>
      <c r="IH31" s="31" t="n">
        <v>1</v>
      </c>
      <c r="II31" s="31" t="n">
        <v>1</v>
      </c>
      <c r="IJ31" s="31" t="n">
        <v>1</v>
      </c>
      <c r="IK31" s="31" t="n">
        <v>1</v>
      </c>
      <c r="IL31" s="31" t="n">
        <v>1</v>
      </c>
      <c r="IM31" s="31" t="n">
        <v>1</v>
      </c>
      <c r="IN31" s="31" t="n">
        <v>1</v>
      </c>
      <c r="IO31" s="31" t="n">
        <v>1</v>
      </c>
      <c r="IP31" s="31" t="n">
        <v>1</v>
      </c>
      <c r="IQ31" s="31" t="n">
        <v>1</v>
      </c>
      <c r="IR31" s="31" t="n">
        <v>1</v>
      </c>
      <c r="IS31" s="31" t="n">
        <v>1</v>
      </c>
      <c r="IT31" s="31" t="n">
        <v>1</v>
      </c>
      <c r="IU31" s="31" t="n">
        <v>1</v>
      </c>
      <c r="IV31" s="31" t="n">
        <v>1</v>
      </c>
      <c r="IW31" s="31" t="n">
        <v>1</v>
      </c>
      <c r="IX31" s="31" t="n">
        <v>1</v>
      </c>
      <c r="IY31" s="31" t="n">
        <v>1</v>
      </c>
      <c r="IZ31" s="31" t="n">
        <v>1</v>
      </c>
      <c r="JA31" s="31" t="n">
        <v>1</v>
      </c>
      <c r="JB31" s="31" t="n">
        <v>1</v>
      </c>
      <c r="JC31" s="31" t="n">
        <v>1</v>
      </c>
      <c r="JD31" s="31" t="n">
        <v>1</v>
      </c>
      <c r="JE31" s="31" t="n">
        <v>1</v>
      </c>
      <c r="JF31" s="31" t="n">
        <v>1</v>
      </c>
      <c r="JG31" s="31" t="n">
        <v>1</v>
      </c>
      <c r="JH31" s="31" t="n">
        <v>1</v>
      </c>
      <c r="JI31" s="31" t="n">
        <v>1</v>
      </c>
      <c r="JJ31" s="31" t="n">
        <v>1</v>
      </c>
      <c r="JK31" s="31" t="n">
        <v>1</v>
      </c>
      <c r="JL31" s="31" t="n">
        <v>1</v>
      </c>
      <c r="JM31" s="31" t="n">
        <v>1</v>
      </c>
      <c r="JN31" s="31" t="n">
        <v>1</v>
      </c>
      <c r="JO31" s="31" t="n">
        <v>1</v>
      </c>
      <c r="JP31" s="31" t="n">
        <v>1</v>
      </c>
      <c r="JQ31" s="31" t="n">
        <v>1</v>
      </c>
      <c r="JR31" s="31" t="n">
        <v>1</v>
      </c>
      <c r="JS31" s="31" t="n">
        <v>1</v>
      </c>
      <c r="JT31" s="31" t="n">
        <v>1</v>
      </c>
      <c r="JU31" s="31" t="n">
        <v>1</v>
      </c>
      <c r="JV31" s="31" t="n">
        <v>1</v>
      </c>
      <c r="JW31" s="31" t="n">
        <v>1</v>
      </c>
      <c r="JX31" s="31" t="n">
        <v>1</v>
      </c>
      <c r="JY31" s="31" t="n">
        <v>1</v>
      </c>
      <c r="JZ31" s="31" t="n">
        <v>1</v>
      </c>
      <c r="KA31" s="31" t="n">
        <v>1</v>
      </c>
      <c r="KB31" s="31" t="n">
        <v>1</v>
      </c>
      <c r="KC31" s="31" t="n">
        <v>1</v>
      </c>
      <c r="KD31" s="31" t="n">
        <v>1</v>
      </c>
      <c r="KE31" s="31" t="n">
        <v>1</v>
      </c>
      <c r="KF31" s="31" t="n">
        <v>1</v>
      </c>
      <c r="KG31" s="31" t="n">
        <v>1</v>
      </c>
      <c r="KH31" s="31" t="n">
        <v>1</v>
      </c>
      <c r="KI31" s="31" t="n">
        <v>1</v>
      </c>
      <c r="KJ31" s="31" t="n">
        <v>1</v>
      </c>
      <c r="KK31" s="31" t="n">
        <v>1</v>
      </c>
      <c r="KL31" s="31" t="n">
        <v>1</v>
      </c>
      <c r="KM31" s="31" t="n">
        <v>1</v>
      </c>
      <c r="KN31" s="31" t="n">
        <v>1</v>
      </c>
      <c r="KO31" s="31" t="n">
        <v>1</v>
      </c>
      <c r="KP31" s="31" t="n">
        <v>1</v>
      </c>
      <c r="KQ31" s="31" t="n">
        <v>1</v>
      </c>
      <c r="KR31" s="31" t="n">
        <v>1</v>
      </c>
      <c r="KS31" s="31" t="n">
        <v>1</v>
      </c>
      <c r="KT31" s="31" t="n">
        <v>1</v>
      </c>
      <c r="KU31" s="31" t="n">
        <v>1</v>
      </c>
      <c r="KV31" s="31" t="n">
        <v>1</v>
      </c>
      <c r="KW31" s="31" t="n">
        <v>1</v>
      </c>
      <c r="KX31" s="31" t="n">
        <v>1</v>
      </c>
      <c r="KY31" s="31" t="n">
        <v>1</v>
      </c>
      <c r="KZ31" s="31" t="n">
        <v>1</v>
      </c>
      <c r="LA31" s="31" t="n">
        <v>1</v>
      </c>
      <c r="LB31" s="31" t="n">
        <v>1</v>
      </c>
      <c r="LC31" s="31" t="n">
        <v>1</v>
      </c>
      <c r="LD31" s="31" t="n">
        <v>1</v>
      </c>
      <c r="LE31" s="31" t="n">
        <v>1</v>
      </c>
      <c r="LF31" s="31" t="n">
        <v>1</v>
      </c>
      <c r="LG31" s="31" t="n">
        <v>1</v>
      </c>
      <c r="LH31" s="31" t="n">
        <v>1</v>
      </c>
      <c r="LI31" s="31" t="n">
        <v>1</v>
      </c>
      <c r="LJ31" s="31" t="n">
        <v>1</v>
      </c>
      <c r="LK31" s="31" t="n">
        <v>1</v>
      </c>
      <c r="LL31" s="31" t="n">
        <v>1</v>
      </c>
      <c r="LM31" s="31" t="n">
        <v>1</v>
      </c>
      <c r="LN31" s="31" t="n">
        <v>1</v>
      </c>
      <c r="LO31" s="31" t="n">
        <v>1</v>
      </c>
      <c r="LP31" s="31" t="n">
        <v>1</v>
      </c>
      <c r="LQ31" s="31" t="n">
        <v>1</v>
      </c>
      <c r="LR31" s="31" t="n">
        <v>1</v>
      </c>
      <c r="LS31" s="31" t="n">
        <v>1</v>
      </c>
      <c r="LT31" s="31" t="n">
        <v>1</v>
      </c>
      <c r="LU31" s="31" t="n">
        <v>1</v>
      </c>
      <c r="LV31" s="31" t="n">
        <v>1</v>
      </c>
      <c r="LW31" s="31" t="n">
        <v>1</v>
      </c>
      <c r="LX31" s="31" t="n">
        <v>1</v>
      </c>
      <c r="LY31" s="31" t="n">
        <v>1</v>
      </c>
      <c r="LZ31" s="31" t="n">
        <v>1</v>
      </c>
      <c r="MA31" s="31" t="n">
        <v>1</v>
      </c>
      <c r="MB31" s="31" t="n">
        <v>1</v>
      </c>
      <c r="MC31" s="31" t="n">
        <v>1</v>
      </c>
      <c r="MD31" s="31" t="n">
        <v>1</v>
      </c>
      <c r="ME31" s="31" t="n">
        <v>1</v>
      </c>
      <c r="MF31" s="31" t="n">
        <v>1</v>
      </c>
      <c r="MG31" s="31" t="n">
        <v>1</v>
      </c>
      <c r="MH31" s="31" t="n">
        <v>1</v>
      </c>
      <c r="MI31" s="31" t="n">
        <v>1</v>
      </c>
      <c r="MJ31" s="31" t="n">
        <v>1</v>
      </c>
      <c r="MK31" s="31" t="n">
        <v>1</v>
      </c>
      <c r="ML31" s="31" t="n">
        <v>1</v>
      </c>
      <c r="MM31" s="31" t="n">
        <v>1</v>
      </c>
      <c r="MN31" s="31" t="n">
        <v>1</v>
      </c>
      <c r="MO31" s="31" t="n">
        <v>1</v>
      </c>
      <c r="MP31" s="31" t="n">
        <v>1</v>
      </c>
      <c r="MQ31" s="31" t="n">
        <v>1</v>
      </c>
      <c r="MR31" s="31" t="n">
        <v>1</v>
      </c>
      <c r="MS31" s="31" t="n">
        <v>1</v>
      </c>
      <c r="MT31" s="31" t="n">
        <v>1</v>
      </c>
      <c r="MU31" s="31" t="n">
        <v>1</v>
      </c>
      <c r="MV31" s="31" t="n">
        <v>1</v>
      </c>
      <c r="MW31" s="31" t="n">
        <v>1</v>
      </c>
      <c r="MX31" s="31" t="n">
        <v>1</v>
      </c>
      <c r="MY31" s="31" t="n">
        <v>1</v>
      </c>
      <c r="MZ31" s="31" t="n">
        <v>1</v>
      </c>
      <c r="NA31" s="31" t="n">
        <v>1</v>
      </c>
      <c r="NB31" s="31" t="n">
        <v>1</v>
      </c>
      <c r="NC31" s="31" t="n">
        <v>1</v>
      </c>
      <c r="ND31" s="31" t="n">
        <v>1</v>
      </c>
      <c r="NE31" s="31" t="n">
        <v>1</v>
      </c>
      <c r="NF31" s="31" t="n">
        <v>1</v>
      </c>
      <c r="NG31" s="31" t="n">
        <v>1</v>
      </c>
      <c r="NH31" s="31" t="n">
        <v>1</v>
      </c>
      <c r="NI31" s="31" t="n">
        <v>1</v>
      </c>
      <c r="NJ31" s="31" t="n">
        <v>1</v>
      </c>
      <c r="NK31" s="31" t="n">
        <v>1</v>
      </c>
      <c r="NL31" s="31" t="n">
        <v>1</v>
      </c>
      <c r="NM31" s="31" t="n">
        <v>1</v>
      </c>
      <c r="NN31" s="31" t="n">
        <v>1</v>
      </c>
      <c r="NO31" s="31" t="n">
        <v>1</v>
      </c>
      <c r="NP31" s="31" t="n">
        <v>1</v>
      </c>
      <c r="NQ31" s="31" t="n">
        <v>1</v>
      </c>
      <c r="NR31" s="31" t="n">
        <v>1</v>
      </c>
      <c r="NS31" s="31" t="n">
        <v>1</v>
      </c>
      <c r="NT31" s="31" t="n">
        <v>1</v>
      </c>
      <c r="NU31" s="31" t="n">
        <v>1</v>
      </c>
      <c r="NV31" s="31" t="n">
        <v>1</v>
      </c>
      <c r="NW31" s="31" t="n">
        <v>1</v>
      </c>
      <c r="NX31" s="31" t="n">
        <v>1</v>
      </c>
      <c r="NY31" s="31" t="n">
        <v>1</v>
      </c>
      <c r="NZ31" s="31" t="n">
        <v>1</v>
      </c>
      <c r="OA31" s="31" t="n">
        <v>1</v>
      </c>
      <c r="OB31" s="31" t="n">
        <v>1</v>
      </c>
      <c r="OC31" s="31" t="n">
        <v>1</v>
      </c>
      <c r="OD31" s="31" t="n">
        <v>1</v>
      </c>
      <c r="OE31" s="31" t="n">
        <v>1</v>
      </c>
      <c r="OF31" s="31" t="n">
        <v>1</v>
      </c>
      <c r="OG31" s="31" t="n">
        <v>1</v>
      </c>
      <c r="OH31" s="31" t="n">
        <v>1</v>
      </c>
      <c r="OI31" s="31" t="n">
        <v>1</v>
      </c>
      <c r="OJ31" s="31" t="n">
        <v>1</v>
      </c>
      <c r="OK31" s="31" t="n">
        <v>1</v>
      </c>
      <c r="OL31" s="31" t="n">
        <v>1</v>
      </c>
      <c r="OM31" s="31" t="n">
        <v>1</v>
      </c>
      <c r="ON31" s="31" t="n">
        <v>1</v>
      </c>
      <c r="OO31" s="31" t="n">
        <v>1</v>
      </c>
      <c r="OP31" s="31" t="n">
        <v>1</v>
      </c>
      <c r="OQ31" s="31" t="n">
        <v>1</v>
      </c>
      <c r="OR31" s="31" t="n">
        <v>1</v>
      </c>
      <c r="OS31" s="31" t="n">
        <v>1</v>
      </c>
      <c r="OT31" s="31" t="n">
        <v>1</v>
      </c>
      <c r="OU31" s="31" t="n">
        <v>1</v>
      </c>
      <c r="OV31" s="31" t="n">
        <v>1</v>
      </c>
      <c r="OW31" s="31" t="n">
        <v>1</v>
      </c>
      <c r="OX31" s="31" t="n">
        <v>1</v>
      </c>
      <c r="OY31" s="31" t="n">
        <v>1</v>
      </c>
      <c r="OZ31" s="31" t="n">
        <v>1</v>
      </c>
      <c r="PA31" s="31" t="n">
        <v>1</v>
      </c>
      <c r="PB31" s="31" t="n">
        <v>1</v>
      </c>
      <c r="PC31" s="31" t="n">
        <v>1</v>
      </c>
      <c r="PD31" s="31" t="n">
        <v>1</v>
      </c>
      <c r="PE31" s="31" t="n">
        <v>1</v>
      </c>
      <c r="PF31" s="31" t="n">
        <v>1</v>
      </c>
      <c r="PG31" s="31" t="n">
        <v>1</v>
      </c>
      <c r="PH31" s="31" t="n">
        <v>1</v>
      </c>
      <c r="PI31" s="31" t="n">
        <v>1</v>
      </c>
      <c r="PJ31" s="31" t="n">
        <v>1</v>
      </c>
      <c r="PK31" s="31" t="n">
        <v>1</v>
      </c>
      <c r="PL31" s="31" t="n">
        <v>1</v>
      </c>
      <c r="PM31" s="31" t="n">
        <v>1</v>
      </c>
      <c r="PN31" s="31" t="n">
        <v>1</v>
      </c>
      <c r="PO31" s="31" t="n">
        <v>1</v>
      </c>
      <c r="PP31" s="31" t="n">
        <v>1</v>
      </c>
      <c r="PQ31" s="31" t="n">
        <v>1</v>
      </c>
      <c r="PR31" s="31" t="n">
        <v>1</v>
      </c>
      <c r="PS31" s="31" t="n">
        <v>1</v>
      </c>
      <c r="PT31" s="31" t="n">
        <v>1</v>
      </c>
      <c r="PU31" s="31" t="n">
        <v>1</v>
      </c>
      <c r="PV31" s="31" t="n">
        <v>1</v>
      </c>
      <c r="PW31" s="31" t="n">
        <v>1</v>
      </c>
      <c r="PX31" s="31" t="n">
        <v>1</v>
      </c>
      <c r="PY31" s="31" t="n">
        <v>1</v>
      </c>
      <c r="PZ31" s="31" t="n">
        <v>1</v>
      </c>
      <c r="QA31" s="31" t="n">
        <v>1</v>
      </c>
      <c r="QB31" s="31" t="n">
        <v>1</v>
      </c>
      <c r="QC31" s="31" t="n">
        <v>1</v>
      </c>
      <c r="QD31" s="31" t="n">
        <v>1</v>
      </c>
      <c r="QE31" s="31" t="n">
        <v>1</v>
      </c>
      <c r="QF31" s="31" t="n">
        <v>1</v>
      </c>
      <c r="QG31" s="31" t="n">
        <v>1</v>
      </c>
      <c r="QH31" s="31" t="n">
        <v>1</v>
      </c>
      <c r="QI31" s="31" t="n">
        <v>1</v>
      </c>
      <c r="QJ31" s="31" t="n">
        <v>1</v>
      </c>
      <c r="QK31" s="31" t="n">
        <v>1</v>
      </c>
      <c r="QL31" s="31" t="n">
        <v>1</v>
      </c>
      <c r="QM31" s="31" t="n">
        <v>1</v>
      </c>
      <c r="QN31" s="31" t="n">
        <v>1</v>
      </c>
      <c r="QO31" s="31" t="n">
        <v>1</v>
      </c>
      <c r="QP31" s="31" t="n">
        <v>1</v>
      </c>
      <c r="QQ31" s="31" t="n">
        <v>1</v>
      </c>
      <c r="QR31" s="31" t="n">
        <v>1</v>
      </c>
      <c r="QS31" s="31" t="n">
        <v>1</v>
      </c>
      <c r="QT31" s="31" t="n">
        <v>1</v>
      </c>
      <c r="QU31" s="31" t="n">
        <v>1</v>
      </c>
      <c r="QV31" s="31" t="n">
        <v>1</v>
      </c>
      <c r="QW31" s="31" t="n">
        <v>1</v>
      </c>
      <c r="QX31" s="31" t="n">
        <v>1</v>
      </c>
      <c r="QY31" s="31" t="n">
        <v>1</v>
      </c>
      <c r="QZ31" s="31" t="n">
        <v>1</v>
      </c>
      <c r="RA31" s="31" t="n">
        <v>1</v>
      </c>
      <c r="RB31" s="31" t="n">
        <v>1</v>
      </c>
      <c r="RC31" s="31" t="n">
        <v>1</v>
      </c>
      <c r="RD31" s="31" t="n">
        <v>1</v>
      </c>
      <c r="RE31" s="31" t="n">
        <v>1</v>
      </c>
      <c r="RF31" s="31" t="n">
        <v>1</v>
      </c>
      <c r="RG31" s="31" t="n">
        <v>1</v>
      </c>
      <c r="RH31" s="31" t="n">
        <v>1</v>
      </c>
      <c r="RI31" s="31" t="n">
        <v>1</v>
      </c>
      <c r="RJ31" s="31" t="n">
        <v>1</v>
      </c>
      <c r="RK31" s="31" t="n">
        <v>1</v>
      </c>
      <c r="RL31" s="31" t="n">
        <v>1</v>
      </c>
      <c r="RM31" s="31" t="n">
        <v>1</v>
      </c>
      <c r="RN31" s="31" t="n">
        <v>1</v>
      </c>
      <c r="RO31" s="31" t="n">
        <v>1</v>
      </c>
      <c r="RP31" s="31" t="n">
        <v>1</v>
      </c>
      <c r="RQ31" s="31" t="n">
        <v>1</v>
      </c>
      <c r="RR31" s="31" t="n">
        <v>1</v>
      </c>
      <c r="RS31" s="31" t="n">
        <v>1</v>
      </c>
      <c r="RT31" s="31" t="n">
        <v>1</v>
      </c>
      <c r="RU31" s="31" t="n">
        <v>1</v>
      </c>
      <c r="RV31" s="31" t="n">
        <v>1</v>
      </c>
      <c r="RW31" s="31" t="n">
        <v>1</v>
      </c>
    </row>
    <row r="32" hidden="1" outlineLevel="1" ht="13.05" customHeight="1">
      <c r="E32" s="21" t="inlineStr">
        <is>
          <t>Discharge Price (inflated)</t>
        </is>
      </c>
      <c r="F32" s="29" t="n"/>
      <c r="G32" s="29" t="inlineStr">
        <is>
          <t>DKK/MWh</t>
        </is>
      </c>
      <c r="H32" s="29" t="n"/>
      <c r="I32" s="29" t="n"/>
      <c r="J32" s="32" t="n">
        <v>0</v>
      </c>
      <c r="K32" s="29" t="n"/>
      <c r="L32" s="33" t="n">
        <v>0</v>
      </c>
      <c r="M32" s="33" t="n">
        <v>0</v>
      </c>
      <c r="N32" s="33" t="n">
        <v>0</v>
      </c>
      <c r="O32" s="33" t="n">
        <v>0</v>
      </c>
      <c r="P32" s="33" t="n">
        <v>0</v>
      </c>
      <c r="Q32" s="33" t="n">
        <v>0</v>
      </c>
      <c r="R32" s="33" t="n">
        <v>0</v>
      </c>
      <c r="S32" s="33" t="n">
        <v>0</v>
      </c>
      <c r="T32" s="33" t="n">
        <v>0</v>
      </c>
      <c r="U32" s="33" t="n">
        <v>0</v>
      </c>
      <c r="V32" s="33" t="n">
        <v>0</v>
      </c>
      <c r="W32" s="33" t="n">
        <v>0</v>
      </c>
      <c r="X32" s="33" t="n">
        <v>0</v>
      </c>
      <c r="Y32" s="33" t="n">
        <v>0</v>
      </c>
      <c r="Z32" s="33" t="n">
        <v>0</v>
      </c>
      <c r="AA32" s="33" t="n">
        <v>0</v>
      </c>
      <c r="AB32" s="33" t="n">
        <v>0</v>
      </c>
      <c r="AC32" s="33" t="n">
        <v>0</v>
      </c>
      <c r="AD32" s="33" t="n">
        <v>0</v>
      </c>
      <c r="AE32" s="33" t="n">
        <v>0</v>
      </c>
      <c r="AF32" s="33" t="n">
        <v>0</v>
      </c>
      <c r="AG32" s="33" t="n">
        <v>0</v>
      </c>
      <c r="AH32" s="33" t="n">
        <v>0</v>
      </c>
      <c r="AI32" s="33" t="n">
        <v>0</v>
      </c>
      <c r="AJ32" s="33" t="n">
        <v>0</v>
      </c>
      <c r="AK32" s="33" t="n">
        <v>0</v>
      </c>
      <c r="AL32" s="33" t="n">
        <v>0</v>
      </c>
      <c r="AM32" s="33" t="n">
        <v>0</v>
      </c>
      <c r="AN32" s="33" t="n">
        <v>0</v>
      </c>
      <c r="AO32" s="33" t="n">
        <v>0</v>
      </c>
      <c r="AP32" s="33" t="n">
        <v>0</v>
      </c>
      <c r="AQ32" s="33" t="n">
        <v>0</v>
      </c>
      <c r="AR32" s="33" t="n">
        <v>0</v>
      </c>
      <c r="AS32" s="33" t="n">
        <v>0</v>
      </c>
      <c r="AT32" s="33" t="n">
        <v>0</v>
      </c>
      <c r="AU32" s="33" t="n">
        <v>0</v>
      </c>
      <c r="AV32" s="33" t="n">
        <v>0</v>
      </c>
      <c r="AW32" s="33" t="n">
        <v>0</v>
      </c>
      <c r="AX32" s="33" t="n">
        <v>0</v>
      </c>
      <c r="AY32" s="33" t="n">
        <v>0</v>
      </c>
      <c r="AZ32" s="33" t="n">
        <v>0</v>
      </c>
      <c r="BA32" s="33" t="n">
        <v>0</v>
      </c>
      <c r="BB32" s="33" t="n">
        <v>0</v>
      </c>
      <c r="BC32" s="33" t="n">
        <v>0</v>
      </c>
      <c r="BD32" s="33" t="n">
        <v>0</v>
      </c>
      <c r="BE32" s="33" t="n">
        <v>0</v>
      </c>
      <c r="BF32" s="33" t="n">
        <v>0</v>
      </c>
      <c r="BG32" s="33" t="n">
        <v>0</v>
      </c>
      <c r="BH32" s="33" t="n">
        <v>0</v>
      </c>
      <c r="BI32" s="33" t="n">
        <v>0</v>
      </c>
      <c r="BJ32" s="33" t="n">
        <v>0</v>
      </c>
      <c r="BK32" s="33" t="n">
        <v>0</v>
      </c>
      <c r="BL32" s="33" t="n">
        <v>0</v>
      </c>
      <c r="BM32" s="33" t="n">
        <v>0</v>
      </c>
      <c r="BN32" s="33" t="n">
        <v>0</v>
      </c>
      <c r="BO32" s="33" t="n">
        <v>0</v>
      </c>
      <c r="BP32" s="33" t="n">
        <v>0</v>
      </c>
      <c r="BQ32" s="33" t="n">
        <v>0</v>
      </c>
      <c r="BR32" s="33" t="n">
        <v>0</v>
      </c>
      <c r="BS32" s="33" t="n">
        <v>0</v>
      </c>
      <c r="BT32" s="33" t="n">
        <v>0</v>
      </c>
      <c r="BU32" s="33" t="n">
        <v>0</v>
      </c>
      <c r="BV32" s="33" t="n">
        <v>0</v>
      </c>
      <c r="BW32" s="33" t="n">
        <v>0</v>
      </c>
      <c r="BX32" s="33" t="n">
        <v>0</v>
      </c>
      <c r="BY32" s="33" t="n">
        <v>0</v>
      </c>
      <c r="BZ32" s="33" t="n">
        <v>0</v>
      </c>
      <c r="CA32" s="33" t="n">
        <v>0</v>
      </c>
      <c r="CB32" s="33" t="n">
        <v>0</v>
      </c>
      <c r="CC32" s="33" t="n">
        <v>0</v>
      </c>
      <c r="CD32" s="33" t="n">
        <v>0</v>
      </c>
      <c r="CE32" s="33" t="n">
        <v>0</v>
      </c>
      <c r="CF32" s="33" t="n">
        <v>0</v>
      </c>
      <c r="CG32" s="33" t="n">
        <v>0</v>
      </c>
      <c r="CH32" s="33" t="n">
        <v>0</v>
      </c>
      <c r="CI32" s="33" t="n">
        <v>0</v>
      </c>
      <c r="CJ32" s="33" t="n">
        <v>0</v>
      </c>
      <c r="CK32" s="33" t="n">
        <v>0</v>
      </c>
      <c r="CL32" s="33" t="n">
        <v>0</v>
      </c>
      <c r="CM32" s="33" t="n">
        <v>0</v>
      </c>
      <c r="CN32" s="33" t="n">
        <v>0</v>
      </c>
      <c r="CO32" s="33" t="n">
        <v>0</v>
      </c>
      <c r="CP32" s="33" t="n">
        <v>0</v>
      </c>
      <c r="CQ32" s="33" t="n">
        <v>0</v>
      </c>
      <c r="CR32" s="33" t="n">
        <v>0</v>
      </c>
      <c r="CS32" s="33" t="n">
        <v>0</v>
      </c>
      <c r="CT32" s="33" t="n">
        <v>0</v>
      </c>
      <c r="CU32" s="33" t="n">
        <v>0</v>
      </c>
      <c r="CV32" s="33" t="n">
        <v>0</v>
      </c>
      <c r="CW32" s="33" t="n">
        <v>0</v>
      </c>
      <c r="CX32" s="33" t="n">
        <v>0</v>
      </c>
      <c r="CY32" s="33" t="n">
        <v>0</v>
      </c>
      <c r="CZ32" s="33" t="n">
        <v>0</v>
      </c>
      <c r="DA32" s="33" t="n">
        <v>0</v>
      </c>
      <c r="DB32" s="33" t="n">
        <v>0</v>
      </c>
      <c r="DC32" s="33" t="n">
        <v>0</v>
      </c>
      <c r="DD32" s="33" t="n">
        <v>0</v>
      </c>
      <c r="DE32" s="33" t="n">
        <v>0</v>
      </c>
      <c r="DF32" s="33" t="n">
        <v>0</v>
      </c>
      <c r="DG32" s="33" t="n">
        <v>0</v>
      </c>
      <c r="DH32" s="33" t="n">
        <v>0</v>
      </c>
      <c r="DI32" s="33" t="n">
        <v>0</v>
      </c>
      <c r="DJ32" s="33" t="n">
        <v>0</v>
      </c>
      <c r="DK32" s="33" t="n">
        <v>0</v>
      </c>
      <c r="DL32" s="33" t="n">
        <v>0</v>
      </c>
      <c r="DM32" s="33" t="n">
        <v>0</v>
      </c>
      <c r="DN32" s="33" t="n">
        <v>0</v>
      </c>
      <c r="DO32" s="33" t="n">
        <v>0</v>
      </c>
      <c r="DP32" s="33" t="n">
        <v>0</v>
      </c>
      <c r="DQ32" s="33" t="n">
        <v>0</v>
      </c>
      <c r="DR32" s="33" t="n">
        <v>0</v>
      </c>
      <c r="DS32" s="33" t="n">
        <v>0</v>
      </c>
      <c r="DT32" s="33" t="n">
        <v>0</v>
      </c>
      <c r="DU32" s="33" t="n">
        <v>0</v>
      </c>
      <c r="DV32" s="33" t="n">
        <v>0</v>
      </c>
      <c r="DW32" s="33" t="n">
        <v>0</v>
      </c>
      <c r="DX32" s="33" t="n">
        <v>0</v>
      </c>
      <c r="DY32" s="33" t="n">
        <v>0</v>
      </c>
      <c r="DZ32" s="33" t="n">
        <v>0</v>
      </c>
      <c r="EA32" s="33" t="n">
        <v>0</v>
      </c>
      <c r="EB32" s="33" t="n">
        <v>0</v>
      </c>
      <c r="EC32" s="33" t="n">
        <v>0</v>
      </c>
      <c r="ED32" s="33" t="n">
        <v>0</v>
      </c>
      <c r="EE32" s="33" t="n">
        <v>0</v>
      </c>
      <c r="EF32" s="33" t="n">
        <v>0</v>
      </c>
      <c r="EG32" s="33" t="n">
        <v>0</v>
      </c>
      <c r="EH32" s="33" t="n">
        <v>0</v>
      </c>
      <c r="EI32" s="33" t="n">
        <v>0</v>
      </c>
      <c r="EJ32" s="33" t="n">
        <v>0</v>
      </c>
      <c r="EK32" s="33" t="n">
        <v>0</v>
      </c>
      <c r="EL32" s="33" t="n">
        <v>0</v>
      </c>
      <c r="EM32" s="33" t="n">
        <v>0</v>
      </c>
      <c r="EN32" s="33" t="n">
        <v>0</v>
      </c>
      <c r="EO32" s="33" t="n">
        <v>0</v>
      </c>
      <c r="EP32" s="33" t="n">
        <v>0</v>
      </c>
      <c r="EQ32" s="33" t="n">
        <v>0</v>
      </c>
      <c r="ER32" s="33" t="n">
        <v>0</v>
      </c>
      <c r="ES32" s="33" t="n">
        <v>0</v>
      </c>
      <c r="ET32" s="33" t="n">
        <v>0</v>
      </c>
      <c r="EU32" s="33" t="n">
        <v>0</v>
      </c>
      <c r="EV32" s="33" t="n">
        <v>0</v>
      </c>
      <c r="EW32" s="33" t="n">
        <v>0</v>
      </c>
      <c r="EX32" s="33" t="n">
        <v>0</v>
      </c>
      <c r="EY32" s="33" t="n">
        <v>0</v>
      </c>
      <c r="EZ32" s="33" t="n">
        <v>0</v>
      </c>
      <c r="FA32" s="33" t="n">
        <v>0</v>
      </c>
      <c r="FB32" s="33" t="n">
        <v>0</v>
      </c>
      <c r="FC32" s="33" t="n">
        <v>0</v>
      </c>
      <c r="FD32" s="33" t="n">
        <v>0</v>
      </c>
      <c r="FE32" s="33" t="n">
        <v>0</v>
      </c>
      <c r="FF32" s="33" t="n">
        <v>0</v>
      </c>
      <c r="FG32" s="33" t="n">
        <v>0</v>
      </c>
      <c r="FH32" s="33" t="n">
        <v>0</v>
      </c>
      <c r="FI32" s="33" t="n">
        <v>0</v>
      </c>
      <c r="FJ32" s="33" t="n">
        <v>0</v>
      </c>
      <c r="FK32" s="33" t="n">
        <v>0</v>
      </c>
      <c r="FL32" s="33" t="n">
        <v>0</v>
      </c>
      <c r="FM32" s="33" t="n">
        <v>0</v>
      </c>
      <c r="FN32" s="33" t="n">
        <v>0</v>
      </c>
      <c r="FO32" s="33" t="n">
        <v>0</v>
      </c>
      <c r="FP32" s="33" t="n">
        <v>0</v>
      </c>
      <c r="FQ32" s="33" t="n">
        <v>0</v>
      </c>
      <c r="FR32" s="33" t="n">
        <v>0</v>
      </c>
      <c r="FS32" s="33" t="n">
        <v>0</v>
      </c>
      <c r="FT32" s="33" t="n">
        <v>0</v>
      </c>
      <c r="FU32" s="33" t="n">
        <v>0</v>
      </c>
      <c r="FV32" s="33" t="n">
        <v>0</v>
      </c>
      <c r="FW32" s="33" t="n">
        <v>0</v>
      </c>
      <c r="FX32" s="33" t="n">
        <v>0</v>
      </c>
      <c r="FY32" s="33" t="n">
        <v>0</v>
      </c>
      <c r="FZ32" s="33" t="n">
        <v>0</v>
      </c>
      <c r="GA32" s="33" t="n">
        <v>0</v>
      </c>
      <c r="GB32" s="33" t="n">
        <v>0</v>
      </c>
      <c r="GC32" s="33" t="n">
        <v>0</v>
      </c>
      <c r="GD32" s="33" t="n">
        <v>0</v>
      </c>
      <c r="GE32" s="33" t="n">
        <v>0</v>
      </c>
      <c r="GF32" s="33" t="n">
        <v>0</v>
      </c>
      <c r="GG32" s="33" t="n">
        <v>0</v>
      </c>
      <c r="GH32" s="33" t="n">
        <v>0</v>
      </c>
      <c r="GI32" s="33" t="n">
        <v>0</v>
      </c>
      <c r="GJ32" s="33" t="n">
        <v>0</v>
      </c>
      <c r="GK32" s="33" t="n">
        <v>0</v>
      </c>
      <c r="GL32" s="33" t="n">
        <v>0</v>
      </c>
      <c r="GM32" s="33" t="n">
        <v>0</v>
      </c>
      <c r="GN32" s="33" t="n">
        <v>0</v>
      </c>
      <c r="GO32" s="33" t="n">
        <v>0</v>
      </c>
      <c r="GP32" s="33" t="n">
        <v>0</v>
      </c>
      <c r="GQ32" s="33" t="n">
        <v>0</v>
      </c>
      <c r="GR32" s="33" t="n">
        <v>0</v>
      </c>
      <c r="GS32" s="33" t="n">
        <v>0</v>
      </c>
      <c r="GT32" s="33" t="n">
        <v>0</v>
      </c>
      <c r="GU32" s="33" t="n">
        <v>0</v>
      </c>
      <c r="GV32" s="33" t="n">
        <v>0</v>
      </c>
      <c r="GW32" s="33" t="n">
        <v>0</v>
      </c>
      <c r="GX32" s="33" t="n">
        <v>0</v>
      </c>
      <c r="GY32" s="33" t="n">
        <v>0</v>
      </c>
      <c r="GZ32" s="33" t="n">
        <v>0</v>
      </c>
      <c r="HA32" s="33" t="n">
        <v>0</v>
      </c>
      <c r="HB32" s="33" t="n">
        <v>0</v>
      </c>
      <c r="HC32" s="33" t="n">
        <v>0</v>
      </c>
      <c r="HD32" s="33" t="n">
        <v>0</v>
      </c>
      <c r="HE32" s="33" t="n">
        <v>0</v>
      </c>
      <c r="HF32" s="33" t="n">
        <v>0</v>
      </c>
      <c r="HG32" s="33" t="n">
        <v>0</v>
      </c>
      <c r="HH32" s="33" t="n">
        <v>0</v>
      </c>
      <c r="HI32" s="33" t="n">
        <v>0</v>
      </c>
      <c r="HJ32" s="33" t="n">
        <v>0</v>
      </c>
      <c r="HK32" s="33" t="n">
        <v>0</v>
      </c>
      <c r="HL32" s="33" t="n">
        <v>0</v>
      </c>
      <c r="HM32" s="33" t="n">
        <v>0</v>
      </c>
      <c r="HN32" s="33" t="n">
        <v>0</v>
      </c>
      <c r="HO32" s="33" t="n">
        <v>0</v>
      </c>
      <c r="HP32" s="33" t="n">
        <v>0</v>
      </c>
      <c r="HQ32" s="33" t="n">
        <v>0</v>
      </c>
      <c r="HR32" s="33" t="n">
        <v>0</v>
      </c>
      <c r="HS32" s="33" t="n">
        <v>0</v>
      </c>
      <c r="HT32" s="33" t="n">
        <v>0</v>
      </c>
      <c r="HU32" s="33" t="n">
        <v>0</v>
      </c>
      <c r="HV32" s="33" t="n">
        <v>0</v>
      </c>
      <c r="HW32" s="33" t="n">
        <v>0</v>
      </c>
      <c r="HX32" s="33" t="n">
        <v>0</v>
      </c>
      <c r="HY32" s="33" t="n">
        <v>0</v>
      </c>
      <c r="HZ32" s="33" t="n">
        <v>0</v>
      </c>
      <c r="IA32" s="33" t="n">
        <v>0</v>
      </c>
      <c r="IB32" s="33" t="n">
        <v>0</v>
      </c>
      <c r="IC32" s="33" t="n">
        <v>0</v>
      </c>
      <c r="ID32" s="33" t="n">
        <v>0</v>
      </c>
      <c r="IE32" s="33" t="n">
        <v>0</v>
      </c>
      <c r="IF32" s="33" t="n">
        <v>0</v>
      </c>
      <c r="IG32" s="33" t="n">
        <v>0</v>
      </c>
      <c r="IH32" s="33" t="n">
        <v>0</v>
      </c>
      <c r="II32" s="33" t="n">
        <v>0</v>
      </c>
      <c r="IJ32" s="33" t="n">
        <v>0</v>
      </c>
      <c r="IK32" s="33" t="n">
        <v>0</v>
      </c>
      <c r="IL32" s="33" t="n">
        <v>0</v>
      </c>
      <c r="IM32" s="33" t="n">
        <v>0</v>
      </c>
      <c r="IN32" s="33" t="n">
        <v>0</v>
      </c>
      <c r="IO32" s="33" t="n">
        <v>0</v>
      </c>
      <c r="IP32" s="33" t="n">
        <v>0</v>
      </c>
      <c r="IQ32" s="33" t="n">
        <v>0</v>
      </c>
      <c r="IR32" s="33" t="n">
        <v>0</v>
      </c>
      <c r="IS32" s="33" t="n">
        <v>0</v>
      </c>
      <c r="IT32" s="33" t="n">
        <v>0</v>
      </c>
      <c r="IU32" s="33" t="n">
        <v>0</v>
      </c>
      <c r="IV32" s="33" t="n">
        <v>0</v>
      </c>
      <c r="IW32" s="33" t="n">
        <v>0</v>
      </c>
      <c r="IX32" s="33" t="n">
        <v>0</v>
      </c>
      <c r="IY32" s="33" t="n">
        <v>0</v>
      </c>
      <c r="IZ32" s="33" t="n">
        <v>0</v>
      </c>
      <c r="JA32" s="33" t="n">
        <v>0</v>
      </c>
      <c r="JB32" s="33" t="n">
        <v>0</v>
      </c>
      <c r="JC32" s="33" t="n">
        <v>0</v>
      </c>
      <c r="JD32" s="33" t="n">
        <v>0</v>
      </c>
      <c r="JE32" s="33" t="n">
        <v>0</v>
      </c>
      <c r="JF32" s="33" t="n">
        <v>0</v>
      </c>
      <c r="JG32" s="33" t="n">
        <v>0</v>
      </c>
      <c r="JH32" s="33" t="n">
        <v>0</v>
      </c>
      <c r="JI32" s="33" t="n">
        <v>0</v>
      </c>
      <c r="JJ32" s="33" t="n">
        <v>0</v>
      </c>
      <c r="JK32" s="33" t="n">
        <v>0</v>
      </c>
      <c r="JL32" s="33" t="n">
        <v>0</v>
      </c>
      <c r="JM32" s="33" t="n">
        <v>0</v>
      </c>
      <c r="JN32" s="33" t="n">
        <v>0</v>
      </c>
      <c r="JO32" s="33" t="n">
        <v>0</v>
      </c>
      <c r="JP32" s="33" t="n">
        <v>0</v>
      </c>
      <c r="JQ32" s="33" t="n">
        <v>0</v>
      </c>
      <c r="JR32" s="33" t="n">
        <v>0</v>
      </c>
      <c r="JS32" s="33" t="n">
        <v>0</v>
      </c>
      <c r="JT32" s="33" t="n">
        <v>0</v>
      </c>
      <c r="JU32" s="33" t="n">
        <v>0</v>
      </c>
      <c r="JV32" s="33" t="n">
        <v>0</v>
      </c>
      <c r="JW32" s="33" t="n">
        <v>0</v>
      </c>
      <c r="JX32" s="33" t="n">
        <v>0</v>
      </c>
      <c r="JY32" s="33" t="n">
        <v>0</v>
      </c>
      <c r="JZ32" s="33" t="n">
        <v>0</v>
      </c>
      <c r="KA32" s="33" t="n">
        <v>0</v>
      </c>
      <c r="KB32" s="33" t="n">
        <v>0</v>
      </c>
      <c r="KC32" s="33" t="n">
        <v>0</v>
      </c>
      <c r="KD32" s="33" t="n">
        <v>0</v>
      </c>
      <c r="KE32" s="33" t="n">
        <v>0</v>
      </c>
      <c r="KF32" s="33" t="n">
        <v>0</v>
      </c>
      <c r="KG32" s="33" t="n">
        <v>0</v>
      </c>
      <c r="KH32" s="33" t="n">
        <v>0</v>
      </c>
      <c r="KI32" s="33" t="n">
        <v>0</v>
      </c>
      <c r="KJ32" s="33" t="n">
        <v>0</v>
      </c>
      <c r="KK32" s="33" t="n">
        <v>0</v>
      </c>
      <c r="KL32" s="33" t="n">
        <v>0</v>
      </c>
      <c r="KM32" s="33" t="n">
        <v>0</v>
      </c>
      <c r="KN32" s="33" t="n">
        <v>0</v>
      </c>
      <c r="KO32" s="33" t="n">
        <v>0</v>
      </c>
      <c r="KP32" s="33" t="n">
        <v>0</v>
      </c>
      <c r="KQ32" s="33" t="n">
        <v>0</v>
      </c>
      <c r="KR32" s="33" t="n">
        <v>0</v>
      </c>
      <c r="KS32" s="33" t="n">
        <v>0</v>
      </c>
      <c r="KT32" s="33" t="n">
        <v>0</v>
      </c>
      <c r="KU32" s="33" t="n">
        <v>0</v>
      </c>
      <c r="KV32" s="33" t="n">
        <v>0</v>
      </c>
      <c r="KW32" s="33" t="n">
        <v>0</v>
      </c>
      <c r="KX32" s="33" t="n">
        <v>0</v>
      </c>
      <c r="KY32" s="33" t="n">
        <v>0</v>
      </c>
      <c r="KZ32" s="33" t="n">
        <v>0</v>
      </c>
      <c r="LA32" s="33" t="n">
        <v>0</v>
      </c>
      <c r="LB32" s="33" t="n">
        <v>0</v>
      </c>
      <c r="LC32" s="33" t="n">
        <v>0</v>
      </c>
      <c r="LD32" s="33" t="n">
        <v>0</v>
      </c>
      <c r="LE32" s="33" t="n">
        <v>0</v>
      </c>
      <c r="LF32" s="33" t="n">
        <v>0</v>
      </c>
      <c r="LG32" s="33" t="n">
        <v>0</v>
      </c>
      <c r="LH32" s="33" t="n">
        <v>0</v>
      </c>
      <c r="LI32" s="33" t="n">
        <v>0</v>
      </c>
      <c r="LJ32" s="33" t="n">
        <v>0</v>
      </c>
      <c r="LK32" s="33" t="n">
        <v>0</v>
      </c>
      <c r="LL32" s="33" t="n">
        <v>0</v>
      </c>
      <c r="LM32" s="33" t="n">
        <v>0</v>
      </c>
      <c r="LN32" s="33" t="n">
        <v>0</v>
      </c>
      <c r="LO32" s="33" t="n">
        <v>0</v>
      </c>
      <c r="LP32" s="33" t="n">
        <v>0</v>
      </c>
      <c r="LQ32" s="33" t="n">
        <v>0</v>
      </c>
      <c r="LR32" s="33" t="n">
        <v>0</v>
      </c>
      <c r="LS32" s="33" t="n">
        <v>0</v>
      </c>
      <c r="LT32" s="33" t="n">
        <v>0</v>
      </c>
      <c r="LU32" s="33" t="n">
        <v>0</v>
      </c>
      <c r="LV32" s="33" t="n">
        <v>0</v>
      </c>
      <c r="LW32" s="33" t="n">
        <v>0</v>
      </c>
      <c r="LX32" s="33" t="n">
        <v>0</v>
      </c>
      <c r="LY32" s="33" t="n">
        <v>0</v>
      </c>
      <c r="LZ32" s="33" t="n">
        <v>0</v>
      </c>
      <c r="MA32" s="33" t="n">
        <v>0</v>
      </c>
      <c r="MB32" s="33" t="n">
        <v>0</v>
      </c>
      <c r="MC32" s="33" t="n">
        <v>0</v>
      </c>
      <c r="MD32" s="33" t="n">
        <v>0</v>
      </c>
      <c r="ME32" s="33" t="n">
        <v>0</v>
      </c>
      <c r="MF32" s="33" t="n">
        <v>0</v>
      </c>
      <c r="MG32" s="33" t="n">
        <v>0</v>
      </c>
      <c r="MH32" s="33" t="n">
        <v>0</v>
      </c>
      <c r="MI32" s="33" t="n">
        <v>0</v>
      </c>
      <c r="MJ32" s="33" t="n">
        <v>0</v>
      </c>
      <c r="MK32" s="33" t="n">
        <v>0</v>
      </c>
      <c r="ML32" s="33" t="n">
        <v>0</v>
      </c>
      <c r="MM32" s="33" t="n">
        <v>0</v>
      </c>
      <c r="MN32" s="33" t="n">
        <v>0</v>
      </c>
      <c r="MO32" s="33" t="n">
        <v>0</v>
      </c>
      <c r="MP32" s="33" t="n">
        <v>0</v>
      </c>
      <c r="MQ32" s="33" t="n">
        <v>0</v>
      </c>
      <c r="MR32" s="33" t="n">
        <v>0</v>
      </c>
      <c r="MS32" s="33" t="n">
        <v>0</v>
      </c>
      <c r="MT32" s="33" t="n">
        <v>0</v>
      </c>
      <c r="MU32" s="33" t="n">
        <v>0</v>
      </c>
      <c r="MV32" s="33" t="n">
        <v>0</v>
      </c>
      <c r="MW32" s="33" t="n">
        <v>0</v>
      </c>
      <c r="MX32" s="33" t="n">
        <v>0</v>
      </c>
      <c r="MY32" s="33" t="n">
        <v>0</v>
      </c>
      <c r="MZ32" s="33" t="n">
        <v>0</v>
      </c>
      <c r="NA32" s="33" t="n">
        <v>0</v>
      </c>
      <c r="NB32" s="33" t="n">
        <v>0</v>
      </c>
      <c r="NC32" s="33" t="n">
        <v>0</v>
      </c>
      <c r="ND32" s="33" t="n">
        <v>0</v>
      </c>
      <c r="NE32" s="33" t="n">
        <v>0</v>
      </c>
      <c r="NF32" s="33" t="n">
        <v>0</v>
      </c>
      <c r="NG32" s="33" t="n">
        <v>0</v>
      </c>
      <c r="NH32" s="33" t="n">
        <v>0</v>
      </c>
      <c r="NI32" s="33" t="n">
        <v>0</v>
      </c>
      <c r="NJ32" s="33" t="n">
        <v>0</v>
      </c>
      <c r="NK32" s="33" t="n">
        <v>0</v>
      </c>
      <c r="NL32" s="33" t="n">
        <v>0</v>
      </c>
      <c r="NM32" s="33" t="n">
        <v>0</v>
      </c>
      <c r="NN32" s="33" t="n">
        <v>0</v>
      </c>
      <c r="NO32" s="33" t="n">
        <v>0</v>
      </c>
      <c r="NP32" s="33" t="n">
        <v>0</v>
      </c>
      <c r="NQ32" s="33" t="n">
        <v>0</v>
      </c>
      <c r="NR32" s="33" t="n">
        <v>0</v>
      </c>
      <c r="NS32" s="33" t="n">
        <v>0</v>
      </c>
      <c r="NT32" s="33" t="n">
        <v>0</v>
      </c>
      <c r="NU32" s="33" t="n">
        <v>0</v>
      </c>
      <c r="NV32" s="33" t="n">
        <v>0</v>
      </c>
      <c r="NW32" s="33" t="n">
        <v>0</v>
      </c>
      <c r="NX32" s="33" t="n">
        <v>0</v>
      </c>
      <c r="NY32" s="33" t="n">
        <v>0</v>
      </c>
      <c r="NZ32" s="33" t="n">
        <v>0</v>
      </c>
      <c r="OA32" s="33" t="n">
        <v>0</v>
      </c>
      <c r="OB32" s="33" t="n">
        <v>0</v>
      </c>
      <c r="OC32" s="33" t="n">
        <v>0</v>
      </c>
      <c r="OD32" s="33" t="n">
        <v>0</v>
      </c>
      <c r="OE32" s="33" t="n">
        <v>0</v>
      </c>
      <c r="OF32" s="33" t="n">
        <v>0</v>
      </c>
      <c r="OG32" s="33" t="n">
        <v>0</v>
      </c>
      <c r="OH32" s="33" t="n">
        <v>0</v>
      </c>
      <c r="OI32" s="33" t="n">
        <v>0</v>
      </c>
      <c r="OJ32" s="33" t="n">
        <v>0</v>
      </c>
      <c r="OK32" s="33" t="n">
        <v>0</v>
      </c>
      <c r="OL32" s="33" t="n">
        <v>0</v>
      </c>
      <c r="OM32" s="33" t="n">
        <v>0</v>
      </c>
      <c r="ON32" s="33" t="n">
        <v>0</v>
      </c>
      <c r="OO32" s="33" t="n">
        <v>0</v>
      </c>
      <c r="OP32" s="33" t="n">
        <v>0</v>
      </c>
      <c r="OQ32" s="33" t="n">
        <v>0</v>
      </c>
      <c r="OR32" s="33" t="n">
        <v>0</v>
      </c>
      <c r="OS32" s="33" t="n">
        <v>0</v>
      </c>
      <c r="OT32" s="33" t="n">
        <v>0</v>
      </c>
      <c r="OU32" s="33" t="n">
        <v>0</v>
      </c>
      <c r="OV32" s="33" t="n">
        <v>0</v>
      </c>
      <c r="OW32" s="33" t="n">
        <v>0</v>
      </c>
      <c r="OX32" s="33" t="n">
        <v>0</v>
      </c>
      <c r="OY32" s="33" t="n">
        <v>0</v>
      </c>
      <c r="OZ32" s="33" t="n">
        <v>0</v>
      </c>
      <c r="PA32" s="33" t="n">
        <v>0</v>
      </c>
      <c r="PB32" s="33" t="n">
        <v>0</v>
      </c>
      <c r="PC32" s="33" t="n">
        <v>0</v>
      </c>
      <c r="PD32" s="33" t="n">
        <v>0</v>
      </c>
      <c r="PE32" s="33" t="n">
        <v>0</v>
      </c>
      <c r="PF32" s="33" t="n">
        <v>0</v>
      </c>
      <c r="PG32" s="33" t="n">
        <v>0</v>
      </c>
      <c r="PH32" s="33" t="n">
        <v>0</v>
      </c>
      <c r="PI32" s="33" t="n">
        <v>0</v>
      </c>
      <c r="PJ32" s="33" t="n">
        <v>0</v>
      </c>
      <c r="PK32" s="33" t="n">
        <v>0</v>
      </c>
      <c r="PL32" s="33" t="n">
        <v>0</v>
      </c>
      <c r="PM32" s="33" t="n">
        <v>0</v>
      </c>
      <c r="PN32" s="33" t="n">
        <v>0</v>
      </c>
      <c r="PO32" s="33" t="n">
        <v>0</v>
      </c>
      <c r="PP32" s="33" t="n">
        <v>0</v>
      </c>
      <c r="PQ32" s="33" t="n">
        <v>0</v>
      </c>
      <c r="PR32" s="33" t="n">
        <v>0</v>
      </c>
      <c r="PS32" s="33" t="n">
        <v>0</v>
      </c>
      <c r="PT32" s="33" t="n">
        <v>0</v>
      </c>
      <c r="PU32" s="33" t="n">
        <v>0</v>
      </c>
      <c r="PV32" s="33" t="n">
        <v>0</v>
      </c>
      <c r="PW32" s="33" t="n">
        <v>0</v>
      </c>
      <c r="PX32" s="33" t="n">
        <v>0</v>
      </c>
      <c r="PY32" s="33" t="n">
        <v>0</v>
      </c>
      <c r="PZ32" s="33" t="n">
        <v>0</v>
      </c>
      <c r="QA32" s="33" t="n">
        <v>0</v>
      </c>
      <c r="QB32" s="33" t="n">
        <v>0</v>
      </c>
      <c r="QC32" s="33" t="n">
        <v>0</v>
      </c>
      <c r="QD32" s="33" t="n">
        <v>0</v>
      </c>
      <c r="QE32" s="33" t="n">
        <v>0</v>
      </c>
      <c r="QF32" s="33" t="n">
        <v>0</v>
      </c>
      <c r="QG32" s="33" t="n">
        <v>0</v>
      </c>
      <c r="QH32" s="33" t="n">
        <v>0</v>
      </c>
      <c r="QI32" s="33" t="n">
        <v>0</v>
      </c>
      <c r="QJ32" s="33" t="n">
        <v>0</v>
      </c>
      <c r="QK32" s="33" t="n">
        <v>0</v>
      </c>
      <c r="QL32" s="33" t="n">
        <v>0</v>
      </c>
      <c r="QM32" s="33" t="n">
        <v>0</v>
      </c>
      <c r="QN32" s="33" t="n">
        <v>0</v>
      </c>
      <c r="QO32" s="33" t="n">
        <v>0</v>
      </c>
      <c r="QP32" s="33" t="n">
        <v>0</v>
      </c>
      <c r="QQ32" s="33" t="n">
        <v>0</v>
      </c>
      <c r="QR32" s="33" t="n">
        <v>0</v>
      </c>
      <c r="QS32" s="33" t="n">
        <v>0</v>
      </c>
      <c r="QT32" s="33" t="n">
        <v>0</v>
      </c>
      <c r="QU32" s="33" t="n">
        <v>0</v>
      </c>
      <c r="QV32" s="33" t="n">
        <v>0</v>
      </c>
      <c r="QW32" s="33" t="n">
        <v>0</v>
      </c>
      <c r="QX32" s="33" t="n">
        <v>0</v>
      </c>
      <c r="QY32" s="33" t="n">
        <v>0</v>
      </c>
      <c r="QZ32" s="33" t="n">
        <v>0</v>
      </c>
      <c r="RA32" s="33" t="n">
        <v>0</v>
      </c>
      <c r="RB32" s="33" t="n">
        <v>0</v>
      </c>
      <c r="RC32" s="33" t="n">
        <v>0</v>
      </c>
      <c r="RD32" s="33" t="n">
        <v>0</v>
      </c>
      <c r="RE32" s="33" t="n">
        <v>0</v>
      </c>
      <c r="RF32" s="33" t="n">
        <v>0</v>
      </c>
      <c r="RG32" s="33" t="n">
        <v>0</v>
      </c>
      <c r="RH32" s="33" t="n">
        <v>0</v>
      </c>
      <c r="RI32" s="33" t="n">
        <v>0</v>
      </c>
      <c r="RJ32" s="33" t="n">
        <v>0</v>
      </c>
      <c r="RK32" s="33" t="n">
        <v>0</v>
      </c>
      <c r="RL32" s="33" t="n">
        <v>0</v>
      </c>
      <c r="RM32" s="33" t="n">
        <v>0</v>
      </c>
      <c r="RN32" s="33" t="n">
        <v>0</v>
      </c>
      <c r="RO32" s="33" t="n">
        <v>0</v>
      </c>
      <c r="RP32" s="33" t="n">
        <v>0</v>
      </c>
      <c r="RQ32" s="33" t="n">
        <v>0</v>
      </c>
      <c r="RR32" s="33" t="n">
        <v>0</v>
      </c>
      <c r="RS32" s="33" t="n">
        <v>0</v>
      </c>
      <c r="RT32" s="33" t="n">
        <v>0</v>
      </c>
      <c r="RU32" s="33" t="n">
        <v>0</v>
      </c>
      <c r="RV32" s="33" t="n">
        <v>0</v>
      </c>
      <c r="RW32" s="33" t="n">
        <v>0</v>
      </c>
    </row>
    <row r="33" hidden="1" outlineLevel="1" ht="13.05" customHeight="1">
      <c r="E33" s="21" t="inlineStr">
        <is>
          <t>Discharge Revenue</t>
        </is>
      </c>
      <c r="F33" s="29" t="n"/>
      <c r="G33" s="29" t="inlineStr">
        <is>
          <t>kEUR</t>
        </is>
      </c>
      <c r="H33" s="29" t="n"/>
      <c r="I33" s="29" t="n"/>
      <c r="J33" s="32" t="n">
        <v>0</v>
      </c>
      <c r="K33" s="29" t="n"/>
      <c r="L33" s="33" t="n">
        <v>0</v>
      </c>
      <c r="M33" s="33" t="n">
        <v>0</v>
      </c>
      <c r="N33" s="33" t="n">
        <v>0</v>
      </c>
      <c r="O33" s="33" t="n">
        <v>0</v>
      </c>
      <c r="P33" s="33" t="n">
        <v>0</v>
      </c>
      <c r="Q33" s="33" t="n">
        <v>0</v>
      </c>
      <c r="R33" s="33" t="n">
        <v>0</v>
      </c>
      <c r="S33" s="33" t="n">
        <v>0</v>
      </c>
      <c r="T33" s="33" t="n">
        <v>0</v>
      </c>
      <c r="U33" s="33" t="n">
        <v>0</v>
      </c>
      <c r="V33" s="33" t="n">
        <v>0</v>
      </c>
      <c r="W33" s="33" t="n">
        <v>0</v>
      </c>
      <c r="X33" s="33" t="n">
        <v>0</v>
      </c>
      <c r="Y33" s="33" t="n">
        <v>0</v>
      </c>
      <c r="Z33" s="33" t="n">
        <v>0</v>
      </c>
      <c r="AA33" s="33" t="n">
        <v>0</v>
      </c>
      <c r="AB33" s="33" t="n">
        <v>0</v>
      </c>
      <c r="AC33" s="33" t="n">
        <v>0</v>
      </c>
      <c r="AD33" s="33" t="n">
        <v>0</v>
      </c>
      <c r="AE33" s="33" t="n">
        <v>0</v>
      </c>
      <c r="AF33" s="33" t="n">
        <v>0</v>
      </c>
      <c r="AG33" s="33" t="n">
        <v>0</v>
      </c>
      <c r="AH33" s="33" t="n">
        <v>0</v>
      </c>
      <c r="AI33" s="33" t="n">
        <v>0</v>
      </c>
      <c r="AJ33" s="33" t="n">
        <v>0</v>
      </c>
      <c r="AK33" s="33" t="n">
        <v>0</v>
      </c>
      <c r="AL33" s="33" t="n">
        <v>0</v>
      </c>
      <c r="AM33" s="33" t="n">
        <v>0</v>
      </c>
      <c r="AN33" s="33" t="n">
        <v>0</v>
      </c>
      <c r="AO33" s="33" t="n">
        <v>0</v>
      </c>
      <c r="AP33" s="33" t="n">
        <v>0</v>
      </c>
      <c r="AQ33" s="33" t="n">
        <v>0</v>
      </c>
      <c r="AR33" s="33" t="n">
        <v>0</v>
      </c>
      <c r="AS33" s="33" t="n">
        <v>0</v>
      </c>
      <c r="AT33" s="33" t="n">
        <v>0</v>
      </c>
      <c r="AU33" s="33" t="n">
        <v>0</v>
      </c>
      <c r="AV33" s="33" t="n">
        <v>0</v>
      </c>
      <c r="AW33" s="33" t="n">
        <v>0</v>
      </c>
      <c r="AX33" s="33" t="n">
        <v>0</v>
      </c>
      <c r="AY33" s="33" t="n">
        <v>0</v>
      </c>
      <c r="AZ33" s="33" t="n">
        <v>0</v>
      </c>
      <c r="BA33" s="33" t="n">
        <v>0</v>
      </c>
      <c r="BB33" s="33" t="n">
        <v>0</v>
      </c>
      <c r="BC33" s="33" t="n">
        <v>0</v>
      </c>
      <c r="BD33" s="33" t="n">
        <v>0</v>
      </c>
      <c r="BE33" s="33" t="n">
        <v>0</v>
      </c>
      <c r="BF33" s="33" t="n">
        <v>0</v>
      </c>
      <c r="BG33" s="33" t="n">
        <v>0</v>
      </c>
      <c r="BH33" s="33" t="n">
        <v>0</v>
      </c>
      <c r="BI33" s="33" t="n">
        <v>0</v>
      </c>
      <c r="BJ33" s="33" t="n">
        <v>0</v>
      </c>
      <c r="BK33" s="33" t="n">
        <v>0</v>
      </c>
      <c r="BL33" s="33" t="n">
        <v>0</v>
      </c>
      <c r="BM33" s="33" t="n">
        <v>0</v>
      </c>
      <c r="BN33" s="33" t="n">
        <v>0</v>
      </c>
      <c r="BO33" s="33" t="n">
        <v>0</v>
      </c>
      <c r="BP33" s="33" t="n">
        <v>0</v>
      </c>
      <c r="BQ33" s="33" t="n">
        <v>0</v>
      </c>
      <c r="BR33" s="33" t="n">
        <v>0</v>
      </c>
      <c r="BS33" s="33" t="n">
        <v>0</v>
      </c>
      <c r="BT33" s="33" t="n">
        <v>0</v>
      </c>
      <c r="BU33" s="33" t="n">
        <v>0</v>
      </c>
      <c r="BV33" s="33" t="n">
        <v>0</v>
      </c>
      <c r="BW33" s="33" t="n">
        <v>0</v>
      </c>
      <c r="BX33" s="33" t="n">
        <v>0</v>
      </c>
      <c r="BY33" s="33" t="n">
        <v>0</v>
      </c>
      <c r="BZ33" s="33" t="n">
        <v>0</v>
      </c>
      <c r="CA33" s="33" t="n">
        <v>0</v>
      </c>
      <c r="CB33" s="33" t="n">
        <v>0</v>
      </c>
      <c r="CC33" s="33" t="n">
        <v>0</v>
      </c>
      <c r="CD33" s="33" t="n">
        <v>0</v>
      </c>
      <c r="CE33" s="33" t="n">
        <v>0</v>
      </c>
      <c r="CF33" s="33" t="n">
        <v>0</v>
      </c>
      <c r="CG33" s="33" t="n">
        <v>0</v>
      </c>
      <c r="CH33" s="33" t="n">
        <v>0</v>
      </c>
      <c r="CI33" s="33" t="n">
        <v>0</v>
      </c>
      <c r="CJ33" s="33" t="n">
        <v>0</v>
      </c>
      <c r="CK33" s="33" t="n">
        <v>0</v>
      </c>
      <c r="CL33" s="33" t="n">
        <v>0</v>
      </c>
      <c r="CM33" s="33" t="n">
        <v>0</v>
      </c>
      <c r="CN33" s="33" t="n">
        <v>0</v>
      </c>
      <c r="CO33" s="33" t="n">
        <v>0</v>
      </c>
      <c r="CP33" s="33" t="n">
        <v>0</v>
      </c>
      <c r="CQ33" s="33" t="n">
        <v>0</v>
      </c>
      <c r="CR33" s="33" t="n">
        <v>0</v>
      </c>
      <c r="CS33" s="33" t="n">
        <v>0</v>
      </c>
      <c r="CT33" s="33" t="n">
        <v>0</v>
      </c>
      <c r="CU33" s="33" t="n">
        <v>0</v>
      </c>
      <c r="CV33" s="33" t="n">
        <v>0</v>
      </c>
      <c r="CW33" s="33" t="n">
        <v>0</v>
      </c>
      <c r="CX33" s="33" t="n">
        <v>0</v>
      </c>
      <c r="CY33" s="33" t="n">
        <v>0</v>
      </c>
      <c r="CZ33" s="33" t="n">
        <v>0</v>
      </c>
      <c r="DA33" s="33" t="n">
        <v>0</v>
      </c>
      <c r="DB33" s="33" t="n">
        <v>0</v>
      </c>
      <c r="DC33" s="33" t="n">
        <v>0</v>
      </c>
      <c r="DD33" s="33" t="n">
        <v>0</v>
      </c>
      <c r="DE33" s="33" t="n">
        <v>0</v>
      </c>
      <c r="DF33" s="33" t="n">
        <v>0</v>
      </c>
      <c r="DG33" s="33" t="n">
        <v>0</v>
      </c>
      <c r="DH33" s="33" t="n">
        <v>0</v>
      </c>
      <c r="DI33" s="33" t="n">
        <v>0</v>
      </c>
      <c r="DJ33" s="33" t="n">
        <v>0</v>
      </c>
      <c r="DK33" s="33" t="n">
        <v>0</v>
      </c>
      <c r="DL33" s="33" t="n">
        <v>0</v>
      </c>
      <c r="DM33" s="33" t="n">
        <v>0</v>
      </c>
      <c r="DN33" s="33" t="n">
        <v>0</v>
      </c>
      <c r="DO33" s="33" t="n">
        <v>0</v>
      </c>
      <c r="DP33" s="33" t="n">
        <v>0</v>
      </c>
      <c r="DQ33" s="33" t="n">
        <v>0</v>
      </c>
      <c r="DR33" s="33" t="n">
        <v>0</v>
      </c>
      <c r="DS33" s="33" t="n">
        <v>0</v>
      </c>
      <c r="DT33" s="33" t="n">
        <v>0</v>
      </c>
      <c r="DU33" s="33" t="n">
        <v>0</v>
      </c>
      <c r="DV33" s="33" t="n">
        <v>0</v>
      </c>
      <c r="DW33" s="33" t="n">
        <v>0</v>
      </c>
      <c r="DX33" s="33" t="n">
        <v>0</v>
      </c>
      <c r="DY33" s="33" t="n">
        <v>0</v>
      </c>
      <c r="DZ33" s="33" t="n">
        <v>0</v>
      </c>
      <c r="EA33" s="33" t="n">
        <v>0</v>
      </c>
      <c r="EB33" s="33" t="n">
        <v>0</v>
      </c>
      <c r="EC33" s="33" t="n">
        <v>0</v>
      </c>
      <c r="ED33" s="33" t="n">
        <v>0</v>
      </c>
      <c r="EE33" s="33" t="n">
        <v>0</v>
      </c>
      <c r="EF33" s="33" t="n">
        <v>0</v>
      </c>
      <c r="EG33" s="33" t="n">
        <v>0</v>
      </c>
      <c r="EH33" s="33" t="n">
        <v>0</v>
      </c>
      <c r="EI33" s="33" t="n">
        <v>0</v>
      </c>
      <c r="EJ33" s="33" t="n">
        <v>0</v>
      </c>
      <c r="EK33" s="33" t="n">
        <v>0</v>
      </c>
      <c r="EL33" s="33" t="n">
        <v>0</v>
      </c>
      <c r="EM33" s="33" t="n">
        <v>0</v>
      </c>
      <c r="EN33" s="33" t="n">
        <v>0</v>
      </c>
      <c r="EO33" s="33" t="n">
        <v>0</v>
      </c>
      <c r="EP33" s="33" t="n">
        <v>0</v>
      </c>
      <c r="EQ33" s="33" t="n">
        <v>0</v>
      </c>
      <c r="ER33" s="33" t="n">
        <v>0</v>
      </c>
      <c r="ES33" s="33" t="n">
        <v>0</v>
      </c>
      <c r="ET33" s="33" t="n">
        <v>0</v>
      </c>
      <c r="EU33" s="33" t="n">
        <v>0</v>
      </c>
      <c r="EV33" s="33" t="n">
        <v>0</v>
      </c>
      <c r="EW33" s="33" t="n">
        <v>0</v>
      </c>
      <c r="EX33" s="33" t="n">
        <v>0</v>
      </c>
      <c r="EY33" s="33" t="n">
        <v>0</v>
      </c>
      <c r="EZ33" s="33" t="n">
        <v>0</v>
      </c>
      <c r="FA33" s="33" t="n">
        <v>0</v>
      </c>
      <c r="FB33" s="33" t="n">
        <v>0</v>
      </c>
      <c r="FC33" s="33" t="n">
        <v>0</v>
      </c>
      <c r="FD33" s="33" t="n">
        <v>0</v>
      </c>
      <c r="FE33" s="33" t="n">
        <v>0</v>
      </c>
      <c r="FF33" s="33" t="n">
        <v>0</v>
      </c>
      <c r="FG33" s="33" t="n">
        <v>0</v>
      </c>
      <c r="FH33" s="33" t="n">
        <v>0</v>
      </c>
      <c r="FI33" s="33" t="n">
        <v>0</v>
      </c>
      <c r="FJ33" s="33" t="n">
        <v>0</v>
      </c>
      <c r="FK33" s="33" t="n">
        <v>0</v>
      </c>
      <c r="FL33" s="33" t="n">
        <v>0</v>
      </c>
      <c r="FM33" s="33" t="n">
        <v>0</v>
      </c>
      <c r="FN33" s="33" t="n">
        <v>0</v>
      </c>
      <c r="FO33" s="33" t="n">
        <v>0</v>
      </c>
      <c r="FP33" s="33" t="n">
        <v>0</v>
      </c>
      <c r="FQ33" s="33" t="n">
        <v>0</v>
      </c>
      <c r="FR33" s="33" t="n">
        <v>0</v>
      </c>
      <c r="FS33" s="33" t="n">
        <v>0</v>
      </c>
      <c r="FT33" s="33" t="n">
        <v>0</v>
      </c>
      <c r="FU33" s="33" t="n">
        <v>0</v>
      </c>
      <c r="FV33" s="33" t="n">
        <v>0</v>
      </c>
      <c r="FW33" s="33" t="n">
        <v>0</v>
      </c>
      <c r="FX33" s="33" t="n">
        <v>0</v>
      </c>
      <c r="FY33" s="33" t="n">
        <v>0</v>
      </c>
      <c r="FZ33" s="33" t="n">
        <v>0</v>
      </c>
      <c r="GA33" s="33" t="n">
        <v>0</v>
      </c>
      <c r="GB33" s="33" t="n">
        <v>0</v>
      </c>
      <c r="GC33" s="33" t="n">
        <v>0</v>
      </c>
      <c r="GD33" s="33" t="n">
        <v>0</v>
      </c>
      <c r="GE33" s="33" t="n">
        <v>0</v>
      </c>
      <c r="GF33" s="33" t="n">
        <v>0</v>
      </c>
      <c r="GG33" s="33" t="n">
        <v>0</v>
      </c>
      <c r="GH33" s="33" t="n">
        <v>0</v>
      </c>
      <c r="GI33" s="33" t="n">
        <v>0</v>
      </c>
      <c r="GJ33" s="33" t="n">
        <v>0</v>
      </c>
      <c r="GK33" s="33" t="n">
        <v>0</v>
      </c>
      <c r="GL33" s="33" t="n">
        <v>0</v>
      </c>
      <c r="GM33" s="33" t="n">
        <v>0</v>
      </c>
      <c r="GN33" s="33" t="n">
        <v>0</v>
      </c>
      <c r="GO33" s="33" t="n">
        <v>0</v>
      </c>
      <c r="GP33" s="33" t="n">
        <v>0</v>
      </c>
      <c r="GQ33" s="33" t="n">
        <v>0</v>
      </c>
      <c r="GR33" s="33" t="n">
        <v>0</v>
      </c>
      <c r="GS33" s="33" t="n">
        <v>0</v>
      </c>
      <c r="GT33" s="33" t="n">
        <v>0</v>
      </c>
      <c r="GU33" s="33" t="n">
        <v>0</v>
      </c>
      <c r="GV33" s="33" t="n">
        <v>0</v>
      </c>
      <c r="GW33" s="33" t="n">
        <v>0</v>
      </c>
      <c r="GX33" s="33" t="n">
        <v>0</v>
      </c>
      <c r="GY33" s="33" t="n">
        <v>0</v>
      </c>
      <c r="GZ33" s="33" t="n">
        <v>0</v>
      </c>
      <c r="HA33" s="33" t="n">
        <v>0</v>
      </c>
      <c r="HB33" s="33" t="n">
        <v>0</v>
      </c>
      <c r="HC33" s="33" t="n">
        <v>0</v>
      </c>
      <c r="HD33" s="33" t="n">
        <v>0</v>
      </c>
      <c r="HE33" s="33" t="n">
        <v>0</v>
      </c>
      <c r="HF33" s="33" t="n">
        <v>0</v>
      </c>
      <c r="HG33" s="33" t="n">
        <v>0</v>
      </c>
      <c r="HH33" s="33" t="n">
        <v>0</v>
      </c>
      <c r="HI33" s="33" t="n">
        <v>0</v>
      </c>
      <c r="HJ33" s="33" t="n">
        <v>0</v>
      </c>
      <c r="HK33" s="33" t="n">
        <v>0</v>
      </c>
      <c r="HL33" s="33" t="n">
        <v>0</v>
      </c>
      <c r="HM33" s="33" t="n">
        <v>0</v>
      </c>
      <c r="HN33" s="33" t="n">
        <v>0</v>
      </c>
      <c r="HO33" s="33" t="n">
        <v>0</v>
      </c>
      <c r="HP33" s="33" t="n">
        <v>0</v>
      </c>
      <c r="HQ33" s="33" t="n">
        <v>0</v>
      </c>
      <c r="HR33" s="33" t="n">
        <v>0</v>
      </c>
      <c r="HS33" s="33" t="n">
        <v>0</v>
      </c>
      <c r="HT33" s="33" t="n">
        <v>0</v>
      </c>
      <c r="HU33" s="33" t="n">
        <v>0</v>
      </c>
      <c r="HV33" s="33" t="n">
        <v>0</v>
      </c>
      <c r="HW33" s="33" t="n">
        <v>0</v>
      </c>
      <c r="HX33" s="33" t="n">
        <v>0</v>
      </c>
      <c r="HY33" s="33" t="n">
        <v>0</v>
      </c>
      <c r="HZ33" s="33" t="n">
        <v>0</v>
      </c>
      <c r="IA33" s="33" t="n">
        <v>0</v>
      </c>
      <c r="IB33" s="33" t="n">
        <v>0</v>
      </c>
      <c r="IC33" s="33" t="n">
        <v>0</v>
      </c>
      <c r="ID33" s="33" t="n">
        <v>0</v>
      </c>
      <c r="IE33" s="33" t="n">
        <v>0</v>
      </c>
      <c r="IF33" s="33" t="n">
        <v>0</v>
      </c>
      <c r="IG33" s="33" t="n">
        <v>0</v>
      </c>
      <c r="IH33" s="33" t="n">
        <v>0</v>
      </c>
      <c r="II33" s="33" t="n">
        <v>0</v>
      </c>
      <c r="IJ33" s="33" t="n">
        <v>0</v>
      </c>
      <c r="IK33" s="33" t="n">
        <v>0</v>
      </c>
      <c r="IL33" s="33" t="n">
        <v>0</v>
      </c>
      <c r="IM33" s="33" t="n">
        <v>0</v>
      </c>
      <c r="IN33" s="33" t="n">
        <v>0</v>
      </c>
      <c r="IO33" s="33" t="n">
        <v>0</v>
      </c>
      <c r="IP33" s="33" t="n">
        <v>0</v>
      </c>
      <c r="IQ33" s="33" t="n">
        <v>0</v>
      </c>
      <c r="IR33" s="33" t="n">
        <v>0</v>
      </c>
      <c r="IS33" s="33" t="n">
        <v>0</v>
      </c>
      <c r="IT33" s="33" t="n">
        <v>0</v>
      </c>
      <c r="IU33" s="33" t="n">
        <v>0</v>
      </c>
      <c r="IV33" s="33" t="n">
        <v>0</v>
      </c>
      <c r="IW33" s="33" t="n">
        <v>0</v>
      </c>
      <c r="IX33" s="33" t="n">
        <v>0</v>
      </c>
      <c r="IY33" s="33" t="n">
        <v>0</v>
      </c>
      <c r="IZ33" s="33" t="n">
        <v>0</v>
      </c>
      <c r="JA33" s="33" t="n">
        <v>0</v>
      </c>
      <c r="JB33" s="33" t="n">
        <v>0</v>
      </c>
      <c r="JC33" s="33" t="n">
        <v>0</v>
      </c>
      <c r="JD33" s="33" t="n">
        <v>0</v>
      </c>
      <c r="JE33" s="33" t="n">
        <v>0</v>
      </c>
      <c r="JF33" s="33" t="n">
        <v>0</v>
      </c>
      <c r="JG33" s="33" t="n">
        <v>0</v>
      </c>
      <c r="JH33" s="33" t="n">
        <v>0</v>
      </c>
      <c r="JI33" s="33" t="n">
        <v>0</v>
      </c>
      <c r="JJ33" s="33" t="n">
        <v>0</v>
      </c>
      <c r="JK33" s="33" t="n">
        <v>0</v>
      </c>
      <c r="JL33" s="33" t="n">
        <v>0</v>
      </c>
      <c r="JM33" s="33" t="n">
        <v>0</v>
      </c>
      <c r="JN33" s="33" t="n">
        <v>0</v>
      </c>
      <c r="JO33" s="33" t="n">
        <v>0</v>
      </c>
      <c r="JP33" s="33" t="n">
        <v>0</v>
      </c>
      <c r="JQ33" s="33" t="n">
        <v>0</v>
      </c>
      <c r="JR33" s="33" t="n">
        <v>0</v>
      </c>
      <c r="JS33" s="33" t="n">
        <v>0</v>
      </c>
      <c r="JT33" s="33" t="n">
        <v>0</v>
      </c>
      <c r="JU33" s="33" t="n">
        <v>0</v>
      </c>
      <c r="JV33" s="33" t="n">
        <v>0</v>
      </c>
      <c r="JW33" s="33" t="n">
        <v>0</v>
      </c>
      <c r="JX33" s="33" t="n">
        <v>0</v>
      </c>
      <c r="JY33" s="33" t="n">
        <v>0</v>
      </c>
      <c r="JZ33" s="33" t="n">
        <v>0</v>
      </c>
      <c r="KA33" s="33" t="n">
        <v>0</v>
      </c>
      <c r="KB33" s="33" t="n">
        <v>0</v>
      </c>
      <c r="KC33" s="33" t="n">
        <v>0</v>
      </c>
      <c r="KD33" s="33" t="n">
        <v>0</v>
      </c>
      <c r="KE33" s="33" t="n">
        <v>0</v>
      </c>
      <c r="KF33" s="33" t="n">
        <v>0</v>
      </c>
      <c r="KG33" s="33" t="n">
        <v>0</v>
      </c>
      <c r="KH33" s="33" t="n">
        <v>0</v>
      </c>
      <c r="KI33" s="33" t="n">
        <v>0</v>
      </c>
      <c r="KJ33" s="33" t="n">
        <v>0</v>
      </c>
      <c r="KK33" s="33" t="n">
        <v>0</v>
      </c>
      <c r="KL33" s="33" t="n">
        <v>0</v>
      </c>
      <c r="KM33" s="33" t="n">
        <v>0</v>
      </c>
      <c r="KN33" s="33" t="n">
        <v>0</v>
      </c>
      <c r="KO33" s="33" t="n">
        <v>0</v>
      </c>
      <c r="KP33" s="33" t="n">
        <v>0</v>
      </c>
      <c r="KQ33" s="33" t="n">
        <v>0</v>
      </c>
      <c r="KR33" s="33" t="n">
        <v>0</v>
      </c>
      <c r="KS33" s="33" t="n">
        <v>0</v>
      </c>
      <c r="KT33" s="33" t="n">
        <v>0</v>
      </c>
      <c r="KU33" s="33" t="n">
        <v>0</v>
      </c>
      <c r="KV33" s="33" t="n">
        <v>0</v>
      </c>
      <c r="KW33" s="33" t="n">
        <v>0</v>
      </c>
      <c r="KX33" s="33" t="n">
        <v>0</v>
      </c>
      <c r="KY33" s="33" t="n">
        <v>0</v>
      </c>
      <c r="KZ33" s="33" t="n">
        <v>0</v>
      </c>
      <c r="LA33" s="33" t="n">
        <v>0</v>
      </c>
      <c r="LB33" s="33" t="n">
        <v>0</v>
      </c>
      <c r="LC33" s="33" t="n">
        <v>0</v>
      </c>
      <c r="LD33" s="33" t="n">
        <v>0</v>
      </c>
      <c r="LE33" s="33" t="n">
        <v>0</v>
      </c>
      <c r="LF33" s="33" t="n">
        <v>0</v>
      </c>
      <c r="LG33" s="33" t="n">
        <v>0</v>
      </c>
      <c r="LH33" s="33" t="n">
        <v>0</v>
      </c>
      <c r="LI33" s="33" t="n">
        <v>0</v>
      </c>
      <c r="LJ33" s="33" t="n">
        <v>0</v>
      </c>
      <c r="LK33" s="33" t="n">
        <v>0</v>
      </c>
      <c r="LL33" s="33" t="n">
        <v>0</v>
      </c>
      <c r="LM33" s="33" t="n">
        <v>0</v>
      </c>
      <c r="LN33" s="33" t="n">
        <v>0</v>
      </c>
      <c r="LO33" s="33" t="n">
        <v>0</v>
      </c>
      <c r="LP33" s="33" t="n">
        <v>0</v>
      </c>
      <c r="LQ33" s="33" t="n">
        <v>0</v>
      </c>
      <c r="LR33" s="33" t="n">
        <v>0</v>
      </c>
      <c r="LS33" s="33" t="n">
        <v>0</v>
      </c>
      <c r="LT33" s="33" t="n">
        <v>0</v>
      </c>
      <c r="LU33" s="33" t="n">
        <v>0</v>
      </c>
      <c r="LV33" s="33" t="n">
        <v>0</v>
      </c>
      <c r="LW33" s="33" t="n">
        <v>0</v>
      </c>
      <c r="LX33" s="33" t="n">
        <v>0</v>
      </c>
      <c r="LY33" s="33" t="n">
        <v>0</v>
      </c>
      <c r="LZ33" s="33" t="n">
        <v>0</v>
      </c>
      <c r="MA33" s="33" t="n">
        <v>0</v>
      </c>
      <c r="MB33" s="33" t="n">
        <v>0</v>
      </c>
      <c r="MC33" s="33" t="n">
        <v>0</v>
      </c>
      <c r="MD33" s="33" t="n">
        <v>0</v>
      </c>
      <c r="ME33" s="33" t="n">
        <v>0</v>
      </c>
      <c r="MF33" s="33" t="n">
        <v>0</v>
      </c>
      <c r="MG33" s="33" t="n">
        <v>0</v>
      </c>
      <c r="MH33" s="33" t="n">
        <v>0</v>
      </c>
      <c r="MI33" s="33" t="n">
        <v>0</v>
      </c>
      <c r="MJ33" s="33" t="n">
        <v>0</v>
      </c>
      <c r="MK33" s="33" t="n">
        <v>0</v>
      </c>
      <c r="ML33" s="33" t="n">
        <v>0</v>
      </c>
      <c r="MM33" s="33" t="n">
        <v>0</v>
      </c>
      <c r="MN33" s="33" t="n">
        <v>0</v>
      </c>
      <c r="MO33" s="33" t="n">
        <v>0</v>
      </c>
      <c r="MP33" s="33" t="n">
        <v>0</v>
      </c>
      <c r="MQ33" s="33" t="n">
        <v>0</v>
      </c>
      <c r="MR33" s="33" t="n">
        <v>0</v>
      </c>
      <c r="MS33" s="33" t="n">
        <v>0</v>
      </c>
      <c r="MT33" s="33" t="n">
        <v>0</v>
      </c>
      <c r="MU33" s="33" t="n">
        <v>0</v>
      </c>
      <c r="MV33" s="33" t="n">
        <v>0</v>
      </c>
      <c r="MW33" s="33" t="n">
        <v>0</v>
      </c>
      <c r="MX33" s="33" t="n">
        <v>0</v>
      </c>
      <c r="MY33" s="33" t="n">
        <v>0</v>
      </c>
      <c r="MZ33" s="33" t="n">
        <v>0</v>
      </c>
      <c r="NA33" s="33" t="n">
        <v>0</v>
      </c>
      <c r="NB33" s="33" t="n">
        <v>0</v>
      </c>
      <c r="NC33" s="33" t="n">
        <v>0</v>
      </c>
      <c r="ND33" s="33" t="n">
        <v>0</v>
      </c>
      <c r="NE33" s="33" t="n">
        <v>0</v>
      </c>
      <c r="NF33" s="33" t="n">
        <v>0</v>
      </c>
      <c r="NG33" s="33" t="n">
        <v>0</v>
      </c>
      <c r="NH33" s="33" t="n">
        <v>0</v>
      </c>
      <c r="NI33" s="33" t="n">
        <v>0</v>
      </c>
      <c r="NJ33" s="33" t="n">
        <v>0</v>
      </c>
      <c r="NK33" s="33" t="n">
        <v>0</v>
      </c>
      <c r="NL33" s="33" t="n">
        <v>0</v>
      </c>
      <c r="NM33" s="33" t="n">
        <v>0</v>
      </c>
      <c r="NN33" s="33" t="n">
        <v>0</v>
      </c>
      <c r="NO33" s="33" t="n">
        <v>0</v>
      </c>
      <c r="NP33" s="33" t="n">
        <v>0</v>
      </c>
      <c r="NQ33" s="33" t="n">
        <v>0</v>
      </c>
      <c r="NR33" s="33" t="n">
        <v>0</v>
      </c>
      <c r="NS33" s="33" t="n">
        <v>0</v>
      </c>
      <c r="NT33" s="33" t="n">
        <v>0</v>
      </c>
      <c r="NU33" s="33" t="n">
        <v>0</v>
      </c>
      <c r="NV33" s="33" t="n">
        <v>0</v>
      </c>
      <c r="NW33" s="33" t="n">
        <v>0</v>
      </c>
      <c r="NX33" s="33" t="n">
        <v>0</v>
      </c>
      <c r="NY33" s="33" t="n">
        <v>0</v>
      </c>
      <c r="NZ33" s="33" t="n">
        <v>0</v>
      </c>
      <c r="OA33" s="33" t="n">
        <v>0</v>
      </c>
      <c r="OB33" s="33" t="n">
        <v>0</v>
      </c>
      <c r="OC33" s="33" t="n">
        <v>0</v>
      </c>
      <c r="OD33" s="33" t="n">
        <v>0</v>
      </c>
      <c r="OE33" s="33" t="n">
        <v>0</v>
      </c>
      <c r="OF33" s="33" t="n">
        <v>0</v>
      </c>
      <c r="OG33" s="33" t="n">
        <v>0</v>
      </c>
      <c r="OH33" s="33" t="n">
        <v>0</v>
      </c>
      <c r="OI33" s="33" t="n">
        <v>0</v>
      </c>
      <c r="OJ33" s="33" t="n">
        <v>0</v>
      </c>
      <c r="OK33" s="33" t="n">
        <v>0</v>
      </c>
      <c r="OL33" s="33" t="n">
        <v>0</v>
      </c>
      <c r="OM33" s="33" t="n">
        <v>0</v>
      </c>
      <c r="ON33" s="33" t="n">
        <v>0</v>
      </c>
      <c r="OO33" s="33" t="n">
        <v>0</v>
      </c>
      <c r="OP33" s="33" t="n">
        <v>0</v>
      </c>
      <c r="OQ33" s="33" t="n">
        <v>0</v>
      </c>
      <c r="OR33" s="33" t="n">
        <v>0</v>
      </c>
      <c r="OS33" s="33" t="n">
        <v>0</v>
      </c>
      <c r="OT33" s="33" t="n">
        <v>0</v>
      </c>
      <c r="OU33" s="33" t="n">
        <v>0</v>
      </c>
      <c r="OV33" s="33" t="n">
        <v>0</v>
      </c>
      <c r="OW33" s="33" t="n">
        <v>0</v>
      </c>
      <c r="OX33" s="33" t="n">
        <v>0</v>
      </c>
      <c r="OY33" s="33" t="n">
        <v>0</v>
      </c>
      <c r="OZ33" s="33" t="n">
        <v>0</v>
      </c>
      <c r="PA33" s="33" t="n">
        <v>0</v>
      </c>
      <c r="PB33" s="33" t="n">
        <v>0</v>
      </c>
      <c r="PC33" s="33" t="n">
        <v>0</v>
      </c>
      <c r="PD33" s="33" t="n">
        <v>0</v>
      </c>
      <c r="PE33" s="33" t="n">
        <v>0</v>
      </c>
      <c r="PF33" s="33" t="n">
        <v>0</v>
      </c>
      <c r="PG33" s="33" t="n">
        <v>0</v>
      </c>
      <c r="PH33" s="33" t="n">
        <v>0</v>
      </c>
      <c r="PI33" s="33" t="n">
        <v>0</v>
      </c>
      <c r="PJ33" s="33" t="n">
        <v>0</v>
      </c>
      <c r="PK33" s="33" t="n">
        <v>0</v>
      </c>
      <c r="PL33" s="33" t="n">
        <v>0</v>
      </c>
      <c r="PM33" s="33" t="n">
        <v>0</v>
      </c>
      <c r="PN33" s="33" t="n">
        <v>0</v>
      </c>
      <c r="PO33" s="33" t="n">
        <v>0</v>
      </c>
      <c r="PP33" s="33" t="n">
        <v>0</v>
      </c>
      <c r="PQ33" s="33" t="n">
        <v>0</v>
      </c>
      <c r="PR33" s="33" t="n">
        <v>0</v>
      </c>
      <c r="PS33" s="33" t="n">
        <v>0</v>
      </c>
      <c r="PT33" s="33" t="n">
        <v>0</v>
      </c>
      <c r="PU33" s="33" t="n">
        <v>0</v>
      </c>
      <c r="PV33" s="33" t="n">
        <v>0</v>
      </c>
      <c r="PW33" s="33" t="n">
        <v>0</v>
      </c>
      <c r="PX33" s="33" t="n">
        <v>0</v>
      </c>
      <c r="PY33" s="33" t="n">
        <v>0</v>
      </c>
      <c r="PZ33" s="33" t="n">
        <v>0</v>
      </c>
      <c r="QA33" s="33" t="n">
        <v>0</v>
      </c>
      <c r="QB33" s="33" t="n">
        <v>0</v>
      </c>
      <c r="QC33" s="33" t="n">
        <v>0</v>
      </c>
      <c r="QD33" s="33" t="n">
        <v>0</v>
      </c>
      <c r="QE33" s="33" t="n">
        <v>0</v>
      </c>
      <c r="QF33" s="33" t="n">
        <v>0</v>
      </c>
      <c r="QG33" s="33" t="n">
        <v>0</v>
      </c>
      <c r="QH33" s="33" t="n">
        <v>0</v>
      </c>
      <c r="QI33" s="33" t="n">
        <v>0</v>
      </c>
      <c r="QJ33" s="33" t="n">
        <v>0</v>
      </c>
      <c r="QK33" s="33" t="n">
        <v>0</v>
      </c>
      <c r="QL33" s="33" t="n">
        <v>0</v>
      </c>
      <c r="QM33" s="33" t="n">
        <v>0</v>
      </c>
      <c r="QN33" s="33" t="n">
        <v>0</v>
      </c>
      <c r="QO33" s="33" t="n">
        <v>0</v>
      </c>
      <c r="QP33" s="33" t="n">
        <v>0</v>
      </c>
      <c r="QQ33" s="33" t="n">
        <v>0</v>
      </c>
      <c r="QR33" s="33" t="n">
        <v>0</v>
      </c>
      <c r="QS33" s="33" t="n">
        <v>0</v>
      </c>
      <c r="QT33" s="33" t="n">
        <v>0</v>
      </c>
      <c r="QU33" s="33" t="n">
        <v>0</v>
      </c>
      <c r="QV33" s="33" t="n">
        <v>0</v>
      </c>
      <c r="QW33" s="33" t="n">
        <v>0</v>
      </c>
      <c r="QX33" s="33" t="n">
        <v>0</v>
      </c>
      <c r="QY33" s="33" t="n">
        <v>0</v>
      </c>
      <c r="QZ33" s="33" t="n">
        <v>0</v>
      </c>
      <c r="RA33" s="33" t="n">
        <v>0</v>
      </c>
      <c r="RB33" s="33" t="n">
        <v>0</v>
      </c>
      <c r="RC33" s="33" t="n">
        <v>0</v>
      </c>
      <c r="RD33" s="33" t="n">
        <v>0</v>
      </c>
      <c r="RE33" s="33" t="n">
        <v>0</v>
      </c>
      <c r="RF33" s="33" t="n">
        <v>0</v>
      </c>
      <c r="RG33" s="33" t="n">
        <v>0</v>
      </c>
      <c r="RH33" s="33" t="n">
        <v>0</v>
      </c>
      <c r="RI33" s="33" t="n">
        <v>0</v>
      </c>
      <c r="RJ33" s="33" t="n">
        <v>0</v>
      </c>
      <c r="RK33" s="33" t="n">
        <v>0</v>
      </c>
      <c r="RL33" s="33" t="n">
        <v>0</v>
      </c>
      <c r="RM33" s="33" t="n">
        <v>0</v>
      </c>
      <c r="RN33" s="33" t="n">
        <v>0</v>
      </c>
      <c r="RO33" s="33" t="n">
        <v>0</v>
      </c>
      <c r="RP33" s="33" t="n">
        <v>0</v>
      </c>
      <c r="RQ33" s="33" t="n">
        <v>0</v>
      </c>
      <c r="RR33" s="33" t="n">
        <v>0</v>
      </c>
      <c r="RS33" s="33" t="n">
        <v>0</v>
      </c>
      <c r="RT33" s="33" t="n">
        <v>0</v>
      </c>
      <c r="RU33" s="33" t="n">
        <v>0</v>
      </c>
      <c r="RV33" s="33" t="n">
        <v>0</v>
      </c>
      <c r="RW33" s="33" t="n">
        <v>0</v>
      </c>
    </row>
    <row r="34" hidden="1" outlineLevel="1" ht="13.05" customHeight="1">
      <c r="E34" s="21" t="inlineStr">
        <is>
          <t>Charge Indexation Factor</t>
        </is>
      </c>
      <c r="F34" s="29" t="n"/>
      <c r="G34" s="29" t="inlineStr">
        <is>
          <t>x</t>
        </is>
      </c>
      <c r="H34" s="29" t="n"/>
      <c r="I34" s="29" t="n"/>
      <c r="J34" s="30" t="n">
        <v>1</v>
      </c>
      <c r="K34" s="29" t="n"/>
      <c r="L34" s="31" t="n">
        <v>1</v>
      </c>
      <c r="M34" s="31" t="n">
        <v>1</v>
      </c>
      <c r="N34" s="31" t="n">
        <v>1</v>
      </c>
      <c r="O34" s="31" t="n">
        <v>1</v>
      </c>
      <c r="P34" s="31" t="n">
        <v>1</v>
      </c>
      <c r="Q34" s="31" t="n">
        <v>1</v>
      </c>
      <c r="R34" s="31" t="n">
        <v>1</v>
      </c>
      <c r="S34" s="31" t="n">
        <v>1</v>
      </c>
      <c r="T34" s="31" t="n">
        <v>1</v>
      </c>
      <c r="U34" s="31" t="n">
        <v>1</v>
      </c>
      <c r="V34" s="31" t="n">
        <v>1</v>
      </c>
      <c r="W34" s="31" t="n">
        <v>1</v>
      </c>
      <c r="X34" s="31" t="n">
        <v>1</v>
      </c>
      <c r="Y34" s="31" t="n">
        <v>1</v>
      </c>
      <c r="Z34" s="31" t="n">
        <v>1</v>
      </c>
      <c r="AA34" s="31" t="n">
        <v>1</v>
      </c>
      <c r="AB34" s="31" t="n">
        <v>1</v>
      </c>
      <c r="AC34" s="31" t="n">
        <v>1</v>
      </c>
      <c r="AD34" s="31" t="n">
        <v>1</v>
      </c>
      <c r="AE34" s="31" t="n">
        <v>1</v>
      </c>
      <c r="AF34" s="31" t="n">
        <v>1</v>
      </c>
      <c r="AG34" s="31" t="n">
        <v>1</v>
      </c>
      <c r="AH34" s="31" t="n">
        <v>1</v>
      </c>
      <c r="AI34" s="31" t="n">
        <v>1</v>
      </c>
      <c r="AJ34" s="31" t="n">
        <v>1</v>
      </c>
      <c r="AK34" s="31" t="n">
        <v>1</v>
      </c>
      <c r="AL34" s="31" t="n">
        <v>1</v>
      </c>
      <c r="AM34" s="31" t="n">
        <v>1</v>
      </c>
      <c r="AN34" s="31" t="n">
        <v>1</v>
      </c>
      <c r="AO34" s="31" t="n">
        <v>1</v>
      </c>
      <c r="AP34" s="31" t="n">
        <v>1</v>
      </c>
      <c r="AQ34" s="31" t="n">
        <v>1</v>
      </c>
      <c r="AR34" s="31" t="n">
        <v>1</v>
      </c>
      <c r="AS34" s="31" t="n">
        <v>1</v>
      </c>
      <c r="AT34" s="31" t="n">
        <v>1</v>
      </c>
      <c r="AU34" s="31" t="n">
        <v>1</v>
      </c>
      <c r="AV34" s="31" t="n">
        <v>1</v>
      </c>
      <c r="AW34" s="31" t="n">
        <v>1</v>
      </c>
      <c r="AX34" s="31" t="n">
        <v>1</v>
      </c>
      <c r="AY34" s="31" t="n">
        <v>1</v>
      </c>
      <c r="AZ34" s="31" t="n">
        <v>1</v>
      </c>
      <c r="BA34" s="31" t="n">
        <v>1</v>
      </c>
      <c r="BB34" s="31" t="n">
        <v>1</v>
      </c>
      <c r="BC34" s="31" t="n">
        <v>1</v>
      </c>
      <c r="BD34" s="31" t="n">
        <v>1</v>
      </c>
      <c r="BE34" s="31" t="n">
        <v>1</v>
      </c>
      <c r="BF34" s="31" t="n">
        <v>1</v>
      </c>
      <c r="BG34" s="31" t="n">
        <v>1</v>
      </c>
      <c r="BH34" s="31" t="n">
        <v>1</v>
      </c>
      <c r="BI34" s="31" t="n">
        <v>1</v>
      </c>
      <c r="BJ34" s="31" t="n">
        <v>1</v>
      </c>
      <c r="BK34" s="31" t="n">
        <v>1</v>
      </c>
      <c r="BL34" s="31" t="n">
        <v>1</v>
      </c>
      <c r="BM34" s="31" t="n">
        <v>1</v>
      </c>
      <c r="BN34" s="31" t="n">
        <v>1</v>
      </c>
      <c r="BO34" s="31" t="n">
        <v>1</v>
      </c>
      <c r="BP34" s="31" t="n">
        <v>1</v>
      </c>
      <c r="BQ34" s="31" t="n">
        <v>1</v>
      </c>
      <c r="BR34" s="31" t="n">
        <v>1</v>
      </c>
      <c r="BS34" s="31" t="n">
        <v>1</v>
      </c>
      <c r="BT34" s="31" t="n">
        <v>1</v>
      </c>
      <c r="BU34" s="31" t="n">
        <v>1</v>
      </c>
      <c r="BV34" s="31" t="n">
        <v>1</v>
      </c>
      <c r="BW34" s="31" t="n">
        <v>1</v>
      </c>
      <c r="BX34" s="31" t="n">
        <v>1</v>
      </c>
      <c r="BY34" s="31" t="n">
        <v>1</v>
      </c>
      <c r="BZ34" s="31" t="n">
        <v>1</v>
      </c>
      <c r="CA34" s="31" t="n">
        <v>1</v>
      </c>
      <c r="CB34" s="31" t="n">
        <v>1</v>
      </c>
      <c r="CC34" s="31" t="n">
        <v>1</v>
      </c>
      <c r="CD34" s="31" t="n">
        <v>1</v>
      </c>
      <c r="CE34" s="31" t="n">
        <v>1</v>
      </c>
      <c r="CF34" s="31" t="n">
        <v>1</v>
      </c>
      <c r="CG34" s="31" t="n">
        <v>1</v>
      </c>
      <c r="CH34" s="31" t="n">
        <v>1</v>
      </c>
      <c r="CI34" s="31" t="n">
        <v>1</v>
      </c>
      <c r="CJ34" s="31" t="n">
        <v>1</v>
      </c>
      <c r="CK34" s="31" t="n">
        <v>1</v>
      </c>
      <c r="CL34" s="31" t="n">
        <v>1</v>
      </c>
      <c r="CM34" s="31" t="n">
        <v>1</v>
      </c>
      <c r="CN34" s="31" t="n">
        <v>1</v>
      </c>
      <c r="CO34" s="31" t="n">
        <v>1</v>
      </c>
      <c r="CP34" s="31" t="n">
        <v>1</v>
      </c>
      <c r="CQ34" s="31" t="n">
        <v>1</v>
      </c>
      <c r="CR34" s="31" t="n">
        <v>1</v>
      </c>
      <c r="CS34" s="31" t="n">
        <v>1</v>
      </c>
      <c r="CT34" s="31" t="n">
        <v>1</v>
      </c>
      <c r="CU34" s="31" t="n">
        <v>1</v>
      </c>
      <c r="CV34" s="31" t="n">
        <v>1</v>
      </c>
      <c r="CW34" s="31" t="n">
        <v>1</v>
      </c>
      <c r="CX34" s="31" t="n">
        <v>1</v>
      </c>
      <c r="CY34" s="31" t="n">
        <v>1</v>
      </c>
      <c r="CZ34" s="31" t="n">
        <v>1</v>
      </c>
      <c r="DA34" s="31" t="n">
        <v>1</v>
      </c>
      <c r="DB34" s="31" t="n">
        <v>1</v>
      </c>
      <c r="DC34" s="31" t="n">
        <v>1</v>
      </c>
      <c r="DD34" s="31" t="n">
        <v>1</v>
      </c>
      <c r="DE34" s="31" t="n">
        <v>1</v>
      </c>
      <c r="DF34" s="31" t="n">
        <v>1</v>
      </c>
      <c r="DG34" s="31" t="n">
        <v>1</v>
      </c>
      <c r="DH34" s="31" t="n">
        <v>1</v>
      </c>
      <c r="DI34" s="31" t="n">
        <v>1</v>
      </c>
      <c r="DJ34" s="31" t="n">
        <v>1</v>
      </c>
      <c r="DK34" s="31" t="n">
        <v>1</v>
      </c>
      <c r="DL34" s="31" t="n">
        <v>1</v>
      </c>
      <c r="DM34" s="31" t="n">
        <v>1</v>
      </c>
      <c r="DN34" s="31" t="n">
        <v>1</v>
      </c>
      <c r="DO34" s="31" t="n">
        <v>1</v>
      </c>
      <c r="DP34" s="31" t="n">
        <v>1</v>
      </c>
      <c r="DQ34" s="31" t="n">
        <v>1</v>
      </c>
      <c r="DR34" s="31" t="n">
        <v>1</v>
      </c>
      <c r="DS34" s="31" t="n">
        <v>1</v>
      </c>
      <c r="DT34" s="31" t="n">
        <v>1</v>
      </c>
      <c r="DU34" s="31" t="n">
        <v>1</v>
      </c>
      <c r="DV34" s="31" t="n">
        <v>1</v>
      </c>
      <c r="DW34" s="31" t="n">
        <v>1</v>
      </c>
      <c r="DX34" s="31" t="n">
        <v>1</v>
      </c>
      <c r="DY34" s="31" t="n">
        <v>1</v>
      </c>
      <c r="DZ34" s="31" t="n">
        <v>1</v>
      </c>
      <c r="EA34" s="31" t="n">
        <v>1</v>
      </c>
      <c r="EB34" s="31" t="n">
        <v>1</v>
      </c>
      <c r="EC34" s="31" t="n">
        <v>1</v>
      </c>
      <c r="ED34" s="31" t="n">
        <v>1</v>
      </c>
      <c r="EE34" s="31" t="n">
        <v>1</v>
      </c>
      <c r="EF34" s="31" t="n">
        <v>1</v>
      </c>
      <c r="EG34" s="31" t="n">
        <v>1</v>
      </c>
      <c r="EH34" s="31" t="n">
        <v>1</v>
      </c>
      <c r="EI34" s="31" t="n">
        <v>1</v>
      </c>
      <c r="EJ34" s="31" t="n">
        <v>1</v>
      </c>
      <c r="EK34" s="31" t="n">
        <v>1</v>
      </c>
      <c r="EL34" s="31" t="n">
        <v>1</v>
      </c>
      <c r="EM34" s="31" t="n">
        <v>1</v>
      </c>
      <c r="EN34" s="31" t="n">
        <v>1</v>
      </c>
      <c r="EO34" s="31" t="n">
        <v>1</v>
      </c>
      <c r="EP34" s="31" t="n">
        <v>1</v>
      </c>
      <c r="EQ34" s="31" t="n">
        <v>1</v>
      </c>
      <c r="ER34" s="31" t="n">
        <v>1</v>
      </c>
      <c r="ES34" s="31" t="n">
        <v>1</v>
      </c>
      <c r="ET34" s="31" t="n">
        <v>1</v>
      </c>
      <c r="EU34" s="31" t="n">
        <v>1</v>
      </c>
      <c r="EV34" s="31" t="n">
        <v>1</v>
      </c>
      <c r="EW34" s="31" t="n">
        <v>1</v>
      </c>
      <c r="EX34" s="31" t="n">
        <v>1</v>
      </c>
      <c r="EY34" s="31" t="n">
        <v>1</v>
      </c>
      <c r="EZ34" s="31" t="n">
        <v>1</v>
      </c>
      <c r="FA34" s="31" t="n">
        <v>1</v>
      </c>
      <c r="FB34" s="31" t="n">
        <v>1</v>
      </c>
      <c r="FC34" s="31" t="n">
        <v>1</v>
      </c>
      <c r="FD34" s="31" t="n">
        <v>1</v>
      </c>
      <c r="FE34" s="31" t="n">
        <v>1</v>
      </c>
      <c r="FF34" s="31" t="n">
        <v>1</v>
      </c>
      <c r="FG34" s="31" t="n">
        <v>1</v>
      </c>
      <c r="FH34" s="31" t="n">
        <v>1</v>
      </c>
      <c r="FI34" s="31" t="n">
        <v>1</v>
      </c>
      <c r="FJ34" s="31" t="n">
        <v>1</v>
      </c>
      <c r="FK34" s="31" t="n">
        <v>1</v>
      </c>
      <c r="FL34" s="31" t="n">
        <v>1</v>
      </c>
      <c r="FM34" s="31" t="n">
        <v>1</v>
      </c>
      <c r="FN34" s="31" t="n">
        <v>1</v>
      </c>
      <c r="FO34" s="31" t="n">
        <v>1</v>
      </c>
      <c r="FP34" s="31" t="n">
        <v>1</v>
      </c>
      <c r="FQ34" s="31" t="n">
        <v>1</v>
      </c>
      <c r="FR34" s="31" t="n">
        <v>1</v>
      </c>
      <c r="FS34" s="31" t="n">
        <v>1</v>
      </c>
      <c r="FT34" s="31" t="n">
        <v>1</v>
      </c>
      <c r="FU34" s="31" t="n">
        <v>1</v>
      </c>
      <c r="FV34" s="31" t="n">
        <v>1</v>
      </c>
      <c r="FW34" s="31" t="n">
        <v>1</v>
      </c>
      <c r="FX34" s="31" t="n">
        <v>1</v>
      </c>
      <c r="FY34" s="31" t="n">
        <v>1</v>
      </c>
      <c r="FZ34" s="31" t="n">
        <v>1</v>
      </c>
      <c r="GA34" s="31" t="n">
        <v>1</v>
      </c>
      <c r="GB34" s="31" t="n">
        <v>1</v>
      </c>
      <c r="GC34" s="31" t="n">
        <v>1</v>
      </c>
      <c r="GD34" s="31" t="n">
        <v>1</v>
      </c>
      <c r="GE34" s="31" t="n">
        <v>1</v>
      </c>
      <c r="GF34" s="31" t="n">
        <v>1</v>
      </c>
      <c r="GG34" s="31" t="n">
        <v>1</v>
      </c>
      <c r="GH34" s="31" t="n">
        <v>1</v>
      </c>
      <c r="GI34" s="31" t="n">
        <v>1</v>
      </c>
      <c r="GJ34" s="31" t="n">
        <v>1</v>
      </c>
      <c r="GK34" s="31" t="n">
        <v>1</v>
      </c>
      <c r="GL34" s="31" t="n">
        <v>1</v>
      </c>
      <c r="GM34" s="31" t="n">
        <v>1</v>
      </c>
      <c r="GN34" s="31" t="n">
        <v>1</v>
      </c>
      <c r="GO34" s="31" t="n">
        <v>1</v>
      </c>
      <c r="GP34" s="31" t="n">
        <v>1</v>
      </c>
      <c r="GQ34" s="31" t="n">
        <v>1</v>
      </c>
      <c r="GR34" s="31" t="n">
        <v>1</v>
      </c>
      <c r="GS34" s="31" t="n">
        <v>1</v>
      </c>
      <c r="GT34" s="31" t="n">
        <v>1</v>
      </c>
      <c r="GU34" s="31" t="n">
        <v>1</v>
      </c>
      <c r="GV34" s="31" t="n">
        <v>1</v>
      </c>
      <c r="GW34" s="31" t="n">
        <v>1</v>
      </c>
      <c r="GX34" s="31" t="n">
        <v>1</v>
      </c>
      <c r="GY34" s="31" t="n">
        <v>1</v>
      </c>
      <c r="GZ34" s="31" t="n">
        <v>1</v>
      </c>
      <c r="HA34" s="31" t="n">
        <v>1</v>
      </c>
      <c r="HB34" s="31" t="n">
        <v>1</v>
      </c>
      <c r="HC34" s="31" t="n">
        <v>1</v>
      </c>
      <c r="HD34" s="31" t="n">
        <v>1</v>
      </c>
      <c r="HE34" s="31" t="n">
        <v>1</v>
      </c>
      <c r="HF34" s="31" t="n">
        <v>1</v>
      </c>
      <c r="HG34" s="31" t="n">
        <v>1</v>
      </c>
      <c r="HH34" s="31" t="n">
        <v>1</v>
      </c>
      <c r="HI34" s="31" t="n">
        <v>1</v>
      </c>
      <c r="HJ34" s="31" t="n">
        <v>1</v>
      </c>
      <c r="HK34" s="31" t="n">
        <v>1</v>
      </c>
      <c r="HL34" s="31" t="n">
        <v>1</v>
      </c>
      <c r="HM34" s="31" t="n">
        <v>1</v>
      </c>
      <c r="HN34" s="31" t="n">
        <v>1</v>
      </c>
      <c r="HO34" s="31" t="n">
        <v>1</v>
      </c>
      <c r="HP34" s="31" t="n">
        <v>1</v>
      </c>
      <c r="HQ34" s="31" t="n">
        <v>1</v>
      </c>
      <c r="HR34" s="31" t="n">
        <v>1</v>
      </c>
      <c r="HS34" s="31" t="n">
        <v>1</v>
      </c>
      <c r="HT34" s="31" t="n">
        <v>1</v>
      </c>
      <c r="HU34" s="31" t="n">
        <v>1</v>
      </c>
      <c r="HV34" s="31" t="n">
        <v>1</v>
      </c>
      <c r="HW34" s="31" t="n">
        <v>1</v>
      </c>
      <c r="HX34" s="31" t="n">
        <v>1</v>
      </c>
      <c r="HY34" s="31" t="n">
        <v>1</v>
      </c>
      <c r="HZ34" s="31" t="n">
        <v>1</v>
      </c>
      <c r="IA34" s="31" t="n">
        <v>1</v>
      </c>
      <c r="IB34" s="31" t="n">
        <v>1</v>
      </c>
      <c r="IC34" s="31" t="n">
        <v>1</v>
      </c>
      <c r="ID34" s="31" t="n">
        <v>1</v>
      </c>
      <c r="IE34" s="31" t="n">
        <v>1</v>
      </c>
      <c r="IF34" s="31" t="n">
        <v>1</v>
      </c>
      <c r="IG34" s="31" t="n">
        <v>1</v>
      </c>
      <c r="IH34" s="31" t="n">
        <v>1</v>
      </c>
      <c r="II34" s="31" t="n">
        <v>1</v>
      </c>
      <c r="IJ34" s="31" t="n">
        <v>1</v>
      </c>
      <c r="IK34" s="31" t="n">
        <v>1</v>
      </c>
      <c r="IL34" s="31" t="n">
        <v>1</v>
      </c>
      <c r="IM34" s="31" t="n">
        <v>1</v>
      </c>
      <c r="IN34" s="31" t="n">
        <v>1</v>
      </c>
      <c r="IO34" s="31" t="n">
        <v>1</v>
      </c>
      <c r="IP34" s="31" t="n">
        <v>1</v>
      </c>
      <c r="IQ34" s="31" t="n">
        <v>1</v>
      </c>
      <c r="IR34" s="31" t="n">
        <v>1</v>
      </c>
      <c r="IS34" s="31" t="n">
        <v>1</v>
      </c>
      <c r="IT34" s="31" t="n">
        <v>1</v>
      </c>
      <c r="IU34" s="31" t="n">
        <v>1</v>
      </c>
      <c r="IV34" s="31" t="n">
        <v>1</v>
      </c>
      <c r="IW34" s="31" t="n">
        <v>1</v>
      </c>
      <c r="IX34" s="31" t="n">
        <v>1</v>
      </c>
      <c r="IY34" s="31" t="n">
        <v>1</v>
      </c>
      <c r="IZ34" s="31" t="n">
        <v>1</v>
      </c>
      <c r="JA34" s="31" t="n">
        <v>1</v>
      </c>
      <c r="JB34" s="31" t="n">
        <v>1</v>
      </c>
      <c r="JC34" s="31" t="n">
        <v>1</v>
      </c>
      <c r="JD34" s="31" t="n">
        <v>1</v>
      </c>
      <c r="JE34" s="31" t="n">
        <v>1</v>
      </c>
      <c r="JF34" s="31" t="n">
        <v>1</v>
      </c>
      <c r="JG34" s="31" t="n">
        <v>1</v>
      </c>
      <c r="JH34" s="31" t="n">
        <v>1</v>
      </c>
      <c r="JI34" s="31" t="n">
        <v>1</v>
      </c>
      <c r="JJ34" s="31" t="n">
        <v>1</v>
      </c>
      <c r="JK34" s="31" t="n">
        <v>1</v>
      </c>
      <c r="JL34" s="31" t="n">
        <v>1</v>
      </c>
      <c r="JM34" s="31" t="n">
        <v>1</v>
      </c>
      <c r="JN34" s="31" t="n">
        <v>1</v>
      </c>
      <c r="JO34" s="31" t="n">
        <v>1</v>
      </c>
      <c r="JP34" s="31" t="n">
        <v>1</v>
      </c>
      <c r="JQ34" s="31" t="n">
        <v>1</v>
      </c>
      <c r="JR34" s="31" t="n">
        <v>1</v>
      </c>
      <c r="JS34" s="31" t="n">
        <v>1</v>
      </c>
      <c r="JT34" s="31" t="n">
        <v>1</v>
      </c>
      <c r="JU34" s="31" t="n">
        <v>1</v>
      </c>
      <c r="JV34" s="31" t="n">
        <v>1</v>
      </c>
      <c r="JW34" s="31" t="n">
        <v>1</v>
      </c>
      <c r="JX34" s="31" t="n">
        <v>1</v>
      </c>
      <c r="JY34" s="31" t="n">
        <v>1</v>
      </c>
      <c r="JZ34" s="31" t="n">
        <v>1</v>
      </c>
      <c r="KA34" s="31" t="n">
        <v>1</v>
      </c>
      <c r="KB34" s="31" t="n">
        <v>1</v>
      </c>
      <c r="KC34" s="31" t="n">
        <v>1</v>
      </c>
      <c r="KD34" s="31" t="n">
        <v>1</v>
      </c>
      <c r="KE34" s="31" t="n">
        <v>1</v>
      </c>
      <c r="KF34" s="31" t="n">
        <v>1</v>
      </c>
      <c r="KG34" s="31" t="n">
        <v>1</v>
      </c>
      <c r="KH34" s="31" t="n">
        <v>1</v>
      </c>
      <c r="KI34" s="31" t="n">
        <v>1</v>
      </c>
      <c r="KJ34" s="31" t="n">
        <v>1</v>
      </c>
      <c r="KK34" s="31" t="n">
        <v>1</v>
      </c>
      <c r="KL34" s="31" t="n">
        <v>1</v>
      </c>
      <c r="KM34" s="31" t="n">
        <v>1</v>
      </c>
      <c r="KN34" s="31" t="n">
        <v>1</v>
      </c>
      <c r="KO34" s="31" t="n">
        <v>1</v>
      </c>
      <c r="KP34" s="31" t="n">
        <v>1</v>
      </c>
      <c r="KQ34" s="31" t="n">
        <v>1</v>
      </c>
      <c r="KR34" s="31" t="n">
        <v>1</v>
      </c>
      <c r="KS34" s="31" t="n">
        <v>1</v>
      </c>
      <c r="KT34" s="31" t="n">
        <v>1</v>
      </c>
      <c r="KU34" s="31" t="n">
        <v>1</v>
      </c>
      <c r="KV34" s="31" t="n">
        <v>1</v>
      </c>
      <c r="KW34" s="31" t="n">
        <v>1</v>
      </c>
      <c r="KX34" s="31" t="n">
        <v>1</v>
      </c>
      <c r="KY34" s="31" t="n">
        <v>1</v>
      </c>
      <c r="KZ34" s="31" t="n">
        <v>1</v>
      </c>
      <c r="LA34" s="31" t="n">
        <v>1</v>
      </c>
      <c r="LB34" s="31" t="n">
        <v>1</v>
      </c>
      <c r="LC34" s="31" t="n">
        <v>1</v>
      </c>
      <c r="LD34" s="31" t="n">
        <v>1</v>
      </c>
      <c r="LE34" s="31" t="n">
        <v>1</v>
      </c>
      <c r="LF34" s="31" t="n">
        <v>1</v>
      </c>
      <c r="LG34" s="31" t="n">
        <v>1</v>
      </c>
      <c r="LH34" s="31" t="n">
        <v>1</v>
      </c>
      <c r="LI34" s="31" t="n">
        <v>1</v>
      </c>
      <c r="LJ34" s="31" t="n">
        <v>1</v>
      </c>
      <c r="LK34" s="31" t="n">
        <v>1</v>
      </c>
      <c r="LL34" s="31" t="n">
        <v>1</v>
      </c>
      <c r="LM34" s="31" t="n">
        <v>1</v>
      </c>
      <c r="LN34" s="31" t="n">
        <v>1</v>
      </c>
      <c r="LO34" s="31" t="n">
        <v>1</v>
      </c>
      <c r="LP34" s="31" t="n">
        <v>1</v>
      </c>
      <c r="LQ34" s="31" t="n">
        <v>1</v>
      </c>
      <c r="LR34" s="31" t="n">
        <v>1</v>
      </c>
      <c r="LS34" s="31" t="n">
        <v>1</v>
      </c>
      <c r="LT34" s="31" t="n">
        <v>1</v>
      </c>
      <c r="LU34" s="31" t="n">
        <v>1</v>
      </c>
      <c r="LV34" s="31" t="n">
        <v>1</v>
      </c>
      <c r="LW34" s="31" t="n">
        <v>1</v>
      </c>
      <c r="LX34" s="31" t="n">
        <v>1</v>
      </c>
      <c r="LY34" s="31" t="n">
        <v>1</v>
      </c>
      <c r="LZ34" s="31" t="n">
        <v>1</v>
      </c>
      <c r="MA34" s="31" t="n">
        <v>1</v>
      </c>
      <c r="MB34" s="31" t="n">
        <v>1</v>
      </c>
      <c r="MC34" s="31" t="n">
        <v>1</v>
      </c>
      <c r="MD34" s="31" t="n">
        <v>1</v>
      </c>
      <c r="ME34" s="31" t="n">
        <v>1</v>
      </c>
      <c r="MF34" s="31" t="n">
        <v>1</v>
      </c>
      <c r="MG34" s="31" t="n">
        <v>1</v>
      </c>
      <c r="MH34" s="31" t="n">
        <v>1</v>
      </c>
      <c r="MI34" s="31" t="n">
        <v>1</v>
      </c>
      <c r="MJ34" s="31" t="n">
        <v>1</v>
      </c>
      <c r="MK34" s="31" t="n">
        <v>1</v>
      </c>
      <c r="ML34" s="31" t="n">
        <v>1</v>
      </c>
      <c r="MM34" s="31" t="n">
        <v>1</v>
      </c>
      <c r="MN34" s="31" t="n">
        <v>1</v>
      </c>
      <c r="MO34" s="31" t="n">
        <v>1</v>
      </c>
      <c r="MP34" s="31" t="n">
        <v>1</v>
      </c>
      <c r="MQ34" s="31" t="n">
        <v>1</v>
      </c>
      <c r="MR34" s="31" t="n">
        <v>1</v>
      </c>
      <c r="MS34" s="31" t="n">
        <v>1</v>
      </c>
      <c r="MT34" s="31" t="n">
        <v>1</v>
      </c>
      <c r="MU34" s="31" t="n">
        <v>1</v>
      </c>
      <c r="MV34" s="31" t="n">
        <v>1</v>
      </c>
      <c r="MW34" s="31" t="n">
        <v>1</v>
      </c>
      <c r="MX34" s="31" t="n">
        <v>1</v>
      </c>
      <c r="MY34" s="31" t="n">
        <v>1</v>
      </c>
      <c r="MZ34" s="31" t="n">
        <v>1</v>
      </c>
      <c r="NA34" s="31" t="n">
        <v>1</v>
      </c>
      <c r="NB34" s="31" t="n">
        <v>1</v>
      </c>
      <c r="NC34" s="31" t="n">
        <v>1</v>
      </c>
      <c r="ND34" s="31" t="n">
        <v>1</v>
      </c>
      <c r="NE34" s="31" t="n">
        <v>1</v>
      </c>
      <c r="NF34" s="31" t="n">
        <v>1</v>
      </c>
      <c r="NG34" s="31" t="n">
        <v>1</v>
      </c>
      <c r="NH34" s="31" t="n">
        <v>1</v>
      </c>
      <c r="NI34" s="31" t="n">
        <v>1</v>
      </c>
      <c r="NJ34" s="31" t="n">
        <v>1</v>
      </c>
      <c r="NK34" s="31" t="n">
        <v>1</v>
      </c>
      <c r="NL34" s="31" t="n">
        <v>1</v>
      </c>
      <c r="NM34" s="31" t="n">
        <v>1</v>
      </c>
      <c r="NN34" s="31" t="n">
        <v>1</v>
      </c>
      <c r="NO34" s="31" t="n">
        <v>1</v>
      </c>
      <c r="NP34" s="31" t="n">
        <v>1</v>
      </c>
      <c r="NQ34" s="31" t="n">
        <v>1</v>
      </c>
      <c r="NR34" s="31" t="n">
        <v>1</v>
      </c>
      <c r="NS34" s="31" t="n">
        <v>1</v>
      </c>
      <c r="NT34" s="31" t="n">
        <v>1</v>
      </c>
      <c r="NU34" s="31" t="n">
        <v>1</v>
      </c>
      <c r="NV34" s="31" t="n">
        <v>1</v>
      </c>
      <c r="NW34" s="31" t="n">
        <v>1</v>
      </c>
      <c r="NX34" s="31" t="n">
        <v>1</v>
      </c>
      <c r="NY34" s="31" t="n">
        <v>1</v>
      </c>
      <c r="NZ34" s="31" t="n">
        <v>1</v>
      </c>
      <c r="OA34" s="31" t="n">
        <v>1</v>
      </c>
      <c r="OB34" s="31" t="n">
        <v>1</v>
      </c>
      <c r="OC34" s="31" t="n">
        <v>1</v>
      </c>
      <c r="OD34" s="31" t="n">
        <v>1</v>
      </c>
      <c r="OE34" s="31" t="n">
        <v>1</v>
      </c>
      <c r="OF34" s="31" t="n">
        <v>1</v>
      </c>
      <c r="OG34" s="31" t="n">
        <v>1</v>
      </c>
      <c r="OH34" s="31" t="n">
        <v>1</v>
      </c>
      <c r="OI34" s="31" t="n">
        <v>1</v>
      </c>
      <c r="OJ34" s="31" t="n">
        <v>1</v>
      </c>
      <c r="OK34" s="31" t="n">
        <v>1</v>
      </c>
      <c r="OL34" s="31" t="n">
        <v>1</v>
      </c>
      <c r="OM34" s="31" t="n">
        <v>1</v>
      </c>
      <c r="ON34" s="31" t="n">
        <v>1</v>
      </c>
      <c r="OO34" s="31" t="n">
        <v>1</v>
      </c>
      <c r="OP34" s="31" t="n">
        <v>1</v>
      </c>
      <c r="OQ34" s="31" t="n">
        <v>1</v>
      </c>
      <c r="OR34" s="31" t="n">
        <v>1</v>
      </c>
      <c r="OS34" s="31" t="n">
        <v>1</v>
      </c>
      <c r="OT34" s="31" t="n">
        <v>1</v>
      </c>
      <c r="OU34" s="31" t="n">
        <v>1</v>
      </c>
      <c r="OV34" s="31" t="n">
        <v>1</v>
      </c>
      <c r="OW34" s="31" t="n">
        <v>1</v>
      </c>
      <c r="OX34" s="31" t="n">
        <v>1</v>
      </c>
      <c r="OY34" s="31" t="n">
        <v>1</v>
      </c>
      <c r="OZ34" s="31" t="n">
        <v>1</v>
      </c>
      <c r="PA34" s="31" t="n">
        <v>1</v>
      </c>
      <c r="PB34" s="31" t="n">
        <v>1</v>
      </c>
      <c r="PC34" s="31" t="n">
        <v>1</v>
      </c>
      <c r="PD34" s="31" t="n">
        <v>1</v>
      </c>
      <c r="PE34" s="31" t="n">
        <v>1</v>
      </c>
      <c r="PF34" s="31" t="n">
        <v>1</v>
      </c>
      <c r="PG34" s="31" t="n">
        <v>1</v>
      </c>
      <c r="PH34" s="31" t="n">
        <v>1</v>
      </c>
      <c r="PI34" s="31" t="n">
        <v>1</v>
      </c>
      <c r="PJ34" s="31" t="n">
        <v>1</v>
      </c>
      <c r="PK34" s="31" t="n">
        <v>1</v>
      </c>
      <c r="PL34" s="31" t="n">
        <v>1</v>
      </c>
      <c r="PM34" s="31" t="n">
        <v>1</v>
      </c>
      <c r="PN34" s="31" t="n">
        <v>1</v>
      </c>
      <c r="PO34" s="31" t="n">
        <v>1</v>
      </c>
      <c r="PP34" s="31" t="n">
        <v>1</v>
      </c>
      <c r="PQ34" s="31" t="n">
        <v>1</v>
      </c>
      <c r="PR34" s="31" t="n">
        <v>1</v>
      </c>
      <c r="PS34" s="31" t="n">
        <v>1</v>
      </c>
      <c r="PT34" s="31" t="n">
        <v>1</v>
      </c>
      <c r="PU34" s="31" t="n">
        <v>1</v>
      </c>
      <c r="PV34" s="31" t="n">
        <v>1</v>
      </c>
      <c r="PW34" s="31" t="n">
        <v>1</v>
      </c>
      <c r="PX34" s="31" t="n">
        <v>1</v>
      </c>
      <c r="PY34" s="31" t="n">
        <v>1</v>
      </c>
      <c r="PZ34" s="31" t="n">
        <v>1</v>
      </c>
      <c r="QA34" s="31" t="n">
        <v>1</v>
      </c>
      <c r="QB34" s="31" t="n">
        <v>1</v>
      </c>
      <c r="QC34" s="31" t="n">
        <v>1</v>
      </c>
      <c r="QD34" s="31" t="n">
        <v>1</v>
      </c>
      <c r="QE34" s="31" t="n">
        <v>1</v>
      </c>
      <c r="QF34" s="31" t="n">
        <v>1</v>
      </c>
      <c r="QG34" s="31" t="n">
        <v>1</v>
      </c>
      <c r="QH34" s="31" t="n">
        <v>1</v>
      </c>
      <c r="QI34" s="31" t="n">
        <v>1</v>
      </c>
      <c r="QJ34" s="31" t="n">
        <v>1</v>
      </c>
      <c r="QK34" s="31" t="n">
        <v>1</v>
      </c>
      <c r="QL34" s="31" t="n">
        <v>1</v>
      </c>
      <c r="QM34" s="31" t="n">
        <v>1</v>
      </c>
      <c r="QN34" s="31" t="n">
        <v>1</v>
      </c>
      <c r="QO34" s="31" t="n">
        <v>1</v>
      </c>
      <c r="QP34" s="31" t="n">
        <v>1</v>
      </c>
      <c r="QQ34" s="31" t="n">
        <v>1</v>
      </c>
      <c r="QR34" s="31" t="n">
        <v>1</v>
      </c>
      <c r="QS34" s="31" t="n">
        <v>1</v>
      </c>
      <c r="QT34" s="31" t="n">
        <v>1</v>
      </c>
      <c r="QU34" s="31" t="n">
        <v>1</v>
      </c>
      <c r="QV34" s="31" t="n">
        <v>1</v>
      </c>
      <c r="QW34" s="31" t="n">
        <v>1</v>
      </c>
      <c r="QX34" s="31" t="n">
        <v>1</v>
      </c>
      <c r="QY34" s="31" t="n">
        <v>1</v>
      </c>
      <c r="QZ34" s="31" t="n">
        <v>1</v>
      </c>
      <c r="RA34" s="31" t="n">
        <v>1</v>
      </c>
      <c r="RB34" s="31" t="n">
        <v>1</v>
      </c>
      <c r="RC34" s="31" t="n">
        <v>1</v>
      </c>
      <c r="RD34" s="31" t="n">
        <v>1</v>
      </c>
      <c r="RE34" s="31" t="n">
        <v>1</v>
      </c>
      <c r="RF34" s="31" t="n">
        <v>1</v>
      </c>
      <c r="RG34" s="31" t="n">
        <v>1</v>
      </c>
      <c r="RH34" s="31" t="n">
        <v>1</v>
      </c>
      <c r="RI34" s="31" t="n">
        <v>1</v>
      </c>
      <c r="RJ34" s="31" t="n">
        <v>1</v>
      </c>
      <c r="RK34" s="31" t="n">
        <v>1</v>
      </c>
      <c r="RL34" s="31" t="n">
        <v>1</v>
      </c>
      <c r="RM34" s="31" t="n">
        <v>1</v>
      </c>
      <c r="RN34" s="31" t="n">
        <v>1</v>
      </c>
      <c r="RO34" s="31" t="n">
        <v>1</v>
      </c>
      <c r="RP34" s="31" t="n">
        <v>1</v>
      </c>
      <c r="RQ34" s="31" t="n">
        <v>1</v>
      </c>
      <c r="RR34" s="31" t="n">
        <v>1</v>
      </c>
      <c r="RS34" s="31" t="n">
        <v>1</v>
      </c>
      <c r="RT34" s="31" t="n">
        <v>1</v>
      </c>
      <c r="RU34" s="31" t="n">
        <v>1</v>
      </c>
      <c r="RV34" s="31" t="n">
        <v>1</v>
      </c>
      <c r="RW34" s="31" t="n">
        <v>1</v>
      </c>
    </row>
    <row r="35" hidden="1" outlineLevel="1" ht="13.05" customHeight="1">
      <c r="E35" s="21" t="inlineStr">
        <is>
          <t>Grid Charge Price (inflated)</t>
        </is>
      </c>
      <c r="F35" s="29" t="n"/>
      <c r="G35" s="29" t="inlineStr">
        <is>
          <t>DKK/MWh</t>
        </is>
      </c>
      <c r="H35" s="29" t="n"/>
      <c r="I35" s="29" t="n"/>
      <c r="J35" s="32" t="n">
        <v>0</v>
      </c>
      <c r="K35" s="29" t="n"/>
      <c r="L35" s="33" t="n">
        <v>0</v>
      </c>
      <c r="M35" s="33" t="n">
        <v>0</v>
      </c>
      <c r="N35" s="33" t="n">
        <v>0</v>
      </c>
      <c r="O35" s="33" t="n">
        <v>0</v>
      </c>
      <c r="P35" s="33" t="n">
        <v>0</v>
      </c>
      <c r="Q35" s="33" t="n">
        <v>0</v>
      </c>
      <c r="R35" s="33" t="n">
        <v>0</v>
      </c>
      <c r="S35" s="33" t="n">
        <v>0</v>
      </c>
      <c r="T35" s="33" t="n">
        <v>0</v>
      </c>
      <c r="U35" s="33" t="n">
        <v>0</v>
      </c>
      <c r="V35" s="33" t="n">
        <v>0</v>
      </c>
      <c r="W35" s="33" t="n">
        <v>0</v>
      </c>
      <c r="X35" s="33" t="n">
        <v>0</v>
      </c>
      <c r="Y35" s="33" t="n">
        <v>0</v>
      </c>
      <c r="Z35" s="33" t="n">
        <v>0</v>
      </c>
      <c r="AA35" s="33" t="n">
        <v>0</v>
      </c>
      <c r="AB35" s="33" t="n">
        <v>0</v>
      </c>
      <c r="AC35" s="33" t="n">
        <v>0</v>
      </c>
      <c r="AD35" s="33" t="n">
        <v>0</v>
      </c>
      <c r="AE35" s="33" t="n">
        <v>0</v>
      </c>
      <c r="AF35" s="33" t="n">
        <v>0</v>
      </c>
      <c r="AG35" s="33" t="n">
        <v>0</v>
      </c>
      <c r="AH35" s="33" t="n">
        <v>0</v>
      </c>
      <c r="AI35" s="33" t="n">
        <v>0</v>
      </c>
      <c r="AJ35" s="33" t="n">
        <v>0</v>
      </c>
      <c r="AK35" s="33" t="n">
        <v>0</v>
      </c>
      <c r="AL35" s="33" t="n">
        <v>0</v>
      </c>
      <c r="AM35" s="33" t="n">
        <v>0</v>
      </c>
      <c r="AN35" s="33" t="n">
        <v>0</v>
      </c>
      <c r="AO35" s="33" t="n">
        <v>0</v>
      </c>
      <c r="AP35" s="33" t="n">
        <v>0</v>
      </c>
      <c r="AQ35" s="33" t="n">
        <v>0</v>
      </c>
      <c r="AR35" s="33" t="n">
        <v>0</v>
      </c>
      <c r="AS35" s="33" t="n">
        <v>0</v>
      </c>
      <c r="AT35" s="33" t="n">
        <v>0</v>
      </c>
      <c r="AU35" s="33" t="n">
        <v>0</v>
      </c>
      <c r="AV35" s="33" t="n">
        <v>0</v>
      </c>
      <c r="AW35" s="33" t="n">
        <v>0</v>
      </c>
      <c r="AX35" s="33" t="n">
        <v>0</v>
      </c>
      <c r="AY35" s="33" t="n">
        <v>0</v>
      </c>
      <c r="AZ35" s="33" t="n">
        <v>0</v>
      </c>
      <c r="BA35" s="33" t="n">
        <v>0</v>
      </c>
      <c r="BB35" s="33" t="n">
        <v>0</v>
      </c>
      <c r="BC35" s="33" t="n">
        <v>0</v>
      </c>
      <c r="BD35" s="33" t="n">
        <v>0</v>
      </c>
      <c r="BE35" s="33" t="n">
        <v>0</v>
      </c>
      <c r="BF35" s="33" t="n">
        <v>0</v>
      </c>
      <c r="BG35" s="33" t="n">
        <v>0</v>
      </c>
      <c r="BH35" s="33" t="n">
        <v>0</v>
      </c>
      <c r="BI35" s="33" t="n">
        <v>0</v>
      </c>
      <c r="BJ35" s="33" t="n">
        <v>0</v>
      </c>
      <c r="BK35" s="33" t="n">
        <v>0</v>
      </c>
      <c r="BL35" s="33" t="n">
        <v>0</v>
      </c>
      <c r="BM35" s="33" t="n">
        <v>0</v>
      </c>
      <c r="BN35" s="33" t="n">
        <v>0</v>
      </c>
      <c r="BO35" s="33" t="n">
        <v>0</v>
      </c>
      <c r="BP35" s="33" t="n">
        <v>0</v>
      </c>
      <c r="BQ35" s="33" t="n">
        <v>0</v>
      </c>
      <c r="BR35" s="33" t="n">
        <v>0</v>
      </c>
      <c r="BS35" s="33" t="n">
        <v>0</v>
      </c>
      <c r="BT35" s="33" t="n">
        <v>0</v>
      </c>
      <c r="BU35" s="33" t="n">
        <v>0</v>
      </c>
      <c r="BV35" s="33" t="n">
        <v>0</v>
      </c>
      <c r="BW35" s="33" t="n">
        <v>0</v>
      </c>
      <c r="BX35" s="33" t="n">
        <v>0</v>
      </c>
      <c r="BY35" s="33" t="n">
        <v>0</v>
      </c>
      <c r="BZ35" s="33" t="n">
        <v>0</v>
      </c>
      <c r="CA35" s="33" t="n">
        <v>0</v>
      </c>
      <c r="CB35" s="33" t="n">
        <v>0</v>
      </c>
      <c r="CC35" s="33" t="n">
        <v>0</v>
      </c>
      <c r="CD35" s="33" t="n">
        <v>0</v>
      </c>
      <c r="CE35" s="33" t="n">
        <v>0</v>
      </c>
      <c r="CF35" s="33" t="n">
        <v>0</v>
      </c>
      <c r="CG35" s="33" t="n">
        <v>0</v>
      </c>
      <c r="CH35" s="33" t="n">
        <v>0</v>
      </c>
      <c r="CI35" s="33" t="n">
        <v>0</v>
      </c>
      <c r="CJ35" s="33" t="n">
        <v>0</v>
      </c>
      <c r="CK35" s="33" t="n">
        <v>0</v>
      </c>
      <c r="CL35" s="33" t="n">
        <v>0</v>
      </c>
      <c r="CM35" s="33" t="n">
        <v>0</v>
      </c>
      <c r="CN35" s="33" t="n">
        <v>0</v>
      </c>
      <c r="CO35" s="33" t="n">
        <v>0</v>
      </c>
      <c r="CP35" s="33" t="n">
        <v>0</v>
      </c>
      <c r="CQ35" s="33" t="n">
        <v>0</v>
      </c>
      <c r="CR35" s="33" t="n">
        <v>0</v>
      </c>
      <c r="CS35" s="33" t="n">
        <v>0</v>
      </c>
      <c r="CT35" s="33" t="n">
        <v>0</v>
      </c>
      <c r="CU35" s="33" t="n">
        <v>0</v>
      </c>
      <c r="CV35" s="33" t="n">
        <v>0</v>
      </c>
      <c r="CW35" s="33" t="n">
        <v>0</v>
      </c>
      <c r="CX35" s="33" t="n">
        <v>0</v>
      </c>
      <c r="CY35" s="33" t="n">
        <v>0</v>
      </c>
      <c r="CZ35" s="33" t="n">
        <v>0</v>
      </c>
      <c r="DA35" s="33" t="n">
        <v>0</v>
      </c>
      <c r="DB35" s="33" t="n">
        <v>0</v>
      </c>
      <c r="DC35" s="33" t="n">
        <v>0</v>
      </c>
      <c r="DD35" s="33" t="n">
        <v>0</v>
      </c>
      <c r="DE35" s="33" t="n">
        <v>0</v>
      </c>
      <c r="DF35" s="33" t="n">
        <v>0</v>
      </c>
      <c r="DG35" s="33" t="n">
        <v>0</v>
      </c>
      <c r="DH35" s="33" t="n">
        <v>0</v>
      </c>
      <c r="DI35" s="33" t="n">
        <v>0</v>
      </c>
      <c r="DJ35" s="33" t="n">
        <v>0</v>
      </c>
      <c r="DK35" s="33" t="n">
        <v>0</v>
      </c>
      <c r="DL35" s="33" t="n">
        <v>0</v>
      </c>
      <c r="DM35" s="33" t="n">
        <v>0</v>
      </c>
      <c r="DN35" s="33" t="n">
        <v>0</v>
      </c>
      <c r="DO35" s="33" t="n">
        <v>0</v>
      </c>
      <c r="DP35" s="33" t="n">
        <v>0</v>
      </c>
      <c r="DQ35" s="33" t="n">
        <v>0</v>
      </c>
      <c r="DR35" s="33" t="n">
        <v>0</v>
      </c>
      <c r="DS35" s="33" t="n">
        <v>0</v>
      </c>
      <c r="DT35" s="33" t="n">
        <v>0</v>
      </c>
      <c r="DU35" s="33" t="n">
        <v>0</v>
      </c>
      <c r="DV35" s="33" t="n">
        <v>0</v>
      </c>
      <c r="DW35" s="33" t="n">
        <v>0</v>
      </c>
      <c r="DX35" s="33" t="n">
        <v>0</v>
      </c>
      <c r="DY35" s="33" t="n">
        <v>0</v>
      </c>
      <c r="DZ35" s="33" t="n">
        <v>0</v>
      </c>
      <c r="EA35" s="33" t="n">
        <v>0</v>
      </c>
      <c r="EB35" s="33" t="n">
        <v>0</v>
      </c>
      <c r="EC35" s="33" t="n">
        <v>0</v>
      </c>
      <c r="ED35" s="33" t="n">
        <v>0</v>
      </c>
      <c r="EE35" s="33" t="n">
        <v>0</v>
      </c>
      <c r="EF35" s="33" t="n">
        <v>0</v>
      </c>
      <c r="EG35" s="33" t="n">
        <v>0</v>
      </c>
      <c r="EH35" s="33" t="n">
        <v>0</v>
      </c>
      <c r="EI35" s="33" t="n">
        <v>0</v>
      </c>
      <c r="EJ35" s="33" t="n">
        <v>0</v>
      </c>
      <c r="EK35" s="33" t="n">
        <v>0</v>
      </c>
      <c r="EL35" s="33" t="n">
        <v>0</v>
      </c>
      <c r="EM35" s="33" t="n">
        <v>0</v>
      </c>
      <c r="EN35" s="33" t="n">
        <v>0</v>
      </c>
      <c r="EO35" s="33" t="n">
        <v>0</v>
      </c>
      <c r="EP35" s="33" t="n">
        <v>0</v>
      </c>
      <c r="EQ35" s="33" t="n">
        <v>0</v>
      </c>
      <c r="ER35" s="33" t="n">
        <v>0</v>
      </c>
      <c r="ES35" s="33" t="n">
        <v>0</v>
      </c>
      <c r="ET35" s="33" t="n">
        <v>0</v>
      </c>
      <c r="EU35" s="33" t="n">
        <v>0</v>
      </c>
      <c r="EV35" s="33" t="n">
        <v>0</v>
      </c>
      <c r="EW35" s="33" t="n">
        <v>0</v>
      </c>
      <c r="EX35" s="33" t="n">
        <v>0</v>
      </c>
      <c r="EY35" s="33" t="n">
        <v>0</v>
      </c>
      <c r="EZ35" s="33" t="n">
        <v>0</v>
      </c>
      <c r="FA35" s="33" t="n">
        <v>0</v>
      </c>
      <c r="FB35" s="33" t="n">
        <v>0</v>
      </c>
      <c r="FC35" s="33" t="n">
        <v>0</v>
      </c>
      <c r="FD35" s="33" t="n">
        <v>0</v>
      </c>
      <c r="FE35" s="33" t="n">
        <v>0</v>
      </c>
      <c r="FF35" s="33" t="n">
        <v>0</v>
      </c>
      <c r="FG35" s="33" t="n">
        <v>0</v>
      </c>
      <c r="FH35" s="33" t="n">
        <v>0</v>
      </c>
      <c r="FI35" s="33" t="n">
        <v>0</v>
      </c>
      <c r="FJ35" s="33" t="n">
        <v>0</v>
      </c>
      <c r="FK35" s="33" t="n">
        <v>0</v>
      </c>
      <c r="FL35" s="33" t="n">
        <v>0</v>
      </c>
      <c r="FM35" s="33" t="n">
        <v>0</v>
      </c>
      <c r="FN35" s="33" t="n">
        <v>0</v>
      </c>
      <c r="FO35" s="33" t="n">
        <v>0</v>
      </c>
      <c r="FP35" s="33" t="n">
        <v>0</v>
      </c>
      <c r="FQ35" s="33" t="n">
        <v>0</v>
      </c>
      <c r="FR35" s="33" t="n">
        <v>0</v>
      </c>
      <c r="FS35" s="33" t="n">
        <v>0</v>
      </c>
      <c r="FT35" s="33" t="n">
        <v>0</v>
      </c>
      <c r="FU35" s="33" t="n">
        <v>0</v>
      </c>
      <c r="FV35" s="33" t="n">
        <v>0</v>
      </c>
      <c r="FW35" s="33" t="n">
        <v>0</v>
      </c>
      <c r="FX35" s="33" t="n">
        <v>0</v>
      </c>
      <c r="FY35" s="33" t="n">
        <v>0</v>
      </c>
      <c r="FZ35" s="33" t="n">
        <v>0</v>
      </c>
      <c r="GA35" s="33" t="n">
        <v>0</v>
      </c>
      <c r="GB35" s="33" t="n">
        <v>0</v>
      </c>
      <c r="GC35" s="33" t="n">
        <v>0</v>
      </c>
      <c r="GD35" s="33" t="n">
        <v>0</v>
      </c>
      <c r="GE35" s="33" t="n">
        <v>0</v>
      </c>
      <c r="GF35" s="33" t="n">
        <v>0</v>
      </c>
      <c r="GG35" s="33" t="n">
        <v>0</v>
      </c>
      <c r="GH35" s="33" t="n">
        <v>0</v>
      </c>
      <c r="GI35" s="33" t="n">
        <v>0</v>
      </c>
      <c r="GJ35" s="33" t="n">
        <v>0</v>
      </c>
      <c r="GK35" s="33" t="n">
        <v>0</v>
      </c>
      <c r="GL35" s="33" t="n">
        <v>0</v>
      </c>
      <c r="GM35" s="33" t="n">
        <v>0</v>
      </c>
      <c r="GN35" s="33" t="n">
        <v>0</v>
      </c>
      <c r="GO35" s="33" t="n">
        <v>0</v>
      </c>
      <c r="GP35" s="33" t="n">
        <v>0</v>
      </c>
      <c r="GQ35" s="33" t="n">
        <v>0</v>
      </c>
      <c r="GR35" s="33" t="n">
        <v>0</v>
      </c>
      <c r="GS35" s="33" t="n">
        <v>0</v>
      </c>
      <c r="GT35" s="33" t="n">
        <v>0</v>
      </c>
      <c r="GU35" s="33" t="n">
        <v>0</v>
      </c>
      <c r="GV35" s="33" t="n">
        <v>0</v>
      </c>
      <c r="GW35" s="33" t="n">
        <v>0</v>
      </c>
      <c r="GX35" s="33" t="n">
        <v>0</v>
      </c>
      <c r="GY35" s="33" t="n">
        <v>0</v>
      </c>
      <c r="GZ35" s="33" t="n">
        <v>0</v>
      </c>
      <c r="HA35" s="33" t="n">
        <v>0</v>
      </c>
      <c r="HB35" s="33" t="n">
        <v>0</v>
      </c>
      <c r="HC35" s="33" t="n">
        <v>0</v>
      </c>
      <c r="HD35" s="33" t="n">
        <v>0</v>
      </c>
      <c r="HE35" s="33" t="n">
        <v>0</v>
      </c>
      <c r="HF35" s="33" t="n">
        <v>0</v>
      </c>
      <c r="HG35" s="33" t="n">
        <v>0</v>
      </c>
      <c r="HH35" s="33" t="n">
        <v>0</v>
      </c>
      <c r="HI35" s="33" t="n">
        <v>0</v>
      </c>
      <c r="HJ35" s="33" t="n">
        <v>0</v>
      </c>
      <c r="HK35" s="33" t="n">
        <v>0</v>
      </c>
      <c r="HL35" s="33" t="n">
        <v>0</v>
      </c>
      <c r="HM35" s="33" t="n">
        <v>0</v>
      </c>
      <c r="HN35" s="33" t="n">
        <v>0</v>
      </c>
      <c r="HO35" s="33" t="n">
        <v>0</v>
      </c>
      <c r="HP35" s="33" t="n">
        <v>0</v>
      </c>
      <c r="HQ35" s="33" t="n">
        <v>0</v>
      </c>
      <c r="HR35" s="33" t="n">
        <v>0</v>
      </c>
      <c r="HS35" s="33" t="n">
        <v>0</v>
      </c>
      <c r="HT35" s="33" t="n">
        <v>0</v>
      </c>
      <c r="HU35" s="33" t="n">
        <v>0</v>
      </c>
      <c r="HV35" s="33" t="n">
        <v>0</v>
      </c>
      <c r="HW35" s="33" t="n">
        <v>0</v>
      </c>
      <c r="HX35" s="33" t="n">
        <v>0</v>
      </c>
      <c r="HY35" s="33" t="n">
        <v>0</v>
      </c>
      <c r="HZ35" s="33" t="n">
        <v>0</v>
      </c>
      <c r="IA35" s="33" t="n">
        <v>0</v>
      </c>
      <c r="IB35" s="33" t="n">
        <v>0</v>
      </c>
      <c r="IC35" s="33" t="n">
        <v>0</v>
      </c>
      <c r="ID35" s="33" t="n">
        <v>0</v>
      </c>
      <c r="IE35" s="33" t="n">
        <v>0</v>
      </c>
      <c r="IF35" s="33" t="n">
        <v>0</v>
      </c>
      <c r="IG35" s="33" t="n">
        <v>0</v>
      </c>
      <c r="IH35" s="33" t="n">
        <v>0</v>
      </c>
      <c r="II35" s="33" t="n">
        <v>0</v>
      </c>
      <c r="IJ35" s="33" t="n">
        <v>0</v>
      </c>
      <c r="IK35" s="33" t="n">
        <v>0</v>
      </c>
      <c r="IL35" s="33" t="n">
        <v>0</v>
      </c>
      <c r="IM35" s="33" t="n">
        <v>0</v>
      </c>
      <c r="IN35" s="33" t="n">
        <v>0</v>
      </c>
      <c r="IO35" s="33" t="n">
        <v>0</v>
      </c>
      <c r="IP35" s="33" t="n">
        <v>0</v>
      </c>
      <c r="IQ35" s="33" t="n">
        <v>0</v>
      </c>
      <c r="IR35" s="33" t="n">
        <v>0</v>
      </c>
      <c r="IS35" s="33" t="n">
        <v>0</v>
      </c>
      <c r="IT35" s="33" t="n">
        <v>0</v>
      </c>
      <c r="IU35" s="33" t="n">
        <v>0</v>
      </c>
      <c r="IV35" s="33" t="n">
        <v>0</v>
      </c>
      <c r="IW35" s="33" t="n">
        <v>0</v>
      </c>
      <c r="IX35" s="33" t="n">
        <v>0</v>
      </c>
      <c r="IY35" s="33" t="n">
        <v>0</v>
      </c>
      <c r="IZ35" s="33" t="n">
        <v>0</v>
      </c>
      <c r="JA35" s="33" t="n">
        <v>0</v>
      </c>
      <c r="JB35" s="33" t="n">
        <v>0</v>
      </c>
      <c r="JC35" s="33" t="n">
        <v>0</v>
      </c>
      <c r="JD35" s="33" t="n">
        <v>0</v>
      </c>
      <c r="JE35" s="33" t="n">
        <v>0</v>
      </c>
      <c r="JF35" s="33" t="n">
        <v>0</v>
      </c>
      <c r="JG35" s="33" t="n">
        <v>0</v>
      </c>
      <c r="JH35" s="33" t="n">
        <v>0</v>
      </c>
      <c r="JI35" s="33" t="n">
        <v>0</v>
      </c>
      <c r="JJ35" s="33" t="n">
        <v>0</v>
      </c>
      <c r="JK35" s="33" t="n">
        <v>0</v>
      </c>
      <c r="JL35" s="33" t="n">
        <v>0</v>
      </c>
      <c r="JM35" s="33" t="n">
        <v>0</v>
      </c>
      <c r="JN35" s="33" t="n">
        <v>0</v>
      </c>
      <c r="JO35" s="33" t="n">
        <v>0</v>
      </c>
      <c r="JP35" s="33" t="n">
        <v>0</v>
      </c>
      <c r="JQ35" s="33" t="n">
        <v>0</v>
      </c>
      <c r="JR35" s="33" t="n">
        <v>0</v>
      </c>
      <c r="JS35" s="33" t="n">
        <v>0</v>
      </c>
      <c r="JT35" s="33" t="n">
        <v>0</v>
      </c>
      <c r="JU35" s="33" t="n">
        <v>0</v>
      </c>
      <c r="JV35" s="33" t="n">
        <v>0</v>
      </c>
      <c r="JW35" s="33" t="n">
        <v>0</v>
      </c>
      <c r="JX35" s="33" t="n">
        <v>0</v>
      </c>
      <c r="JY35" s="33" t="n">
        <v>0</v>
      </c>
      <c r="JZ35" s="33" t="n">
        <v>0</v>
      </c>
      <c r="KA35" s="33" t="n">
        <v>0</v>
      </c>
      <c r="KB35" s="33" t="n">
        <v>0</v>
      </c>
      <c r="KC35" s="33" t="n">
        <v>0</v>
      </c>
      <c r="KD35" s="33" t="n">
        <v>0</v>
      </c>
      <c r="KE35" s="33" t="n">
        <v>0</v>
      </c>
      <c r="KF35" s="33" t="n">
        <v>0</v>
      </c>
      <c r="KG35" s="33" t="n">
        <v>0</v>
      </c>
      <c r="KH35" s="33" t="n">
        <v>0</v>
      </c>
      <c r="KI35" s="33" t="n">
        <v>0</v>
      </c>
      <c r="KJ35" s="33" t="n">
        <v>0</v>
      </c>
      <c r="KK35" s="33" t="n">
        <v>0</v>
      </c>
      <c r="KL35" s="33" t="n">
        <v>0</v>
      </c>
      <c r="KM35" s="33" t="n">
        <v>0</v>
      </c>
      <c r="KN35" s="33" t="n">
        <v>0</v>
      </c>
      <c r="KO35" s="33" t="n">
        <v>0</v>
      </c>
      <c r="KP35" s="33" t="n">
        <v>0</v>
      </c>
      <c r="KQ35" s="33" t="n">
        <v>0</v>
      </c>
      <c r="KR35" s="33" t="n">
        <v>0</v>
      </c>
      <c r="KS35" s="33" t="n">
        <v>0</v>
      </c>
      <c r="KT35" s="33" t="n">
        <v>0</v>
      </c>
      <c r="KU35" s="33" t="n">
        <v>0</v>
      </c>
      <c r="KV35" s="33" t="n">
        <v>0</v>
      </c>
      <c r="KW35" s="33" t="n">
        <v>0</v>
      </c>
      <c r="KX35" s="33" t="n">
        <v>0</v>
      </c>
      <c r="KY35" s="33" t="n">
        <v>0</v>
      </c>
      <c r="KZ35" s="33" t="n">
        <v>0</v>
      </c>
      <c r="LA35" s="33" t="n">
        <v>0</v>
      </c>
      <c r="LB35" s="33" t="n">
        <v>0</v>
      </c>
      <c r="LC35" s="33" t="n">
        <v>0</v>
      </c>
      <c r="LD35" s="33" t="n">
        <v>0</v>
      </c>
      <c r="LE35" s="33" t="n">
        <v>0</v>
      </c>
      <c r="LF35" s="33" t="n">
        <v>0</v>
      </c>
      <c r="LG35" s="33" t="n">
        <v>0</v>
      </c>
      <c r="LH35" s="33" t="n">
        <v>0</v>
      </c>
      <c r="LI35" s="33" t="n">
        <v>0</v>
      </c>
      <c r="LJ35" s="33" t="n">
        <v>0</v>
      </c>
      <c r="LK35" s="33" t="n">
        <v>0</v>
      </c>
      <c r="LL35" s="33" t="n">
        <v>0</v>
      </c>
      <c r="LM35" s="33" t="n">
        <v>0</v>
      </c>
      <c r="LN35" s="33" t="n">
        <v>0</v>
      </c>
      <c r="LO35" s="33" t="n">
        <v>0</v>
      </c>
      <c r="LP35" s="33" t="n">
        <v>0</v>
      </c>
      <c r="LQ35" s="33" t="n">
        <v>0</v>
      </c>
      <c r="LR35" s="33" t="n">
        <v>0</v>
      </c>
      <c r="LS35" s="33" t="n">
        <v>0</v>
      </c>
      <c r="LT35" s="33" t="n">
        <v>0</v>
      </c>
      <c r="LU35" s="33" t="n">
        <v>0</v>
      </c>
      <c r="LV35" s="33" t="n">
        <v>0</v>
      </c>
      <c r="LW35" s="33" t="n">
        <v>0</v>
      </c>
      <c r="LX35" s="33" t="n">
        <v>0</v>
      </c>
      <c r="LY35" s="33" t="n">
        <v>0</v>
      </c>
      <c r="LZ35" s="33" t="n">
        <v>0</v>
      </c>
      <c r="MA35" s="33" t="n">
        <v>0</v>
      </c>
      <c r="MB35" s="33" t="n">
        <v>0</v>
      </c>
      <c r="MC35" s="33" t="n">
        <v>0</v>
      </c>
      <c r="MD35" s="33" t="n">
        <v>0</v>
      </c>
      <c r="ME35" s="33" t="n">
        <v>0</v>
      </c>
      <c r="MF35" s="33" t="n">
        <v>0</v>
      </c>
      <c r="MG35" s="33" t="n">
        <v>0</v>
      </c>
      <c r="MH35" s="33" t="n">
        <v>0</v>
      </c>
      <c r="MI35" s="33" t="n">
        <v>0</v>
      </c>
      <c r="MJ35" s="33" t="n">
        <v>0</v>
      </c>
      <c r="MK35" s="33" t="n">
        <v>0</v>
      </c>
      <c r="ML35" s="33" t="n">
        <v>0</v>
      </c>
      <c r="MM35" s="33" t="n">
        <v>0</v>
      </c>
      <c r="MN35" s="33" t="n">
        <v>0</v>
      </c>
      <c r="MO35" s="33" t="n">
        <v>0</v>
      </c>
      <c r="MP35" s="33" t="n">
        <v>0</v>
      </c>
      <c r="MQ35" s="33" t="n">
        <v>0</v>
      </c>
      <c r="MR35" s="33" t="n">
        <v>0</v>
      </c>
      <c r="MS35" s="33" t="n">
        <v>0</v>
      </c>
      <c r="MT35" s="33" t="n">
        <v>0</v>
      </c>
      <c r="MU35" s="33" t="n">
        <v>0</v>
      </c>
      <c r="MV35" s="33" t="n">
        <v>0</v>
      </c>
      <c r="MW35" s="33" t="n">
        <v>0</v>
      </c>
      <c r="MX35" s="33" t="n">
        <v>0</v>
      </c>
      <c r="MY35" s="33" t="n">
        <v>0</v>
      </c>
      <c r="MZ35" s="33" t="n">
        <v>0</v>
      </c>
      <c r="NA35" s="33" t="n">
        <v>0</v>
      </c>
      <c r="NB35" s="33" t="n">
        <v>0</v>
      </c>
      <c r="NC35" s="33" t="n">
        <v>0</v>
      </c>
      <c r="ND35" s="33" t="n">
        <v>0</v>
      </c>
      <c r="NE35" s="33" t="n">
        <v>0</v>
      </c>
      <c r="NF35" s="33" t="n">
        <v>0</v>
      </c>
      <c r="NG35" s="33" t="n">
        <v>0</v>
      </c>
      <c r="NH35" s="33" t="n">
        <v>0</v>
      </c>
      <c r="NI35" s="33" t="n">
        <v>0</v>
      </c>
      <c r="NJ35" s="33" t="n">
        <v>0</v>
      </c>
      <c r="NK35" s="33" t="n">
        <v>0</v>
      </c>
      <c r="NL35" s="33" t="n">
        <v>0</v>
      </c>
      <c r="NM35" s="33" t="n">
        <v>0</v>
      </c>
      <c r="NN35" s="33" t="n">
        <v>0</v>
      </c>
      <c r="NO35" s="33" t="n">
        <v>0</v>
      </c>
      <c r="NP35" s="33" t="n">
        <v>0</v>
      </c>
      <c r="NQ35" s="33" t="n">
        <v>0</v>
      </c>
      <c r="NR35" s="33" t="n">
        <v>0</v>
      </c>
      <c r="NS35" s="33" t="n">
        <v>0</v>
      </c>
      <c r="NT35" s="33" t="n">
        <v>0</v>
      </c>
      <c r="NU35" s="33" t="n">
        <v>0</v>
      </c>
      <c r="NV35" s="33" t="n">
        <v>0</v>
      </c>
      <c r="NW35" s="33" t="n">
        <v>0</v>
      </c>
      <c r="NX35" s="33" t="n">
        <v>0</v>
      </c>
      <c r="NY35" s="33" t="n">
        <v>0</v>
      </c>
      <c r="NZ35" s="33" t="n">
        <v>0</v>
      </c>
      <c r="OA35" s="33" t="n">
        <v>0</v>
      </c>
      <c r="OB35" s="33" t="n">
        <v>0</v>
      </c>
      <c r="OC35" s="33" t="n">
        <v>0</v>
      </c>
      <c r="OD35" s="33" t="n">
        <v>0</v>
      </c>
      <c r="OE35" s="33" t="n">
        <v>0</v>
      </c>
      <c r="OF35" s="33" t="n">
        <v>0</v>
      </c>
      <c r="OG35" s="33" t="n">
        <v>0</v>
      </c>
      <c r="OH35" s="33" t="n">
        <v>0</v>
      </c>
      <c r="OI35" s="33" t="n">
        <v>0</v>
      </c>
      <c r="OJ35" s="33" t="n">
        <v>0</v>
      </c>
      <c r="OK35" s="33" t="n">
        <v>0</v>
      </c>
      <c r="OL35" s="33" t="n">
        <v>0</v>
      </c>
      <c r="OM35" s="33" t="n">
        <v>0</v>
      </c>
      <c r="ON35" s="33" t="n">
        <v>0</v>
      </c>
      <c r="OO35" s="33" t="n">
        <v>0</v>
      </c>
      <c r="OP35" s="33" t="n">
        <v>0</v>
      </c>
      <c r="OQ35" s="33" t="n">
        <v>0</v>
      </c>
      <c r="OR35" s="33" t="n">
        <v>0</v>
      </c>
      <c r="OS35" s="33" t="n">
        <v>0</v>
      </c>
      <c r="OT35" s="33" t="n">
        <v>0</v>
      </c>
      <c r="OU35" s="33" t="n">
        <v>0</v>
      </c>
      <c r="OV35" s="33" t="n">
        <v>0</v>
      </c>
      <c r="OW35" s="33" t="n">
        <v>0</v>
      </c>
      <c r="OX35" s="33" t="n">
        <v>0</v>
      </c>
      <c r="OY35" s="33" t="n">
        <v>0</v>
      </c>
      <c r="OZ35" s="33" t="n">
        <v>0</v>
      </c>
      <c r="PA35" s="33" t="n">
        <v>0</v>
      </c>
      <c r="PB35" s="33" t="n">
        <v>0</v>
      </c>
      <c r="PC35" s="33" t="n">
        <v>0</v>
      </c>
      <c r="PD35" s="33" t="n">
        <v>0</v>
      </c>
      <c r="PE35" s="33" t="n">
        <v>0</v>
      </c>
      <c r="PF35" s="33" t="n">
        <v>0</v>
      </c>
      <c r="PG35" s="33" t="n">
        <v>0</v>
      </c>
      <c r="PH35" s="33" t="n">
        <v>0</v>
      </c>
      <c r="PI35" s="33" t="n">
        <v>0</v>
      </c>
      <c r="PJ35" s="33" t="n">
        <v>0</v>
      </c>
      <c r="PK35" s="33" t="n">
        <v>0</v>
      </c>
      <c r="PL35" s="33" t="n">
        <v>0</v>
      </c>
      <c r="PM35" s="33" t="n">
        <v>0</v>
      </c>
      <c r="PN35" s="33" t="n">
        <v>0</v>
      </c>
      <c r="PO35" s="33" t="n">
        <v>0</v>
      </c>
      <c r="PP35" s="33" t="n">
        <v>0</v>
      </c>
      <c r="PQ35" s="33" t="n">
        <v>0</v>
      </c>
      <c r="PR35" s="33" t="n">
        <v>0</v>
      </c>
      <c r="PS35" s="33" t="n">
        <v>0</v>
      </c>
      <c r="PT35" s="33" t="n">
        <v>0</v>
      </c>
      <c r="PU35" s="33" t="n">
        <v>0</v>
      </c>
      <c r="PV35" s="33" t="n">
        <v>0</v>
      </c>
      <c r="PW35" s="33" t="n">
        <v>0</v>
      </c>
      <c r="PX35" s="33" t="n">
        <v>0</v>
      </c>
      <c r="PY35" s="33" t="n">
        <v>0</v>
      </c>
      <c r="PZ35" s="33" t="n">
        <v>0</v>
      </c>
      <c r="QA35" s="33" t="n">
        <v>0</v>
      </c>
      <c r="QB35" s="33" t="n">
        <v>0</v>
      </c>
      <c r="QC35" s="33" t="n">
        <v>0</v>
      </c>
      <c r="QD35" s="33" t="n">
        <v>0</v>
      </c>
      <c r="QE35" s="33" t="n">
        <v>0</v>
      </c>
      <c r="QF35" s="33" t="n">
        <v>0</v>
      </c>
      <c r="QG35" s="33" t="n">
        <v>0</v>
      </c>
      <c r="QH35" s="33" t="n">
        <v>0</v>
      </c>
      <c r="QI35" s="33" t="n">
        <v>0</v>
      </c>
      <c r="QJ35" s="33" t="n">
        <v>0</v>
      </c>
      <c r="QK35" s="33" t="n">
        <v>0</v>
      </c>
      <c r="QL35" s="33" t="n">
        <v>0</v>
      </c>
      <c r="QM35" s="33" t="n">
        <v>0</v>
      </c>
      <c r="QN35" s="33" t="n">
        <v>0</v>
      </c>
      <c r="QO35" s="33" t="n">
        <v>0</v>
      </c>
      <c r="QP35" s="33" t="n">
        <v>0</v>
      </c>
      <c r="QQ35" s="33" t="n">
        <v>0</v>
      </c>
      <c r="QR35" s="33" t="n">
        <v>0</v>
      </c>
      <c r="QS35" s="33" t="n">
        <v>0</v>
      </c>
      <c r="QT35" s="33" t="n">
        <v>0</v>
      </c>
      <c r="QU35" s="33" t="n">
        <v>0</v>
      </c>
      <c r="QV35" s="33" t="n">
        <v>0</v>
      </c>
      <c r="QW35" s="33" t="n">
        <v>0</v>
      </c>
      <c r="QX35" s="33" t="n">
        <v>0</v>
      </c>
      <c r="QY35" s="33" t="n">
        <v>0</v>
      </c>
      <c r="QZ35" s="33" t="n">
        <v>0</v>
      </c>
      <c r="RA35" s="33" t="n">
        <v>0</v>
      </c>
      <c r="RB35" s="33" t="n">
        <v>0</v>
      </c>
      <c r="RC35" s="33" t="n">
        <v>0</v>
      </c>
      <c r="RD35" s="33" t="n">
        <v>0</v>
      </c>
      <c r="RE35" s="33" t="n">
        <v>0</v>
      </c>
      <c r="RF35" s="33" t="n">
        <v>0</v>
      </c>
      <c r="RG35" s="33" t="n">
        <v>0</v>
      </c>
      <c r="RH35" s="33" t="n">
        <v>0</v>
      </c>
      <c r="RI35" s="33" t="n">
        <v>0</v>
      </c>
      <c r="RJ35" s="33" t="n">
        <v>0</v>
      </c>
      <c r="RK35" s="33" t="n">
        <v>0</v>
      </c>
      <c r="RL35" s="33" t="n">
        <v>0</v>
      </c>
      <c r="RM35" s="33" t="n">
        <v>0</v>
      </c>
      <c r="RN35" s="33" t="n">
        <v>0</v>
      </c>
      <c r="RO35" s="33" t="n">
        <v>0</v>
      </c>
      <c r="RP35" s="33" t="n">
        <v>0</v>
      </c>
      <c r="RQ35" s="33" t="n">
        <v>0</v>
      </c>
      <c r="RR35" s="33" t="n">
        <v>0</v>
      </c>
      <c r="RS35" s="33" t="n">
        <v>0</v>
      </c>
      <c r="RT35" s="33" t="n">
        <v>0</v>
      </c>
      <c r="RU35" s="33" t="n">
        <v>0</v>
      </c>
      <c r="RV35" s="33" t="n">
        <v>0</v>
      </c>
      <c r="RW35" s="33" t="n">
        <v>0</v>
      </c>
    </row>
    <row r="36" hidden="1" outlineLevel="1" ht="13.05" customHeight="1">
      <c r="E36" s="21" t="inlineStr">
        <is>
          <t>PV Charge Price (inflated)</t>
        </is>
      </c>
      <c r="F36" s="29" t="n"/>
      <c r="G36" s="29" t="inlineStr">
        <is>
          <t>DKK/MWh</t>
        </is>
      </c>
      <c r="H36" s="29" t="n"/>
      <c r="I36" s="29" t="n"/>
      <c r="J36" s="32" t="n">
        <v>0</v>
      </c>
      <c r="K36" s="29" t="n"/>
      <c r="L36" s="33" t="n">
        <v>0</v>
      </c>
      <c r="M36" s="33" t="n">
        <v>0</v>
      </c>
      <c r="N36" s="33" t="n">
        <v>0</v>
      </c>
      <c r="O36" s="33" t="n">
        <v>0</v>
      </c>
      <c r="P36" s="33" t="n">
        <v>0</v>
      </c>
      <c r="Q36" s="33" t="n">
        <v>0</v>
      </c>
      <c r="R36" s="33" t="n">
        <v>0</v>
      </c>
      <c r="S36" s="33" t="n">
        <v>0</v>
      </c>
      <c r="T36" s="33" t="n">
        <v>0</v>
      </c>
      <c r="U36" s="33" t="n">
        <v>0</v>
      </c>
      <c r="V36" s="33" t="n">
        <v>0</v>
      </c>
      <c r="W36" s="33" t="n">
        <v>0</v>
      </c>
      <c r="X36" s="33" t="n">
        <v>0</v>
      </c>
      <c r="Y36" s="33" t="n">
        <v>0</v>
      </c>
      <c r="Z36" s="33" t="n">
        <v>0</v>
      </c>
      <c r="AA36" s="33" t="n">
        <v>0</v>
      </c>
      <c r="AB36" s="33" t="n">
        <v>0</v>
      </c>
      <c r="AC36" s="33" t="n">
        <v>0</v>
      </c>
      <c r="AD36" s="33" t="n">
        <v>0</v>
      </c>
      <c r="AE36" s="33" t="n">
        <v>0</v>
      </c>
      <c r="AF36" s="33" t="n">
        <v>0</v>
      </c>
      <c r="AG36" s="33" t="n">
        <v>0</v>
      </c>
      <c r="AH36" s="33" t="n">
        <v>0</v>
      </c>
      <c r="AI36" s="33" t="n">
        <v>0</v>
      </c>
      <c r="AJ36" s="33" t="n">
        <v>0</v>
      </c>
      <c r="AK36" s="33" t="n">
        <v>0</v>
      </c>
      <c r="AL36" s="33" t="n">
        <v>0</v>
      </c>
      <c r="AM36" s="33" t="n">
        <v>0</v>
      </c>
      <c r="AN36" s="33" t="n">
        <v>0</v>
      </c>
      <c r="AO36" s="33" t="n">
        <v>0</v>
      </c>
      <c r="AP36" s="33" t="n">
        <v>0</v>
      </c>
      <c r="AQ36" s="33" t="n">
        <v>0</v>
      </c>
      <c r="AR36" s="33" t="n">
        <v>0</v>
      </c>
      <c r="AS36" s="33" t="n">
        <v>0</v>
      </c>
      <c r="AT36" s="33" t="n">
        <v>0</v>
      </c>
      <c r="AU36" s="33" t="n">
        <v>0</v>
      </c>
      <c r="AV36" s="33" t="n">
        <v>0</v>
      </c>
      <c r="AW36" s="33" t="n">
        <v>0</v>
      </c>
      <c r="AX36" s="33" t="n">
        <v>0</v>
      </c>
      <c r="AY36" s="33" t="n">
        <v>0</v>
      </c>
      <c r="AZ36" s="33" t="n">
        <v>0</v>
      </c>
      <c r="BA36" s="33" t="n">
        <v>0</v>
      </c>
      <c r="BB36" s="33" t="n">
        <v>0</v>
      </c>
      <c r="BC36" s="33" t="n">
        <v>0</v>
      </c>
      <c r="BD36" s="33" t="n">
        <v>0</v>
      </c>
      <c r="BE36" s="33" t="n">
        <v>0</v>
      </c>
      <c r="BF36" s="33" t="n">
        <v>0</v>
      </c>
      <c r="BG36" s="33" t="n">
        <v>0</v>
      </c>
      <c r="BH36" s="33" t="n">
        <v>0</v>
      </c>
      <c r="BI36" s="33" t="n">
        <v>0</v>
      </c>
      <c r="BJ36" s="33" t="n">
        <v>0</v>
      </c>
      <c r="BK36" s="33" t="n">
        <v>0</v>
      </c>
      <c r="BL36" s="33" t="n">
        <v>0</v>
      </c>
      <c r="BM36" s="33" t="n">
        <v>0</v>
      </c>
      <c r="BN36" s="33" t="n">
        <v>0</v>
      </c>
      <c r="BO36" s="33" t="n">
        <v>0</v>
      </c>
      <c r="BP36" s="33" t="n">
        <v>0</v>
      </c>
      <c r="BQ36" s="33" t="n">
        <v>0</v>
      </c>
      <c r="BR36" s="33" t="n">
        <v>0</v>
      </c>
      <c r="BS36" s="33" t="n">
        <v>0</v>
      </c>
      <c r="BT36" s="33" t="n">
        <v>0</v>
      </c>
      <c r="BU36" s="33" t="n">
        <v>0</v>
      </c>
      <c r="BV36" s="33" t="n">
        <v>0</v>
      </c>
      <c r="BW36" s="33" t="n">
        <v>0</v>
      </c>
      <c r="BX36" s="33" t="n">
        <v>0</v>
      </c>
      <c r="BY36" s="33" t="n">
        <v>0</v>
      </c>
      <c r="BZ36" s="33" t="n">
        <v>0</v>
      </c>
      <c r="CA36" s="33" t="n">
        <v>0</v>
      </c>
      <c r="CB36" s="33" t="n">
        <v>0</v>
      </c>
      <c r="CC36" s="33" t="n">
        <v>0</v>
      </c>
      <c r="CD36" s="33" t="n">
        <v>0</v>
      </c>
      <c r="CE36" s="33" t="n">
        <v>0</v>
      </c>
      <c r="CF36" s="33" t="n">
        <v>0</v>
      </c>
      <c r="CG36" s="33" t="n">
        <v>0</v>
      </c>
      <c r="CH36" s="33" t="n">
        <v>0</v>
      </c>
      <c r="CI36" s="33" t="n">
        <v>0</v>
      </c>
      <c r="CJ36" s="33" t="n">
        <v>0</v>
      </c>
      <c r="CK36" s="33" t="n">
        <v>0</v>
      </c>
      <c r="CL36" s="33" t="n">
        <v>0</v>
      </c>
      <c r="CM36" s="33" t="n">
        <v>0</v>
      </c>
      <c r="CN36" s="33" t="n">
        <v>0</v>
      </c>
      <c r="CO36" s="33" t="n">
        <v>0</v>
      </c>
      <c r="CP36" s="33" t="n">
        <v>0</v>
      </c>
      <c r="CQ36" s="33" t="n">
        <v>0</v>
      </c>
      <c r="CR36" s="33" t="n">
        <v>0</v>
      </c>
      <c r="CS36" s="33" t="n">
        <v>0</v>
      </c>
      <c r="CT36" s="33" t="n">
        <v>0</v>
      </c>
      <c r="CU36" s="33" t="n">
        <v>0</v>
      </c>
      <c r="CV36" s="33" t="n">
        <v>0</v>
      </c>
      <c r="CW36" s="33" t="n">
        <v>0</v>
      </c>
      <c r="CX36" s="33" t="n">
        <v>0</v>
      </c>
      <c r="CY36" s="33" t="n">
        <v>0</v>
      </c>
      <c r="CZ36" s="33" t="n">
        <v>0</v>
      </c>
      <c r="DA36" s="33" t="n">
        <v>0</v>
      </c>
      <c r="DB36" s="33" t="n">
        <v>0</v>
      </c>
      <c r="DC36" s="33" t="n">
        <v>0</v>
      </c>
      <c r="DD36" s="33" t="n">
        <v>0</v>
      </c>
      <c r="DE36" s="33" t="n">
        <v>0</v>
      </c>
      <c r="DF36" s="33" t="n">
        <v>0</v>
      </c>
      <c r="DG36" s="33" t="n">
        <v>0</v>
      </c>
      <c r="DH36" s="33" t="n">
        <v>0</v>
      </c>
      <c r="DI36" s="33" t="n">
        <v>0</v>
      </c>
      <c r="DJ36" s="33" t="n">
        <v>0</v>
      </c>
      <c r="DK36" s="33" t="n">
        <v>0</v>
      </c>
      <c r="DL36" s="33" t="n">
        <v>0</v>
      </c>
      <c r="DM36" s="33" t="n">
        <v>0</v>
      </c>
      <c r="DN36" s="33" t="n">
        <v>0</v>
      </c>
      <c r="DO36" s="33" t="n">
        <v>0</v>
      </c>
      <c r="DP36" s="33" t="n">
        <v>0</v>
      </c>
      <c r="DQ36" s="33" t="n">
        <v>0</v>
      </c>
      <c r="DR36" s="33" t="n">
        <v>0</v>
      </c>
      <c r="DS36" s="33" t="n">
        <v>0</v>
      </c>
      <c r="DT36" s="33" t="n">
        <v>0</v>
      </c>
      <c r="DU36" s="33" t="n">
        <v>0</v>
      </c>
      <c r="DV36" s="33" t="n">
        <v>0</v>
      </c>
      <c r="DW36" s="33" t="n">
        <v>0</v>
      </c>
      <c r="DX36" s="33" t="n">
        <v>0</v>
      </c>
      <c r="DY36" s="33" t="n">
        <v>0</v>
      </c>
      <c r="DZ36" s="33" t="n">
        <v>0</v>
      </c>
      <c r="EA36" s="33" t="n">
        <v>0</v>
      </c>
      <c r="EB36" s="33" t="n">
        <v>0</v>
      </c>
      <c r="EC36" s="33" t="n">
        <v>0</v>
      </c>
      <c r="ED36" s="33" t="n">
        <v>0</v>
      </c>
      <c r="EE36" s="33" t="n">
        <v>0</v>
      </c>
      <c r="EF36" s="33" t="n">
        <v>0</v>
      </c>
      <c r="EG36" s="33" t="n">
        <v>0</v>
      </c>
      <c r="EH36" s="33" t="n">
        <v>0</v>
      </c>
      <c r="EI36" s="33" t="n">
        <v>0</v>
      </c>
      <c r="EJ36" s="33" t="n">
        <v>0</v>
      </c>
      <c r="EK36" s="33" t="n">
        <v>0</v>
      </c>
      <c r="EL36" s="33" t="n">
        <v>0</v>
      </c>
      <c r="EM36" s="33" t="n">
        <v>0</v>
      </c>
      <c r="EN36" s="33" t="n">
        <v>0</v>
      </c>
      <c r="EO36" s="33" t="n">
        <v>0</v>
      </c>
      <c r="EP36" s="33" t="n">
        <v>0</v>
      </c>
      <c r="EQ36" s="33" t="n">
        <v>0</v>
      </c>
      <c r="ER36" s="33" t="n">
        <v>0</v>
      </c>
      <c r="ES36" s="33" t="n">
        <v>0</v>
      </c>
      <c r="ET36" s="33" t="n">
        <v>0</v>
      </c>
      <c r="EU36" s="33" t="n">
        <v>0</v>
      </c>
      <c r="EV36" s="33" t="n">
        <v>0</v>
      </c>
      <c r="EW36" s="33" t="n">
        <v>0</v>
      </c>
      <c r="EX36" s="33" t="n">
        <v>0</v>
      </c>
      <c r="EY36" s="33" t="n">
        <v>0</v>
      </c>
      <c r="EZ36" s="33" t="n">
        <v>0</v>
      </c>
      <c r="FA36" s="33" t="n">
        <v>0</v>
      </c>
      <c r="FB36" s="33" t="n">
        <v>0</v>
      </c>
      <c r="FC36" s="33" t="n">
        <v>0</v>
      </c>
      <c r="FD36" s="33" t="n">
        <v>0</v>
      </c>
      <c r="FE36" s="33" t="n">
        <v>0</v>
      </c>
      <c r="FF36" s="33" t="n">
        <v>0</v>
      </c>
      <c r="FG36" s="33" t="n">
        <v>0</v>
      </c>
      <c r="FH36" s="33" t="n">
        <v>0</v>
      </c>
      <c r="FI36" s="33" t="n">
        <v>0</v>
      </c>
      <c r="FJ36" s="33" t="n">
        <v>0</v>
      </c>
      <c r="FK36" s="33" t="n">
        <v>0</v>
      </c>
      <c r="FL36" s="33" t="n">
        <v>0</v>
      </c>
      <c r="FM36" s="33" t="n">
        <v>0</v>
      </c>
      <c r="FN36" s="33" t="n">
        <v>0</v>
      </c>
      <c r="FO36" s="33" t="n">
        <v>0</v>
      </c>
      <c r="FP36" s="33" t="n">
        <v>0</v>
      </c>
      <c r="FQ36" s="33" t="n">
        <v>0</v>
      </c>
      <c r="FR36" s="33" t="n">
        <v>0</v>
      </c>
      <c r="FS36" s="33" t="n">
        <v>0</v>
      </c>
      <c r="FT36" s="33" t="n">
        <v>0</v>
      </c>
      <c r="FU36" s="33" t="n">
        <v>0</v>
      </c>
      <c r="FV36" s="33" t="n">
        <v>0</v>
      </c>
      <c r="FW36" s="33" t="n">
        <v>0</v>
      </c>
      <c r="FX36" s="33" t="n">
        <v>0</v>
      </c>
      <c r="FY36" s="33" t="n">
        <v>0</v>
      </c>
      <c r="FZ36" s="33" t="n">
        <v>0</v>
      </c>
      <c r="GA36" s="33" t="n">
        <v>0</v>
      </c>
      <c r="GB36" s="33" t="n">
        <v>0</v>
      </c>
      <c r="GC36" s="33" t="n">
        <v>0</v>
      </c>
      <c r="GD36" s="33" t="n">
        <v>0</v>
      </c>
      <c r="GE36" s="33" t="n">
        <v>0</v>
      </c>
      <c r="GF36" s="33" t="n">
        <v>0</v>
      </c>
      <c r="GG36" s="33" t="n">
        <v>0</v>
      </c>
      <c r="GH36" s="33" t="n">
        <v>0</v>
      </c>
      <c r="GI36" s="33" t="n">
        <v>0</v>
      </c>
      <c r="GJ36" s="33" t="n">
        <v>0</v>
      </c>
      <c r="GK36" s="33" t="n">
        <v>0</v>
      </c>
      <c r="GL36" s="33" t="n">
        <v>0</v>
      </c>
      <c r="GM36" s="33" t="n">
        <v>0</v>
      </c>
      <c r="GN36" s="33" t="n">
        <v>0</v>
      </c>
      <c r="GO36" s="33" t="n">
        <v>0</v>
      </c>
      <c r="GP36" s="33" t="n">
        <v>0</v>
      </c>
      <c r="GQ36" s="33" t="n">
        <v>0</v>
      </c>
      <c r="GR36" s="33" t="n">
        <v>0</v>
      </c>
      <c r="GS36" s="33" t="n">
        <v>0</v>
      </c>
      <c r="GT36" s="33" t="n">
        <v>0</v>
      </c>
      <c r="GU36" s="33" t="n">
        <v>0</v>
      </c>
      <c r="GV36" s="33" t="n">
        <v>0</v>
      </c>
      <c r="GW36" s="33" t="n">
        <v>0</v>
      </c>
      <c r="GX36" s="33" t="n">
        <v>0</v>
      </c>
      <c r="GY36" s="33" t="n">
        <v>0</v>
      </c>
      <c r="GZ36" s="33" t="n">
        <v>0</v>
      </c>
      <c r="HA36" s="33" t="n">
        <v>0</v>
      </c>
      <c r="HB36" s="33" t="n">
        <v>0</v>
      </c>
      <c r="HC36" s="33" t="n">
        <v>0</v>
      </c>
      <c r="HD36" s="33" t="n">
        <v>0</v>
      </c>
      <c r="HE36" s="33" t="n">
        <v>0</v>
      </c>
      <c r="HF36" s="33" t="n">
        <v>0</v>
      </c>
      <c r="HG36" s="33" t="n">
        <v>0</v>
      </c>
      <c r="HH36" s="33" t="n">
        <v>0</v>
      </c>
      <c r="HI36" s="33" t="n">
        <v>0</v>
      </c>
      <c r="HJ36" s="33" t="n">
        <v>0</v>
      </c>
      <c r="HK36" s="33" t="n">
        <v>0</v>
      </c>
      <c r="HL36" s="33" t="n">
        <v>0</v>
      </c>
      <c r="HM36" s="33" t="n">
        <v>0</v>
      </c>
      <c r="HN36" s="33" t="n">
        <v>0</v>
      </c>
      <c r="HO36" s="33" t="n">
        <v>0</v>
      </c>
      <c r="HP36" s="33" t="n">
        <v>0</v>
      </c>
      <c r="HQ36" s="33" t="n">
        <v>0</v>
      </c>
      <c r="HR36" s="33" t="n">
        <v>0</v>
      </c>
      <c r="HS36" s="33" t="n">
        <v>0</v>
      </c>
      <c r="HT36" s="33" t="n">
        <v>0</v>
      </c>
      <c r="HU36" s="33" t="n">
        <v>0</v>
      </c>
      <c r="HV36" s="33" t="n">
        <v>0</v>
      </c>
      <c r="HW36" s="33" t="n">
        <v>0</v>
      </c>
      <c r="HX36" s="33" t="n">
        <v>0</v>
      </c>
      <c r="HY36" s="33" t="n">
        <v>0</v>
      </c>
      <c r="HZ36" s="33" t="n">
        <v>0</v>
      </c>
      <c r="IA36" s="33" t="n">
        <v>0</v>
      </c>
      <c r="IB36" s="33" t="n">
        <v>0</v>
      </c>
      <c r="IC36" s="33" t="n">
        <v>0</v>
      </c>
      <c r="ID36" s="33" t="n">
        <v>0</v>
      </c>
      <c r="IE36" s="33" t="n">
        <v>0</v>
      </c>
      <c r="IF36" s="33" t="n">
        <v>0</v>
      </c>
      <c r="IG36" s="33" t="n">
        <v>0</v>
      </c>
      <c r="IH36" s="33" t="n">
        <v>0</v>
      </c>
      <c r="II36" s="33" t="n">
        <v>0</v>
      </c>
      <c r="IJ36" s="33" t="n">
        <v>0</v>
      </c>
      <c r="IK36" s="33" t="n">
        <v>0</v>
      </c>
      <c r="IL36" s="33" t="n">
        <v>0</v>
      </c>
      <c r="IM36" s="33" t="n">
        <v>0</v>
      </c>
      <c r="IN36" s="33" t="n">
        <v>0</v>
      </c>
      <c r="IO36" s="33" t="n">
        <v>0</v>
      </c>
      <c r="IP36" s="33" t="n">
        <v>0</v>
      </c>
      <c r="IQ36" s="33" t="n">
        <v>0</v>
      </c>
      <c r="IR36" s="33" t="n">
        <v>0</v>
      </c>
      <c r="IS36" s="33" t="n">
        <v>0</v>
      </c>
      <c r="IT36" s="33" t="n">
        <v>0</v>
      </c>
      <c r="IU36" s="33" t="n">
        <v>0</v>
      </c>
      <c r="IV36" s="33" t="n">
        <v>0</v>
      </c>
      <c r="IW36" s="33" t="n">
        <v>0</v>
      </c>
      <c r="IX36" s="33" t="n">
        <v>0</v>
      </c>
      <c r="IY36" s="33" t="n">
        <v>0</v>
      </c>
      <c r="IZ36" s="33" t="n">
        <v>0</v>
      </c>
      <c r="JA36" s="33" t="n">
        <v>0</v>
      </c>
      <c r="JB36" s="33" t="n">
        <v>0</v>
      </c>
      <c r="JC36" s="33" t="n">
        <v>0</v>
      </c>
      <c r="JD36" s="33" t="n">
        <v>0</v>
      </c>
      <c r="JE36" s="33" t="n">
        <v>0</v>
      </c>
      <c r="JF36" s="33" t="n">
        <v>0</v>
      </c>
      <c r="JG36" s="33" t="n">
        <v>0</v>
      </c>
      <c r="JH36" s="33" t="n">
        <v>0</v>
      </c>
      <c r="JI36" s="33" t="n">
        <v>0</v>
      </c>
      <c r="JJ36" s="33" t="n">
        <v>0</v>
      </c>
      <c r="JK36" s="33" t="n">
        <v>0</v>
      </c>
      <c r="JL36" s="33" t="n">
        <v>0</v>
      </c>
      <c r="JM36" s="33" t="n">
        <v>0</v>
      </c>
      <c r="JN36" s="33" t="n">
        <v>0</v>
      </c>
      <c r="JO36" s="33" t="n">
        <v>0</v>
      </c>
      <c r="JP36" s="33" t="n">
        <v>0</v>
      </c>
      <c r="JQ36" s="33" t="n">
        <v>0</v>
      </c>
      <c r="JR36" s="33" t="n">
        <v>0</v>
      </c>
      <c r="JS36" s="33" t="n">
        <v>0</v>
      </c>
      <c r="JT36" s="33" t="n">
        <v>0</v>
      </c>
      <c r="JU36" s="33" t="n">
        <v>0</v>
      </c>
      <c r="JV36" s="33" t="n">
        <v>0</v>
      </c>
      <c r="JW36" s="33" t="n">
        <v>0</v>
      </c>
      <c r="JX36" s="33" t="n">
        <v>0</v>
      </c>
      <c r="JY36" s="33" t="n">
        <v>0</v>
      </c>
      <c r="JZ36" s="33" t="n">
        <v>0</v>
      </c>
      <c r="KA36" s="33" t="n">
        <v>0</v>
      </c>
      <c r="KB36" s="33" t="n">
        <v>0</v>
      </c>
      <c r="KC36" s="33" t="n">
        <v>0</v>
      </c>
      <c r="KD36" s="33" t="n">
        <v>0</v>
      </c>
      <c r="KE36" s="33" t="n">
        <v>0</v>
      </c>
      <c r="KF36" s="33" t="n">
        <v>0</v>
      </c>
      <c r="KG36" s="33" t="n">
        <v>0</v>
      </c>
      <c r="KH36" s="33" t="n">
        <v>0</v>
      </c>
      <c r="KI36" s="33" t="n">
        <v>0</v>
      </c>
      <c r="KJ36" s="33" t="n">
        <v>0</v>
      </c>
      <c r="KK36" s="33" t="n">
        <v>0</v>
      </c>
      <c r="KL36" s="33" t="n">
        <v>0</v>
      </c>
      <c r="KM36" s="33" t="n">
        <v>0</v>
      </c>
      <c r="KN36" s="33" t="n">
        <v>0</v>
      </c>
      <c r="KO36" s="33" t="n">
        <v>0</v>
      </c>
      <c r="KP36" s="33" t="n">
        <v>0</v>
      </c>
      <c r="KQ36" s="33" t="n">
        <v>0</v>
      </c>
      <c r="KR36" s="33" t="n">
        <v>0</v>
      </c>
      <c r="KS36" s="33" t="n">
        <v>0</v>
      </c>
      <c r="KT36" s="33" t="n">
        <v>0</v>
      </c>
      <c r="KU36" s="33" t="n">
        <v>0</v>
      </c>
      <c r="KV36" s="33" t="n">
        <v>0</v>
      </c>
      <c r="KW36" s="33" t="n">
        <v>0</v>
      </c>
      <c r="KX36" s="33" t="n">
        <v>0</v>
      </c>
      <c r="KY36" s="33" t="n">
        <v>0</v>
      </c>
      <c r="KZ36" s="33" t="n">
        <v>0</v>
      </c>
      <c r="LA36" s="33" t="n">
        <v>0</v>
      </c>
      <c r="LB36" s="33" t="n">
        <v>0</v>
      </c>
      <c r="LC36" s="33" t="n">
        <v>0</v>
      </c>
      <c r="LD36" s="33" t="n">
        <v>0</v>
      </c>
      <c r="LE36" s="33" t="n">
        <v>0</v>
      </c>
      <c r="LF36" s="33" t="n">
        <v>0</v>
      </c>
      <c r="LG36" s="33" t="n">
        <v>0</v>
      </c>
      <c r="LH36" s="33" t="n">
        <v>0</v>
      </c>
      <c r="LI36" s="33" t="n">
        <v>0</v>
      </c>
      <c r="LJ36" s="33" t="n">
        <v>0</v>
      </c>
      <c r="LK36" s="33" t="n">
        <v>0</v>
      </c>
      <c r="LL36" s="33" t="n">
        <v>0</v>
      </c>
      <c r="LM36" s="33" t="n">
        <v>0</v>
      </c>
      <c r="LN36" s="33" t="n">
        <v>0</v>
      </c>
      <c r="LO36" s="33" t="n">
        <v>0</v>
      </c>
      <c r="LP36" s="33" t="n">
        <v>0</v>
      </c>
      <c r="LQ36" s="33" t="n">
        <v>0</v>
      </c>
      <c r="LR36" s="33" t="n">
        <v>0</v>
      </c>
      <c r="LS36" s="33" t="n">
        <v>0</v>
      </c>
      <c r="LT36" s="33" t="n">
        <v>0</v>
      </c>
      <c r="LU36" s="33" t="n">
        <v>0</v>
      </c>
      <c r="LV36" s="33" t="n">
        <v>0</v>
      </c>
      <c r="LW36" s="33" t="n">
        <v>0</v>
      </c>
      <c r="LX36" s="33" t="n">
        <v>0</v>
      </c>
      <c r="LY36" s="33" t="n">
        <v>0</v>
      </c>
      <c r="LZ36" s="33" t="n">
        <v>0</v>
      </c>
      <c r="MA36" s="33" t="n">
        <v>0</v>
      </c>
      <c r="MB36" s="33" t="n">
        <v>0</v>
      </c>
      <c r="MC36" s="33" t="n">
        <v>0</v>
      </c>
      <c r="MD36" s="33" t="n">
        <v>0</v>
      </c>
      <c r="ME36" s="33" t="n">
        <v>0</v>
      </c>
      <c r="MF36" s="33" t="n">
        <v>0</v>
      </c>
      <c r="MG36" s="33" t="n">
        <v>0</v>
      </c>
      <c r="MH36" s="33" t="n">
        <v>0</v>
      </c>
      <c r="MI36" s="33" t="n">
        <v>0</v>
      </c>
      <c r="MJ36" s="33" t="n">
        <v>0</v>
      </c>
      <c r="MK36" s="33" t="n">
        <v>0</v>
      </c>
      <c r="ML36" s="33" t="n">
        <v>0</v>
      </c>
      <c r="MM36" s="33" t="n">
        <v>0</v>
      </c>
      <c r="MN36" s="33" t="n">
        <v>0</v>
      </c>
      <c r="MO36" s="33" t="n">
        <v>0</v>
      </c>
      <c r="MP36" s="33" t="n">
        <v>0</v>
      </c>
      <c r="MQ36" s="33" t="n">
        <v>0</v>
      </c>
      <c r="MR36" s="33" t="n">
        <v>0</v>
      </c>
      <c r="MS36" s="33" t="n">
        <v>0</v>
      </c>
      <c r="MT36" s="33" t="n">
        <v>0</v>
      </c>
      <c r="MU36" s="33" t="n">
        <v>0</v>
      </c>
      <c r="MV36" s="33" t="n">
        <v>0</v>
      </c>
      <c r="MW36" s="33" t="n">
        <v>0</v>
      </c>
      <c r="MX36" s="33" t="n">
        <v>0</v>
      </c>
      <c r="MY36" s="33" t="n">
        <v>0</v>
      </c>
      <c r="MZ36" s="33" t="n">
        <v>0</v>
      </c>
      <c r="NA36" s="33" t="n">
        <v>0</v>
      </c>
      <c r="NB36" s="33" t="n">
        <v>0</v>
      </c>
      <c r="NC36" s="33" t="n">
        <v>0</v>
      </c>
      <c r="ND36" s="33" t="n">
        <v>0</v>
      </c>
      <c r="NE36" s="33" t="n">
        <v>0</v>
      </c>
      <c r="NF36" s="33" t="n">
        <v>0</v>
      </c>
      <c r="NG36" s="33" t="n">
        <v>0</v>
      </c>
      <c r="NH36" s="33" t="n">
        <v>0</v>
      </c>
      <c r="NI36" s="33" t="n">
        <v>0</v>
      </c>
      <c r="NJ36" s="33" t="n">
        <v>0</v>
      </c>
      <c r="NK36" s="33" t="n">
        <v>0</v>
      </c>
      <c r="NL36" s="33" t="n">
        <v>0</v>
      </c>
      <c r="NM36" s="33" t="n">
        <v>0</v>
      </c>
      <c r="NN36" s="33" t="n">
        <v>0</v>
      </c>
      <c r="NO36" s="33" t="n">
        <v>0</v>
      </c>
      <c r="NP36" s="33" t="n">
        <v>0</v>
      </c>
      <c r="NQ36" s="33" t="n">
        <v>0</v>
      </c>
      <c r="NR36" s="33" t="n">
        <v>0</v>
      </c>
      <c r="NS36" s="33" t="n">
        <v>0</v>
      </c>
      <c r="NT36" s="33" t="n">
        <v>0</v>
      </c>
      <c r="NU36" s="33" t="n">
        <v>0</v>
      </c>
      <c r="NV36" s="33" t="n">
        <v>0</v>
      </c>
      <c r="NW36" s="33" t="n">
        <v>0</v>
      </c>
      <c r="NX36" s="33" t="n">
        <v>0</v>
      </c>
      <c r="NY36" s="33" t="n">
        <v>0</v>
      </c>
      <c r="NZ36" s="33" t="n">
        <v>0</v>
      </c>
      <c r="OA36" s="33" t="n">
        <v>0</v>
      </c>
      <c r="OB36" s="33" t="n">
        <v>0</v>
      </c>
      <c r="OC36" s="33" t="n">
        <v>0</v>
      </c>
      <c r="OD36" s="33" t="n">
        <v>0</v>
      </c>
      <c r="OE36" s="33" t="n">
        <v>0</v>
      </c>
      <c r="OF36" s="33" t="n">
        <v>0</v>
      </c>
      <c r="OG36" s="33" t="n">
        <v>0</v>
      </c>
      <c r="OH36" s="33" t="n">
        <v>0</v>
      </c>
      <c r="OI36" s="33" t="n">
        <v>0</v>
      </c>
      <c r="OJ36" s="33" t="n">
        <v>0</v>
      </c>
      <c r="OK36" s="33" t="n">
        <v>0</v>
      </c>
      <c r="OL36" s="33" t="n">
        <v>0</v>
      </c>
      <c r="OM36" s="33" t="n">
        <v>0</v>
      </c>
      <c r="ON36" s="33" t="n">
        <v>0</v>
      </c>
      <c r="OO36" s="33" t="n">
        <v>0</v>
      </c>
      <c r="OP36" s="33" t="n">
        <v>0</v>
      </c>
      <c r="OQ36" s="33" t="n">
        <v>0</v>
      </c>
      <c r="OR36" s="33" t="n">
        <v>0</v>
      </c>
      <c r="OS36" s="33" t="n">
        <v>0</v>
      </c>
      <c r="OT36" s="33" t="n">
        <v>0</v>
      </c>
      <c r="OU36" s="33" t="n">
        <v>0</v>
      </c>
      <c r="OV36" s="33" t="n">
        <v>0</v>
      </c>
      <c r="OW36" s="33" t="n">
        <v>0</v>
      </c>
      <c r="OX36" s="33" t="n">
        <v>0</v>
      </c>
      <c r="OY36" s="33" t="n">
        <v>0</v>
      </c>
      <c r="OZ36" s="33" t="n">
        <v>0</v>
      </c>
      <c r="PA36" s="33" t="n">
        <v>0</v>
      </c>
      <c r="PB36" s="33" t="n">
        <v>0</v>
      </c>
      <c r="PC36" s="33" t="n">
        <v>0</v>
      </c>
      <c r="PD36" s="33" t="n">
        <v>0</v>
      </c>
      <c r="PE36" s="33" t="n">
        <v>0</v>
      </c>
      <c r="PF36" s="33" t="n">
        <v>0</v>
      </c>
      <c r="PG36" s="33" t="n">
        <v>0</v>
      </c>
      <c r="PH36" s="33" t="n">
        <v>0</v>
      </c>
      <c r="PI36" s="33" t="n">
        <v>0</v>
      </c>
      <c r="PJ36" s="33" t="n">
        <v>0</v>
      </c>
      <c r="PK36" s="33" t="n">
        <v>0</v>
      </c>
      <c r="PL36" s="33" t="n">
        <v>0</v>
      </c>
      <c r="PM36" s="33" t="n">
        <v>0</v>
      </c>
      <c r="PN36" s="33" t="n">
        <v>0</v>
      </c>
      <c r="PO36" s="33" t="n">
        <v>0</v>
      </c>
      <c r="PP36" s="33" t="n">
        <v>0</v>
      </c>
      <c r="PQ36" s="33" t="n">
        <v>0</v>
      </c>
      <c r="PR36" s="33" t="n">
        <v>0</v>
      </c>
      <c r="PS36" s="33" t="n">
        <v>0</v>
      </c>
      <c r="PT36" s="33" t="n">
        <v>0</v>
      </c>
      <c r="PU36" s="33" t="n">
        <v>0</v>
      </c>
      <c r="PV36" s="33" t="n">
        <v>0</v>
      </c>
      <c r="PW36" s="33" t="n">
        <v>0</v>
      </c>
      <c r="PX36" s="33" t="n">
        <v>0</v>
      </c>
      <c r="PY36" s="33" t="n">
        <v>0</v>
      </c>
      <c r="PZ36" s="33" t="n">
        <v>0</v>
      </c>
      <c r="QA36" s="33" t="n">
        <v>0</v>
      </c>
      <c r="QB36" s="33" t="n">
        <v>0</v>
      </c>
      <c r="QC36" s="33" t="n">
        <v>0</v>
      </c>
      <c r="QD36" s="33" t="n">
        <v>0</v>
      </c>
      <c r="QE36" s="33" t="n">
        <v>0</v>
      </c>
      <c r="QF36" s="33" t="n">
        <v>0</v>
      </c>
      <c r="QG36" s="33" t="n">
        <v>0</v>
      </c>
      <c r="QH36" s="33" t="n">
        <v>0</v>
      </c>
      <c r="QI36" s="33" t="n">
        <v>0</v>
      </c>
      <c r="QJ36" s="33" t="n">
        <v>0</v>
      </c>
      <c r="QK36" s="33" t="n">
        <v>0</v>
      </c>
      <c r="QL36" s="33" t="n">
        <v>0</v>
      </c>
      <c r="QM36" s="33" t="n">
        <v>0</v>
      </c>
      <c r="QN36" s="33" t="n">
        <v>0</v>
      </c>
      <c r="QO36" s="33" t="n">
        <v>0</v>
      </c>
      <c r="QP36" s="33" t="n">
        <v>0</v>
      </c>
      <c r="QQ36" s="33" t="n">
        <v>0</v>
      </c>
      <c r="QR36" s="33" t="n">
        <v>0</v>
      </c>
      <c r="QS36" s="33" t="n">
        <v>0</v>
      </c>
      <c r="QT36" s="33" t="n">
        <v>0</v>
      </c>
      <c r="QU36" s="33" t="n">
        <v>0</v>
      </c>
      <c r="QV36" s="33" t="n">
        <v>0</v>
      </c>
      <c r="QW36" s="33" t="n">
        <v>0</v>
      </c>
      <c r="QX36" s="33" t="n">
        <v>0</v>
      </c>
      <c r="QY36" s="33" t="n">
        <v>0</v>
      </c>
      <c r="QZ36" s="33" t="n">
        <v>0</v>
      </c>
      <c r="RA36" s="33" t="n">
        <v>0</v>
      </c>
      <c r="RB36" s="33" t="n">
        <v>0</v>
      </c>
      <c r="RC36" s="33" t="n">
        <v>0</v>
      </c>
      <c r="RD36" s="33" t="n">
        <v>0</v>
      </c>
      <c r="RE36" s="33" t="n">
        <v>0</v>
      </c>
      <c r="RF36" s="33" t="n">
        <v>0</v>
      </c>
      <c r="RG36" s="33" t="n">
        <v>0</v>
      </c>
      <c r="RH36" s="33" t="n">
        <v>0</v>
      </c>
      <c r="RI36" s="33" t="n">
        <v>0</v>
      </c>
      <c r="RJ36" s="33" t="n">
        <v>0</v>
      </c>
      <c r="RK36" s="33" t="n">
        <v>0</v>
      </c>
      <c r="RL36" s="33" t="n">
        <v>0</v>
      </c>
      <c r="RM36" s="33" t="n">
        <v>0</v>
      </c>
      <c r="RN36" s="33" t="n">
        <v>0</v>
      </c>
      <c r="RO36" s="33" t="n">
        <v>0</v>
      </c>
      <c r="RP36" s="33" t="n">
        <v>0</v>
      </c>
      <c r="RQ36" s="33" t="n">
        <v>0</v>
      </c>
      <c r="RR36" s="33" t="n">
        <v>0</v>
      </c>
      <c r="RS36" s="33" t="n">
        <v>0</v>
      </c>
      <c r="RT36" s="33" t="n">
        <v>0</v>
      </c>
      <c r="RU36" s="33" t="n">
        <v>0</v>
      </c>
      <c r="RV36" s="33" t="n">
        <v>0</v>
      </c>
      <c r="RW36" s="33" t="n">
        <v>0</v>
      </c>
    </row>
    <row r="37" hidden="1" outlineLevel="1" ht="13.05" customHeight="1">
      <c r="E37" s="21" t="inlineStr">
        <is>
          <t>Grid Charging Cost</t>
        </is>
      </c>
      <c r="F37" s="29" t="n"/>
      <c r="G37" s="29" t="inlineStr">
        <is>
          <t>kEUR</t>
        </is>
      </c>
      <c r="H37" s="29" t="n"/>
      <c r="I37" s="29" t="n"/>
      <c r="J37" s="32" t="n">
        <v>0</v>
      </c>
      <c r="K37" s="29" t="n"/>
      <c r="L37" s="33" t="n">
        <v>0</v>
      </c>
      <c r="M37" s="33" t="n">
        <v>0</v>
      </c>
      <c r="N37" s="33" t="n">
        <v>0</v>
      </c>
      <c r="O37" s="33" t="n">
        <v>0</v>
      </c>
      <c r="P37" s="33" t="n">
        <v>0</v>
      </c>
      <c r="Q37" s="33" t="n">
        <v>0</v>
      </c>
      <c r="R37" s="33" t="n">
        <v>0</v>
      </c>
      <c r="S37" s="33" t="n">
        <v>0</v>
      </c>
      <c r="T37" s="33" t="n">
        <v>0</v>
      </c>
      <c r="U37" s="33" t="n">
        <v>0</v>
      </c>
      <c r="V37" s="33" t="n">
        <v>0</v>
      </c>
      <c r="W37" s="33" t="n">
        <v>0</v>
      </c>
      <c r="X37" s="33" t="n">
        <v>0</v>
      </c>
      <c r="Y37" s="33" t="n">
        <v>0</v>
      </c>
      <c r="Z37" s="33" t="n">
        <v>0</v>
      </c>
      <c r="AA37" s="33" t="n">
        <v>0</v>
      </c>
      <c r="AB37" s="33" t="n">
        <v>0</v>
      </c>
      <c r="AC37" s="33" t="n">
        <v>0</v>
      </c>
      <c r="AD37" s="33" t="n">
        <v>0</v>
      </c>
      <c r="AE37" s="33" t="n">
        <v>0</v>
      </c>
      <c r="AF37" s="33" t="n">
        <v>0</v>
      </c>
      <c r="AG37" s="33" t="n">
        <v>0</v>
      </c>
      <c r="AH37" s="33" t="n">
        <v>0</v>
      </c>
      <c r="AI37" s="33" t="n">
        <v>0</v>
      </c>
      <c r="AJ37" s="33" t="n">
        <v>0</v>
      </c>
      <c r="AK37" s="33" t="n">
        <v>0</v>
      </c>
      <c r="AL37" s="33" t="n">
        <v>0</v>
      </c>
      <c r="AM37" s="33" t="n">
        <v>0</v>
      </c>
      <c r="AN37" s="33" t="n">
        <v>0</v>
      </c>
      <c r="AO37" s="33" t="n">
        <v>0</v>
      </c>
      <c r="AP37" s="33" t="n">
        <v>0</v>
      </c>
      <c r="AQ37" s="33" t="n">
        <v>0</v>
      </c>
      <c r="AR37" s="33" t="n">
        <v>0</v>
      </c>
      <c r="AS37" s="33" t="n">
        <v>0</v>
      </c>
      <c r="AT37" s="33" t="n">
        <v>0</v>
      </c>
      <c r="AU37" s="33" t="n">
        <v>0</v>
      </c>
      <c r="AV37" s="33" t="n">
        <v>0</v>
      </c>
      <c r="AW37" s="33" t="n">
        <v>0</v>
      </c>
      <c r="AX37" s="33" t="n">
        <v>0</v>
      </c>
      <c r="AY37" s="33" t="n">
        <v>0</v>
      </c>
      <c r="AZ37" s="33" t="n">
        <v>0</v>
      </c>
      <c r="BA37" s="33" t="n">
        <v>0</v>
      </c>
      <c r="BB37" s="33" t="n">
        <v>0</v>
      </c>
      <c r="BC37" s="33" t="n">
        <v>0</v>
      </c>
      <c r="BD37" s="33" t="n">
        <v>0</v>
      </c>
      <c r="BE37" s="33" t="n">
        <v>0</v>
      </c>
      <c r="BF37" s="33" t="n">
        <v>0</v>
      </c>
      <c r="BG37" s="33" t="n">
        <v>0</v>
      </c>
      <c r="BH37" s="33" t="n">
        <v>0</v>
      </c>
      <c r="BI37" s="33" t="n">
        <v>0</v>
      </c>
      <c r="BJ37" s="33" t="n">
        <v>0</v>
      </c>
      <c r="BK37" s="33" t="n">
        <v>0</v>
      </c>
      <c r="BL37" s="33" t="n">
        <v>0</v>
      </c>
      <c r="BM37" s="33" t="n">
        <v>0</v>
      </c>
      <c r="BN37" s="33" t="n">
        <v>0</v>
      </c>
      <c r="BO37" s="33" t="n">
        <v>0</v>
      </c>
      <c r="BP37" s="33" t="n">
        <v>0</v>
      </c>
      <c r="BQ37" s="33" t="n">
        <v>0</v>
      </c>
      <c r="BR37" s="33" t="n">
        <v>0</v>
      </c>
      <c r="BS37" s="33" t="n">
        <v>0</v>
      </c>
      <c r="BT37" s="33" t="n">
        <v>0</v>
      </c>
      <c r="BU37" s="33" t="n">
        <v>0</v>
      </c>
      <c r="BV37" s="33" t="n">
        <v>0</v>
      </c>
      <c r="BW37" s="33" t="n">
        <v>0</v>
      </c>
      <c r="BX37" s="33" t="n">
        <v>0</v>
      </c>
      <c r="BY37" s="33" t="n">
        <v>0</v>
      </c>
      <c r="BZ37" s="33" t="n">
        <v>0</v>
      </c>
      <c r="CA37" s="33" t="n">
        <v>0</v>
      </c>
      <c r="CB37" s="33" t="n">
        <v>0</v>
      </c>
      <c r="CC37" s="33" t="n">
        <v>0</v>
      </c>
      <c r="CD37" s="33" t="n">
        <v>0</v>
      </c>
      <c r="CE37" s="33" t="n">
        <v>0</v>
      </c>
      <c r="CF37" s="33" t="n">
        <v>0</v>
      </c>
      <c r="CG37" s="33" t="n">
        <v>0</v>
      </c>
      <c r="CH37" s="33" t="n">
        <v>0</v>
      </c>
      <c r="CI37" s="33" t="n">
        <v>0</v>
      </c>
      <c r="CJ37" s="33" t="n">
        <v>0</v>
      </c>
      <c r="CK37" s="33" t="n">
        <v>0</v>
      </c>
      <c r="CL37" s="33" t="n">
        <v>0</v>
      </c>
      <c r="CM37" s="33" t="n">
        <v>0</v>
      </c>
      <c r="CN37" s="33" t="n">
        <v>0</v>
      </c>
      <c r="CO37" s="33" t="n">
        <v>0</v>
      </c>
      <c r="CP37" s="33" t="n">
        <v>0</v>
      </c>
      <c r="CQ37" s="33" t="n">
        <v>0</v>
      </c>
      <c r="CR37" s="33" t="n">
        <v>0</v>
      </c>
      <c r="CS37" s="33" t="n">
        <v>0</v>
      </c>
      <c r="CT37" s="33" t="n">
        <v>0</v>
      </c>
      <c r="CU37" s="33" t="n">
        <v>0</v>
      </c>
      <c r="CV37" s="33" t="n">
        <v>0</v>
      </c>
      <c r="CW37" s="33" t="n">
        <v>0</v>
      </c>
      <c r="CX37" s="33" t="n">
        <v>0</v>
      </c>
      <c r="CY37" s="33" t="n">
        <v>0</v>
      </c>
      <c r="CZ37" s="33" t="n">
        <v>0</v>
      </c>
      <c r="DA37" s="33" t="n">
        <v>0</v>
      </c>
      <c r="DB37" s="33" t="n">
        <v>0</v>
      </c>
      <c r="DC37" s="33" t="n">
        <v>0</v>
      </c>
      <c r="DD37" s="33" t="n">
        <v>0</v>
      </c>
      <c r="DE37" s="33" t="n">
        <v>0</v>
      </c>
      <c r="DF37" s="33" t="n">
        <v>0</v>
      </c>
      <c r="DG37" s="33" t="n">
        <v>0</v>
      </c>
      <c r="DH37" s="33" t="n">
        <v>0</v>
      </c>
      <c r="DI37" s="33" t="n">
        <v>0</v>
      </c>
      <c r="DJ37" s="33" t="n">
        <v>0</v>
      </c>
      <c r="DK37" s="33" t="n">
        <v>0</v>
      </c>
      <c r="DL37" s="33" t="n">
        <v>0</v>
      </c>
      <c r="DM37" s="33" t="n">
        <v>0</v>
      </c>
      <c r="DN37" s="33" t="n">
        <v>0</v>
      </c>
      <c r="DO37" s="33" t="n">
        <v>0</v>
      </c>
      <c r="DP37" s="33" t="n">
        <v>0</v>
      </c>
      <c r="DQ37" s="33" t="n">
        <v>0</v>
      </c>
      <c r="DR37" s="33" t="n">
        <v>0</v>
      </c>
      <c r="DS37" s="33" t="n">
        <v>0</v>
      </c>
      <c r="DT37" s="33" t="n">
        <v>0</v>
      </c>
      <c r="DU37" s="33" t="n">
        <v>0</v>
      </c>
      <c r="DV37" s="33" t="n">
        <v>0</v>
      </c>
      <c r="DW37" s="33" t="n">
        <v>0</v>
      </c>
      <c r="DX37" s="33" t="n">
        <v>0</v>
      </c>
      <c r="DY37" s="33" t="n">
        <v>0</v>
      </c>
      <c r="DZ37" s="33" t="n">
        <v>0</v>
      </c>
      <c r="EA37" s="33" t="n">
        <v>0</v>
      </c>
      <c r="EB37" s="33" t="n">
        <v>0</v>
      </c>
      <c r="EC37" s="33" t="n">
        <v>0</v>
      </c>
      <c r="ED37" s="33" t="n">
        <v>0</v>
      </c>
      <c r="EE37" s="33" t="n">
        <v>0</v>
      </c>
      <c r="EF37" s="33" t="n">
        <v>0</v>
      </c>
      <c r="EG37" s="33" t="n">
        <v>0</v>
      </c>
      <c r="EH37" s="33" t="n">
        <v>0</v>
      </c>
      <c r="EI37" s="33" t="n">
        <v>0</v>
      </c>
      <c r="EJ37" s="33" t="n">
        <v>0</v>
      </c>
      <c r="EK37" s="33" t="n">
        <v>0</v>
      </c>
      <c r="EL37" s="33" t="n">
        <v>0</v>
      </c>
      <c r="EM37" s="33" t="n">
        <v>0</v>
      </c>
      <c r="EN37" s="33" t="n">
        <v>0</v>
      </c>
      <c r="EO37" s="33" t="n">
        <v>0</v>
      </c>
      <c r="EP37" s="33" t="n">
        <v>0</v>
      </c>
      <c r="EQ37" s="33" t="n">
        <v>0</v>
      </c>
      <c r="ER37" s="33" t="n">
        <v>0</v>
      </c>
      <c r="ES37" s="33" t="n">
        <v>0</v>
      </c>
      <c r="ET37" s="33" t="n">
        <v>0</v>
      </c>
      <c r="EU37" s="33" t="n">
        <v>0</v>
      </c>
      <c r="EV37" s="33" t="n">
        <v>0</v>
      </c>
      <c r="EW37" s="33" t="n">
        <v>0</v>
      </c>
      <c r="EX37" s="33" t="n">
        <v>0</v>
      </c>
      <c r="EY37" s="33" t="n">
        <v>0</v>
      </c>
      <c r="EZ37" s="33" t="n">
        <v>0</v>
      </c>
      <c r="FA37" s="33" t="n">
        <v>0</v>
      </c>
      <c r="FB37" s="33" t="n">
        <v>0</v>
      </c>
      <c r="FC37" s="33" t="n">
        <v>0</v>
      </c>
      <c r="FD37" s="33" t="n">
        <v>0</v>
      </c>
      <c r="FE37" s="33" t="n">
        <v>0</v>
      </c>
      <c r="FF37" s="33" t="n">
        <v>0</v>
      </c>
      <c r="FG37" s="33" t="n">
        <v>0</v>
      </c>
      <c r="FH37" s="33" t="n">
        <v>0</v>
      </c>
      <c r="FI37" s="33" t="n">
        <v>0</v>
      </c>
      <c r="FJ37" s="33" t="n">
        <v>0</v>
      </c>
      <c r="FK37" s="33" t="n">
        <v>0</v>
      </c>
      <c r="FL37" s="33" t="n">
        <v>0</v>
      </c>
      <c r="FM37" s="33" t="n">
        <v>0</v>
      </c>
      <c r="FN37" s="33" t="n">
        <v>0</v>
      </c>
      <c r="FO37" s="33" t="n">
        <v>0</v>
      </c>
      <c r="FP37" s="33" t="n">
        <v>0</v>
      </c>
      <c r="FQ37" s="33" t="n">
        <v>0</v>
      </c>
      <c r="FR37" s="33" t="n">
        <v>0</v>
      </c>
      <c r="FS37" s="33" t="n">
        <v>0</v>
      </c>
      <c r="FT37" s="33" t="n">
        <v>0</v>
      </c>
      <c r="FU37" s="33" t="n">
        <v>0</v>
      </c>
      <c r="FV37" s="33" t="n">
        <v>0</v>
      </c>
      <c r="FW37" s="33" t="n">
        <v>0</v>
      </c>
      <c r="FX37" s="33" t="n">
        <v>0</v>
      </c>
      <c r="FY37" s="33" t="n">
        <v>0</v>
      </c>
      <c r="FZ37" s="33" t="n">
        <v>0</v>
      </c>
      <c r="GA37" s="33" t="n">
        <v>0</v>
      </c>
      <c r="GB37" s="33" t="n">
        <v>0</v>
      </c>
      <c r="GC37" s="33" t="n">
        <v>0</v>
      </c>
      <c r="GD37" s="33" t="n">
        <v>0</v>
      </c>
      <c r="GE37" s="33" t="n">
        <v>0</v>
      </c>
      <c r="GF37" s="33" t="n">
        <v>0</v>
      </c>
      <c r="GG37" s="33" t="n">
        <v>0</v>
      </c>
      <c r="GH37" s="33" t="n">
        <v>0</v>
      </c>
      <c r="GI37" s="33" t="n">
        <v>0</v>
      </c>
      <c r="GJ37" s="33" t="n">
        <v>0</v>
      </c>
      <c r="GK37" s="33" t="n">
        <v>0</v>
      </c>
      <c r="GL37" s="33" t="n">
        <v>0</v>
      </c>
      <c r="GM37" s="33" t="n">
        <v>0</v>
      </c>
      <c r="GN37" s="33" t="n">
        <v>0</v>
      </c>
      <c r="GO37" s="33" t="n">
        <v>0</v>
      </c>
      <c r="GP37" s="33" t="n">
        <v>0</v>
      </c>
      <c r="GQ37" s="33" t="n">
        <v>0</v>
      </c>
      <c r="GR37" s="33" t="n">
        <v>0</v>
      </c>
      <c r="GS37" s="33" t="n">
        <v>0</v>
      </c>
      <c r="GT37" s="33" t="n">
        <v>0</v>
      </c>
      <c r="GU37" s="33" t="n">
        <v>0</v>
      </c>
      <c r="GV37" s="33" t="n">
        <v>0</v>
      </c>
      <c r="GW37" s="33" t="n">
        <v>0</v>
      </c>
      <c r="GX37" s="33" t="n">
        <v>0</v>
      </c>
      <c r="GY37" s="33" t="n">
        <v>0</v>
      </c>
      <c r="GZ37" s="33" t="n">
        <v>0</v>
      </c>
      <c r="HA37" s="33" t="n">
        <v>0</v>
      </c>
      <c r="HB37" s="33" t="n">
        <v>0</v>
      </c>
      <c r="HC37" s="33" t="n">
        <v>0</v>
      </c>
      <c r="HD37" s="33" t="n">
        <v>0</v>
      </c>
      <c r="HE37" s="33" t="n">
        <v>0</v>
      </c>
      <c r="HF37" s="33" t="n">
        <v>0</v>
      </c>
      <c r="HG37" s="33" t="n">
        <v>0</v>
      </c>
      <c r="HH37" s="33" t="n">
        <v>0</v>
      </c>
      <c r="HI37" s="33" t="n">
        <v>0</v>
      </c>
      <c r="HJ37" s="33" t="n">
        <v>0</v>
      </c>
      <c r="HK37" s="33" t="n">
        <v>0</v>
      </c>
      <c r="HL37" s="33" t="n">
        <v>0</v>
      </c>
      <c r="HM37" s="33" t="n">
        <v>0</v>
      </c>
      <c r="HN37" s="33" t="n">
        <v>0</v>
      </c>
      <c r="HO37" s="33" t="n">
        <v>0</v>
      </c>
      <c r="HP37" s="33" t="n">
        <v>0</v>
      </c>
      <c r="HQ37" s="33" t="n">
        <v>0</v>
      </c>
      <c r="HR37" s="33" t="n">
        <v>0</v>
      </c>
      <c r="HS37" s="33" t="n">
        <v>0</v>
      </c>
      <c r="HT37" s="33" t="n">
        <v>0</v>
      </c>
      <c r="HU37" s="33" t="n">
        <v>0</v>
      </c>
      <c r="HV37" s="33" t="n">
        <v>0</v>
      </c>
      <c r="HW37" s="33" t="n">
        <v>0</v>
      </c>
      <c r="HX37" s="33" t="n">
        <v>0</v>
      </c>
      <c r="HY37" s="33" t="n">
        <v>0</v>
      </c>
      <c r="HZ37" s="33" t="n">
        <v>0</v>
      </c>
      <c r="IA37" s="33" t="n">
        <v>0</v>
      </c>
      <c r="IB37" s="33" t="n">
        <v>0</v>
      </c>
      <c r="IC37" s="33" t="n">
        <v>0</v>
      </c>
      <c r="ID37" s="33" t="n">
        <v>0</v>
      </c>
      <c r="IE37" s="33" t="n">
        <v>0</v>
      </c>
      <c r="IF37" s="33" t="n">
        <v>0</v>
      </c>
      <c r="IG37" s="33" t="n">
        <v>0</v>
      </c>
      <c r="IH37" s="33" t="n">
        <v>0</v>
      </c>
      <c r="II37" s="33" t="n">
        <v>0</v>
      </c>
      <c r="IJ37" s="33" t="n">
        <v>0</v>
      </c>
      <c r="IK37" s="33" t="n">
        <v>0</v>
      </c>
      <c r="IL37" s="33" t="n">
        <v>0</v>
      </c>
      <c r="IM37" s="33" t="n">
        <v>0</v>
      </c>
      <c r="IN37" s="33" t="n">
        <v>0</v>
      </c>
      <c r="IO37" s="33" t="n">
        <v>0</v>
      </c>
      <c r="IP37" s="33" t="n">
        <v>0</v>
      </c>
      <c r="IQ37" s="33" t="n">
        <v>0</v>
      </c>
      <c r="IR37" s="33" t="n">
        <v>0</v>
      </c>
      <c r="IS37" s="33" t="n">
        <v>0</v>
      </c>
      <c r="IT37" s="33" t="n">
        <v>0</v>
      </c>
      <c r="IU37" s="33" t="n">
        <v>0</v>
      </c>
      <c r="IV37" s="33" t="n">
        <v>0</v>
      </c>
      <c r="IW37" s="33" t="n">
        <v>0</v>
      </c>
      <c r="IX37" s="33" t="n">
        <v>0</v>
      </c>
      <c r="IY37" s="33" t="n">
        <v>0</v>
      </c>
      <c r="IZ37" s="33" t="n">
        <v>0</v>
      </c>
      <c r="JA37" s="33" t="n">
        <v>0</v>
      </c>
      <c r="JB37" s="33" t="n">
        <v>0</v>
      </c>
      <c r="JC37" s="33" t="n">
        <v>0</v>
      </c>
      <c r="JD37" s="33" t="n">
        <v>0</v>
      </c>
      <c r="JE37" s="33" t="n">
        <v>0</v>
      </c>
      <c r="JF37" s="33" t="n">
        <v>0</v>
      </c>
      <c r="JG37" s="33" t="n">
        <v>0</v>
      </c>
      <c r="JH37" s="33" t="n">
        <v>0</v>
      </c>
      <c r="JI37" s="33" t="n">
        <v>0</v>
      </c>
      <c r="JJ37" s="33" t="n">
        <v>0</v>
      </c>
      <c r="JK37" s="33" t="n">
        <v>0</v>
      </c>
      <c r="JL37" s="33" t="n">
        <v>0</v>
      </c>
      <c r="JM37" s="33" t="n">
        <v>0</v>
      </c>
      <c r="JN37" s="33" t="n">
        <v>0</v>
      </c>
      <c r="JO37" s="33" t="n">
        <v>0</v>
      </c>
      <c r="JP37" s="33" t="n">
        <v>0</v>
      </c>
      <c r="JQ37" s="33" t="n">
        <v>0</v>
      </c>
      <c r="JR37" s="33" t="n">
        <v>0</v>
      </c>
      <c r="JS37" s="33" t="n">
        <v>0</v>
      </c>
      <c r="JT37" s="33" t="n">
        <v>0</v>
      </c>
      <c r="JU37" s="33" t="n">
        <v>0</v>
      </c>
      <c r="JV37" s="33" t="n">
        <v>0</v>
      </c>
      <c r="JW37" s="33" t="n">
        <v>0</v>
      </c>
      <c r="JX37" s="33" t="n">
        <v>0</v>
      </c>
      <c r="JY37" s="33" t="n">
        <v>0</v>
      </c>
      <c r="JZ37" s="33" t="n">
        <v>0</v>
      </c>
      <c r="KA37" s="33" t="n">
        <v>0</v>
      </c>
      <c r="KB37" s="33" t="n">
        <v>0</v>
      </c>
      <c r="KC37" s="33" t="n">
        <v>0</v>
      </c>
      <c r="KD37" s="33" t="n">
        <v>0</v>
      </c>
      <c r="KE37" s="33" t="n">
        <v>0</v>
      </c>
      <c r="KF37" s="33" t="n">
        <v>0</v>
      </c>
      <c r="KG37" s="33" t="n">
        <v>0</v>
      </c>
      <c r="KH37" s="33" t="n">
        <v>0</v>
      </c>
      <c r="KI37" s="33" t="n">
        <v>0</v>
      </c>
      <c r="KJ37" s="33" t="n">
        <v>0</v>
      </c>
      <c r="KK37" s="33" t="n">
        <v>0</v>
      </c>
      <c r="KL37" s="33" t="n">
        <v>0</v>
      </c>
      <c r="KM37" s="33" t="n">
        <v>0</v>
      </c>
      <c r="KN37" s="33" t="n">
        <v>0</v>
      </c>
      <c r="KO37" s="33" t="n">
        <v>0</v>
      </c>
      <c r="KP37" s="33" t="n">
        <v>0</v>
      </c>
      <c r="KQ37" s="33" t="n">
        <v>0</v>
      </c>
      <c r="KR37" s="33" t="n">
        <v>0</v>
      </c>
      <c r="KS37" s="33" t="n">
        <v>0</v>
      </c>
      <c r="KT37" s="33" t="n">
        <v>0</v>
      </c>
      <c r="KU37" s="33" t="n">
        <v>0</v>
      </c>
      <c r="KV37" s="33" t="n">
        <v>0</v>
      </c>
      <c r="KW37" s="33" t="n">
        <v>0</v>
      </c>
      <c r="KX37" s="33" t="n">
        <v>0</v>
      </c>
      <c r="KY37" s="33" t="n">
        <v>0</v>
      </c>
      <c r="KZ37" s="33" t="n">
        <v>0</v>
      </c>
      <c r="LA37" s="33" t="n">
        <v>0</v>
      </c>
      <c r="LB37" s="33" t="n">
        <v>0</v>
      </c>
      <c r="LC37" s="33" t="n">
        <v>0</v>
      </c>
      <c r="LD37" s="33" t="n">
        <v>0</v>
      </c>
      <c r="LE37" s="33" t="n">
        <v>0</v>
      </c>
      <c r="LF37" s="33" t="n">
        <v>0</v>
      </c>
      <c r="LG37" s="33" t="n">
        <v>0</v>
      </c>
      <c r="LH37" s="33" t="n">
        <v>0</v>
      </c>
      <c r="LI37" s="33" t="n">
        <v>0</v>
      </c>
      <c r="LJ37" s="33" t="n">
        <v>0</v>
      </c>
      <c r="LK37" s="33" t="n">
        <v>0</v>
      </c>
      <c r="LL37" s="33" t="n">
        <v>0</v>
      </c>
      <c r="LM37" s="33" t="n">
        <v>0</v>
      </c>
      <c r="LN37" s="33" t="n">
        <v>0</v>
      </c>
      <c r="LO37" s="33" t="n">
        <v>0</v>
      </c>
      <c r="LP37" s="33" t="n">
        <v>0</v>
      </c>
      <c r="LQ37" s="33" t="n">
        <v>0</v>
      </c>
      <c r="LR37" s="33" t="n">
        <v>0</v>
      </c>
      <c r="LS37" s="33" t="n">
        <v>0</v>
      </c>
      <c r="LT37" s="33" t="n">
        <v>0</v>
      </c>
      <c r="LU37" s="33" t="n">
        <v>0</v>
      </c>
      <c r="LV37" s="33" t="n">
        <v>0</v>
      </c>
      <c r="LW37" s="33" t="n">
        <v>0</v>
      </c>
      <c r="LX37" s="33" t="n">
        <v>0</v>
      </c>
      <c r="LY37" s="33" t="n">
        <v>0</v>
      </c>
      <c r="LZ37" s="33" t="n">
        <v>0</v>
      </c>
      <c r="MA37" s="33" t="n">
        <v>0</v>
      </c>
      <c r="MB37" s="33" t="n">
        <v>0</v>
      </c>
      <c r="MC37" s="33" t="n">
        <v>0</v>
      </c>
      <c r="MD37" s="33" t="n">
        <v>0</v>
      </c>
      <c r="ME37" s="33" t="n">
        <v>0</v>
      </c>
      <c r="MF37" s="33" t="n">
        <v>0</v>
      </c>
      <c r="MG37" s="33" t="n">
        <v>0</v>
      </c>
      <c r="MH37" s="33" t="n">
        <v>0</v>
      </c>
      <c r="MI37" s="33" t="n">
        <v>0</v>
      </c>
      <c r="MJ37" s="33" t="n">
        <v>0</v>
      </c>
      <c r="MK37" s="33" t="n">
        <v>0</v>
      </c>
      <c r="ML37" s="33" t="n">
        <v>0</v>
      </c>
      <c r="MM37" s="33" t="n">
        <v>0</v>
      </c>
      <c r="MN37" s="33" t="n">
        <v>0</v>
      </c>
      <c r="MO37" s="33" t="n">
        <v>0</v>
      </c>
      <c r="MP37" s="33" t="n">
        <v>0</v>
      </c>
      <c r="MQ37" s="33" t="n">
        <v>0</v>
      </c>
      <c r="MR37" s="33" t="n">
        <v>0</v>
      </c>
      <c r="MS37" s="33" t="n">
        <v>0</v>
      </c>
      <c r="MT37" s="33" t="n">
        <v>0</v>
      </c>
      <c r="MU37" s="33" t="n">
        <v>0</v>
      </c>
      <c r="MV37" s="33" t="n">
        <v>0</v>
      </c>
      <c r="MW37" s="33" t="n">
        <v>0</v>
      </c>
      <c r="MX37" s="33" t="n">
        <v>0</v>
      </c>
      <c r="MY37" s="33" t="n">
        <v>0</v>
      </c>
      <c r="MZ37" s="33" t="n">
        <v>0</v>
      </c>
      <c r="NA37" s="33" t="n">
        <v>0</v>
      </c>
      <c r="NB37" s="33" t="n">
        <v>0</v>
      </c>
      <c r="NC37" s="33" t="n">
        <v>0</v>
      </c>
      <c r="ND37" s="33" t="n">
        <v>0</v>
      </c>
      <c r="NE37" s="33" t="n">
        <v>0</v>
      </c>
      <c r="NF37" s="33" t="n">
        <v>0</v>
      </c>
      <c r="NG37" s="33" t="n">
        <v>0</v>
      </c>
      <c r="NH37" s="33" t="n">
        <v>0</v>
      </c>
      <c r="NI37" s="33" t="n">
        <v>0</v>
      </c>
      <c r="NJ37" s="33" t="n">
        <v>0</v>
      </c>
      <c r="NK37" s="33" t="n">
        <v>0</v>
      </c>
      <c r="NL37" s="33" t="n">
        <v>0</v>
      </c>
      <c r="NM37" s="33" t="n">
        <v>0</v>
      </c>
      <c r="NN37" s="33" t="n">
        <v>0</v>
      </c>
      <c r="NO37" s="33" t="n">
        <v>0</v>
      </c>
      <c r="NP37" s="33" t="n">
        <v>0</v>
      </c>
      <c r="NQ37" s="33" t="n">
        <v>0</v>
      </c>
      <c r="NR37" s="33" t="n">
        <v>0</v>
      </c>
      <c r="NS37" s="33" t="n">
        <v>0</v>
      </c>
      <c r="NT37" s="33" t="n">
        <v>0</v>
      </c>
      <c r="NU37" s="33" t="n">
        <v>0</v>
      </c>
      <c r="NV37" s="33" t="n">
        <v>0</v>
      </c>
      <c r="NW37" s="33" t="n">
        <v>0</v>
      </c>
      <c r="NX37" s="33" t="n">
        <v>0</v>
      </c>
      <c r="NY37" s="33" t="n">
        <v>0</v>
      </c>
      <c r="NZ37" s="33" t="n">
        <v>0</v>
      </c>
      <c r="OA37" s="33" t="n">
        <v>0</v>
      </c>
      <c r="OB37" s="33" t="n">
        <v>0</v>
      </c>
      <c r="OC37" s="33" t="n">
        <v>0</v>
      </c>
      <c r="OD37" s="33" t="n">
        <v>0</v>
      </c>
      <c r="OE37" s="33" t="n">
        <v>0</v>
      </c>
      <c r="OF37" s="33" t="n">
        <v>0</v>
      </c>
      <c r="OG37" s="33" t="n">
        <v>0</v>
      </c>
      <c r="OH37" s="33" t="n">
        <v>0</v>
      </c>
      <c r="OI37" s="33" t="n">
        <v>0</v>
      </c>
      <c r="OJ37" s="33" t="n">
        <v>0</v>
      </c>
      <c r="OK37" s="33" t="n">
        <v>0</v>
      </c>
      <c r="OL37" s="33" t="n">
        <v>0</v>
      </c>
      <c r="OM37" s="33" t="n">
        <v>0</v>
      </c>
      <c r="ON37" s="33" t="n">
        <v>0</v>
      </c>
      <c r="OO37" s="33" t="n">
        <v>0</v>
      </c>
      <c r="OP37" s="33" t="n">
        <v>0</v>
      </c>
      <c r="OQ37" s="33" t="n">
        <v>0</v>
      </c>
      <c r="OR37" s="33" t="n">
        <v>0</v>
      </c>
      <c r="OS37" s="33" t="n">
        <v>0</v>
      </c>
      <c r="OT37" s="33" t="n">
        <v>0</v>
      </c>
      <c r="OU37" s="33" t="n">
        <v>0</v>
      </c>
      <c r="OV37" s="33" t="n">
        <v>0</v>
      </c>
      <c r="OW37" s="33" t="n">
        <v>0</v>
      </c>
      <c r="OX37" s="33" t="n">
        <v>0</v>
      </c>
      <c r="OY37" s="33" t="n">
        <v>0</v>
      </c>
      <c r="OZ37" s="33" t="n">
        <v>0</v>
      </c>
      <c r="PA37" s="33" t="n">
        <v>0</v>
      </c>
      <c r="PB37" s="33" t="n">
        <v>0</v>
      </c>
      <c r="PC37" s="33" t="n">
        <v>0</v>
      </c>
      <c r="PD37" s="33" t="n">
        <v>0</v>
      </c>
      <c r="PE37" s="33" t="n">
        <v>0</v>
      </c>
      <c r="PF37" s="33" t="n">
        <v>0</v>
      </c>
      <c r="PG37" s="33" t="n">
        <v>0</v>
      </c>
      <c r="PH37" s="33" t="n">
        <v>0</v>
      </c>
      <c r="PI37" s="33" t="n">
        <v>0</v>
      </c>
      <c r="PJ37" s="33" t="n">
        <v>0</v>
      </c>
      <c r="PK37" s="33" t="n">
        <v>0</v>
      </c>
      <c r="PL37" s="33" t="n">
        <v>0</v>
      </c>
      <c r="PM37" s="33" t="n">
        <v>0</v>
      </c>
      <c r="PN37" s="33" t="n">
        <v>0</v>
      </c>
      <c r="PO37" s="33" t="n">
        <v>0</v>
      </c>
      <c r="PP37" s="33" t="n">
        <v>0</v>
      </c>
      <c r="PQ37" s="33" t="n">
        <v>0</v>
      </c>
      <c r="PR37" s="33" t="n">
        <v>0</v>
      </c>
      <c r="PS37" s="33" t="n">
        <v>0</v>
      </c>
      <c r="PT37" s="33" t="n">
        <v>0</v>
      </c>
      <c r="PU37" s="33" t="n">
        <v>0</v>
      </c>
      <c r="PV37" s="33" t="n">
        <v>0</v>
      </c>
      <c r="PW37" s="33" t="n">
        <v>0</v>
      </c>
      <c r="PX37" s="33" t="n">
        <v>0</v>
      </c>
      <c r="PY37" s="33" t="n">
        <v>0</v>
      </c>
      <c r="PZ37" s="33" t="n">
        <v>0</v>
      </c>
      <c r="QA37" s="33" t="n">
        <v>0</v>
      </c>
      <c r="QB37" s="33" t="n">
        <v>0</v>
      </c>
      <c r="QC37" s="33" t="n">
        <v>0</v>
      </c>
      <c r="QD37" s="33" t="n">
        <v>0</v>
      </c>
      <c r="QE37" s="33" t="n">
        <v>0</v>
      </c>
      <c r="QF37" s="33" t="n">
        <v>0</v>
      </c>
      <c r="QG37" s="33" t="n">
        <v>0</v>
      </c>
      <c r="QH37" s="33" t="n">
        <v>0</v>
      </c>
      <c r="QI37" s="33" t="n">
        <v>0</v>
      </c>
      <c r="QJ37" s="33" t="n">
        <v>0</v>
      </c>
      <c r="QK37" s="33" t="n">
        <v>0</v>
      </c>
      <c r="QL37" s="33" t="n">
        <v>0</v>
      </c>
      <c r="QM37" s="33" t="n">
        <v>0</v>
      </c>
      <c r="QN37" s="33" t="n">
        <v>0</v>
      </c>
      <c r="QO37" s="33" t="n">
        <v>0</v>
      </c>
      <c r="QP37" s="33" t="n">
        <v>0</v>
      </c>
      <c r="QQ37" s="33" t="n">
        <v>0</v>
      </c>
      <c r="QR37" s="33" t="n">
        <v>0</v>
      </c>
      <c r="QS37" s="33" t="n">
        <v>0</v>
      </c>
      <c r="QT37" s="33" t="n">
        <v>0</v>
      </c>
      <c r="QU37" s="33" t="n">
        <v>0</v>
      </c>
      <c r="QV37" s="33" t="n">
        <v>0</v>
      </c>
      <c r="QW37" s="33" t="n">
        <v>0</v>
      </c>
      <c r="QX37" s="33" t="n">
        <v>0</v>
      </c>
      <c r="QY37" s="33" t="n">
        <v>0</v>
      </c>
      <c r="QZ37" s="33" t="n">
        <v>0</v>
      </c>
      <c r="RA37" s="33" t="n">
        <v>0</v>
      </c>
      <c r="RB37" s="33" t="n">
        <v>0</v>
      </c>
      <c r="RC37" s="33" t="n">
        <v>0</v>
      </c>
      <c r="RD37" s="33" t="n">
        <v>0</v>
      </c>
      <c r="RE37" s="33" t="n">
        <v>0</v>
      </c>
      <c r="RF37" s="33" t="n">
        <v>0</v>
      </c>
      <c r="RG37" s="33" t="n">
        <v>0</v>
      </c>
      <c r="RH37" s="33" t="n">
        <v>0</v>
      </c>
      <c r="RI37" s="33" t="n">
        <v>0</v>
      </c>
      <c r="RJ37" s="33" t="n">
        <v>0</v>
      </c>
      <c r="RK37" s="33" t="n">
        <v>0</v>
      </c>
      <c r="RL37" s="33" t="n">
        <v>0</v>
      </c>
      <c r="RM37" s="33" t="n">
        <v>0</v>
      </c>
      <c r="RN37" s="33" t="n">
        <v>0</v>
      </c>
      <c r="RO37" s="33" t="n">
        <v>0</v>
      </c>
      <c r="RP37" s="33" t="n">
        <v>0</v>
      </c>
      <c r="RQ37" s="33" t="n">
        <v>0</v>
      </c>
      <c r="RR37" s="33" t="n">
        <v>0</v>
      </c>
      <c r="RS37" s="33" t="n">
        <v>0</v>
      </c>
      <c r="RT37" s="33" t="n">
        <v>0</v>
      </c>
      <c r="RU37" s="33" t="n">
        <v>0</v>
      </c>
      <c r="RV37" s="33" t="n">
        <v>0</v>
      </c>
      <c r="RW37" s="33" t="n">
        <v>0</v>
      </c>
    </row>
    <row r="38" hidden="1" outlineLevel="1" ht="13.05" customHeight="1">
      <c r="E38" s="21" t="inlineStr">
        <is>
          <t>PV Charging Cost</t>
        </is>
      </c>
      <c r="F38" s="29" t="n"/>
      <c r="G38" s="29" t="inlineStr">
        <is>
          <t>kEUR</t>
        </is>
      </c>
      <c r="H38" s="29" t="n"/>
      <c r="I38" s="29" t="n"/>
      <c r="J38" s="32" t="n">
        <v>0</v>
      </c>
      <c r="K38" s="29" t="n"/>
      <c r="L38" s="33" t="n">
        <v>0</v>
      </c>
      <c r="M38" s="33" t="n">
        <v>0</v>
      </c>
      <c r="N38" s="33" t="n">
        <v>0</v>
      </c>
      <c r="O38" s="33" t="n">
        <v>0</v>
      </c>
      <c r="P38" s="33" t="n">
        <v>0</v>
      </c>
      <c r="Q38" s="33" t="n">
        <v>0</v>
      </c>
      <c r="R38" s="33" t="n">
        <v>0</v>
      </c>
      <c r="S38" s="33" t="n">
        <v>0</v>
      </c>
      <c r="T38" s="33" t="n">
        <v>0</v>
      </c>
      <c r="U38" s="33" t="n">
        <v>0</v>
      </c>
      <c r="V38" s="33" t="n">
        <v>0</v>
      </c>
      <c r="W38" s="33" t="n">
        <v>0</v>
      </c>
      <c r="X38" s="33" t="n">
        <v>0</v>
      </c>
      <c r="Y38" s="33" t="n">
        <v>0</v>
      </c>
      <c r="Z38" s="33" t="n">
        <v>0</v>
      </c>
      <c r="AA38" s="33" t="n">
        <v>0</v>
      </c>
      <c r="AB38" s="33" t="n">
        <v>0</v>
      </c>
      <c r="AC38" s="33" t="n">
        <v>0</v>
      </c>
      <c r="AD38" s="33" t="n">
        <v>0</v>
      </c>
      <c r="AE38" s="33" t="n">
        <v>0</v>
      </c>
      <c r="AF38" s="33" t="n">
        <v>0</v>
      </c>
      <c r="AG38" s="33" t="n">
        <v>0</v>
      </c>
      <c r="AH38" s="33" t="n">
        <v>0</v>
      </c>
      <c r="AI38" s="33" t="n">
        <v>0</v>
      </c>
      <c r="AJ38" s="33" t="n">
        <v>0</v>
      </c>
      <c r="AK38" s="33" t="n">
        <v>0</v>
      </c>
      <c r="AL38" s="33" t="n">
        <v>0</v>
      </c>
      <c r="AM38" s="33" t="n">
        <v>0</v>
      </c>
      <c r="AN38" s="33" t="n">
        <v>0</v>
      </c>
      <c r="AO38" s="33" t="n">
        <v>0</v>
      </c>
      <c r="AP38" s="33" t="n">
        <v>0</v>
      </c>
      <c r="AQ38" s="33" t="n">
        <v>0</v>
      </c>
      <c r="AR38" s="33" t="n">
        <v>0</v>
      </c>
      <c r="AS38" s="33" t="n">
        <v>0</v>
      </c>
      <c r="AT38" s="33" t="n">
        <v>0</v>
      </c>
      <c r="AU38" s="33" t="n">
        <v>0</v>
      </c>
      <c r="AV38" s="33" t="n">
        <v>0</v>
      </c>
      <c r="AW38" s="33" t="n">
        <v>0</v>
      </c>
      <c r="AX38" s="33" t="n">
        <v>0</v>
      </c>
      <c r="AY38" s="33" t="n">
        <v>0</v>
      </c>
      <c r="AZ38" s="33" t="n">
        <v>0</v>
      </c>
      <c r="BA38" s="33" t="n">
        <v>0</v>
      </c>
      <c r="BB38" s="33" t="n">
        <v>0</v>
      </c>
      <c r="BC38" s="33" t="n">
        <v>0</v>
      </c>
      <c r="BD38" s="33" t="n">
        <v>0</v>
      </c>
      <c r="BE38" s="33" t="n">
        <v>0</v>
      </c>
      <c r="BF38" s="33" t="n">
        <v>0</v>
      </c>
      <c r="BG38" s="33" t="n">
        <v>0</v>
      </c>
      <c r="BH38" s="33" t="n">
        <v>0</v>
      </c>
      <c r="BI38" s="33" t="n">
        <v>0</v>
      </c>
      <c r="BJ38" s="33" t="n">
        <v>0</v>
      </c>
      <c r="BK38" s="33" t="n">
        <v>0</v>
      </c>
      <c r="BL38" s="33" t="n">
        <v>0</v>
      </c>
      <c r="BM38" s="33" t="n">
        <v>0</v>
      </c>
      <c r="BN38" s="33" t="n">
        <v>0</v>
      </c>
      <c r="BO38" s="33" t="n">
        <v>0</v>
      </c>
      <c r="BP38" s="33" t="n">
        <v>0</v>
      </c>
      <c r="BQ38" s="33" t="n">
        <v>0</v>
      </c>
      <c r="BR38" s="33" t="n">
        <v>0</v>
      </c>
      <c r="BS38" s="33" t="n">
        <v>0</v>
      </c>
      <c r="BT38" s="33" t="n">
        <v>0</v>
      </c>
      <c r="BU38" s="33" t="n">
        <v>0</v>
      </c>
      <c r="BV38" s="33" t="n">
        <v>0</v>
      </c>
      <c r="BW38" s="33" t="n">
        <v>0</v>
      </c>
      <c r="BX38" s="33" t="n">
        <v>0</v>
      </c>
      <c r="BY38" s="33" t="n">
        <v>0</v>
      </c>
      <c r="BZ38" s="33" t="n">
        <v>0</v>
      </c>
      <c r="CA38" s="33" t="n">
        <v>0</v>
      </c>
      <c r="CB38" s="33" t="n">
        <v>0</v>
      </c>
      <c r="CC38" s="33" t="n">
        <v>0</v>
      </c>
      <c r="CD38" s="33" t="n">
        <v>0</v>
      </c>
      <c r="CE38" s="33" t="n">
        <v>0</v>
      </c>
      <c r="CF38" s="33" t="n">
        <v>0</v>
      </c>
      <c r="CG38" s="33" t="n">
        <v>0</v>
      </c>
      <c r="CH38" s="33" t="n">
        <v>0</v>
      </c>
      <c r="CI38" s="33" t="n">
        <v>0</v>
      </c>
      <c r="CJ38" s="33" t="n">
        <v>0</v>
      </c>
      <c r="CK38" s="33" t="n">
        <v>0</v>
      </c>
      <c r="CL38" s="33" t="n">
        <v>0</v>
      </c>
      <c r="CM38" s="33" t="n">
        <v>0</v>
      </c>
      <c r="CN38" s="33" t="n">
        <v>0</v>
      </c>
      <c r="CO38" s="33" t="n">
        <v>0</v>
      </c>
      <c r="CP38" s="33" t="n">
        <v>0</v>
      </c>
      <c r="CQ38" s="33" t="n">
        <v>0</v>
      </c>
      <c r="CR38" s="33" t="n">
        <v>0</v>
      </c>
      <c r="CS38" s="33" t="n">
        <v>0</v>
      </c>
      <c r="CT38" s="33" t="n">
        <v>0</v>
      </c>
      <c r="CU38" s="33" t="n">
        <v>0</v>
      </c>
      <c r="CV38" s="33" t="n">
        <v>0</v>
      </c>
      <c r="CW38" s="33" t="n">
        <v>0</v>
      </c>
      <c r="CX38" s="33" t="n">
        <v>0</v>
      </c>
      <c r="CY38" s="33" t="n">
        <v>0</v>
      </c>
      <c r="CZ38" s="33" t="n">
        <v>0</v>
      </c>
      <c r="DA38" s="33" t="n">
        <v>0</v>
      </c>
      <c r="DB38" s="33" t="n">
        <v>0</v>
      </c>
      <c r="DC38" s="33" t="n">
        <v>0</v>
      </c>
      <c r="DD38" s="33" t="n">
        <v>0</v>
      </c>
      <c r="DE38" s="33" t="n">
        <v>0</v>
      </c>
      <c r="DF38" s="33" t="n">
        <v>0</v>
      </c>
      <c r="DG38" s="33" t="n">
        <v>0</v>
      </c>
      <c r="DH38" s="33" t="n">
        <v>0</v>
      </c>
      <c r="DI38" s="33" t="n">
        <v>0</v>
      </c>
      <c r="DJ38" s="33" t="n">
        <v>0</v>
      </c>
      <c r="DK38" s="33" t="n">
        <v>0</v>
      </c>
      <c r="DL38" s="33" t="n">
        <v>0</v>
      </c>
      <c r="DM38" s="33" t="n">
        <v>0</v>
      </c>
      <c r="DN38" s="33" t="n">
        <v>0</v>
      </c>
      <c r="DO38" s="33" t="n">
        <v>0</v>
      </c>
      <c r="DP38" s="33" t="n">
        <v>0</v>
      </c>
      <c r="DQ38" s="33" t="n">
        <v>0</v>
      </c>
      <c r="DR38" s="33" t="n">
        <v>0</v>
      </c>
      <c r="DS38" s="33" t="n">
        <v>0</v>
      </c>
      <c r="DT38" s="33" t="n">
        <v>0</v>
      </c>
      <c r="DU38" s="33" t="n">
        <v>0</v>
      </c>
      <c r="DV38" s="33" t="n">
        <v>0</v>
      </c>
      <c r="DW38" s="33" t="n">
        <v>0</v>
      </c>
      <c r="DX38" s="33" t="n">
        <v>0</v>
      </c>
      <c r="DY38" s="33" t="n">
        <v>0</v>
      </c>
      <c r="DZ38" s="33" t="n">
        <v>0</v>
      </c>
      <c r="EA38" s="33" t="n">
        <v>0</v>
      </c>
      <c r="EB38" s="33" t="n">
        <v>0</v>
      </c>
      <c r="EC38" s="33" t="n">
        <v>0</v>
      </c>
      <c r="ED38" s="33" t="n">
        <v>0</v>
      </c>
      <c r="EE38" s="33" t="n">
        <v>0</v>
      </c>
      <c r="EF38" s="33" t="n">
        <v>0</v>
      </c>
      <c r="EG38" s="33" t="n">
        <v>0</v>
      </c>
      <c r="EH38" s="33" t="n">
        <v>0</v>
      </c>
      <c r="EI38" s="33" t="n">
        <v>0</v>
      </c>
      <c r="EJ38" s="33" t="n">
        <v>0</v>
      </c>
      <c r="EK38" s="33" t="n">
        <v>0</v>
      </c>
      <c r="EL38" s="33" t="n">
        <v>0</v>
      </c>
      <c r="EM38" s="33" t="n">
        <v>0</v>
      </c>
      <c r="EN38" s="33" t="n">
        <v>0</v>
      </c>
      <c r="EO38" s="33" t="n">
        <v>0</v>
      </c>
      <c r="EP38" s="33" t="n">
        <v>0</v>
      </c>
      <c r="EQ38" s="33" t="n">
        <v>0</v>
      </c>
      <c r="ER38" s="33" t="n">
        <v>0</v>
      </c>
      <c r="ES38" s="33" t="n">
        <v>0</v>
      </c>
      <c r="ET38" s="33" t="n">
        <v>0</v>
      </c>
      <c r="EU38" s="33" t="n">
        <v>0</v>
      </c>
      <c r="EV38" s="33" t="n">
        <v>0</v>
      </c>
      <c r="EW38" s="33" t="n">
        <v>0</v>
      </c>
      <c r="EX38" s="33" t="n">
        <v>0</v>
      </c>
      <c r="EY38" s="33" t="n">
        <v>0</v>
      </c>
      <c r="EZ38" s="33" t="n">
        <v>0</v>
      </c>
      <c r="FA38" s="33" t="n">
        <v>0</v>
      </c>
      <c r="FB38" s="33" t="n">
        <v>0</v>
      </c>
      <c r="FC38" s="33" t="n">
        <v>0</v>
      </c>
      <c r="FD38" s="33" t="n">
        <v>0</v>
      </c>
      <c r="FE38" s="33" t="n">
        <v>0</v>
      </c>
      <c r="FF38" s="33" t="n">
        <v>0</v>
      </c>
      <c r="FG38" s="33" t="n">
        <v>0</v>
      </c>
      <c r="FH38" s="33" t="n">
        <v>0</v>
      </c>
      <c r="FI38" s="33" t="n">
        <v>0</v>
      </c>
      <c r="FJ38" s="33" t="n">
        <v>0</v>
      </c>
      <c r="FK38" s="33" t="n">
        <v>0</v>
      </c>
      <c r="FL38" s="33" t="n">
        <v>0</v>
      </c>
      <c r="FM38" s="33" t="n">
        <v>0</v>
      </c>
      <c r="FN38" s="33" t="n">
        <v>0</v>
      </c>
      <c r="FO38" s="33" t="n">
        <v>0</v>
      </c>
      <c r="FP38" s="33" t="n">
        <v>0</v>
      </c>
      <c r="FQ38" s="33" t="n">
        <v>0</v>
      </c>
      <c r="FR38" s="33" t="n">
        <v>0</v>
      </c>
      <c r="FS38" s="33" t="n">
        <v>0</v>
      </c>
      <c r="FT38" s="33" t="n">
        <v>0</v>
      </c>
      <c r="FU38" s="33" t="n">
        <v>0</v>
      </c>
      <c r="FV38" s="33" t="n">
        <v>0</v>
      </c>
      <c r="FW38" s="33" t="n">
        <v>0</v>
      </c>
      <c r="FX38" s="33" t="n">
        <v>0</v>
      </c>
      <c r="FY38" s="33" t="n">
        <v>0</v>
      </c>
      <c r="FZ38" s="33" t="n">
        <v>0</v>
      </c>
      <c r="GA38" s="33" t="n">
        <v>0</v>
      </c>
      <c r="GB38" s="33" t="n">
        <v>0</v>
      </c>
      <c r="GC38" s="33" t="n">
        <v>0</v>
      </c>
      <c r="GD38" s="33" t="n">
        <v>0</v>
      </c>
      <c r="GE38" s="33" t="n">
        <v>0</v>
      </c>
      <c r="GF38" s="33" t="n">
        <v>0</v>
      </c>
      <c r="GG38" s="33" t="n">
        <v>0</v>
      </c>
      <c r="GH38" s="33" t="n">
        <v>0</v>
      </c>
      <c r="GI38" s="33" t="n">
        <v>0</v>
      </c>
      <c r="GJ38" s="33" t="n">
        <v>0</v>
      </c>
      <c r="GK38" s="33" t="n">
        <v>0</v>
      </c>
      <c r="GL38" s="33" t="n">
        <v>0</v>
      </c>
      <c r="GM38" s="33" t="n">
        <v>0</v>
      </c>
      <c r="GN38" s="33" t="n">
        <v>0</v>
      </c>
      <c r="GO38" s="33" t="n">
        <v>0</v>
      </c>
      <c r="GP38" s="33" t="n">
        <v>0</v>
      </c>
      <c r="GQ38" s="33" t="n">
        <v>0</v>
      </c>
      <c r="GR38" s="33" t="n">
        <v>0</v>
      </c>
      <c r="GS38" s="33" t="n">
        <v>0</v>
      </c>
      <c r="GT38" s="33" t="n">
        <v>0</v>
      </c>
      <c r="GU38" s="33" t="n">
        <v>0</v>
      </c>
      <c r="GV38" s="33" t="n">
        <v>0</v>
      </c>
      <c r="GW38" s="33" t="n">
        <v>0</v>
      </c>
      <c r="GX38" s="33" t="n">
        <v>0</v>
      </c>
      <c r="GY38" s="33" t="n">
        <v>0</v>
      </c>
      <c r="GZ38" s="33" t="n">
        <v>0</v>
      </c>
      <c r="HA38" s="33" t="n">
        <v>0</v>
      </c>
      <c r="HB38" s="33" t="n">
        <v>0</v>
      </c>
      <c r="HC38" s="33" t="n">
        <v>0</v>
      </c>
      <c r="HD38" s="33" t="n">
        <v>0</v>
      </c>
      <c r="HE38" s="33" t="n">
        <v>0</v>
      </c>
      <c r="HF38" s="33" t="n">
        <v>0</v>
      </c>
      <c r="HG38" s="33" t="n">
        <v>0</v>
      </c>
      <c r="HH38" s="33" t="n">
        <v>0</v>
      </c>
      <c r="HI38" s="33" t="n">
        <v>0</v>
      </c>
      <c r="HJ38" s="33" t="n">
        <v>0</v>
      </c>
      <c r="HK38" s="33" t="n">
        <v>0</v>
      </c>
      <c r="HL38" s="33" t="n">
        <v>0</v>
      </c>
      <c r="HM38" s="33" t="n">
        <v>0</v>
      </c>
      <c r="HN38" s="33" t="n">
        <v>0</v>
      </c>
      <c r="HO38" s="33" t="n">
        <v>0</v>
      </c>
      <c r="HP38" s="33" t="n">
        <v>0</v>
      </c>
      <c r="HQ38" s="33" t="n">
        <v>0</v>
      </c>
      <c r="HR38" s="33" t="n">
        <v>0</v>
      </c>
      <c r="HS38" s="33" t="n">
        <v>0</v>
      </c>
      <c r="HT38" s="33" t="n">
        <v>0</v>
      </c>
      <c r="HU38" s="33" t="n">
        <v>0</v>
      </c>
      <c r="HV38" s="33" t="n">
        <v>0</v>
      </c>
      <c r="HW38" s="33" t="n">
        <v>0</v>
      </c>
      <c r="HX38" s="33" t="n">
        <v>0</v>
      </c>
      <c r="HY38" s="33" t="n">
        <v>0</v>
      </c>
      <c r="HZ38" s="33" t="n">
        <v>0</v>
      </c>
      <c r="IA38" s="33" t="n">
        <v>0</v>
      </c>
      <c r="IB38" s="33" t="n">
        <v>0</v>
      </c>
      <c r="IC38" s="33" t="n">
        <v>0</v>
      </c>
      <c r="ID38" s="33" t="n">
        <v>0</v>
      </c>
      <c r="IE38" s="33" t="n">
        <v>0</v>
      </c>
      <c r="IF38" s="33" t="n">
        <v>0</v>
      </c>
      <c r="IG38" s="33" t="n">
        <v>0</v>
      </c>
      <c r="IH38" s="33" t="n">
        <v>0</v>
      </c>
      <c r="II38" s="33" t="n">
        <v>0</v>
      </c>
      <c r="IJ38" s="33" t="n">
        <v>0</v>
      </c>
      <c r="IK38" s="33" t="n">
        <v>0</v>
      </c>
      <c r="IL38" s="33" t="n">
        <v>0</v>
      </c>
      <c r="IM38" s="33" t="n">
        <v>0</v>
      </c>
      <c r="IN38" s="33" t="n">
        <v>0</v>
      </c>
      <c r="IO38" s="33" t="n">
        <v>0</v>
      </c>
      <c r="IP38" s="33" t="n">
        <v>0</v>
      </c>
      <c r="IQ38" s="33" t="n">
        <v>0</v>
      </c>
      <c r="IR38" s="33" t="n">
        <v>0</v>
      </c>
      <c r="IS38" s="33" t="n">
        <v>0</v>
      </c>
      <c r="IT38" s="33" t="n">
        <v>0</v>
      </c>
      <c r="IU38" s="33" t="n">
        <v>0</v>
      </c>
      <c r="IV38" s="33" t="n">
        <v>0</v>
      </c>
      <c r="IW38" s="33" t="n">
        <v>0</v>
      </c>
      <c r="IX38" s="33" t="n">
        <v>0</v>
      </c>
      <c r="IY38" s="33" t="n">
        <v>0</v>
      </c>
      <c r="IZ38" s="33" t="n">
        <v>0</v>
      </c>
      <c r="JA38" s="33" t="n">
        <v>0</v>
      </c>
      <c r="JB38" s="33" t="n">
        <v>0</v>
      </c>
      <c r="JC38" s="33" t="n">
        <v>0</v>
      </c>
      <c r="JD38" s="33" t="n">
        <v>0</v>
      </c>
      <c r="JE38" s="33" t="n">
        <v>0</v>
      </c>
      <c r="JF38" s="33" t="n">
        <v>0</v>
      </c>
      <c r="JG38" s="33" t="n">
        <v>0</v>
      </c>
      <c r="JH38" s="33" t="n">
        <v>0</v>
      </c>
      <c r="JI38" s="33" t="n">
        <v>0</v>
      </c>
      <c r="JJ38" s="33" t="n">
        <v>0</v>
      </c>
      <c r="JK38" s="33" t="n">
        <v>0</v>
      </c>
      <c r="JL38" s="33" t="n">
        <v>0</v>
      </c>
      <c r="JM38" s="33" t="n">
        <v>0</v>
      </c>
      <c r="JN38" s="33" t="n">
        <v>0</v>
      </c>
      <c r="JO38" s="33" t="n">
        <v>0</v>
      </c>
      <c r="JP38" s="33" t="n">
        <v>0</v>
      </c>
      <c r="JQ38" s="33" t="n">
        <v>0</v>
      </c>
      <c r="JR38" s="33" t="n">
        <v>0</v>
      </c>
      <c r="JS38" s="33" t="n">
        <v>0</v>
      </c>
      <c r="JT38" s="33" t="n">
        <v>0</v>
      </c>
      <c r="JU38" s="33" t="n">
        <v>0</v>
      </c>
      <c r="JV38" s="33" t="n">
        <v>0</v>
      </c>
      <c r="JW38" s="33" t="n">
        <v>0</v>
      </c>
      <c r="JX38" s="33" t="n">
        <v>0</v>
      </c>
      <c r="JY38" s="33" t="n">
        <v>0</v>
      </c>
      <c r="JZ38" s="33" t="n">
        <v>0</v>
      </c>
      <c r="KA38" s="33" t="n">
        <v>0</v>
      </c>
      <c r="KB38" s="33" t="n">
        <v>0</v>
      </c>
      <c r="KC38" s="33" t="n">
        <v>0</v>
      </c>
      <c r="KD38" s="33" t="n">
        <v>0</v>
      </c>
      <c r="KE38" s="33" t="n">
        <v>0</v>
      </c>
      <c r="KF38" s="33" t="n">
        <v>0</v>
      </c>
      <c r="KG38" s="33" t="n">
        <v>0</v>
      </c>
      <c r="KH38" s="33" t="n">
        <v>0</v>
      </c>
      <c r="KI38" s="33" t="n">
        <v>0</v>
      </c>
      <c r="KJ38" s="33" t="n">
        <v>0</v>
      </c>
      <c r="KK38" s="33" t="n">
        <v>0</v>
      </c>
      <c r="KL38" s="33" t="n">
        <v>0</v>
      </c>
      <c r="KM38" s="33" t="n">
        <v>0</v>
      </c>
      <c r="KN38" s="33" t="n">
        <v>0</v>
      </c>
      <c r="KO38" s="33" t="n">
        <v>0</v>
      </c>
      <c r="KP38" s="33" t="n">
        <v>0</v>
      </c>
      <c r="KQ38" s="33" t="n">
        <v>0</v>
      </c>
      <c r="KR38" s="33" t="n">
        <v>0</v>
      </c>
      <c r="KS38" s="33" t="n">
        <v>0</v>
      </c>
      <c r="KT38" s="33" t="n">
        <v>0</v>
      </c>
      <c r="KU38" s="33" t="n">
        <v>0</v>
      </c>
      <c r="KV38" s="33" t="n">
        <v>0</v>
      </c>
      <c r="KW38" s="33" t="n">
        <v>0</v>
      </c>
      <c r="KX38" s="33" t="n">
        <v>0</v>
      </c>
      <c r="KY38" s="33" t="n">
        <v>0</v>
      </c>
      <c r="KZ38" s="33" t="n">
        <v>0</v>
      </c>
      <c r="LA38" s="33" t="n">
        <v>0</v>
      </c>
      <c r="LB38" s="33" t="n">
        <v>0</v>
      </c>
      <c r="LC38" s="33" t="n">
        <v>0</v>
      </c>
      <c r="LD38" s="33" t="n">
        <v>0</v>
      </c>
      <c r="LE38" s="33" t="n">
        <v>0</v>
      </c>
      <c r="LF38" s="33" t="n">
        <v>0</v>
      </c>
      <c r="LG38" s="33" t="n">
        <v>0</v>
      </c>
      <c r="LH38" s="33" t="n">
        <v>0</v>
      </c>
      <c r="LI38" s="33" t="n">
        <v>0</v>
      </c>
      <c r="LJ38" s="33" t="n">
        <v>0</v>
      </c>
      <c r="LK38" s="33" t="n">
        <v>0</v>
      </c>
      <c r="LL38" s="33" t="n">
        <v>0</v>
      </c>
      <c r="LM38" s="33" t="n">
        <v>0</v>
      </c>
      <c r="LN38" s="33" t="n">
        <v>0</v>
      </c>
      <c r="LO38" s="33" t="n">
        <v>0</v>
      </c>
      <c r="LP38" s="33" t="n">
        <v>0</v>
      </c>
      <c r="LQ38" s="33" t="n">
        <v>0</v>
      </c>
      <c r="LR38" s="33" t="n">
        <v>0</v>
      </c>
      <c r="LS38" s="33" t="n">
        <v>0</v>
      </c>
      <c r="LT38" s="33" t="n">
        <v>0</v>
      </c>
      <c r="LU38" s="33" t="n">
        <v>0</v>
      </c>
      <c r="LV38" s="33" t="n">
        <v>0</v>
      </c>
      <c r="LW38" s="33" t="n">
        <v>0</v>
      </c>
      <c r="LX38" s="33" t="n">
        <v>0</v>
      </c>
      <c r="LY38" s="33" t="n">
        <v>0</v>
      </c>
      <c r="LZ38" s="33" t="n">
        <v>0</v>
      </c>
      <c r="MA38" s="33" t="n">
        <v>0</v>
      </c>
      <c r="MB38" s="33" t="n">
        <v>0</v>
      </c>
      <c r="MC38" s="33" t="n">
        <v>0</v>
      </c>
      <c r="MD38" s="33" t="n">
        <v>0</v>
      </c>
      <c r="ME38" s="33" t="n">
        <v>0</v>
      </c>
      <c r="MF38" s="33" t="n">
        <v>0</v>
      </c>
      <c r="MG38" s="33" t="n">
        <v>0</v>
      </c>
      <c r="MH38" s="33" t="n">
        <v>0</v>
      </c>
      <c r="MI38" s="33" t="n">
        <v>0</v>
      </c>
      <c r="MJ38" s="33" t="n">
        <v>0</v>
      </c>
      <c r="MK38" s="33" t="n">
        <v>0</v>
      </c>
      <c r="ML38" s="33" t="n">
        <v>0</v>
      </c>
      <c r="MM38" s="33" t="n">
        <v>0</v>
      </c>
      <c r="MN38" s="33" t="n">
        <v>0</v>
      </c>
      <c r="MO38" s="33" t="n">
        <v>0</v>
      </c>
      <c r="MP38" s="33" t="n">
        <v>0</v>
      </c>
      <c r="MQ38" s="33" t="n">
        <v>0</v>
      </c>
      <c r="MR38" s="33" t="n">
        <v>0</v>
      </c>
      <c r="MS38" s="33" t="n">
        <v>0</v>
      </c>
      <c r="MT38" s="33" t="n">
        <v>0</v>
      </c>
      <c r="MU38" s="33" t="n">
        <v>0</v>
      </c>
      <c r="MV38" s="33" t="n">
        <v>0</v>
      </c>
      <c r="MW38" s="33" t="n">
        <v>0</v>
      </c>
      <c r="MX38" s="33" t="n">
        <v>0</v>
      </c>
      <c r="MY38" s="33" t="n">
        <v>0</v>
      </c>
      <c r="MZ38" s="33" t="n">
        <v>0</v>
      </c>
      <c r="NA38" s="33" t="n">
        <v>0</v>
      </c>
      <c r="NB38" s="33" t="n">
        <v>0</v>
      </c>
      <c r="NC38" s="33" t="n">
        <v>0</v>
      </c>
      <c r="ND38" s="33" t="n">
        <v>0</v>
      </c>
      <c r="NE38" s="33" t="n">
        <v>0</v>
      </c>
      <c r="NF38" s="33" t="n">
        <v>0</v>
      </c>
      <c r="NG38" s="33" t="n">
        <v>0</v>
      </c>
      <c r="NH38" s="33" t="n">
        <v>0</v>
      </c>
      <c r="NI38" s="33" t="n">
        <v>0</v>
      </c>
      <c r="NJ38" s="33" t="n">
        <v>0</v>
      </c>
      <c r="NK38" s="33" t="n">
        <v>0</v>
      </c>
      <c r="NL38" s="33" t="n">
        <v>0</v>
      </c>
      <c r="NM38" s="33" t="n">
        <v>0</v>
      </c>
      <c r="NN38" s="33" t="n">
        <v>0</v>
      </c>
      <c r="NO38" s="33" t="n">
        <v>0</v>
      </c>
      <c r="NP38" s="33" t="n">
        <v>0</v>
      </c>
      <c r="NQ38" s="33" t="n">
        <v>0</v>
      </c>
      <c r="NR38" s="33" t="n">
        <v>0</v>
      </c>
      <c r="NS38" s="33" t="n">
        <v>0</v>
      </c>
      <c r="NT38" s="33" t="n">
        <v>0</v>
      </c>
      <c r="NU38" s="33" t="n">
        <v>0</v>
      </c>
      <c r="NV38" s="33" t="n">
        <v>0</v>
      </c>
      <c r="NW38" s="33" t="n">
        <v>0</v>
      </c>
      <c r="NX38" s="33" t="n">
        <v>0</v>
      </c>
      <c r="NY38" s="33" t="n">
        <v>0</v>
      </c>
      <c r="NZ38" s="33" t="n">
        <v>0</v>
      </c>
      <c r="OA38" s="33" t="n">
        <v>0</v>
      </c>
      <c r="OB38" s="33" t="n">
        <v>0</v>
      </c>
      <c r="OC38" s="33" t="n">
        <v>0</v>
      </c>
      <c r="OD38" s="33" t="n">
        <v>0</v>
      </c>
      <c r="OE38" s="33" t="n">
        <v>0</v>
      </c>
      <c r="OF38" s="33" t="n">
        <v>0</v>
      </c>
      <c r="OG38" s="33" t="n">
        <v>0</v>
      </c>
      <c r="OH38" s="33" t="n">
        <v>0</v>
      </c>
      <c r="OI38" s="33" t="n">
        <v>0</v>
      </c>
      <c r="OJ38" s="33" t="n">
        <v>0</v>
      </c>
      <c r="OK38" s="33" t="n">
        <v>0</v>
      </c>
      <c r="OL38" s="33" t="n">
        <v>0</v>
      </c>
      <c r="OM38" s="33" t="n">
        <v>0</v>
      </c>
      <c r="ON38" s="33" t="n">
        <v>0</v>
      </c>
      <c r="OO38" s="33" t="n">
        <v>0</v>
      </c>
      <c r="OP38" s="33" t="n">
        <v>0</v>
      </c>
      <c r="OQ38" s="33" t="n">
        <v>0</v>
      </c>
      <c r="OR38" s="33" t="n">
        <v>0</v>
      </c>
      <c r="OS38" s="33" t="n">
        <v>0</v>
      </c>
      <c r="OT38" s="33" t="n">
        <v>0</v>
      </c>
      <c r="OU38" s="33" t="n">
        <v>0</v>
      </c>
      <c r="OV38" s="33" t="n">
        <v>0</v>
      </c>
      <c r="OW38" s="33" t="n">
        <v>0</v>
      </c>
      <c r="OX38" s="33" t="n">
        <v>0</v>
      </c>
      <c r="OY38" s="33" t="n">
        <v>0</v>
      </c>
      <c r="OZ38" s="33" t="n">
        <v>0</v>
      </c>
      <c r="PA38" s="33" t="n">
        <v>0</v>
      </c>
      <c r="PB38" s="33" t="n">
        <v>0</v>
      </c>
      <c r="PC38" s="33" t="n">
        <v>0</v>
      </c>
      <c r="PD38" s="33" t="n">
        <v>0</v>
      </c>
      <c r="PE38" s="33" t="n">
        <v>0</v>
      </c>
      <c r="PF38" s="33" t="n">
        <v>0</v>
      </c>
      <c r="PG38" s="33" t="n">
        <v>0</v>
      </c>
      <c r="PH38" s="33" t="n">
        <v>0</v>
      </c>
      <c r="PI38" s="33" t="n">
        <v>0</v>
      </c>
      <c r="PJ38" s="33" t="n">
        <v>0</v>
      </c>
      <c r="PK38" s="33" t="n">
        <v>0</v>
      </c>
      <c r="PL38" s="33" t="n">
        <v>0</v>
      </c>
      <c r="PM38" s="33" t="n">
        <v>0</v>
      </c>
      <c r="PN38" s="33" t="n">
        <v>0</v>
      </c>
      <c r="PO38" s="33" t="n">
        <v>0</v>
      </c>
      <c r="PP38" s="33" t="n">
        <v>0</v>
      </c>
      <c r="PQ38" s="33" t="n">
        <v>0</v>
      </c>
      <c r="PR38" s="33" t="n">
        <v>0</v>
      </c>
      <c r="PS38" s="33" t="n">
        <v>0</v>
      </c>
      <c r="PT38" s="33" t="n">
        <v>0</v>
      </c>
      <c r="PU38" s="33" t="n">
        <v>0</v>
      </c>
      <c r="PV38" s="33" t="n">
        <v>0</v>
      </c>
      <c r="PW38" s="33" t="n">
        <v>0</v>
      </c>
      <c r="PX38" s="33" t="n">
        <v>0</v>
      </c>
      <c r="PY38" s="33" t="n">
        <v>0</v>
      </c>
      <c r="PZ38" s="33" t="n">
        <v>0</v>
      </c>
      <c r="QA38" s="33" t="n">
        <v>0</v>
      </c>
      <c r="QB38" s="33" t="n">
        <v>0</v>
      </c>
      <c r="QC38" s="33" t="n">
        <v>0</v>
      </c>
      <c r="QD38" s="33" t="n">
        <v>0</v>
      </c>
      <c r="QE38" s="33" t="n">
        <v>0</v>
      </c>
      <c r="QF38" s="33" t="n">
        <v>0</v>
      </c>
      <c r="QG38" s="33" t="n">
        <v>0</v>
      </c>
      <c r="QH38" s="33" t="n">
        <v>0</v>
      </c>
      <c r="QI38" s="33" t="n">
        <v>0</v>
      </c>
      <c r="QJ38" s="33" t="n">
        <v>0</v>
      </c>
      <c r="QK38" s="33" t="n">
        <v>0</v>
      </c>
      <c r="QL38" s="33" t="n">
        <v>0</v>
      </c>
      <c r="QM38" s="33" t="n">
        <v>0</v>
      </c>
      <c r="QN38" s="33" t="n">
        <v>0</v>
      </c>
      <c r="QO38" s="33" t="n">
        <v>0</v>
      </c>
      <c r="QP38" s="33" t="n">
        <v>0</v>
      </c>
      <c r="QQ38" s="33" t="n">
        <v>0</v>
      </c>
      <c r="QR38" s="33" t="n">
        <v>0</v>
      </c>
      <c r="QS38" s="33" t="n">
        <v>0</v>
      </c>
      <c r="QT38" s="33" t="n">
        <v>0</v>
      </c>
      <c r="QU38" s="33" t="n">
        <v>0</v>
      </c>
      <c r="QV38" s="33" t="n">
        <v>0</v>
      </c>
      <c r="QW38" s="33" t="n">
        <v>0</v>
      </c>
      <c r="QX38" s="33" t="n">
        <v>0</v>
      </c>
      <c r="QY38" s="33" t="n">
        <v>0</v>
      </c>
      <c r="QZ38" s="33" t="n">
        <v>0</v>
      </c>
      <c r="RA38" s="33" t="n">
        <v>0</v>
      </c>
      <c r="RB38" s="33" t="n">
        <v>0</v>
      </c>
      <c r="RC38" s="33" t="n">
        <v>0</v>
      </c>
      <c r="RD38" s="33" t="n">
        <v>0</v>
      </c>
      <c r="RE38" s="33" t="n">
        <v>0</v>
      </c>
      <c r="RF38" s="33" t="n">
        <v>0</v>
      </c>
      <c r="RG38" s="33" t="n">
        <v>0</v>
      </c>
      <c r="RH38" s="33" t="n">
        <v>0</v>
      </c>
      <c r="RI38" s="33" t="n">
        <v>0</v>
      </c>
      <c r="RJ38" s="33" t="n">
        <v>0</v>
      </c>
      <c r="RK38" s="33" t="n">
        <v>0</v>
      </c>
      <c r="RL38" s="33" t="n">
        <v>0</v>
      </c>
      <c r="RM38" s="33" t="n">
        <v>0</v>
      </c>
      <c r="RN38" s="33" t="n">
        <v>0</v>
      </c>
      <c r="RO38" s="33" t="n">
        <v>0</v>
      </c>
      <c r="RP38" s="33" t="n">
        <v>0</v>
      </c>
      <c r="RQ38" s="33" t="n">
        <v>0</v>
      </c>
      <c r="RR38" s="33" t="n">
        <v>0</v>
      </c>
      <c r="RS38" s="33" t="n">
        <v>0</v>
      </c>
      <c r="RT38" s="33" t="n">
        <v>0</v>
      </c>
      <c r="RU38" s="33" t="n">
        <v>0</v>
      </c>
      <c r="RV38" s="33" t="n">
        <v>0</v>
      </c>
      <c r="RW38" s="33" t="n">
        <v>0</v>
      </c>
    </row>
    <row r="39" hidden="1" outlineLevel="1" ht="13.05" customHeight="1">
      <c r="E39" s="21" t="inlineStr">
        <is>
          <t>Total Charging Cost</t>
        </is>
      </c>
      <c r="F39" s="29" t="n"/>
      <c r="G39" s="29" t="inlineStr">
        <is>
          <t>kEUR</t>
        </is>
      </c>
      <c r="H39" s="29" t="n"/>
      <c r="I39" s="29" t="n"/>
      <c r="J39" s="32" t="n">
        <v>0</v>
      </c>
      <c r="K39" s="29" t="n"/>
      <c r="L39" s="33" t="n">
        <v>0</v>
      </c>
      <c r="M39" s="33" t="n">
        <v>0</v>
      </c>
      <c r="N39" s="33" t="n">
        <v>0</v>
      </c>
      <c r="O39" s="33" t="n">
        <v>0</v>
      </c>
      <c r="P39" s="33" t="n">
        <v>0</v>
      </c>
      <c r="Q39" s="33" t="n">
        <v>0</v>
      </c>
      <c r="R39" s="33" t="n">
        <v>0</v>
      </c>
      <c r="S39" s="33" t="n">
        <v>0</v>
      </c>
      <c r="T39" s="33" t="n">
        <v>0</v>
      </c>
      <c r="U39" s="33" t="n">
        <v>0</v>
      </c>
      <c r="V39" s="33" t="n">
        <v>0</v>
      </c>
      <c r="W39" s="33" t="n">
        <v>0</v>
      </c>
      <c r="X39" s="33" t="n">
        <v>0</v>
      </c>
      <c r="Y39" s="33" t="n">
        <v>0</v>
      </c>
      <c r="Z39" s="33" t="n">
        <v>0</v>
      </c>
      <c r="AA39" s="33" t="n">
        <v>0</v>
      </c>
      <c r="AB39" s="33" t="n">
        <v>0</v>
      </c>
      <c r="AC39" s="33" t="n">
        <v>0</v>
      </c>
      <c r="AD39" s="33" t="n">
        <v>0</v>
      </c>
      <c r="AE39" s="33" t="n">
        <v>0</v>
      </c>
      <c r="AF39" s="33" t="n">
        <v>0</v>
      </c>
      <c r="AG39" s="33" t="n">
        <v>0</v>
      </c>
      <c r="AH39" s="33" t="n">
        <v>0</v>
      </c>
      <c r="AI39" s="33" t="n">
        <v>0</v>
      </c>
      <c r="AJ39" s="33" t="n">
        <v>0</v>
      </c>
      <c r="AK39" s="33" t="n">
        <v>0</v>
      </c>
      <c r="AL39" s="33" t="n">
        <v>0</v>
      </c>
      <c r="AM39" s="33" t="n">
        <v>0</v>
      </c>
      <c r="AN39" s="33" t="n">
        <v>0</v>
      </c>
      <c r="AO39" s="33" t="n">
        <v>0</v>
      </c>
      <c r="AP39" s="33" t="n">
        <v>0</v>
      </c>
      <c r="AQ39" s="33" t="n">
        <v>0</v>
      </c>
      <c r="AR39" s="33" t="n">
        <v>0</v>
      </c>
      <c r="AS39" s="33" t="n">
        <v>0</v>
      </c>
      <c r="AT39" s="33" t="n">
        <v>0</v>
      </c>
      <c r="AU39" s="33" t="n">
        <v>0</v>
      </c>
      <c r="AV39" s="33" t="n">
        <v>0</v>
      </c>
      <c r="AW39" s="33" t="n">
        <v>0</v>
      </c>
      <c r="AX39" s="33" t="n">
        <v>0</v>
      </c>
      <c r="AY39" s="33" t="n">
        <v>0</v>
      </c>
      <c r="AZ39" s="33" t="n">
        <v>0</v>
      </c>
      <c r="BA39" s="33" t="n">
        <v>0</v>
      </c>
      <c r="BB39" s="33" t="n">
        <v>0</v>
      </c>
      <c r="BC39" s="33" t="n">
        <v>0</v>
      </c>
      <c r="BD39" s="33" t="n">
        <v>0</v>
      </c>
      <c r="BE39" s="33" t="n">
        <v>0</v>
      </c>
      <c r="BF39" s="33" t="n">
        <v>0</v>
      </c>
      <c r="BG39" s="33" t="n">
        <v>0</v>
      </c>
      <c r="BH39" s="33" t="n">
        <v>0</v>
      </c>
      <c r="BI39" s="33" t="n">
        <v>0</v>
      </c>
      <c r="BJ39" s="33" t="n">
        <v>0</v>
      </c>
      <c r="BK39" s="33" t="n">
        <v>0</v>
      </c>
      <c r="BL39" s="33" t="n">
        <v>0</v>
      </c>
      <c r="BM39" s="33" t="n">
        <v>0</v>
      </c>
      <c r="BN39" s="33" t="n">
        <v>0</v>
      </c>
      <c r="BO39" s="33" t="n">
        <v>0</v>
      </c>
      <c r="BP39" s="33" t="n">
        <v>0</v>
      </c>
      <c r="BQ39" s="33" t="n">
        <v>0</v>
      </c>
      <c r="BR39" s="33" t="n">
        <v>0</v>
      </c>
      <c r="BS39" s="33" t="n">
        <v>0</v>
      </c>
      <c r="BT39" s="33" t="n">
        <v>0</v>
      </c>
      <c r="BU39" s="33" t="n">
        <v>0</v>
      </c>
      <c r="BV39" s="33" t="n">
        <v>0</v>
      </c>
      <c r="BW39" s="33" t="n">
        <v>0</v>
      </c>
      <c r="BX39" s="33" t="n">
        <v>0</v>
      </c>
      <c r="BY39" s="33" t="n">
        <v>0</v>
      </c>
      <c r="BZ39" s="33" t="n">
        <v>0</v>
      </c>
      <c r="CA39" s="33" t="n">
        <v>0</v>
      </c>
      <c r="CB39" s="33" t="n">
        <v>0</v>
      </c>
      <c r="CC39" s="33" t="n">
        <v>0</v>
      </c>
      <c r="CD39" s="33" t="n">
        <v>0</v>
      </c>
      <c r="CE39" s="33" t="n">
        <v>0</v>
      </c>
      <c r="CF39" s="33" t="n">
        <v>0</v>
      </c>
      <c r="CG39" s="33" t="n">
        <v>0</v>
      </c>
      <c r="CH39" s="33" t="n">
        <v>0</v>
      </c>
      <c r="CI39" s="33" t="n">
        <v>0</v>
      </c>
      <c r="CJ39" s="33" t="n">
        <v>0</v>
      </c>
      <c r="CK39" s="33" t="n">
        <v>0</v>
      </c>
      <c r="CL39" s="33" t="n">
        <v>0</v>
      </c>
      <c r="CM39" s="33" t="n">
        <v>0</v>
      </c>
      <c r="CN39" s="33" t="n">
        <v>0</v>
      </c>
      <c r="CO39" s="33" t="n">
        <v>0</v>
      </c>
      <c r="CP39" s="33" t="n">
        <v>0</v>
      </c>
      <c r="CQ39" s="33" t="n">
        <v>0</v>
      </c>
      <c r="CR39" s="33" t="n">
        <v>0</v>
      </c>
      <c r="CS39" s="33" t="n">
        <v>0</v>
      </c>
      <c r="CT39" s="33" t="n">
        <v>0</v>
      </c>
      <c r="CU39" s="33" t="n">
        <v>0</v>
      </c>
      <c r="CV39" s="33" t="n">
        <v>0</v>
      </c>
      <c r="CW39" s="33" t="n">
        <v>0</v>
      </c>
      <c r="CX39" s="33" t="n">
        <v>0</v>
      </c>
      <c r="CY39" s="33" t="n">
        <v>0</v>
      </c>
      <c r="CZ39" s="33" t="n">
        <v>0</v>
      </c>
      <c r="DA39" s="33" t="n">
        <v>0</v>
      </c>
      <c r="DB39" s="33" t="n">
        <v>0</v>
      </c>
      <c r="DC39" s="33" t="n">
        <v>0</v>
      </c>
      <c r="DD39" s="33" t="n">
        <v>0</v>
      </c>
      <c r="DE39" s="33" t="n">
        <v>0</v>
      </c>
      <c r="DF39" s="33" t="n">
        <v>0</v>
      </c>
      <c r="DG39" s="33" t="n">
        <v>0</v>
      </c>
      <c r="DH39" s="33" t="n">
        <v>0</v>
      </c>
      <c r="DI39" s="33" t="n">
        <v>0</v>
      </c>
      <c r="DJ39" s="33" t="n">
        <v>0</v>
      </c>
      <c r="DK39" s="33" t="n">
        <v>0</v>
      </c>
      <c r="DL39" s="33" t="n">
        <v>0</v>
      </c>
      <c r="DM39" s="33" t="n">
        <v>0</v>
      </c>
      <c r="DN39" s="33" t="n">
        <v>0</v>
      </c>
      <c r="DO39" s="33" t="n">
        <v>0</v>
      </c>
      <c r="DP39" s="33" t="n">
        <v>0</v>
      </c>
      <c r="DQ39" s="33" t="n">
        <v>0</v>
      </c>
      <c r="DR39" s="33" t="n">
        <v>0</v>
      </c>
      <c r="DS39" s="33" t="n">
        <v>0</v>
      </c>
      <c r="DT39" s="33" t="n">
        <v>0</v>
      </c>
      <c r="DU39" s="33" t="n">
        <v>0</v>
      </c>
      <c r="DV39" s="33" t="n">
        <v>0</v>
      </c>
      <c r="DW39" s="33" t="n">
        <v>0</v>
      </c>
      <c r="DX39" s="33" t="n">
        <v>0</v>
      </c>
      <c r="DY39" s="33" t="n">
        <v>0</v>
      </c>
      <c r="DZ39" s="33" t="n">
        <v>0</v>
      </c>
      <c r="EA39" s="33" t="n">
        <v>0</v>
      </c>
      <c r="EB39" s="33" t="n">
        <v>0</v>
      </c>
      <c r="EC39" s="33" t="n">
        <v>0</v>
      </c>
      <c r="ED39" s="33" t="n">
        <v>0</v>
      </c>
      <c r="EE39" s="33" t="n">
        <v>0</v>
      </c>
      <c r="EF39" s="33" t="n">
        <v>0</v>
      </c>
      <c r="EG39" s="33" t="n">
        <v>0</v>
      </c>
      <c r="EH39" s="33" t="n">
        <v>0</v>
      </c>
      <c r="EI39" s="33" t="n">
        <v>0</v>
      </c>
      <c r="EJ39" s="33" t="n">
        <v>0</v>
      </c>
      <c r="EK39" s="33" t="n">
        <v>0</v>
      </c>
      <c r="EL39" s="33" t="n">
        <v>0</v>
      </c>
      <c r="EM39" s="33" t="n">
        <v>0</v>
      </c>
      <c r="EN39" s="33" t="n">
        <v>0</v>
      </c>
      <c r="EO39" s="33" t="n">
        <v>0</v>
      </c>
      <c r="EP39" s="33" t="n">
        <v>0</v>
      </c>
      <c r="EQ39" s="33" t="n">
        <v>0</v>
      </c>
      <c r="ER39" s="33" t="n">
        <v>0</v>
      </c>
      <c r="ES39" s="33" t="n">
        <v>0</v>
      </c>
      <c r="ET39" s="33" t="n">
        <v>0</v>
      </c>
      <c r="EU39" s="33" t="n">
        <v>0</v>
      </c>
      <c r="EV39" s="33" t="n">
        <v>0</v>
      </c>
      <c r="EW39" s="33" t="n">
        <v>0</v>
      </c>
      <c r="EX39" s="33" t="n">
        <v>0</v>
      </c>
      <c r="EY39" s="33" t="n">
        <v>0</v>
      </c>
      <c r="EZ39" s="33" t="n">
        <v>0</v>
      </c>
      <c r="FA39" s="33" t="n">
        <v>0</v>
      </c>
      <c r="FB39" s="33" t="n">
        <v>0</v>
      </c>
      <c r="FC39" s="33" t="n">
        <v>0</v>
      </c>
      <c r="FD39" s="33" t="n">
        <v>0</v>
      </c>
      <c r="FE39" s="33" t="n">
        <v>0</v>
      </c>
      <c r="FF39" s="33" t="n">
        <v>0</v>
      </c>
      <c r="FG39" s="33" t="n">
        <v>0</v>
      </c>
      <c r="FH39" s="33" t="n">
        <v>0</v>
      </c>
      <c r="FI39" s="33" t="n">
        <v>0</v>
      </c>
      <c r="FJ39" s="33" t="n">
        <v>0</v>
      </c>
      <c r="FK39" s="33" t="n">
        <v>0</v>
      </c>
      <c r="FL39" s="33" t="n">
        <v>0</v>
      </c>
      <c r="FM39" s="33" t="n">
        <v>0</v>
      </c>
      <c r="FN39" s="33" t="n">
        <v>0</v>
      </c>
      <c r="FO39" s="33" t="n">
        <v>0</v>
      </c>
      <c r="FP39" s="33" t="n">
        <v>0</v>
      </c>
      <c r="FQ39" s="33" t="n">
        <v>0</v>
      </c>
      <c r="FR39" s="33" t="n">
        <v>0</v>
      </c>
      <c r="FS39" s="33" t="n">
        <v>0</v>
      </c>
      <c r="FT39" s="33" t="n">
        <v>0</v>
      </c>
      <c r="FU39" s="33" t="n">
        <v>0</v>
      </c>
      <c r="FV39" s="33" t="n">
        <v>0</v>
      </c>
      <c r="FW39" s="33" t="n">
        <v>0</v>
      </c>
      <c r="FX39" s="33" t="n">
        <v>0</v>
      </c>
      <c r="FY39" s="33" t="n">
        <v>0</v>
      </c>
      <c r="FZ39" s="33" t="n">
        <v>0</v>
      </c>
      <c r="GA39" s="33" t="n">
        <v>0</v>
      </c>
      <c r="GB39" s="33" t="n">
        <v>0</v>
      </c>
      <c r="GC39" s="33" t="n">
        <v>0</v>
      </c>
      <c r="GD39" s="33" t="n">
        <v>0</v>
      </c>
      <c r="GE39" s="33" t="n">
        <v>0</v>
      </c>
      <c r="GF39" s="33" t="n">
        <v>0</v>
      </c>
      <c r="GG39" s="33" t="n">
        <v>0</v>
      </c>
      <c r="GH39" s="33" t="n">
        <v>0</v>
      </c>
      <c r="GI39" s="33" t="n">
        <v>0</v>
      </c>
      <c r="GJ39" s="33" t="n">
        <v>0</v>
      </c>
      <c r="GK39" s="33" t="n">
        <v>0</v>
      </c>
      <c r="GL39" s="33" t="n">
        <v>0</v>
      </c>
      <c r="GM39" s="33" t="n">
        <v>0</v>
      </c>
      <c r="GN39" s="33" t="n">
        <v>0</v>
      </c>
      <c r="GO39" s="33" t="n">
        <v>0</v>
      </c>
      <c r="GP39" s="33" t="n">
        <v>0</v>
      </c>
      <c r="GQ39" s="33" t="n">
        <v>0</v>
      </c>
      <c r="GR39" s="33" t="n">
        <v>0</v>
      </c>
      <c r="GS39" s="33" t="n">
        <v>0</v>
      </c>
      <c r="GT39" s="33" t="n">
        <v>0</v>
      </c>
      <c r="GU39" s="33" t="n">
        <v>0</v>
      </c>
      <c r="GV39" s="33" t="n">
        <v>0</v>
      </c>
      <c r="GW39" s="33" t="n">
        <v>0</v>
      </c>
      <c r="GX39" s="33" t="n">
        <v>0</v>
      </c>
      <c r="GY39" s="33" t="n">
        <v>0</v>
      </c>
      <c r="GZ39" s="33" t="n">
        <v>0</v>
      </c>
      <c r="HA39" s="33" t="n">
        <v>0</v>
      </c>
      <c r="HB39" s="33" t="n">
        <v>0</v>
      </c>
      <c r="HC39" s="33" t="n">
        <v>0</v>
      </c>
      <c r="HD39" s="33" t="n">
        <v>0</v>
      </c>
      <c r="HE39" s="33" t="n">
        <v>0</v>
      </c>
      <c r="HF39" s="33" t="n">
        <v>0</v>
      </c>
      <c r="HG39" s="33" t="n">
        <v>0</v>
      </c>
      <c r="HH39" s="33" t="n">
        <v>0</v>
      </c>
      <c r="HI39" s="33" t="n">
        <v>0</v>
      </c>
      <c r="HJ39" s="33" t="n">
        <v>0</v>
      </c>
      <c r="HK39" s="33" t="n">
        <v>0</v>
      </c>
      <c r="HL39" s="33" t="n">
        <v>0</v>
      </c>
      <c r="HM39" s="33" t="n">
        <v>0</v>
      </c>
      <c r="HN39" s="33" t="n">
        <v>0</v>
      </c>
      <c r="HO39" s="33" t="n">
        <v>0</v>
      </c>
      <c r="HP39" s="33" t="n">
        <v>0</v>
      </c>
      <c r="HQ39" s="33" t="n">
        <v>0</v>
      </c>
      <c r="HR39" s="33" t="n">
        <v>0</v>
      </c>
      <c r="HS39" s="33" t="n">
        <v>0</v>
      </c>
      <c r="HT39" s="33" t="n">
        <v>0</v>
      </c>
      <c r="HU39" s="33" t="n">
        <v>0</v>
      </c>
      <c r="HV39" s="33" t="n">
        <v>0</v>
      </c>
      <c r="HW39" s="33" t="n">
        <v>0</v>
      </c>
      <c r="HX39" s="33" t="n">
        <v>0</v>
      </c>
      <c r="HY39" s="33" t="n">
        <v>0</v>
      </c>
      <c r="HZ39" s="33" t="n">
        <v>0</v>
      </c>
      <c r="IA39" s="33" t="n">
        <v>0</v>
      </c>
      <c r="IB39" s="33" t="n">
        <v>0</v>
      </c>
      <c r="IC39" s="33" t="n">
        <v>0</v>
      </c>
      <c r="ID39" s="33" t="n">
        <v>0</v>
      </c>
      <c r="IE39" s="33" t="n">
        <v>0</v>
      </c>
      <c r="IF39" s="33" t="n">
        <v>0</v>
      </c>
      <c r="IG39" s="33" t="n">
        <v>0</v>
      </c>
      <c r="IH39" s="33" t="n">
        <v>0</v>
      </c>
      <c r="II39" s="33" t="n">
        <v>0</v>
      </c>
      <c r="IJ39" s="33" t="n">
        <v>0</v>
      </c>
      <c r="IK39" s="33" t="n">
        <v>0</v>
      </c>
      <c r="IL39" s="33" t="n">
        <v>0</v>
      </c>
      <c r="IM39" s="33" t="n">
        <v>0</v>
      </c>
      <c r="IN39" s="33" t="n">
        <v>0</v>
      </c>
      <c r="IO39" s="33" t="n">
        <v>0</v>
      </c>
      <c r="IP39" s="33" t="n">
        <v>0</v>
      </c>
      <c r="IQ39" s="33" t="n">
        <v>0</v>
      </c>
      <c r="IR39" s="33" t="n">
        <v>0</v>
      </c>
      <c r="IS39" s="33" t="n">
        <v>0</v>
      </c>
      <c r="IT39" s="33" t="n">
        <v>0</v>
      </c>
      <c r="IU39" s="33" t="n">
        <v>0</v>
      </c>
      <c r="IV39" s="33" t="n">
        <v>0</v>
      </c>
      <c r="IW39" s="33" t="n">
        <v>0</v>
      </c>
      <c r="IX39" s="33" t="n">
        <v>0</v>
      </c>
      <c r="IY39" s="33" t="n">
        <v>0</v>
      </c>
      <c r="IZ39" s="33" t="n">
        <v>0</v>
      </c>
      <c r="JA39" s="33" t="n">
        <v>0</v>
      </c>
      <c r="JB39" s="33" t="n">
        <v>0</v>
      </c>
      <c r="JC39" s="33" t="n">
        <v>0</v>
      </c>
      <c r="JD39" s="33" t="n">
        <v>0</v>
      </c>
      <c r="JE39" s="33" t="n">
        <v>0</v>
      </c>
      <c r="JF39" s="33" t="n">
        <v>0</v>
      </c>
      <c r="JG39" s="33" t="n">
        <v>0</v>
      </c>
      <c r="JH39" s="33" t="n">
        <v>0</v>
      </c>
      <c r="JI39" s="33" t="n">
        <v>0</v>
      </c>
      <c r="JJ39" s="33" t="n">
        <v>0</v>
      </c>
      <c r="JK39" s="33" t="n">
        <v>0</v>
      </c>
      <c r="JL39" s="33" t="n">
        <v>0</v>
      </c>
      <c r="JM39" s="33" t="n">
        <v>0</v>
      </c>
      <c r="JN39" s="33" t="n">
        <v>0</v>
      </c>
      <c r="JO39" s="33" t="n">
        <v>0</v>
      </c>
      <c r="JP39" s="33" t="n">
        <v>0</v>
      </c>
      <c r="JQ39" s="33" t="n">
        <v>0</v>
      </c>
      <c r="JR39" s="33" t="n">
        <v>0</v>
      </c>
      <c r="JS39" s="33" t="n">
        <v>0</v>
      </c>
      <c r="JT39" s="33" t="n">
        <v>0</v>
      </c>
      <c r="JU39" s="33" t="n">
        <v>0</v>
      </c>
      <c r="JV39" s="33" t="n">
        <v>0</v>
      </c>
      <c r="JW39" s="33" t="n">
        <v>0</v>
      </c>
      <c r="JX39" s="33" t="n">
        <v>0</v>
      </c>
      <c r="JY39" s="33" t="n">
        <v>0</v>
      </c>
      <c r="JZ39" s="33" t="n">
        <v>0</v>
      </c>
      <c r="KA39" s="33" t="n">
        <v>0</v>
      </c>
      <c r="KB39" s="33" t="n">
        <v>0</v>
      </c>
      <c r="KC39" s="33" t="n">
        <v>0</v>
      </c>
      <c r="KD39" s="33" t="n">
        <v>0</v>
      </c>
      <c r="KE39" s="33" t="n">
        <v>0</v>
      </c>
      <c r="KF39" s="33" t="n">
        <v>0</v>
      </c>
      <c r="KG39" s="33" t="n">
        <v>0</v>
      </c>
      <c r="KH39" s="33" t="n">
        <v>0</v>
      </c>
      <c r="KI39" s="33" t="n">
        <v>0</v>
      </c>
      <c r="KJ39" s="33" t="n">
        <v>0</v>
      </c>
      <c r="KK39" s="33" t="n">
        <v>0</v>
      </c>
      <c r="KL39" s="33" t="n">
        <v>0</v>
      </c>
      <c r="KM39" s="33" t="n">
        <v>0</v>
      </c>
      <c r="KN39" s="33" t="n">
        <v>0</v>
      </c>
      <c r="KO39" s="33" t="n">
        <v>0</v>
      </c>
      <c r="KP39" s="33" t="n">
        <v>0</v>
      </c>
      <c r="KQ39" s="33" t="n">
        <v>0</v>
      </c>
      <c r="KR39" s="33" t="n">
        <v>0</v>
      </c>
      <c r="KS39" s="33" t="n">
        <v>0</v>
      </c>
      <c r="KT39" s="33" t="n">
        <v>0</v>
      </c>
      <c r="KU39" s="33" t="n">
        <v>0</v>
      </c>
      <c r="KV39" s="33" t="n">
        <v>0</v>
      </c>
      <c r="KW39" s="33" t="n">
        <v>0</v>
      </c>
      <c r="KX39" s="33" t="n">
        <v>0</v>
      </c>
      <c r="KY39" s="33" t="n">
        <v>0</v>
      </c>
      <c r="KZ39" s="33" t="n">
        <v>0</v>
      </c>
      <c r="LA39" s="33" t="n">
        <v>0</v>
      </c>
      <c r="LB39" s="33" t="n">
        <v>0</v>
      </c>
      <c r="LC39" s="33" t="n">
        <v>0</v>
      </c>
      <c r="LD39" s="33" t="n">
        <v>0</v>
      </c>
      <c r="LE39" s="33" t="n">
        <v>0</v>
      </c>
      <c r="LF39" s="33" t="n">
        <v>0</v>
      </c>
      <c r="LG39" s="33" t="n">
        <v>0</v>
      </c>
      <c r="LH39" s="33" t="n">
        <v>0</v>
      </c>
      <c r="LI39" s="33" t="n">
        <v>0</v>
      </c>
      <c r="LJ39" s="33" t="n">
        <v>0</v>
      </c>
      <c r="LK39" s="33" t="n">
        <v>0</v>
      </c>
      <c r="LL39" s="33" t="n">
        <v>0</v>
      </c>
      <c r="LM39" s="33" t="n">
        <v>0</v>
      </c>
      <c r="LN39" s="33" t="n">
        <v>0</v>
      </c>
      <c r="LO39" s="33" t="n">
        <v>0</v>
      </c>
      <c r="LP39" s="33" t="n">
        <v>0</v>
      </c>
      <c r="LQ39" s="33" t="n">
        <v>0</v>
      </c>
      <c r="LR39" s="33" t="n">
        <v>0</v>
      </c>
      <c r="LS39" s="33" t="n">
        <v>0</v>
      </c>
      <c r="LT39" s="33" t="n">
        <v>0</v>
      </c>
      <c r="LU39" s="33" t="n">
        <v>0</v>
      </c>
      <c r="LV39" s="33" t="n">
        <v>0</v>
      </c>
      <c r="LW39" s="33" t="n">
        <v>0</v>
      </c>
      <c r="LX39" s="33" t="n">
        <v>0</v>
      </c>
      <c r="LY39" s="33" t="n">
        <v>0</v>
      </c>
      <c r="LZ39" s="33" t="n">
        <v>0</v>
      </c>
      <c r="MA39" s="33" t="n">
        <v>0</v>
      </c>
      <c r="MB39" s="33" t="n">
        <v>0</v>
      </c>
      <c r="MC39" s="33" t="n">
        <v>0</v>
      </c>
      <c r="MD39" s="33" t="n">
        <v>0</v>
      </c>
      <c r="ME39" s="33" t="n">
        <v>0</v>
      </c>
      <c r="MF39" s="33" t="n">
        <v>0</v>
      </c>
      <c r="MG39" s="33" t="n">
        <v>0</v>
      </c>
      <c r="MH39" s="33" t="n">
        <v>0</v>
      </c>
      <c r="MI39" s="33" t="n">
        <v>0</v>
      </c>
      <c r="MJ39" s="33" t="n">
        <v>0</v>
      </c>
      <c r="MK39" s="33" t="n">
        <v>0</v>
      </c>
      <c r="ML39" s="33" t="n">
        <v>0</v>
      </c>
      <c r="MM39" s="33" t="n">
        <v>0</v>
      </c>
      <c r="MN39" s="33" t="n">
        <v>0</v>
      </c>
      <c r="MO39" s="33" t="n">
        <v>0</v>
      </c>
      <c r="MP39" s="33" t="n">
        <v>0</v>
      </c>
      <c r="MQ39" s="33" t="n">
        <v>0</v>
      </c>
      <c r="MR39" s="33" t="n">
        <v>0</v>
      </c>
      <c r="MS39" s="33" t="n">
        <v>0</v>
      </c>
      <c r="MT39" s="33" t="n">
        <v>0</v>
      </c>
      <c r="MU39" s="33" t="n">
        <v>0</v>
      </c>
      <c r="MV39" s="33" t="n">
        <v>0</v>
      </c>
      <c r="MW39" s="33" t="n">
        <v>0</v>
      </c>
      <c r="MX39" s="33" t="n">
        <v>0</v>
      </c>
      <c r="MY39" s="33" t="n">
        <v>0</v>
      </c>
      <c r="MZ39" s="33" t="n">
        <v>0</v>
      </c>
      <c r="NA39" s="33" t="n">
        <v>0</v>
      </c>
      <c r="NB39" s="33" t="n">
        <v>0</v>
      </c>
      <c r="NC39" s="33" t="n">
        <v>0</v>
      </c>
      <c r="ND39" s="33" t="n">
        <v>0</v>
      </c>
      <c r="NE39" s="33" t="n">
        <v>0</v>
      </c>
      <c r="NF39" s="33" t="n">
        <v>0</v>
      </c>
      <c r="NG39" s="33" t="n">
        <v>0</v>
      </c>
      <c r="NH39" s="33" t="n">
        <v>0</v>
      </c>
      <c r="NI39" s="33" t="n">
        <v>0</v>
      </c>
      <c r="NJ39" s="33" t="n">
        <v>0</v>
      </c>
      <c r="NK39" s="33" t="n">
        <v>0</v>
      </c>
      <c r="NL39" s="33" t="n">
        <v>0</v>
      </c>
      <c r="NM39" s="33" t="n">
        <v>0</v>
      </c>
      <c r="NN39" s="33" t="n">
        <v>0</v>
      </c>
      <c r="NO39" s="33" t="n">
        <v>0</v>
      </c>
      <c r="NP39" s="33" t="n">
        <v>0</v>
      </c>
      <c r="NQ39" s="33" t="n">
        <v>0</v>
      </c>
      <c r="NR39" s="33" t="n">
        <v>0</v>
      </c>
      <c r="NS39" s="33" t="n">
        <v>0</v>
      </c>
      <c r="NT39" s="33" t="n">
        <v>0</v>
      </c>
      <c r="NU39" s="33" t="n">
        <v>0</v>
      </c>
      <c r="NV39" s="33" t="n">
        <v>0</v>
      </c>
      <c r="NW39" s="33" t="n">
        <v>0</v>
      </c>
      <c r="NX39" s="33" t="n">
        <v>0</v>
      </c>
      <c r="NY39" s="33" t="n">
        <v>0</v>
      </c>
      <c r="NZ39" s="33" t="n">
        <v>0</v>
      </c>
      <c r="OA39" s="33" t="n">
        <v>0</v>
      </c>
      <c r="OB39" s="33" t="n">
        <v>0</v>
      </c>
      <c r="OC39" s="33" t="n">
        <v>0</v>
      </c>
      <c r="OD39" s="33" t="n">
        <v>0</v>
      </c>
      <c r="OE39" s="33" t="n">
        <v>0</v>
      </c>
      <c r="OF39" s="33" t="n">
        <v>0</v>
      </c>
      <c r="OG39" s="33" t="n">
        <v>0</v>
      </c>
      <c r="OH39" s="33" t="n">
        <v>0</v>
      </c>
      <c r="OI39" s="33" t="n">
        <v>0</v>
      </c>
      <c r="OJ39" s="33" t="n">
        <v>0</v>
      </c>
      <c r="OK39" s="33" t="n">
        <v>0</v>
      </c>
      <c r="OL39" s="33" t="n">
        <v>0</v>
      </c>
      <c r="OM39" s="33" t="n">
        <v>0</v>
      </c>
      <c r="ON39" s="33" t="n">
        <v>0</v>
      </c>
      <c r="OO39" s="33" t="n">
        <v>0</v>
      </c>
      <c r="OP39" s="33" t="n">
        <v>0</v>
      </c>
      <c r="OQ39" s="33" t="n">
        <v>0</v>
      </c>
      <c r="OR39" s="33" t="n">
        <v>0</v>
      </c>
      <c r="OS39" s="33" t="n">
        <v>0</v>
      </c>
      <c r="OT39" s="33" t="n">
        <v>0</v>
      </c>
      <c r="OU39" s="33" t="n">
        <v>0</v>
      </c>
      <c r="OV39" s="33" t="n">
        <v>0</v>
      </c>
      <c r="OW39" s="33" t="n">
        <v>0</v>
      </c>
      <c r="OX39" s="33" t="n">
        <v>0</v>
      </c>
      <c r="OY39" s="33" t="n">
        <v>0</v>
      </c>
      <c r="OZ39" s="33" t="n">
        <v>0</v>
      </c>
      <c r="PA39" s="33" t="n">
        <v>0</v>
      </c>
      <c r="PB39" s="33" t="n">
        <v>0</v>
      </c>
      <c r="PC39" s="33" t="n">
        <v>0</v>
      </c>
      <c r="PD39" s="33" t="n">
        <v>0</v>
      </c>
      <c r="PE39" s="33" t="n">
        <v>0</v>
      </c>
      <c r="PF39" s="33" t="n">
        <v>0</v>
      </c>
      <c r="PG39" s="33" t="n">
        <v>0</v>
      </c>
      <c r="PH39" s="33" t="n">
        <v>0</v>
      </c>
      <c r="PI39" s="33" t="n">
        <v>0</v>
      </c>
      <c r="PJ39" s="33" t="n">
        <v>0</v>
      </c>
      <c r="PK39" s="33" t="n">
        <v>0</v>
      </c>
      <c r="PL39" s="33" t="n">
        <v>0</v>
      </c>
      <c r="PM39" s="33" t="n">
        <v>0</v>
      </c>
      <c r="PN39" s="33" t="n">
        <v>0</v>
      </c>
      <c r="PO39" s="33" t="n">
        <v>0</v>
      </c>
      <c r="PP39" s="33" t="n">
        <v>0</v>
      </c>
      <c r="PQ39" s="33" t="n">
        <v>0</v>
      </c>
      <c r="PR39" s="33" t="n">
        <v>0</v>
      </c>
      <c r="PS39" s="33" t="n">
        <v>0</v>
      </c>
      <c r="PT39" s="33" t="n">
        <v>0</v>
      </c>
      <c r="PU39" s="33" t="n">
        <v>0</v>
      </c>
      <c r="PV39" s="33" t="n">
        <v>0</v>
      </c>
      <c r="PW39" s="33" t="n">
        <v>0</v>
      </c>
      <c r="PX39" s="33" t="n">
        <v>0</v>
      </c>
      <c r="PY39" s="33" t="n">
        <v>0</v>
      </c>
      <c r="PZ39" s="33" t="n">
        <v>0</v>
      </c>
      <c r="QA39" s="33" t="n">
        <v>0</v>
      </c>
      <c r="QB39" s="33" t="n">
        <v>0</v>
      </c>
      <c r="QC39" s="33" t="n">
        <v>0</v>
      </c>
      <c r="QD39" s="33" t="n">
        <v>0</v>
      </c>
      <c r="QE39" s="33" t="n">
        <v>0</v>
      </c>
      <c r="QF39" s="33" t="n">
        <v>0</v>
      </c>
      <c r="QG39" s="33" t="n">
        <v>0</v>
      </c>
      <c r="QH39" s="33" t="n">
        <v>0</v>
      </c>
      <c r="QI39" s="33" t="n">
        <v>0</v>
      </c>
      <c r="QJ39" s="33" t="n">
        <v>0</v>
      </c>
      <c r="QK39" s="33" t="n">
        <v>0</v>
      </c>
      <c r="QL39" s="33" t="n">
        <v>0</v>
      </c>
      <c r="QM39" s="33" t="n">
        <v>0</v>
      </c>
      <c r="QN39" s="33" t="n">
        <v>0</v>
      </c>
      <c r="QO39" s="33" t="n">
        <v>0</v>
      </c>
      <c r="QP39" s="33" t="n">
        <v>0</v>
      </c>
      <c r="QQ39" s="33" t="n">
        <v>0</v>
      </c>
      <c r="QR39" s="33" t="n">
        <v>0</v>
      </c>
      <c r="QS39" s="33" t="n">
        <v>0</v>
      </c>
      <c r="QT39" s="33" t="n">
        <v>0</v>
      </c>
      <c r="QU39" s="33" t="n">
        <v>0</v>
      </c>
      <c r="QV39" s="33" t="n">
        <v>0</v>
      </c>
      <c r="QW39" s="33" t="n">
        <v>0</v>
      </c>
      <c r="QX39" s="33" t="n">
        <v>0</v>
      </c>
      <c r="QY39" s="33" t="n">
        <v>0</v>
      </c>
      <c r="QZ39" s="33" t="n">
        <v>0</v>
      </c>
      <c r="RA39" s="33" t="n">
        <v>0</v>
      </c>
      <c r="RB39" s="33" t="n">
        <v>0</v>
      </c>
      <c r="RC39" s="33" t="n">
        <v>0</v>
      </c>
      <c r="RD39" s="33" t="n">
        <v>0</v>
      </c>
      <c r="RE39" s="33" t="n">
        <v>0</v>
      </c>
      <c r="RF39" s="33" t="n">
        <v>0</v>
      </c>
      <c r="RG39" s="33" t="n">
        <v>0</v>
      </c>
      <c r="RH39" s="33" t="n">
        <v>0</v>
      </c>
      <c r="RI39" s="33" t="n">
        <v>0</v>
      </c>
      <c r="RJ39" s="33" t="n">
        <v>0</v>
      </c>
      <c r="RK39" s="33" t="n">
        <v>0</v>
      </c>
      <c r="RL39" s="33" t="n">
        <v>0</v>
      </c>
      <c r="RM39" s="33" t="n">
        <v>0</v>
      </c>
      <c r="RN39" s="33" t="n">
        <v>0</v>
      </c>
      <c r="RO39" s="33" t="n">
        <v>0</v>
      </c>
      <c r="RP39" s="33" t="n">
        <v>0</v>
      </c>
      <c r="RQ39" s="33" t="n">
        <v>0</v>
      </c>
      <c r="RR39" s="33" t="n">
        <v>0</v>
      </c>
      <c r="RS39" s="33" t="n">
        <v>0</v>
      </c>
      <c r="RT39" s="33" t="n">
        <v>0</v>
      </c>
      <c r="RU39" s="33" t="n">
        <v>0</v>
      </c>
      <c r="RV39" s="33" t="n">
        <v>0</v>
      </c>
      <c r="RW39" s="33" t="n">
        <v>0</v>
      </c>
    </row>
    <row r="40" hidden="1" outlineLevel="1" ht="13.05" customHeight="1">
      <c r="E40" s="21" t="inlineStr">
        <is>
          <t>Feed-In Tariff Cost</t>
        </is>
      </c>
      <c r="F40" s="29" t="n"/>
      <c r="G40" s="29" t="inlineStr">
        <is>
          <t>kEUR</t>
        </is>
      </c>
      <c r="H40" s="29" t="n"/>
      <c r="I40" s="29" t="n"/>
      <c r="J40" s="32" t="n">
        <v>0</v>
      </c>
      <c r="K40" s="29" t="n"/>
      <c r="L40" s="33" t="n">
        <v>0</v>
      </c>
      <c r="M40" s="33" t="n">
        <v>0</v>
      </c>
      <c r="N40" s="33" t="n">
        <v>0</v>
      </c>
      <c r="O40" s="33" t="n">
        <v>0</v>
      </c>
      <c r="P40" s="33" t="n">
        <v>0</v>
      </c>
      <c r="Q40" s="33" t="n">
        <v>0</v>
      </c>
      <c r="R40" s="33" t="n">
        <v>0</v>
      </c>
      <c r="S40" s="33" t="n">
        <v>0</v>
      </c>
      <c r="T40" s="33" t="n">
        <v>0</v>
      </c>
      <c r="U40" s="33" t="n">
        <v>0</v>
      </c>
      <c r="V40" s="33" t="n">
        <v>0</v>
      </c>
      <c r="W40" s="33" t="n">
        <v>0</v>
      </c>
      <c r="X40" s="33" t="n">
        <v>0</v>
      </c>
      <c r="Y40" s="33" t="n">
        <v>0</v>
      </c>
      <c r="Z40" s="33" t="n">
        <v>0</v>
      </c>
      <c r="AA40" s="33" t="n">
        <v>0</v>
      </c>
      <c r="AB40" s="33" t="n">
        <v>0</v>
      </c>
      <c r="AC40" s="33" t="n">
        <v>0</v>
      </c>
      <c r="AD40" s="33" t="n">
        <v>0</v>
      </c>
      <c r="AE40" s="33" t="n">
        <v>0</v>
      </c>
      <c r="AF40" s="33" t="n">
        <v>0</v>
      </c>
      <c r="AG40" s="33" t="n">
        <v>0</v>
      </c>
      <c r="AH40" s="33" t="n">
        <v>0</v>
      </c>
      <c r="AI40" s="33" t="n">
        <v>0</v>
      </c>
      <c r="AJ40" s="33" t="n">
        <v>0</v>
      </c>
      <c r="AK40" s="33" t="n">
        <v>0</v>
      </c>
      <c r="AL40" s="33" t="n">
        <v>0</v>
      </c>
      <c r="AM40" s="33" t="n">
        <v>0</v>
      </c>
      <c r="AN40" s="33" t="n">
        <v>0</v>
      </c>
      <c r="AO40" s="33" t="n">
        <v>0</v>
      </c>
      <c r="AP40" s="33" t="n">
        <v>0</v>
      </c>
      <c r="AQ40" s="33" t="n">
        <v>0</v>
      </c>
      <c r="AR40" s="33" t="n">
        <v>0</v>
      </c>
      <c r="AS40" s="33" t="n">
        <v>0</v>
      </c>
      <c r="AT40" s="33" t="n">
        <v>0</v>
      </c>
      <c r="AU40" s="33" t="n">
        <v>0</v>
      </c>
      <c r="AV40" s="33" t="n">
        <v>0</v>
      </c>
      <c r="AW40" s="33" t="n">
        <v>0</v>
      </c>
      <c r="AX40" s="33" t="n">
        <v>0</v>
      </c>
      <c r="AY40" s="33" t="n">
        <v>0</v>
      </c>
      <c r="AZ40" s="33" t="n">
        <v>0</v>
      </c>
      <c r="BA40" s="33" t="n">
        <v>0</v>
      </c>
      <c r="BB40" s="33" t="n">
        <v>0</v>
      </c>
      <c r="BC40" s="33" t="n">
        <v>0</v>
      </c>
      <c r="BD40" s="33" t="n">
        <v>0</v>
      </c>
      <c r="BE40" s="33" t="n">
        <v>0</v>
      </c>
      <c r="BF40" s="33" t="n">
        <v>0</v>
      </c>
      <c r="BG40" s="33" t="n">
        <v>0</v>
      </c>
      <c r="BH40" s="33" t="n">
        <v>0</v>
      </c>
      <c r="BI40" s="33" t="n">
        <v>0</v>
      </c>
      <c r="BJ40" s="33" t="n">
        <v>0</v>
      </c>
      <c r="BK40" s="33" t="n">
        <v>0</v>
      </c>
      <c r="BL40" s="33" t="n">
        <v>0</v>
      </c>
      <c r="BM40" s="33" t="n">
        <v>0</v>
      </c>
      <c r="BN40" s="33" t="n">
        <v>0</v>
      </c>
      <c r="BO40" s="33" t="n">
        <v>0</v>
      </c>
      <c r="BP40" s="33" t="n">
        <v>0</v>
      </c>
      <c r="BQ40" s="33" t="n">
        <v>0</v>
      </c>
      <c r="BR40" s="33" t="n">
        <v>0</v>
      </c>
      <c r="BS40" s="33" t="n">
        <v>0</v>
      </c>
      <c r="BT40" s="33" t="n">
        <v>0</v>
      </c>
      <c r="BU40" s="33" t="n">
        <v>0</v>
      </c>
      <c r="BV40" s="33" t="n">
        <v>0</v>
      </c>
      <c r="BW40" s="33" t="n">
        <v>0</v>
      </c>
      <c r="BX40" s="33" t="n">
        <v>0</v>
      </c>
      <c r="BY40" s="33" t="n">
        <v>0</v>
      </c>
      <c r="BZ40" s="33" t="n">
        <v>0</v>
      </c>
      <c r="CA40" s="33" t="n">
        <v>0</v>
      </c>
      <c r="CB40" s="33" t="n">
        <v>0</v>
      </c>
      <c r="CC40" s="33" t="n">
        <v>0</v>
      </c>
      <c r="CD40" s="33" t="n">
        <v>0</v>
      </c>
      <c r="CE40" s="33" t="n">
        <v>0</v>
      </c>
      <c r="CF40" s="33" t="n">
        <v>0</v>
      </c>
      <c r="CG40" s="33" t="n">
        <v>0</v>
      </c>
      <c r="CH40" s="33" t="n">
        <v>0</v>
      </c>
      <c r="CI40" s="33" t="n">
        <v>0</v>
      </c>
      <c r="CJ40" s="33" t="n">
        <v>0</v>
      </c>
      <c r="CK40" s="33" t="n">
        <v>0</v>
      </c>
      <c r="CL40" s="33" t="n">
        <v>0</v>
      </c>
      <c r="CM40" s="33" t="n">
        <v>0</v>
      </c>
      <c r="CN40" s="33" t="n">
        <v>0</v>
      </c>
      <c r="CO40" s="33" t="n">
        <v>0</v>
      </c>
      <c r="CP40" s="33" t="n">
        <v>0</v>
      </c>
      <c r="CQ40" s="33" t="n">
        <v>0</v>
      </c>
      <c r="CR40" s="33" t="n">
        <v>0</v>
      </c>
      <c r="CS40" s="33" t="n">
        <v>0</v>
      </c>
      <c r="CT40" s="33" t="n">
        <v>0</v>
      </c>
      <c r="CU40" s="33" t="n">
        <v>0</v>
      </c>
      <c r="CV40" s="33" t="n">
        <v>0</v>
      </c>
      <c r="CW40" s="33" t="n">
        <v>0</v>
      </c>
      <c r="CX40" s="33" t="n">
        <v>0</v>
      </c>
      <c r="CY40" s="33" t="n">
        <v>0</v>
      </c>
      <c r="CZ40" s="33" t="n">
        <v>0</v>
      </c>
      <c r="DA40" s="33" t="n">
        <v>0</v>
      </c>
      <c r="DB40" s="33" t="n">
        <v>0</v>
      </c>
      <c r="DC40" s="33" t="n">
        <v>0</v>
      </c>
      <c r="DD40" s="33" t="n">
        <v>0</v>
      </c>
      <c r="DE40" s="33" t="n">
        <v>0</v>
      </c>
      <c r="DF40" s="33" t="n">
        <v>0</v>
      </c>
      <c r="DG40" s="33" t="n">
        <v>0</v>
      </c>
      <c r="DH40" s="33" t="n">
        <v>0</v>
      </c>
      <c r="DI40" s="33" t="n">
        <v>0</v>
      </c>
      <c r="DJ40" s="33" t="n">
        <v>0</v>
      </c>
      <c r="DK40" s="33" t="n">
        <v>0</v>
      </c>
      <c r="DL40" s="33" t="n">
        <v>0</v>
      </c>
      <c r="DM40" s="33" t="n">
        <v>0</v>
      </c>
      <c r="DN40" s="33" t="n">
        <v>0</v>
      </c>
      <c r="DO40" s="33" t="n">
        <v>0</v>
      </c>
      <c r="DP40" s="33" t="n">
        <v>0</v>
      </c>
      <c r="DQ40" s="33" t="n">
        <v>0</v>
      </c>
      <c r="DR40" s="33" t="n">
        <v>0</v>
      </c>
      <c r="DS40" s="33" t="n">
        <v>0</v>
      </c>
      <c r="DT40" s="33" t="n">
        <v>0</v>
      </c>
      <c r="DU40" s="33" t="n">
        <v>0</v>
      </c>
      <c r="DV40" s="33" t="n">
        <v>0</v>
      </c>
      <c r="DW40" s="33" t="n">
        <v>0</v>
      </c>
      <c r="DX40" s="33" t="n">
        <v>0</v>
      </c>
      <c r="DY40" s="33" t="n">
        <v>0</v>
      </c>
      <c r="DZ40" s="33" t="n">
        <v>0</v>
      </c>
      <c r="EA40" s="33" t="n">
        <v>0</v>
      </c>
      <c r="EB40" s="33" t="n">
        <v>0</v>
      </c>
      <c r="EC40" s="33" t="n">
        <v>0</v>
      </c>
      <c r="ED40" s="33" t="n">
        <v>0</v>
      </c>
      <c r="EE40" s="33" t="n">
        <v>0</v>
      </c>
      <c r="EF40" s="33" t="n">
        <v>0</v>
      </c>
      <c r="EG40" s="33" t="n">
        <v>0</v>
      </c>
      <c r="EH40" s="33" t="n">
        <v>0</v>
      </c>
      <c r="EI40" s="33" t="n">
        <v>0</v>
      </c>
      <c r="EJ40" s="33" t="n">
        <v>0</v>
      </c>
      <c r="EK40" s="33" t="n">
        <v>0</v>
      </c>
      <c r="EL40" s="33" t="n">
        <v>0</v>
      </c>
      <c r="EM40" s="33" t="n">
        <v>0</v>
      </c>
      <c r="EN40" s="33" t="n">
        <v>0</v>
      </c>
      <c r="EO40" s="33" t="n">
        <v>0</v>
      </c>
      <c r="EP40" s="33" t="n">
        <v>0</v>
      </c>
      <c r="EQ40" s="33" t="n">
        <v>0</v>
      </c>
      <c r="ER40" s="33" t="n">
        <v>0</v>
      </c>
      <c r="ES40" s="33" t="n">
        <v>0</v>
      </c>
      <c r="ET40" s="33" t="n">
        <v>0</v>
      </c>
      <c r="EU40" s="33" t="n">
        <v>0</v>
      </c>
      <c r="EV40" s="33" t="n">
        <v>0</v>
      </c>
      <c r="EW40" s="33" t="n">
        <v>0</v>
      </c>
      <c r="EX40" s="33" t="n">
        <v>0</v>
      </c>
      <c r="EY40" s="33" t="n">
        <v>0</v>
      </c>
      <c r="EZ40" s="33" t="n">
        <v>0</v>
      </c>
      <c r="FA40" s="33" t="n">
        <v>0</v>
      </c>
      <c r="FB40" s="33" t="n">
        <v>0</v>
      </c>
      <c r="FC40" s="33" t="n">
        <v>0</v>
      </c>
      <c r="FD40" s="33" t="n">
        <v>0</v>
      </c>
      <c r="FE40" s="33" t="n">
        <v>0</v>
      </c>
      <c r="FF40" s="33" t="n">
        <v>0</v>
      </c>
      <c r="FG40" s="33" t="n">
        <v>0</v>
      </c>
      <c r="FH40" s="33" t="n">
        <v>0</v>
      </c>
      <c r="FI40" s="33" t="n">
        <v>0</v>
      </c>
      <c r="FJ40" s="33" t="n">
        <v>0</v>
      </c>
      <c r="FK40" s="33" t="n">
        <v>0</v>
      </c>
      <c r="FL40" s="33" t="n">
        <v>0</v>
      </c>
      <c r="FM40" s="33" t="n">
        <v>0</v>
      </c>
      <c r="FN40" s="33" t="n">
        <v>0</v>
      </c>
      <c r="FO40" s="33" t="n">
        <v>0</v>
      </c>
      <c r="FP40" s="33" t="n">
        <v>0</v>
      </c>
      <c r="FQ40" s="33" t="n">
        <v>0</v>
      </c>
      <c r="FR40" s="33" t="n">
        <v>0</v>
      </c>
      <c r="FS40" s="33" t="n">
        <v>0</v>
      </c>
      <c r="FT40" s="33" t="n">
        <v>0</v>
      </c>
      <c r="FU40" s="33" t="n">
        <v>0</v>
      </c>
      <c r="FV40" s="33" t="n">
        <v>0</v>
      </c>
      <c r="FW40" s="33" t="n">
        <v>0</v>
      </c>
      <c r="FX40" s="33" t="n">
        <v>0</v>
      </c>
      <c r="FY40" s="33" t="n">
        <v>0</v>
      </c>
      <c r="FZ40" s="33" t="n">
        <v>0</v>
      </c>
      <c r="GA40" s="33" t="n">
        <v>0</v>
      </c>
      <c r="GB40" s="33" t="n">
        <v>0</v>
      </c>
      <c r="GC40" s="33" t="n">
        <v>0</v>
      </c>
      <c r="GD40" s="33" t="n">
        <v>0</v>
      </c>
      <c r="GE40" s="33" t="n">
        <v>0</v>
      </c>
      <c r="GF40" s="33" t="n">
        <v>0</v>
      </c>
      <c r="GG40" s="33" t="n">
        <v>0</v>
      </c>
      <c r="GH40" s="33" t="n">
        <v>0</v>
      </c>
      <c r="GI40" s="33" t="n">
        <v>0</v>
      </c>
      <c r="GJ40" s="33" t="n">
        <v>0</v>
      </c>
      <c r="GK40" s="33" t="n">
        <v>0</v>
      </c>
      <c r="GL40" s="33" t="n">
        <v>0</v>
      </c>
      <c r="GM40" s="33" t="n">
        <v>0</v>
      </c>
      <c r="GN40" s="33" t="n">
        <v>0</v>
      </c>
      <c r="GO40" s="33" t="n">
        <v>0</v>
      </c>
      <c r="GP40" s="33" t="n">
        <v>0</v>
      </c>
      <c r="GQ40" s="33" t="n">
        <v>0</v>
      </c>
      <c r="GR40" s="33" t="n">
        <v>0</v>
      </c>
      <c r="GS40" s="33" t="n">
        <v>0</v>
      </c>
      <c r="GT40" s="33" t="n">
        <v>0</v>
      </c>
      <c r="GU40" s="33" t="n">
        <v>0</v>
      </c>
      <c r="GV40" s="33" t="n">
        <v>0</v>
      </c>
      <c r="GW40" s="33" t="n">
        <v>0</v>
      </c>
      <c r="GX40" s="33" t="n">
        <v>0</v>
      </c>
      <c r="GY40" s="33" t="n">
        <v>0</v>
      </c>
      <c r="GZ40" s="33" t="n">
        <v>0</v>
      </c>
      <c r="HA40" s="33" t="n">
        <v>0</v>
      </c>
      <c r="HB40" s="33" t="n">
        <v>0</v>
      </c>
      <c r="HC40" s="33" t="n">
        <v>0</v>
      </c>
      <c r="HD40" s="33" t="n">
        <v>0</v>
      </c>
      <c r="HE40" s="33" t="n">
        <v>0</v>
      </c>
      <c r="HF40" s="33" t="n">
        <v>0</v>
      </c>
      <c r="HG40" s="33" t="n">
        <v>0</v>
      </c>
      <c r="HH40" s="33" t="n">
        <v>0</v>
      </c>
      <c r="HI40" s="33" t="n">
        <v>0</v>
      </c>
      <c r="HJ40" s="33" t="n">
        <v>0</v>
      </c>
      <c r="HK40" s="33" t="n">
        <v>0</v>
      </c>
      <c r="HL40" s="33" t="n">
        <v>0</v>
      </c>
      <c r="HM40" s="33" t="n">
        <v>0</v>
      </c>
      <c r="HN40" s="33" t="n">
        <v>0</v>
      </c>
      <c r="HO40" s="33" t="n">
        <v>0</v>
      </c>
      <c r="HP40" s="33" t="n">
        <v>0</v>
      </c>
      <c r="HQ40" s="33" t="n">
        <v>0</v>
      </c>
      <c r="HR40" s="33" t="n">
        <v>0</v>
      </c>
      <c r="HS40" s="33" t="n">
        <v>0</v>
      </c>
      <c r="HT40" s="33" t="n">
        <v>0</v>
      </c>
      <c r="HU40" s="33" t="n">
        <v>0</v>
      </c>
      <c r="HV40" s="33" t="n">
        <v>0</v>
      </c>
      <c r="HW40" s="33" t="n">
        <v>0</v>
      </c>
      <c r="HX40" s="33" t="n">
        <v>0</v>
      </c>
      <c r="HY40" s="33" t="n">
        <v>0</v>
      </c>
      <c r="HZ40" s="33" t="n">
        <v>0</v>
      </c>
      <c r="IA40" s="33" t="n">
        <v>0</v>
      </c>
      <c r="IB40" s="33" t="n">
        <v>0</v>
      </c>
      <c r="IC40" s="33" t="n">
        <v>0</v>
      </c>
      <c r="ID40" s="33" t="n">
        <v>0</v>
      </c>
      <c r="IE40" s="33" t="n">
        <v>0</v>
      </c>
      <c r="IF40" s="33" t="n">
        <v>0</v>
      </c>
      <c r="IG40" s="33" t="n">
        <v>0</v>
      </c>
      <c r="IH40" s="33" t="n">
        <v>0</v>
      </c>
      <c r="II40" s="33" t="n">
        <v>0</v>
      </c>
      <c r="IJ40" s="33" t="n">
        <v>0</v>
      </c>
      <c r="IK40" s="33" t="n">
        <v>0</v>
      </c>
      <c r="IL40" s="33" t="n">
        <v>0</v>
      </c>
      <c r="IM40" s="33" t="n">
        <v>0</v>
      </c>
      <c r="IN40" s="33" t="n">
        <v>0</v>
      </c>
      <c r="IO40" s="33" t="n">
        <v>0</v>
      </c>
      <c r="IP40" s="33" t="n">
        <v>0</v>
      </c>
      <c r="IQ40" s="33" t="n">
        <v>0</v>
      </c>
      <c r="IR40" s="33" t="n">
        <v>0</v>
      </c>
      <c r="IS40" s="33" t="n">
        <v>0</v>
      </c>
      <c r="IT40" s="33" t="n">
        <v>0</v>
      </c>
      <c r="IU40" s="33" t="n">
        <v>0</v>
      </c>
      <c r="IV40" s="33" t="n">
        <v>0</v>
      </c>
      <c r="IW40" s="33" t="n">
        <v>0</v>
      </c>
      <c r="IX40" s="33" t="n">
        <v>0</v>
      </c>
      <c r="IY40" s="33" t="n">
        <v>0</v>
      </c>
      <c r="IZ40" s="33" t="n">
        <v>0</v>
      </c>
      <c r="JA40" s="33" t="n">
        <v>0</v>
      </c>
      <c r="JB40" s="33" t="n">
        <v>0</v>
      </c>
      <c r="JC40" s="33" t="n">
        <v>0</v>
      </c>
      <c r="JD40" s="33" t="n">
        <v>0</v>
      </c>
      <c r="JE40" s="33" t="n">
        <v>0</v>
      </c>
      <c r="JF40" s="33" t="n">
        <v>0</v>
      </c>
      <c r="JG40" s="33" t="n">
        <v>0</v>
      </c>
      <c r="JH40" s="33" t="n">
        <v>0</v>
      </c>
      <c r="JI40" s="33" t="n">
        <v>0</v>
      </c>
      <c r="JJ40" s="33" t="n">
        <v>0</v>
      </c>
      <c r="JK40" s="33" t="n">
        <v>0</v>
      </c>
      <c r="JL40" s="33" t="n">
        <v>0</v>
      </c>
      <c r="JM40" s="33" t="n">
        <v>0</v>
      </c>
      <c r="JN40" s="33" t="n">
        <v>0</v>
      </c>
      <c r="JO40" s="33" t="n">
        <v>0</v>
      </c>
      <c r="JP40" s="33" t="n">
        <v>0</v>
      </c>
      <c r="JQ40" s="33" t="n">
        <v>0</v>
      </c>
      <c r="JR40" s="33" t="n">
        <v>0</v>
      </c>
      <c r="JS40" s="33" t="n">
        <v>0</v>
      </c>
      <c r="JT40" s="33" t="n">
        <v>0</v>
      </c>
      <c r="JU40" s="33" t="n">
        <v>0</v>
      </c>
      <c r="JV40" s="33" t="n">
        <v>0</v>
      </c>
      <c r="JW40" s="33" t="n">
        <v>0</v>
      </c>
      <c r="JX40" s="33" t="n">
        <v>0</v>
      </c>
      <c r="JY40" s="33" t="n">
        <v>0</v>
      </c>
      <c r="JZ40" s="33" t="n">
        <v>0</v>
      </c>
      <c r="KA40" s="33" t="n">
        <v>0</v>
      </c>
      <c r="KB40" s="33" t="n">
        <v>0</v>
      </c>
      <c r="KC40" s="33" t="n">
        <v>0</v>
      </c>
      <c r="KD40" s="33" t="n">
        <v>0</v>
      </c>
      <c r="KE40" s="33" t="n">
        <v>0</v>
      </c>
      <c r="KF40" s="33" t="n">
        <v>0</v>
      </c>
      <c r="KG40" s="33" t="n">
        <v>0</v>
      </c>
      <c r="KH40" s="33" t="n">
        <v>0</v>
      </c>
      <c r="KI40" s="33" t="n">
        <v>0</v>
      </c>
      <c r="KJ40" s="33" t="n">
        <v>0</v>
      </c>
      <c r="KK40" s="33" t="n">
        <v>0</v>
      </c>
      <c r="KL40" s="33" t="n">
        <v>0</v>
      </c>
      <c r="KM40" s="33" t="n">
        <v>0</v>
      </c>
      <c r="KN40" s="33" t="n">
        <v>0</v>
      </c>
      <c r="KO40" s="33" t="n">
        <v>0</v>
      </c>
      <c r="KP40" s="33" t="n">
        <v>0</v>
      </c>
      <c r="KQ40" s="33" t="n">
        <v>0</v>
      </c>
      <c r="KR40" s="33" t="n">
        <v>0</v>
      </c>
      <c r="KS40" s="33" t="n">
        <v>0</v>
      </c>
      <c r="KT40" s="33" t="n">
        <v>0</v>
      </c>
      <c r="KU40" s="33" t="n">
        <v>0</v>
      </c>
      <c r="KV40" s="33" t="n">
        <v>0</v>
      </c>
      <c r="KW40" s="33" t="n">
        <v>0</v>
      </c>
      <c r="KX40" s="33" t="n">
        <v>0</v>
      </c>
      <c r="KY40" s="33" t="n">
        <v>0</v>
      </c>
      <c r="KZ40" s="33" t="n">
        <v>0</v>
      </c>
      <c r="LA40" s="33" t="n">
        <v>0</v>
      </c>
      <c r="LB40" s="33" t="n">
        <v>0</v>
      </c>
      <c r="LC40" s="33" t="n">
        <v>0</v>
      </c>
      <c r="LD40" s="33" t="n">
        <v>0</v>
      </c>
      <c r="LE40" s="33" t="n">
        <v>0</v>
      </c>
      <c r="LF40" s="33" t="n">
        <v>0</v>
      </c>
      <c r="LG40" s="33" t="n">
        <v>0</v>
      </c>
      <c r="LH40" s="33" t="n">
        <v>0</v>
      </c>
      <c r="LI40" s="33" t="n">
        <v>0</v>
      </c>
      <c r="LJ40" s="33" t="n">
        <v>0</v>
      </c>
      <c r="LK40" s="33" t="n">
        <v>0</v>
      </c>
      <c r="LL40" s="33" t="n">
        <v>0</v>
      </c>
      <c r="LM40" s="33" t="n">
        <v>0</v>
      </c>
      <c r="LN40" s="33" t="n">
        <v>0</v>
      </c>
      <c r="LO40" s="33" t="n">
        <v>0</v>
      </c>
      <c r="LP40" s="33" t="n">
        <v>0</v>
      </c>
      <c r="LQ40" s="33" t="n">
        <v>0</v>
      </c>
      <c r="LR40" s="33" t="n">
        <v>0</v>
      </c>
      <c r="LS40" s="33" t="n">
        <v>0</v>
      </c>
      <c r="LT40" s="33" t="n">
        <v>0</v>
      </c>
      <c r="LU40" s="33" t="n">
        <v>0</v>
      </c>
      <c r="LV40" s="33" t="n">
        <v>0</v>
      </c>
      <c r="LW40" s="33" t="n">
        <v>0</v>
      </c>
      <c r="LX40" s="33" t="n">
        <v>0</v>
      </c>
      <c r="LY40" s="33" t="n">
        <v>0</v>
      </c>
      <c r="LZ40" s="33" t="n">
        <v>0</v>
      </c>
      <c r="MA40" s="33" t="n">
        <v>0</v>
      </c>
      <c r="MB40" s="33" t="n">
        <v>0</v>
      </c>
      <c r="MC40" s="33" t="n">
        <v>0</v>
      </c>
      <c r="MD40" s="33" t="n">
        <v>0</v>
      </c>
      <c r="ME40" s="33" t="n">
        <v>0</v>
      </c>
      <c r="MF40" s="33" t="n">
        <v>0</v>
      </c>
      <c r="MG40" s="33" t="n">
        <v>0</v>
      </c>
      <c r="MH40" s="33" t="n">
        <v>0</v>
      </c>
      <c r="MI40" s="33" t="n">
        <v>0</v>
      </c>
      <c r="MJ40" s="33" t="n">
        <v>0</v>
      </c>
      <c r="MK40" s="33" t="n">
        <v>0</v>
      </c>
      <c r="ML40" s="33" t="n">
        <v>0</v>
      </c>
      <c r="MM40" s="33" t="n">
        <v>0</v>
      </c>
      <c r="MN40" s="33" t="n">
        <v>0</v>
      </c>
      <c r="MO40" s="33" t="n">
        <v>0</v>
      </c>
      <c r="MP40" s="33" t="n">
        <v>0</v>
      </c>
      <c r="MQ40" s="33" t="n">
        <v>0</v>
      </c>
      <c r="MR40" s="33" t="n">
        <v>0</v>
      </c>
      <c r="MS40" s="33" t="n">
        <v>0</v>
      </c>
      <c r="MT40" s="33" t="n">
        <v>0</v>
      </c>
      <c r="MU40" s="33" t="n">
        <v>0</v>
      </c>
      <c r="MV40" s="33" t="n">
        <v>0</v>
      </c>
      <c r="MW40" s="33" t="n">
        <v>0</v>
      </c>
      <c r="MX40" s="33" t="n">
        <v>0</v>
      </c>
      <c r="MY40" s="33" t="n">
        <v>0</v>
      </c>
      <c r="MZ40" s="33" t="n">
        <v>0</v>
      </c>
      <c r="NA40" s="33" t="n">
        <v>0</v>
      </c>
      <c r="NB40" s="33" t="n">
        <v>0</v>
      </c>
      <c r="NC40" s="33" t="n">
        <v>0</v>
      </c>
      <c r="ND40" s="33" t="n">
        <v>0</v>
      </c>
      <c r="NE40" s="33" t="n">
        <v>0</v>
      </c>
      <c r="NF40" s="33" t="n">
        <v>0</v>
      </c>
      <c r="NG40" s="33" t="n">
        <v>0</v>
      </c>
      <c r="NH40" s="33" t="n">
        <v>0</v>
      </c>
      <c r="NI40" s="33" t="n">
        <v>0</v>
      </c>
      <c r="NJ40" s="33" t="n">
        <v>0</v>
      </c>
      <c r="NK40" s="33" t="n">
        <v>0</v>
      </c>
      <c r="NL40" s="33" t="n">
        <v>0</v>
      </c>
      <c r="NM40" s="33" t="n">
        <v>0</v>
      </c>
      <c r="NN40" s="33" t="n">
        <v>0</v>
      </c>
      <c r="NO40" s="33" t="n">
        <v>0</v>
      </c>
      <c r="NP40" s="33" t="n">
        <v>0</v>
      </c>
      <c r="NQ40" s="33" t="n">
        <v>0</v>
      </c>
      <c r="NR40" s="33" t="n">
        <v>0</v>
      </c>
      <c r="NS40" s="33" t="n">
        <v>0</v>
      </c>
      <c r="NT40" s="33" t="n">
        <v>0</v>
      </c>
      <c r="NU40" s="33" t="n">
        <v>0</v>
      </c>
      <c r="NV40" s="33" t="n">
        <v>0</v>
      </c>
      <c r="NW40" s="33" t="n">
        <v>0</v>
      </c>
      <c r="NX40" s="33" t="n">
        <v>0</v>
      </c>
      <c r="NY40" s="33" t="n">
        <v>0</v>
      </c>
      <c r="NZ40" s="33" t="n">
        <v>0</v>
      </c>
      <c r="OA40" s="33" t="n">
        <v>0</v>
      </c>
      <c r="OB40" s="33" t="n">
        <v>0</v>
      </c>
      <c r="OC40" s="33" t="n">
        <v>0</v>
      </c>
      <c r="OD40" s="33" t="n">
        <v>0</v>
      </c>
      <c r="OE40" s="33" t="n">
        <v>0</v>
      </c>
      <c r="OF40" s="33" t="n">
        <v>0</v>
      </c>
      <c r="OG40" s="33" t="n">
        <v>0</v>
      </c>
      <c r="OH40" s="33" t="n">
        <v>0</v>
      </c>
      <c r="OI40" s="33" t="n">
        <v>0</v>
      </c>
      <c r="OJ40" s="33" t="n">
        <v>0</v>
      </c>
      <c r="OK40" s="33" t="n">
        <v>0</v>
      </c>
      <c r="OL40" s="33" t="n">
        <v>0</v>
      </c>
      <c r="OM40" s="33" t="n">
        <v>0</v>
      </c>
      <c r="ON40" s="33" t="n">
        <v>0</v>
      </c>
      <c r="OO40" s="33" t="n">
        <v>0</v>
      </c>
      <c r="OP40" s="33" t="n">
        <v>0</v>
      </c>
      <c r="OQ40" s="33" t="n">
        <v>0</v>
      </c>
      <c r="OR40" s="33" t="n">
        <v>0</v>
      </c>
      <c r="OS40" s="33" t="n">
        <v>0</v>
      </c>
      <c r="OT40" s="33" t="n">
        <v>0</v>
      </c>
      <c r="OU40" s="33" t="n">
        <v>0</v>
      </c>
      <c r="OV40" s="33" t="n">
        <v>0</v>
      </c>
      <c r="OW40" s="33" t="n">
        <v>0</v>
      </c>
      <c r="OX40" s="33" t="n">
        <v>0</v>
      </c>
      <c r="OY40" s="33" t="n">
        <v>0</v>
      </c>
      <c r="OZ40" s="33" t="n">
        <v>0</v>
      </c>
      <c r="PA40" s="33" t="n">
        <v>0</v>
      </c>
      <c r="PB40" s="33" t="n">
        <v>0</v>
      </c>
      <c r="PC40" s="33" t="n">
        <v>0</v>
      </c>
      <c r="PD40" s="33" t="n">
        <v>0</v>
      </c>
      <c r="PE40" s="33" t="n">
        <v>0</v>
      </c>
      <c r="PF40" s="33" t="n">
        <v>0</v>
      </c>
      <c r="PG40" s="33" t="n">
        <v>0</v>
      </c>
      <c r="PH40" s="33" t="n">
        <v>0</v>
      </c>
      <c r="PI40" s="33" t="n">
        <v>0</v>
      </c>
      <c r="PJ40" s="33" t="n">
        <v>0</v>
      </c>
      <c r="PK40" s="33" t="n">
        <v>0</v>
      </c>
      <c r="PL40" s="33" t="n">
        <v>0</v>
      </c>
      <c r="PM40" s="33" t="n">
        <v>0</v>
      </c>
      <c r="PN40" s="33" t="n">
        <v>0</v>
      </c>
      <c r="PO40" s="33" t="n">
        <v>0</v>
      </c>
      <c r="PP40" s="33" t="n">
        <v>0</v>
      </c>
      <c r="PQ40" s="33" t="n">
        <v>0</v>
      </c>
      <c r="PR40" s="33" t="n">
        <v>0</v>
      </c>
      <c r="PS40" s="33" t="n">
        <v>0</v>
      </c>
      <c r="PT40" s="33" t="n">
        <v>0</v>
      </c>
      <c r="PU40" s="33" t="n">
        <v>0</v>
      </c>
      <c r="PV40" s="33" t="n">
        <v>0</v>
      </c>
      <c r="PW40" s="33" t="n">
        <v>0</v>
      </c>
      <c r="PX40" s="33" t="n">
        <v>0</v>
      </c>
      <c r="PY40" s="33" t="n">
        <v>0</v>
      </c>
      <c r="PZ40" s="33" t="n">
        <v>0</v>
      </c>
      <c r="QA40" s="33" t="n">
        <v>0</v>
      </c>
      <c r="QB40" s="33" t="n">
        <v>0</v>
      </c>
      <c r="QC40" s="33" t="n">
        <v>0</v>
      </c>
      <c r="QD40" s="33" t="n">
        <v>0</v>
      </c>
      <c r="QE40" s="33" t="n">
        <v>0</v>
      </c>
      <c r="QF40" s="33" t="n">
        <v>0</v>
      </c>
      <c r="QG40" s="33" t="n">
        <v>0</v>
      </c>
      <c r="QH40" s="33" t="n">
        <v>0</v>
      </c>
      <c r="QI40" s="33" t="n">
        <v>0</v>
      </c>
      <c r="QJ40" s="33" t="n">
        <v>0</v>
      </c>
      <c r="QK40" s="33" t="n">
        <v>0</v>
      </c>
      <c r="QL40" s="33" t="n">
        <v>0</v>
      </c>
      <c r="QM40" s="33" t="n">
        <v>0</v>
      </c>
      <c r="QN40" s="33" t="n">
        <v>0</v>
      </c>
      <c r="QO40" s="33" t="n">
        <v>0</v>
      </c>
      <c r="QP40" s="33" t="n">
        <v>0</v>
      </c>
      <c r="QQ40" s="33" t="n">
        <v>0</v>
      </c>
      <c r="QR40" s="33" t="n">
        <v>0</v>
      </c>
      <c r="QS40" s="33" t="n">
        <v>0</v>
      </c>
      <c r="QT40" s="33" t="n">
        <v>0</v>
      </c>
      <c r="QU40" s="33" t="n">
        <v>0</v>
      </c>
      <c r="QV40" s="33" t="n">
        <v>0</v>
      </c>
      <c r="QW40" s="33" t="n">
        <v>0</v>
      </c>
      <c r="QX40" s="33" t="n">
        <v>0</v>
      </c>
      <c r="QY40" s="33" t="n">
        <v>0</v>
      </c>
      <c r="QZ40" s="33" t="n">
        <v>0</v>
      </c>
      <c r="RA40" s="33" t="n">
        <v>0</v>
      </c>
      <c r="RB40" s="33" t="n">
        <v>0</v>
      </c>
      <c r="RC40" s="33" t="n">
        <v>0</v>
      </c>
      <c r="RD40" s="33" t="n">
        <v>0</v>
      </c>
      <c r="RE40" s="33" t="n">
        <v>0</v>
      </c>
      <c r="RF40" s="33" t="n">
        <v>0</v>
      </c>
      <c r="RG40" s="33" t="n">
        <v>0</v>
      </c>
      <c r="RH40" s="33" t="n">
        <v>0</v>
      </c>
      <c r="RI40" s="33" t="n">
        <v>0</v>
      </c>
      <c r="RJ40" s="33" t="n">
        <v>0</v>
      </c>
      <c r="RK40" s="33" t="n">
        <v>0</v>
      </c>
      <c r="RL40" s="33" t="n">
        <v>0</v>
      </c>
      <c r="RM40" s="33" t="n">
        <v>0</v>
      </c>
      <c r="RN40" s="33" t="n">
        <v>0</v>
      </c>
      <c r="RO40" s="33" t="n">
        <v>0</v>
      </c>
      <c r="RP40" s="33" t="n">
        <v>0</v>
      </c>
      <c r="RQ40" s="33" t="n">
        <v>0</v>
      </c>
      <c r="RR40" s="33" t="n">
        <v>0</v>
      </c>
      <c r="RS40" s="33" t="n">
        <v>0</v>
      </c>
      <c r="RT40" s="33" t="n">
        <v>0</v>
      </c>
      <c r="RU40" s="33" t="n">
        <v>0</v>
      </c>
      <c r="RV40" s="33" t="n">
        <v>0</v>
      </c>
      <c r="RW40" s="33" t="n">
        <v>0</v>
      </c>
    </row>
    <row r="41" hidden="1" outlineLevel="1" ht="13.05" customHeight="1">
      <c r="E41" s="21" t="inlineStr">
        <is>
          <t>Net Loss Tariff Cost</t>
        </is>
      </c>
      <c r="F41" s="29" t="n"/>
      <c r="G41" s="29" t="inlineStr">
        <is>
          <t>kEUR</t>
        </is>
      </c>
      <c r="H41" s="29" t="n"/>
      <c r="I41" s="29" t="n"/>
      <c r="J41" s="32" t="n">
        <v>0</v>
      </c>
      <c r="K41" s="29" t="n"/>
      <c r="L41" s="33" t="n">
        <v>0</v>
      </c>
      <c r="M41" s="33" t="n">
        <v>0</v>
      </c>
      <c r="N41" s="33" t="n">
        <v>0</v>
      </c>
      <c r="O41" s="33" t="n">
        <v>0</v>
      </c>
      <c r="P41" s="33" t="n">
        <v>0</v>
      </c>
      <c r="Q41" s="33" t="n">
        <v>0</v>
      </c>
      <c r="R41" s="33" t="n">
        <v>0</v>
      </c>
      <c r="S41" s="33" t="n">
        <v>0</v>
      </c>
      <c r="T41" s="33" t="n">
        <v>0</v>
      </c>
      <c r="U41" s="33" t="n">
        <v>0</v>
      </c>
      <c r="V41" s="33" t="n">
        <v>0</v>
      </c>
      <c r="W41" s="33" t="n">
        <v>0</v>
      </c>
      <c r="X41" s="33" t="n">
        <v>0</v>
      </c>
      <c r="Y41" s="33" t="n">
        <v>0</v>
      </c>
      <c r="Z41" s="33" t="n">
        <v>0</v>
      </c>
      <c r="AA41" s="33" t="n">
        <v>0</v>
      </c>
      <c r="AB41" s="33" t="n">
        <v>0</v>
      </c>
      <c r="AC41" s="33" t="n">
        <v>0</v>
      </c>
      <c r="AD41" s="33" t="n">
        <v>0</v>
      </c>
      <c r="AE41" s="33" t="n">
        <v>0</v>
      </c>
      <c r="AF41" s="33" t="n">
        <v>0</v>
      </c>
      <c r="AG41" s="33" t="n">
        <v>0</v>
      </c>
      <c r="AH41" s="33" t="n">
        <v>0</v>
      </c>
      <c r="AI41" s="33" t="n">
        <v>0</v>
      </c>
      <c r="AJ41" s="33" t="n">
        <v>0</v>
      </c>
      <c r="AK41" s="33" t="n">
        <v>0</v>
      </c>
      <c r="AL41" s="33" t="n">
        <v>0</v>
      </c>
      <c r="AM41" s="33" t="n">
        <v>0</v>
      </c>
      <c r="AN41" s="33" t="n">
        <v>0</v>
      </c>
      <c r="AO41" s="33" t="n">
        <v>0</v>
      </c>
      <c r="AP41" s="33" t="n">
        <v>0</v>
      </c>
      <c r="AQ41" s="33" t="n">
        <v>0</v>
      </c>
      <c r="AR41" s="33" t="n">
        <v>0</v>
      </c>
      <c r="AS41" s="33" t="n">
        <v>0</v>
      </c>
      <c r="AT41" s="33" t="n">
        <v>0</v>
      </c>
      <c r="AU41" s="33" t="n">
        <v>0</v>
      </c>
      <c r="AV41" s="33" t="n">
        <v>0</v>
      </c>
      <c r="AW41" s="33" t="n">
        <v>0</v>
      </c>
      <c r="AX41" s="33" t="n">
        <v>0</v>
      </c>
      <c r="AY41" s="33" t="n">
        <v>0</v>
      </c>
      <c r="AZ41" s="33" t="n">
        <v>0</v>
      </c>
      <c r="BA41" s="33" t="n">
        <v>0</v>
      </c>
      <c r="BB41" s="33" t="n">
        <v>0</v>
      </c>
      <c r="BC41" s="33" t="n">
        <v>0</v>
      </c>
      <c r="BD41" s="33" t="n">
        <v>0</v>
      </c>
      <c r="BE41" s="33" t="n">
        <v>0</v>
      </c>
      <c r="BF41" s="33" t="n">
        <v>0</v>
      </c>
      <c r="BG41" s="33" t="n">
        <v>0</v>
      </c>
      <c r="BH41" s="33" t="n">
        <v>0</v>
      </c>
      <c r="BI41" s="33" t="n">
        <v>0</v>
      </c>
      <c r="BJ41" s="33" t="n">
        <v>0</v>
      </c>
      <c r="BK41" s="33" t="n">
        <v>0</v>
      </c>
      <c r="BL41" s="33" t="n">
        <v>0</v>
      </c>
      <c r="BM41" s="33" t="n">
        <v>0</v>
      </c>
      <c r="BN41" s="33" t="n">
        <v>0</v>
      </c>
      <c r="BO41" s="33" t="n">
        <v>0</v>
      </c>
      <c r="BP41" s="33" t="n">
        <v>0</v>
      </c>
      <c r="BQ41" s="33" t="n">
        <v>0</v>
      </c>
      <c r="BR41" s="33" t="n">
        <v>0</v>
      </c>
      <c r="BS41" s="33" t="n">
        <v>0</v>
      </c>
      <c r="BT41" s="33" t="n">
        <v>0</v>
      </c>
      <c r="BU41" s="33" t="n">
        <v>0</v>
      </c>
      <c r="BV41" s="33" t="n">
        <v>0</v>
      </c>
      <c r="BW41" s="33" t="n">
        <v>0</v>
      </c>
      <c r="BX41" s="33" t="n">
        <v>0</v>
      </c>
      <c r="BY41" s="33" t="n">
        <v>0</v>
      </c>
      <c r="BZ41" s="33" t="n">
        <v>0</v>
      </c>
      <c r="CA41" s="33" t="n">
        <v>0</v>
      </c>
      <c r="CB41" s="33" t="n">
        <v>0</v>
      </c>
      <c r="CC41" s="33" t="n">
        <v>0</v>
      </c>
      <c r="CD41" s="33" t="n">
        <v>0</v>
      </c>
      <c r="CE41" s="33" t="n">
        <v>0</v>
      </c>
      <c r="CF41" s="33" t="n">
        <v>0</v>
      </c>
      <c r="CG41" s="33" t="n">
        <v>0</v>
      </c>
      <c r="CH41" s="33" t="n">
        <v>0</v>
      </c>
      <c r="CI41" s="33" t="n">
        <v>0</v>
      </c>
      <c r="CJ41" s="33" t="n">
        <v>0</v>
      </c>
      <c r="CK41" s="33" t="n">
        <v>0</v>
      </c>
      <c r="CL41" s="33" t="n">
        <v>0</v>
      </c>
      <c r="CM41" s="33" t="n">
        <v>0</v>
      </c>
      <c r="CN41" s="33" t="n">
        <v>0</v>
      </c>
      <c r="CO41" s="33" t="n">
        <v>0</v>
      </c>
      <c r="CP41" s="33" t="n">
        <v>0</v>
      </c>
      <c r="CQ41" s="33" t="n">
        <v>0</v>
      </c>
      <c r="CR41" s="33" t="n">
        <v>0</v>
      </c>
      <c r="CS41" s="33" t="n">
        <v>0</v>
      </c>
      <c r="CT41" s="33" t="n">
        <v>0</v>
      </c>
      <c r="CU41" s="33" t="n">
        <v>0</v>
      </c>
      <c r="CV41" s="33" t="n">
        <v>0</v>
      </c>
      <c r="CW41" s="33" t="n">
        <v>0</v>
      </c>
      <c r="CX41" s="33" t="n">
        <v>0</v>
      </c>
      <c r="CY41" s="33" t="n">
        <v>0</v>
      </c>
      <c r="CZ41" s="33" t="n">
        <v>0</v>
      </c>
      <c r="DA41" s="33" t="n">
        <v>0</v>
      </c>
      <c r="DB41" s="33" t="n">
        <v>0</v>
      </c>
      <c r="DC41" s="33" t="n">
        <v>0</v>
      </c>
      <c r="DD41" s="33" t="n">
        <v>0</v>
      </c>
      <c r="DE41" s="33" t="n">
        <v>0</v>
      </c>
      <c r="DF41" s="33" t="n">
        <v>0</v>
      </c>
      <c r="DG41" s="33" t="n">
        <v>0</v>
      </c>
      <c r="DH41" s="33" t="n">
        <v>0</v>
      </c>
      <c r="DI41" s="33" t="n">
        <v>0</v>
      </c>
      <c r="DJ41" s="33" t="n">
        <v>0</v>
      </c>
      <c r="DK41" s="33" t="n">
        <v>0</v>
      </c>
      <c r="DL41" s="33" t="n">
        <v>0</v>
      </c>
      <c r="DM41" s="33" t="n">
        <v>0</v>
      </c>
      <c r="DN41" s="33" t="n">
        <v>0</v>
      </c>
      <c r="DO41" s="33" t="n">
        <v>0</v>
      </c>
      <c r="DP41" s="33" t="n">
        <v>0</v>
      </c>
      <c r="DQ41" s="33" t="n">
        <v>0</v>
      </c>
      <c r="DR41" s="33" t="n">
        <v>0</v>
      </c>
      <c r="DS41" s="33" t="n">
        <v>0</v>
      </c>
      <c r="DT41" s="33" t="n">
        <v>0</v>
      </c>
      <c r="DU41" s="33" t="n">
        <v>0</v>
      </c>
      <c r="DV41" s="33" t="n">
        <v>0</v>
      </c>
      <c r="DW41" s="33" t="n">
        <v>0</v>
      </c>
      <c r="DX41" s="33" t="n">
        <v>0</v>
      </c>
      <c r="DY41" s="33" t="n">
        <v>0</v>
      </c>
      <c r="DZ41" s="33" t="n">
        <v>0</v>
      </c>
      <c r="EA41" s="33" t="n">
        <v>0</v>
      </c>
      <c r="EB41" s="33" t="n">
        <v>0</v>
      </c>
      <c r="EC41" s="33" t="n">
        <v>0</v>
      </c>
      <c r="ED41" s="33" t="n">
        <v>0</v>
      </c>
      <c r="EE41" s="33" t="n">
        <v>0</v>
      </c>
      <c r="EF41" s="33" t="n">
        <v>0</v>
      </c>
      <c r="EG41" s="33" t="n">
        <v>0</v>
      </c>
      <c r="EH41" s="33" t="n">
        <v>0</v>
      </c>
      <c r="EI41" s="33" t="n">
        <v>0</v>
      </c>
      <c r="EJ41" s="33" t="n">
        <v>0</v>
      </c>
      <c r="EK41" s="33" t="n">
        <v>0</v>
      </c>
      <c r="EL41" s="33" t="n">
        <v>0</v>
      </c>
      <c r="EM41" s="33" t="n">
        <v>0</v>
      </c>
      <c r="EN41" s="33" t="n">
        <v>0</v>
      </c>
      <c r="EO41" s="33" t="n">
        <v>0</v>
      </c>
      <c r="EP41" s="33" t="n">
        <v>0</v>
      </c>
      <c r="EQ41" s="33" t="n">
        <v>0</v>
      </c>
      <c r="ER41" s="33" t="n">
        <v>0</v>
      </c>
      <c r="ES41" s="33" t="n">
        <v>0</v>
      </c>
      <c r="ET41" s="33" t="n">
        <v>0</v>
      </c>
      <c r="EU41" s="33" t="n">
        <v>0</v>
      </c>
      <c r="EV41" s="33" t="n">
        <v>0</v>
      </c>
      <c r="EW41" s="33" t="n">
        <v>0</v>
      </c>
      <c r="EX41" s="33" t="n">
        <v>0</v>
      </c>
      <c r="EY41" s="33" t="n">
        <v>0</v>
      </c>
      <c r="EZ41" s="33" t="n">
        <v>0</v>
      </c>
      <c r="FA41" s="33" t="n">
        <v>0</v>
      </c>
      <c r="FB41" s="33" t="n">
        <v>0</v>
      </c>
      <c r="FC41" s="33" t="n">
        <v>0</v>
      </c>
      <c r="FD41" s="33" t="n">
        <v>0</v>
      </c>
      <c r="FE41" s="33" t="n">
        <v>0</v>
      </c>
      <c r="FF41" s="33" t="n">
        <v>0</v>
      </c>
      <c r="FG41" s="33" t="n">
        <v>0</v>
      </c>
      <c r="FH41" s="33" t="n">
        <v>0</v>
      </c>
      <c r="FI41" s="33" t="n">
        <v>0</v>
      </c>
      <c r="FJ41" s="33" t="n">
        <v>0</v>
      </c>
      <c r="FK41" s="33" t="n">
        <v>0</v>
      </c>
      <c r="FL41" s="33" t="n">
        <v>0</v>
      </c>
      <c r="FM41" s="33" t="n">
        <v>0</v>
      </c>
      <c r="FN41" s="33" t="n">
        <v>0</v>
      </c>
      <c r="FO41" s="33" t="n">
        <v>0</v>
      </c>
      <c r="FP41" s="33" t="n">
        <v>0</v>
      </c>
      <c r="FQ41" s="33" t="n">
        <v>0</v>
      </c>
      <c r="FR41" s="33" t="n">
        <v>0</v>
      </c>
      <c r="FS41" s="33" t="n">
        <v>0</v>
      </c>
      <c r="FT41" s="33" t="n">
        <v>0</v>
      </c>
      <c r="FU41" s="33" t="n">
        <v>0</v>
      </c>
      <c r="FV41" s="33" t="n">
        <v>0</v>
      </c>
      <c r="FW41" s="33" t="n">
        <v>0</v>
      </c>
      <c r="FX41" s="33" t="n">
        <v>0</v>
      </c>
      <c r="FY41" s="33" t="n">
        <v>0</v>
      </c>
      <c r="FZ41" s="33" t="n">
        <v>0</v>
      </c>
      <c r="GA41" s="33" t="n">
        <v>0</v>
      </c>
      <c r="GB41" s="33" t="n">
        <v>0</v>
      </c>
      <c r="GC41" s="33" t="n">
        <v>0</v>
      </c>
      <c r="GD41" s="33" t="n">
        <v>0</v>
      </c>
      <c r="GE41" s="33" t="n">
        <v>0</v>
      </c>
      <c r="GF41" s="33" t="n">
        <v>0</v>
      </c>
      <c r="GG41" s="33" t="n">
        <v>0</v>
      </c>
      <c r="GH41" s="33" t="n">
        <v>0</v>
      </c>
      <c r="GI41" s="33" t="n">
        <v>0</v>
      </c>
      <c r="GJ41" s="33" t="n">
        <v>0</v>
      </c>
      <c r="GK41" s="33" t="n">
        <v>0</v>
      </c>
      <c r="GL41" s="33" t="n">
        <v>0</v>
      </c>
      <c r="GM41" s="33" t="n">
        <v>0</v>
      </c>
      <c r="GN41" s="33" t="n">
        <v>0</v>
      </c>
      <c r="GO41" s="33" t="n">
        <v>0</v>
      </c>
      <c r="GP41" s="33" t="n">
        <v>0</v>
      </c>
      <c r="GQ41" s="33" t="n">
        <v>0</v>
      </c>
      <c r="GR41" s="33" t="n">
        <v>0</v>
      </c>
      <c r="GS41" s="33" t="n">
        <v>0</v>
      </c>
      <c r="GT41" s="33" t="n">
        <v>0</v>
      </c>
      <c r="GU41" s="33" t="n">
        <v>0</v>
      </c>
      <c r="GV41" s="33" t="n">
        <v>0</v>
      </c>
      <c r="GW41" s="33" t="n">
        <v>0</v>
      </c>
      <c r="GX41" s="33" t="n">
        <v>0</v>
      </c>
      <c r="GY41" s="33" t="n">
        <v>0</v>
      </c>
      <c r="GZ41" s="33" t="n">
        <v>0</v>
      </c>
      <c r="HA41" s="33" t="n">
        <v>0</v>
      </c>
      <c r="HB41" s="33" t="n">
        <v>0</v>
      </c>
      <c r="HC41" s="33" t="n">
        <v>0</v>
      </c>
      <c r="HD41" s="33" t="n">
        <v>0</v>
      </c>
      <c r="HE41" s="33" t="n">
        <v>0</v>
      </c>
      <c r="HF41" s="33" t="n">
        <v>0</v>
      </c>
      <c r="HG41" s="33" t="n">
        <v>0</v>
      </c>
      <c r="HH41" s="33" t="n">
        <v>0</v>
      </c>
      <c r="HI41" s="33" t="n">
        <v>0</v>
      </c>
      <c r="HJ41" s="33" t="n">
        <v>0</v>
      </c>
      <c r="HK41" s="33" t="n">
        <v>0</v>
      </c>
      <c r="HL41" s="33" t="n">
        <v>0</v>
      </c>
      <c r="HM41" s="33" t="n">
        <v>0</v>
      </c>
      <c r="HN41" s="33" t="n">
        <v>0</v>
      </c>
      <c r="HO41" s="33" t="n">
        <v>0</v>
      </c>
      <c r="HP41" s="33" t="n">
        <v>0</v>
      </c>
      <c r="HQ41" s="33" t="n">
        <v>0</v>
      </c>
      <c r="HR41" s="33" t="n">
        <v>0</v>
      </c>
      <c r="HS41" s="33" t="n">
        <v>0</v>
      </c>
      <c r="HT41" s="33" t="n">
        <v>0</v>
      </c>
      <c r="HU41" s="33" t="n">
        <v>0</v>
      </c>
      <c r="HV41" s="33" t="n">
        <v>0</v>
      </c>
      <c r="HW41" s="33" t="n">
        <v>0</v>
      </c>
      <c r="HX41" s="33" t="n">
        <v>0</v>
      </c>
      <c r="HY41" s="33" t="n">
        <v>0</v>
      </c>
      <c r="HZ41" s="33" t="n">
        <v>0</v>
      </c>
      <c r="IA41" s="33" t="n">
        <v>0</v>
      </c>
      <c r="IB41" s="33" t="n">
        <v>0</v>
      </c>
      <c r="IC41" s="33" t="n">
        <v>0</v>
      </c>
      <c r="ID41" s="33" t="n">
        <v>0</v>
      </c>
      <c r="IE41" s="33" t="n">
        <v>0</v>
      </c>
      <c r="IF41" s="33" t="n">
        <v>0</v>
      </c>
      <c r="IG41" s="33" t="n">
        <v>0</v>
      </c>
      <c r="IH41" s="33" t="n">
        <v>0</v>
      </c>
      <c r="II41" s="33" t="n">
        <v>0</v>
      </c>
      <c r="IJ41" s="33" t="n">
        <v>0</v>
      </c>
      <c r="IK41" s="33" t="n">
        <v>0</v>
      </c>
      <c r="IL41" s="33" t="n">
        <v>0</v>
      </c>
      <c r="IM41" s="33" t="n">
        <v>0</v>
      </c>
      <c r="IN41" s="33" t="n">
        <v>0</v>
      </c>
      <c r="IO41" s="33" t="n">
        <v>0</v>
      </c>
      <c r="IP41" s="33" t="n">
        <v>0</v>
      </c>
      <c r="IQ41" s="33" t="n">
        <v>0</v>
      </c>
      <c r="IR41" s="33" t="n">
        <v>0</v>
      </c>
      <c r="IS41" s="33" t="n">
        <v>0</v>
      </c>
      <c r="IT41" s="33" t="n">
        <v>0</v>
      </c>
      <c r="IU41" s="33" t="n">
        <v>0</v>
      </c>
      <c r="IV41" s="33" t="n">
        <v>0</v>
      </c>
      <c r="IW41" s="33" t="n">
        <v>0</v>
      </c>
      <c r="IX41" s="33" t="n">
        <v>0</v>
      </c>
      <c r="IY41" s="33" t="n">
        <v>0</v>
      </c>
      <c r="IZ41" s="33" t="n">
        <v>0</v>
      </c>
      <c r="JA41" s="33" t="n">
        <v>0</v>
      </c>
      <c r="JB41" s="33" t="n">
        <v>0</v>
      </c>
      <c r="JC41" s="33" t="n">
        <v>0</v>
      </c>
      <c r="JD41" s="33" t="n">
        <v>0</v>
      </c>
      <c r="JE41" s="33" t="n">
        <v>0</v>
      </c>
      <c r="JF41" s="33" t="n">
        <v>0</v>
      </c>
      <c r="JG41" s="33" t="n">
        <v>0</v>
      </c>
      <c r="JH41" s="33" t="n">
        <v>0</v>
      </c>
      <c r="JI41" s="33" t="n">
        <v>0</v>
      </c>
      <c r="JJ41" s="33" t="n">
        <v>0</v>
      </c>
      <c r="JK41" s="33" t="n">
        <v>0</v>
      </c>
      <c r="JL41" s="33" t="n">
        <v>0</v>
      </c>
      <c r="JM41" s="33" t="n">
        <v>0</v>
      </c>
      <c r="JN41" s="33" t="n">
        <v>0</v>
      </c>
      <c r="JO41" s="33" t="n">
        <v>0</v>
      </c>
      <c r="JP41" s="33" t="n">
        <v>0</v>
      </c>
      <c r="JQ41" s="33" t="n">
        <v>0</v>
      </c>
      <c r="JR41" s="33" t="n">
        <v>0</v>
      </c>
      <c r="JS41" s="33" t="n">
        <v>0</v>
      </c>
      <c r="JT41" s="33" t="n">
        <v>0</v>
      </c>
      <c r="JU41" s="33" t="n">
        <v>0</v>
      </c>
      <c r="JV41" s="33" t="n">
        <v>0</v>
      </c>
      <c r="JW41" s="33" t="n">
        <v>0</v>
      </c>
      <c r="JX41" s="33" t="n">
        <v>0</v>
      </c>
      <c r="JY41" s="33" t="n">
        <v>0</v>
      </c>
      <c r="JZ41" s="33" t="n">
        <v>0</v>
      </c>
      <c r="KA41" s="33" t="n">
        <v>0</v>
      </c>
      <c r="KB41" s="33" t="n">
        <v>0</v>
      </c>
      <c r="KC41" s="33" t="n">
        <v>0</v>
      </c>
      <c r="KD41" s="33" t="n">
        <v>0</v>
      </c>
      <c r="KE41" s="33" t="n">
        <v>0</v>
      </c>
      <c r="KF41" s="33" t="n">
        <v>0</v>
      </c>
      <c r="KG41" s="33" t="n">
        <v>0</v>
      </c>
      <c r="KH41" s="33" t="n">
        <v>0</v>
      </c>
      <c r="KI41" s="33" t="n">
        <v>0</v>
      </c>
      <c r="KJ41" s="33" t="n">
        <v>0</v>
      </c>
      <c r="KK41" s="33" t="n">
        <v>0</v>
      </c>
      <c r="KL41" s="33" t="n">
        <v>0</v>
      </c>
      <c r="KM41" s="33" t="n">
        <v>0</v>
      </c>
      <c r="KN41" s="33" t="n">
        <v>0</v>
      </c>
      <c r="KO41" s="33" t="n">
        <v>0</v>
      </c>
      <c r="KP41" s="33" t="n">
        <v>0</v>
      </c>
      <c r="KQ41" s="33" t="n">
        <v>0</v>
      </c>
      <c r="KR41" s="33" t="n">
        <v>0</v>
      </c>
      <c r="KS41" s="33" t="n">
        <v>0</v>
      </c>
      <c r="KT41" s="33" t="n">
        <v>0</v>
      </c>
      <c r="KU41" s="33" t="n">
        <v>0</v>
      </c>
      <c r="KV41" s="33" t="n">
        <v>0</v>
      </c>
      <c r="KW41" s="33" t="n">
        <v>0</v>
      </c>
      <c r="KX41" s="33" t="n">
        <v>0</v>
      </c>
      <c r="KY41" s="33" t="n">
        <v>0</v>
      </c>
      <c r="KZ41" s="33" t="n">
        <v>0</v>
      </c>
      <c r="LA41" s="33" t="n">
        <v>0</v>
      </c>
      <c r="LB41" s="33" t="n">
        <v>0</v>
      </c>
      <c r="LC41" s="33" t="n">
        <v>0</v>
      </c>
      <c r="LD41" s="33" t="n">
        <v>0</v>
      </c>
      <c r="LE41" s="33" t="n">
        <v>0</v>
      </c>
      <c r="LF41" s="33" t="n">
        <v>0</v>
      </c>
      <c r="LG41" s="33" t="n">
        <v>0</v>
      </c>
      <c r="LH41" s="33" t="n">
        <v>0</v>
      </c>
      <c r="LI41" s="33" t="n">
        <v>0</v>
      </c>
      <c r="LJ41" s="33" t="n">
        <v>0</v>
      </c>
      <c r="LK41" s="33" t="n">
        <v>0</v>
      </c>
      <c r="LL41" s="33" t="n">
        <v>0</v>
      </c>
      <c r="LM41" s="33" t="n">
        <v>0</v>
      </c>
      <c r="LN41" s="33" t="n">
        <v>0</v>
      </c>
      <c r="LO41" s="33" t="n">
        <v>0</v>
      </c>
      <c r="LP41" s="33" t="n">
        <v>0</v>
      </c>
      <c r="LQ41" s="33" t="n">
        <v>0</v>
      </c>
      <c r="LR41" s="33" t="n">
        <v>0</v>
      </c>
      <c r="LS41" s="33" t="n">
        <v>0</v>
      </c>
      <c r="LT41" s="33" t="n">
        <v>0</v>
      </c>
      <c r="LU41" s="33" t="n">
        <v>0</v>
      </c>
      <c r="LV41" s="33" t="n">
        <v>0</v>
      </c>
      <c r="LW41" s="33" t="n">
        <v>0</v>
      </c>
      <c r="LX41" s="33" t="n">
        <v>0</v>
      </c>
      <c r="LY41" s="33" t="n">
        <v>0</v>
      </c>
      <c r="LZ41" s="33" t="n">
        <v>0</v>
      </c>
      <c r="MA41" s="33" t="n">
        <v>0</v>
      </c>
      <c r="MB41" s="33" t="n">
        <v>0</v>
      </c>
      <c r="MC41" s="33" t="n">
        <v>0</v>
      </c>
      <c r="MD41" s="33" t="n">
        <v>0</v>
      </c>
      <c r="ME41" s="33" t="n">
        <v>0</v>
      </c>
      <c r="MF41" s="33" t="n">
        <v>0</v>
      </c>
      <c r="MG41" s="33" t="n">
        <v>0</v>
      </c>
      <c r="MH41" s="33" t="n">
        <v>0</v>
      </c>
      <c r="MI41" s="33" t="n">
        <v>0</v>
      </c>
      <c r="MJ41" s="33" t="n">
        <v>0</v>
      </c>
      <c r="MK41" s="33" t="n">
        <v>0</v>
      </c>
      <c r="ML41" s="33" t="n">
        <v>0</v>
      </c>
      <c r="MM41" s="33" t="n">
        <v>0</v>
      </c>
      <c r="MN41" s="33" t="n">
        <v>0</v>
      </c>
      <c r="MO41" s="33" t="n">
        <v>0</v>
      </c>
      <c r="MP41" s="33" t="n">
        <v>0</v>
      </c>
      <c r="MQ41" s="33" t="n">
        <v>0</v>
      </c>
      <c r="MR41" s="33" t="n">
        <v>0</v>
      </c>
      <c r="MS41" s="33" t="n">
        <v>0</v>
      </c>
      <c r="MT41" s="33" t="n">
        <v>0</v>
      </c>
      <c r="MU41" s="33" t="n">
        <v>0</v>
      </c>
      <c r="MV41" s="33" t="n">
        <v>0</v>
      </c>
      <c r="MW41" s="33" t="n">
        <v>0</v>
      </c>
      <c r="MX41" s="33" t="n">
        <v>0</v>
      </c>
      <c r="MY41" s="33" t="n">
        <v>0</v>
      </c>
      <c r="MZ41" s="33" t="n">
        <v>0</v>
      </c>
      <c r="NA41" s="33" t="n">
        <v>0</v>
      </c>
      <c r="NB41" s="33" t="n">
        <v>0</v>
      </c>
      <c r="NC41" s="33" t="n">
        <v>0</v>
      </c>
      <c r="ND41" s="33" t="n">
        <v>0</v>
      </c>
      <c r="NE41" s="33" t="n">
        <v>0</v>
      </c>
      <c r="NF41" s="33" t="n">
        <v>0</v>
      </c>
      <c r="NG41" s="33" t="n">
        <v>0</v>
      </c>
      <c r="NH41" s="33" t="n">
        <v>0</v>
      </c>
      <c r="NI41" s="33" t="n">
        <v>0</v>
      </c>
      <c r="NJ41" s="33" t="n">
        <v>0</v>
      </c>
      <c r="NK41" s="33" t="n">
        <v>0</v>
      </c>
      <c r="NL41" s="33" t="n">
        <v>0</v>
      </c>
      <c r="NM41" s="33" t="n">
        <v>0</v>
      </c>
      <c r="NN41" s="33" t="n">
        <v>0</v>
      </c>
      <c r="NO41" s="33" t="n">
        <v>0</v>
      </c>
      <c r="NP41" s="33" t="n">
        <v>0</v>
      </c>
      <c r="NQ41" s="33" t="n">
        <v>0</v>
      </c>
      <c r="NR41" s="33" t="n">
        <v>0</v>
      </c>
      <c r="NS41" s="33" t="n">
        <v>0</v>
      </c>
      <c r="NT41" s="33" t="n">
        <v>0</v>
      </c>
      <c r="NU41" s="33" t="n">
        <v>0</v>
      </c>
      <c r="NV41" s="33" t="n">
        <v>0</v>
      </c>
      <c r="NW41" s="33" t="n">
        <v>0</v>
      </c>
      <c r="NX41" s="33" t="n">
        <v>0</v>
      </c>
      <c r="NY41" s="33" t="n">
        <v>0</v>
      </c>
      <c r="NZ41" s="33" t="n">
        <v>0</v>
      </c>
      <c r="OA41" s="33" t="n">
        <v>0</v>
      </c>
      <c r="OB41" s="33" t="n">
        <v>0</v>
      </c>
      <c r="OC41" s="33" t="n">
        <v>0</v>
      </c>
      <c r="OD41" s="33" t="n">
        <v>0</v>
      </c>
      <c r="OE41" s="33" t="n">
        <v>0</v>
      </c>
      <c r="OF41" s="33" t="n">
        <v>0</v>
      </c>
      <c r="OG41" s="33" t="n">
        <v>0</v>
      </c>
      <c r="OH41" s="33" t="n">
        <v>0</v>
      </c>
      <c r="OI41" s="33" t="n">
        <v>0</v>
      </c>
      <c r="OJ41" s="33" t="n">
        <v>0</v>
      </c>
      <c r="OK41" s="33" t="n">
        <v>0</v>
      </c>
      <c r="OL41" s="33" t="n">
        <v>0</v>
      </c>
      <c r="OM41" s="33" t="n">
        <v>0</v>
      </c>
      <c r="ON41" s="33" t="n">
        <v>0</v>
      </c>
      <c r="OO41" s="33" t="n">
        <v>0</v>
      </c>
      <c r="OP41" s="33" t="n">
        <v>0</v>
      </c>
      <c r="OQ41" s="33" t="n">
        <v>0</v>
      </c>
      <c r="OR41" s="33" t="n">
        <v>0</v>
      </c>
      <c r="OS41" s="33" t="n">
        <v>0</v>
      </c>
      <c r="OT41" s="33" t="n">
        <v>0</v>
      </c>
      <c r="OU41" s="33" t="n">
        <v>0</v>
      </c>
      <c r="OV41" s="33" t="n">
        <v>0</v>
      </c>
      <c r="OW41" s="33" t="n">
        <v>0</v>
      </c>
      <c r="OX41" s="33" t="n">
        <v>0</v>
      </c>
      <c r="OY41" s="33" t="n">
        <v>0</v>
      </c>
      <c r="OZ41" s="33" t="n">
        <v>0</v>
      </c>
      <c r="PA41" s="33" t="n">
        <v>0</v>
      </c>
      <c r="PB41" s="33" t="n">
        <v>0</v>
      </c>
      <c r="PC41" s="33" t="n">
        <v>0</v>
      </c>
      <c r="PD41" s="33" t="n">
        <v>0</v>
      </c>
      <c r="PE41" s="33" t="n">
        <v>0</v>
      </c>
      <c r="PF41" s="33" t="n">
        <v>0</v>
      </c>
      <c r="PG41" s="33" t="n">
        <v>0</v>
      </c>
      <c r="PH41" s="33" t="n">
        <v>0</v>
      </c>
      <c r="PI41" s="33" t="n">
        <v>0</v>
      </c>
      <c r="PJ41" s="33" t="n">
        <v>0</v>
      </c>
      <c r="PK41" s="33" t="n">
        <v>0</v>
      </c>
      <c r="PL41" s="33" t="n">
        <v>0</v>
      </c>
      <c r="PM41" s="33" t="n">
        <v>0</v>
      </c>
      <c r="PN41" s="33" t="n">
        <v>0</v>
      </c>
      <c r="PO41" s="33" t="n">
        <v>0</v>
      </c>
      <c r="PP41" s="33" t="n">
        <v>0</v>
      </c>
      <c r="PQ41" s="33" t="n">
        <v>0</v>
      </c>
      <c r="PR41" s="33" t="n">
        <v>0</v>
      </c>
      <c r="PS41" s="33" t="n">
        <v>0</v>
      </c>
      <c r="PT41" s="33" t="n">
        <v>0</v>
      </c>
      <c r="PU41" s="33" t="n">
        <v>0</v>
      </c>
      <c r="PV41" s="33" t="n">
        <v>0</v>
      </c>
      <c r="PW41" s="33" t="n">
        <v>0</v>
      </c>
      <c r="PX41" s="33" t="n">
        <v>0</v>
      </c>
      <c r="PY41" s="33" t="n">
        <v>0</v>
      </c>
      <c r="PZ41" s="33" t="n">
        <v>0</v>
      </c>
      <c r="QA41" s="33" t="n">
        <v>0</v>
      </c>
      <c r="QB41" s="33" t="n">
        <v>0</v>
      </c>
      <c r="QC41" s="33" t="n">
        <v>0</v>
      </c>
      <c r="QD41" s="33" t="n">
        <v>0</v>
      </c>
      <c r="QE41" s="33" t="n">
        <v>0</v>
      </c>
      <c r="QF41" s="33" t="n">
        <v>0</v>
      </c>
      <c r="QG41" s="33" t="n">
        <v>0</v>
      </c>
      <c r="QH41" s="33" t="n">
        <v>0</v>
      </c>
      <c r="QI41" s="33" t="n">
        <v>0</v>
      </c>
      <c r="QJ41" s="33" t="n">
        <v>0</v>
      </c>
      <c r="QK41" s="33" t="n">
        <v>0</v>
      </c>
      <c r="QL41" s="33" t="n">
        <v>0</v>
      </c>
      <c r="QM41" s="33" t="n">
        <v>0</v>
      </c>
      <c r="QN41" s="33" t="n">
        <v>0</v>
      </c>
      <c r="QO41" s="33" t="n">
        <v>0</v>
      </c>
      <c r="QP41" s="33" t="n">
        <v>0</v>
      </c>
      <c r="QQ41" s="33" t="n">
        <v>0</v>
      </c>
      <c r="QR41" s="33" t="n">
        <v>0</v>
      </c>
      <c r="QS41" s="33" t="n">
        <v>0</v>
      </c>
      <c r="QT41" s="33" t="n">
        <v>0</v>
      </c>
      <c r="QU41" s="33" t="n">
        <v>0</v>
      </c>
      <c r="QV41" s="33" t="n">
        <v>0</v>
      </c>
      <c r="QW41" s="33" t="n">
        <v>0</v>
      </c>
      <c r="QX41" s="33" t="n">
        <v>0</v>
      </c>
      <c r="QY41" s="33" t="n">
        <v>0</v>
      </c>
      <c r="QZ41" s="33" t="n">
        <v>0</v>
      </c>
      <c r="RA41" s="33" t="n">
        <v>0</v>
      </c>
      <c r="RB41" s="33" t="n">
        <v>0</v>
      </c>
      <c r="RC41" s="33" t="n">
        <v>0</v>
      </c>
      <c r="RD41" s="33" t="n">
        <v>0</v>
      </c>
      <c r="RE41" s="33" t="n">
        <v>0</v>
      </c>
      <c r="RF41" s="33" t="n">
        <v>0</v>
      </c>
      <c r="RG41" s="33" t="n">
        <v>0</v>
      </c>
      <c r="RH41" s="33" t="n">
        <v>0</v>
      </c>
      <c r="RI41" s="33" t="n">
        <v>0</v>
      </c>
      <c r="RJ41" s="33" t="n">
        <v>0</v>
      </c>
      <c r="RK41" s="33" t="n">
        <v>0</v>
      </c>
      <c r="RL41" s="33" t="n">
        <v>0</v>
      </c>
      <c r="RM41" s="33" t="n">
        <v>0</v>
      </c>
      <c r="RN41" s="33" t="n">
        <v>0</v>
      </c>
      <c r="RO41" s="33" t="n">
        <v>0</v>
      </c>
      <c r="RP41" s="33" t="n">
        <v>0</v>
      </c>
      <c r="RQ41" s="33" t="n">
        <v>0</v>
      </c>
      <c r="RR41" s="33" t="n">
        <v>0</v>
      </c>
      <c r="RS41" s="33" t="n">
        <v>0</v>
      </c>
      <c r="RT41" s="33" t="n">
        <v>0</v>
      </c>
      <c r="RU41" s="33" t="n">
        <v>0</v>
      </c>
      <c r="RV41" s="33" t="n">
        <v>0</v>
      </c>
      <c r="RW41" s="33" t="n">
        <v>0</v>
      </c>
    </row>
    <row r="42" hidden="1" outlineLevel="1" ht="13.05" customHeight="1">
      <c r="E42" s="21" t="inlineStr">
        <is>
          <t>System Tariff Cost</t>
        </is>
      </c>
      <c r="F42" s="29" t="n"/>
      <c r="G42" s="29" t="inlineStr">
        <is>
          <t>kEUR</t>
        </is>
      </c>
      <c r="H42" s="29" t="n"/>
      <c r="I42" s="29" t="n"/>
      <c r="J42" s="32" t="n">
        <v>0</v>
      </c>
      <c r="K42" s="29" t="n"/>
      <c r="L42" s="33" t="n">
        <v>0</v>
      </c>
      <c r="M42" s="33" t="n">
        <v>0</v>
      </c>
      <c r="N42" s="33" t="n">
        <v>0</v>
      </c>
      <c r="O42" s="33" t="n">
        <v>0</v>
      </c>
      <c r="P42" s="33" t="n">
        <v>0</v>
      </c>
      <c r="Q42" s="33" t="n">
        <v>0</v>
      </c>
      <c r="R42" s="33" t="n">
        <v>0</v>
      </c>
      <c r="S42" s="33" t="n">
        <v>0</v>
      </c>
      <c r="T42" s="33" t="n">
        <v>0</v>
      </c>
      <c r="U42" s="33" t="n">
        <v>0</v>
      </c>
      <c r="V42" s="33" t="n">
        <v>0</v>
      </c>
      <c r="W42" s="33" t="n">
        <v>0</v>
      </c>
      <c r="X42" s="33" t="n">
        <v>0</v>
      </c>
      <c r="Y42" s="33" t="n">
        <v>0</v>
      </c>
      <c r="Z42" s="33" t="n">
        <v>0</v>
      </c>
      <c r="AA42" s="33" t="n">
        <v>0</v>
      </c>
      <c r="AB42" s="33" t="n">
        <v>0</v>
      </c>
      <c r="AC42" s="33" t="n">
        <v>0</v>
      </c>
      <c r="AD42" s="33" t="n">
        <v>0</v>
      </c>
      <c r="AE42" s="33" t="n">
        <v>0</v>
      </c>
      <c r="AF42" s="33" t="n">
        <v>0</v>
      </c>
      <c r="AG42" s="33" t="n">
        <v>0</v>
      </c>
      <c r="AH42" s="33" t="n">
        <v>0</v>
      </c>
      <c r="AI42" s="33" t="n">
        <v>0</v>
      </c>
      <c r="AJ42" s="33" t="n">
        <v>0</v>
      </c>
      <c r="AK42" s="33" t="n">
        <v>0</v>
      </c>
      <c r="AL42" s="33" t="n">
        <v>0</v>
      </c>
      <c r="AM42" s="33" t="n">
        <v>0</v>
      </c>
      <c r="AN42" s="33" t="n">
        <v>0</v>
      </c>
      <c r="AO42" s="33" t="n">
        <v>0</v>
      </c>
      <c r="AP42" s="33" t="n">
        <v>0</v>
      </c>
      <c r="AQ42" s="33" t="n">
        <v>0</v>
      </c>
      <c r="AR42" s="33" t="n">
        <v>0</v>
      </c>
      <c r="AS42" s="33" t="n">
        <v>0</v>
      </c>
      <c r="AT42" s="33" t="n">
        <v>0</v>
      </c>
      <c r="AU42" s="33" t="n">
        <v>0</v>
      </c>
      <c r="AV42" s="33" t="n">
        <v>0</v>
      </c>
      <c r="AW42" s="33" t="n">
        <v>0</v>
      </c>
      <c r="AX42" s="33" t="n">
        <v>0</v>
      </c>
      <c r="AY42" s="33" t="n">
        <v>0</v>
      </c>
      <c r="AZ42" s="33" t="n">
        <v>0</v>
      </c>
      <c r="BA42" s="33" t="n">
        <v>0</v>
      </c>
      <c r="BB42" s="33" t="n">
        <v>0</v>
      </c>
      <c r="BC42" s="33" t="n">
        <v>0</v>
      </c>
      <c r="BD42" s="33" t="n">
        <v>0</v>
      </c>
      <c r="BE42" s="33" t="n">
        <v>0</v>
      </c>
      <c r="BF42" s="33" t="n">
        <v>0</v>
      </c>
      <c r="BG42" s="33" t="n">
        <v>0</v>
      </c>
      <c r="BH42" s="33" t="n">
        <v>0</v>
      </c>
      <c r="BI42" s="33" t="n">
        <v>0</v>
      </c>
      <c r="BJ42" s="33" t="n">
        <v>0</v>
      </c>
      <c r="BK42" s="33" t="n">
        <v>0</v>
      </c>
      <c r="BL42" s="33" t="n">
        <v>0</v>
      </c>
      <c r="BM42" s="33" t="n">
        <v>0</v>
      </c>
      <c r="BN42" s="33" t="n">
        <v>0</v>
      </c>
      <c r="BO42" s="33" t="n">
        <v>0</v>
      </c>
      <c r="BP42" s="33" t="n">
        <v>0</v>
      </c>
      <c r="BQ42" s="33" t="n">
        <v>0</v>
      </c>
      <c r="BR42" s="33" t="n">
        <v>0</v>
      </c>
      <c r="BS42" s="33" t="n">
        <v>0</v>
      </c>
      <c r="BT42" s="33" t="n">
        <v>0</v>
      </c>
      <c r="BU42" s="33" t="n">
        <v>0</v>
      </c>
      <c r="BV42" s="33" t="n">
        <v>0</v>
      </c>
      <c r="BW42" s="33" t="n">
        <v>0</v>
      </c>
      <c r="BX42" s="33" t="n">
        <v>0</v>
      </c>
      <c r="BY42" s="33" t="n">
        <v>0</v>
      </c>
      <c r="BZ42" s="33" t="n">
        <v>0</v>
      </c>
      <c r="CA42" s="33" t="n">
        <v>0</v>
      </c>
      <c r="CB42" s="33" t="n">
        <v>0</v>
      </c>
      <c r="CC42" s="33" t="n">
        <v>0</v>
      </c>
      <c r="CD42" s="33" t="n">
        <v>0</v>
      </c>
      <c r="CE42" s="33" t="n">
        <v>0</v>
      </c>
      <c r="CF42" s="33" t="n">
        <v>0</v>
      </c>
      <c r="CG42" s="33" t="n">
        <v>0</v>
      </c>
      <c r="CH42" s="33" t="n">
        <v>0</v>
      </c>
      <c r="CI42" s="33" t="n">
        <v>0</v>
      </c>
      <c r="CJ42" s="33" t="n">
        <v>0</v>
      </c>
      <c r="CK42" s="33" t="n">
        <v>0</v>
      </c>
      <c r="CL42" s="33" t="n">
        <v>0</v>
      </c>
      <c r="CM42" s="33" t="n">
        <v>0</v>
      </c>
      <c r="CN42" s="33" t="n">
        <v>0</v>
      </c>
      <c r="CO42" s="33" t="n">
        <v>0</v>
      </c>
      <c r="CP42" s="33" t="n">
        <v>0</v>
      </c>
      <c r="CQ42" s="33" t="n">
        <v>0</v>
      </c>
      <c r="CR42" s="33" t="n">
        <v>0</v>
      </c>
      <c r="CS42" s="33" t="n">
        <v>0</v>
      </c>
      <c r="CT42" s="33" t="n">
        <v>0</v>
      </c>
      <c r="CU42" s="33" t="n">
        <v>0</v>
      </c>
      <c r="CV42" s="33" t="n">
        <v>0</v>
      </c>
      <c r="CW42" s="33" t="n">
        <v>0</v>
      </c>
      <c r="CX42" s="33" t="n">
        <v>0</v>
      </c>
      <c r="CY42" s="33" t="n">
        <v>0</v>
      </c>
      <c r="CZ42" s="33" t="n">
        <v>0</v>
      </c>
      <c r="DA42" s="33" t="n">
        <v>0</v>
      </c>
      <c r="DB42" s="33" t="n">
        <v>0</v>
      </c>
      <c r="DC42" s="33" t="n">
        <v>0</v>
      </c>
      <c r="DD42" s="33" t="n">
        <v>0</v>
      </c>
      <c r="DE42" s="33" t="n">
        <v>0</v>
      </c>
      <c r="DF42" s="33" t="n">
        <v>0</v>
      </c>
      <c r="DG42" s="33" t="n">
        <v>0</v>
      </c>
      <c r="DH42" s="33" t="n">
        <v>0</v>
      </c>
      <c r="DI42" s="33" t="n">
        <v>0</v>
      </c>
      <c r="DJ42" s="33" t="n">
        <v>0</v>
      </c>
      <c r="DK42" s="33" t="n">
        <v>0</v>
      </c>
      <c r="DL42" s="33" t="n">
        <v>0</v>
      </c>
      <c r="DM42" s="33" t="n">
        <v>0</v>
      </c>
      <c r="DN42" s="33" t="n">
        <v>0</v>
      </c>
      <c r="DO42" s="33" t="n">
        <v>0</v>
      </c>
      <c r="DP42" s="33" t="n">
        <v>0</v>
      </c>
      <c r="DQ42" s="33" t="n">
        <v>0</v>
      </c>
      <c r="DR42" s="33" t="n">
        <v>0</v>
      </c>
      <c r="DS42" s="33" t="n">
        <v>0</v>
      </c>
      <c r="DT42" s="33" t="n">
        <v>0</v>
      </c>
      <c r="DU42" s="33" t="n">
        <v>0</v>
      </c>
      <c r="DV42" s="33" t="n">
        <v>0</v>
      </c>
      <c r="DW42" s="33" t="n">
        <v>0</v>
      </c>
      <c r="DX42" s="33" t="n">
        <v>0</v>
      </c>
      <c r="DY42" s="33" t="n">
        <v>0</v>
      </c>
      <c r="DZ42" s="33" t="n">
        <v>0</v>
      </c>
      <c r="EA42" s="33" t="n">
        <v>0</v>
      </c>
      <c r="EB42" s="33" t="n">
        <v>0</v>
      </c>
      <c r="EC42" s="33" t="n">
        <v>0</v>
      </c>
      <c r="ED42" s="33" t="n">
        <v>0</v>
      </c>
      <c r="EE42" s="33" t="n">
        <v>0</v>
      </c>
      <c r="EF42" s="33" t="n">
        <v>0</v>
      </c>
      <c r="EG42" s="33" t="n">
        <v>0</v>
      </c>
      <c r="EH42" s="33" t="n">
        <v>0</v>
      </c>
      <c r="EI42" s="33" t="n">
        <v>0</v>
      </c>
      <c r="EJ42" s="33" t="n">
        <v>0</v>
      </c>
      <c r="EK42" s="33" t="n">
        <v>0</v>
      </c>
      <c r="EL42" s="33" t="n">
        <v>0</v>
      </c>
      <c r="EM42" s="33" t="n">
        <v>0</v>
      </c>
      <c r="EN42" s="33" t="n">
        <v>0</v>
      </c>
      <c r="EO42" s="33" t="n">
        <v>0</v>
      </c>
      <c r="EP42" s="33" t="n">
        <v>0</v>
      </c>
      <c r="EQ42" s="33" t="n">
        <v>0</v>
      </c>
      <c r="ER42" s="33" t="n">
        <v>0</v>
      </c>
      <c r="ES42" s="33" t="n">
        <v>0</v>
      </c>
      <c r="ET42" s="33" t="n">
        <v>0</v>
      </c>
      <c r="EU42" s="33" t="n">
        <v>0</v>
      </c>
      <c r="EV42" s="33" t="n">
        <v>0</v>
      </c>
      <c r="EW42" s="33" t="n">
        <v>0</v>
      </c>
      <c r="EX42" s="33" t="n">
        <v>0</v>
      </c>
      <c r="EY42" s="33" t="n">
        <v>0</v>
      </c>
      <c r="EZ42" s="33" t="n">
        <v>0</v>
      </c>
      <c r="FA42" s="33" t="n">
        <v>0</v>
      </c>
      <c r="FB42" s="33" t="n">
        <v>0</v>
      </c>
      <c r="FC42" s="33" t="n">
        <v>0</v>
      </c>
      <c r="FD42" s="33" t="n">
        <v>0</v>
      </c>
      <c r="FE42" s="33" t="n">
        <v>0</v>
      </c>
      <c r="FF42" s="33" t="n">
        <v>0</v>
      </c>
      <c r="FG42" s="33" t="n">
        <v>0</v>
      </c>
      <c r="FH42" s="33" t="n">
        <v>0</v>
      </c>
      <c r="FI42" s="33" t="n">
        <v>0</v>
      </c>
      <c r="FJ42" s="33" t="n">
        <v>0</v>
      </c>
      <c r="FK42" s="33" t="n">
        <v>0</v>
      </c>
      <c r="FL42" s="33" t="n">
        <v>0</v>
      </c>
      <c r="FM42" s="33" t="n">
        <v>0</v>
      </c>
      <c r="FN42" s="33" t="n">
        <v>0</v>
      </c>
      <c r="FO42" s="33" t="n">
        <v>0</v>
      </c>
      <c r="FP42" s="33" t="n">
        <v>0</v>
      </c>
      <c r="FQ42" s="33" t="n">
        <v>0</v>
      </c>
      <c r="FR42" s="33" t="n">
        <v>0</v>
      </c>
      <c r="FS42" s="33" t="n">
        <v>0</v>
      </c>
      <c r="FT42" s="33" t="n">
        <v>0</v>
      </c>
      <c r="FU42" s="33" t="n">
        <v>0</v>
      </c>
      <c r="FV42" s="33" t="n">
        <v>0</v>
      </c>
      <c r="FW42" s="33" t="n">
        <v>0</v>
      </c>
      <c r="FX42" s="33" t="n">
        <v>0</v>
      </c>
      <c r="FY42" s="33" t="n">
        <v>0</v>
      </c>
      <c r="FZ42" s="33" t="n">
        <v>0</v>
      </c>
      <c r="GA42" s="33" t="n">
        <v>0</v>
      </c>
      <c r="GB42" s="33" t="n">
        <v>0</v>
      </c>
      <c r="GC42" s="33" t="n">
        <v>0</v>
      </c>
      <c r="GD42" s="33" t="n">
        <v>0</v>
      </c>
      <c r="GE42" s="33" t="n">
        <v>0</v>
      </c>
      <c r="GF42" s="33" t="n">
        <v>0</v>
      </c>
      <c r="GG42" s="33" t="n">
        <v>0</v>
      </c>
      <c r="GH42" s="33" t="n">
        <v>0</v>
      </c>
      <c r="GI42" s="33" t="n">
        <v>0</v>
      </c>
      <c r="GJ42" s="33" t="n">
        <v>0</v>
      </c>
      <c r="GK42" s="33" t="n">
        <v>0</v>
      </c>
      <c r="GL42" s="33" t="n">
        <v>0</v>
      </c>
      <c r="GM42" s="33" t="n">
        <v>0</v>
      </c>
      <c r="GN42" s="33" t="n">
        <v>0</v>
      </c>
      <c r="GO42" s="33" t="n">
        <v>0</v>
      </c>
      <c r="GP42" s="33" t="n">
        <v>0</v>
      </c>
      <c r="GQ42" s="33" t="n">
        <v>0</v>
      </c>
      <c r="GR42" s="33" t="n">
        <v>0</v>
      </c>
      <c r="GS42" s="33" t="n">
        <v>0</v>
      </c>
      <c r="GT42" s="33" t="n">
        <v>0</v>
      </c>
      <c r="GU42" s="33" t="n">
        <v>0</v>
      </c>
      <c r="GV42" s="33" t="n">
        <v>0</v>
      </c>
      <c r="GW42" s="33" t="n">
        <v>0</v>
      </c>
      <c r="GX42" s="33" t="n">
        <v>0</v>
      </c>
      <c r="GY42" s="33" t="n">
        <v>0</v>
      </c>
      <c r="GZ42" s="33" t="n">
        <v>0</v>
      </c>
      <c r="HA42" s="33" t="n">
        <v>0</v>
      </c>
      <c r="HB42" s="33" t="n">
        <v>0</v>
      </c>
      <c r="HC42" s="33" t="n">
        <v>0</v>
      </c>
      <c r="HD42" s="33" t="n">
        <v>0</v>
      </c>
      <c r="HE42" s="33" t="n">
        <v>0</v>
      </c>
      <c r="HF42" s="33" t="n">
        <v>0</v>
      </c>
      <c r="HG42" s="33" t="n">
        <v>0</v>
      </c>
      <c r="HH42" s="33" t="n">
        <v>0</v>
      </c>
      <c r="HI42" s="33" t="n">
        <v>0</v>
      </c>
      <c r="HJ42" s="33" t="n">
        <v>0</v>
      </c>
      <c r="HK42" s="33" t="n">
        <v>0</v>
      </c>
      <c r="HL42" s="33" t="n">
        <v>0</v>
      </c>
      <c r="HM42" s="33" t="n">
        <v>0</v>
      </c>
      <c r="HN42" s="33" t="n">
        <v>0</v>
      </c>
      <c r="HO42" s="33" t="n">
        <v>0</v>
      </c>
      <c r="HP42" s="33" t="n">
        <v>0</v>
      </c>
      <c r="HQ42" s="33" t="n">
        <v>0</v>
      </c>
      <c r="HR42" s="33" t="n">
        <v>0</v>
      </c>
      <c r="HS42" s="33" t="n">
        <v>0</v>
      </c>
      <c r="HT42" s="33" t="n">
        <v>0</v>
      </c>
      <c r="HU42" s="33" t="n">
        <v>0</v>
      </c>
      <c r="HV42" s="33" t="n">
        <v>0</v>
      </c>
      <c r="HW42" s="33" t="n">
        <v>0</v>
      </c>
      <c r="HX42" s="33" t="n">
        <v>0</v>
      </c>
      <c r="HY42" s="33" t="n">
        <v>0</v>
      </c>
      <c r="HZ42" s="33" t="n">
        <v>0</v>
      </c>
      <c r="IA42" s="33" t="n">
        <v>0</v>
      </c>
      <c r="IB42" s="33" t="n">
        <v>0</v>
      </c>
      <c r="IC42" s="33" t="n">
        <v>0</v>
      </c>
      <c r="ID42" s="33" t="n">
        <v>0</v>
      </c>
      <c r="IE42" s="33" t="n">
        <v>0</v>
      </c>
      <c r="IF42" s="33" t="n">
        <v>0</v>
      </c>
      <c r="IG42" s="33" t="n">
        <v>0</v>
      </c>
      <c r="IH42" s="33" t="n">
        <v>0</v>
      </c>
      <c r="II42" s="33" t="n">
        <v>0</v>
      </c>
      <c r="IJ42" s="33" t="n">
        <v>0</v>
      </c>
      <c r="IK42" s="33" t="n">
        <v>0</v>
      </c>
      <c r="IL42" s="33" t="n">
        <v>0</v>
      </c>
      <c r="IM42" s="33" t="n">
        <v>0</v>
      </c>
      <c r="IN42" s="33" t="n">
        <v>0</v>
      </c>
      <c r="IO42" s="33" t="n">
        <v>0</v>
      </c>
      <c r="IP42" s="33" t="n">
        <v>0</v>
      </c>
      <c r="IQ42" s="33" t="n">
        <v>0</v>
      </c>
      <c r="IR42" s="33" t="n">
        <v>0</v>
      </c>
      <c r="IS42" s="33" t="n">
        <v>0</v>
      </c>
      <c r="IT42" s="33" t="n">
        <v>0</v>
      </c>
      <c r="IU42" s="33" t="n">
        <v>0</v>
      </c>
      <c r="IV42" s="33" t="n">
        <v>0</v>
      </c>
      <c r="IW42" s="33" t="n">
        <v>0</v>
      </c>
      <c r="IX42" s="33" t="n">
        <v>0</v>
      </c>
      <c r="IY42" s="33" t="n">
        <v>0</v>
      </c>
      <c r="IZ42" s="33" t="n">
        <v>0</v>
      </c>
      <c r="JA42" s="33" t="n">
        <v>0</v>
      </c>
      <c r="JB42" s="33" t="n">
        <v>0</v>
      </c>
      <c r="JC42" s="33" t="n">
        <v>0</v>
      </c>
      <c r="JD42" s="33" t="n">
        <v>0</v>
      </c>
      <c r="JE42" s="33" t="n">
        <v>0</v>
      </c>
      <c r="JF42" s="33" t="n">
        <v>0</v>
      </c>
      <c r="JG42" s="33" t="n">
        <v>0</v>
      </c>
      <c r="JH42" s="33" t="n">
        <v>0</v>
      </c>
      <c r="JI42" s="33" t="n">
        <v>0</v>
      </c>
      <c r="JJ42" s="33" t="n">
        <v>0</v>
      </c>
      <c r="JK42" s="33" t="n">
        <v>0</v>
      </c>
      <c r="JL42" s="33" t="n">
        <v>0</v>
      </c>
      <c r="JM42" s="33" t="n">
        <v>0</v>
      </c>
      <c r="JN42" s="33" t="n">
        <v>0</v>
      </c>
      <c r="JO42" s="33" t="n">
        <v>0</v>
      </c>
      <c r="JP42" s="33" t="n">
        <v>0</v>
      </c>
      <c r="JQ42" s="33" t="n">
        <v>0</v>
      </c>
      <c r="JR42" s="33" t="n">
        <v>0</v>
      </c>
      <c r="JS42" s="33" t="n">
        <v>0</v>
      </c>
      <c r="JT42" s="33" t="n">
        <v>0</v>
      </c>
      <c r="JU42" s="33" t="n">
        <v>0</v>
      </c>
      <c r="JV42" s="33" t="n">
        <v>0</v>
      </c>
      <c r="JW42" s="33" t="n">
        <v>0</v>
      </c>
      <c r="JX42" s="33" t="n">
        <v>0</v>
      </c>
      <c r="JY42" s="33" t="n">
        <v>0</v>
      </c>
      <c r="JZ42" s="33" t="n">
        <v>0</v>
      </c>
      <c r="KA42" s="33" t="n">
        <v>0</v>
      </c>
      <c r="KB42" s="33" t="n">
        <v>0</v>
      </c>
      <c r="KC42" s="33" t="n">
        <v>0</v>
      </c>
      <c r="KD42" s="33" t="n">
        <v>0</v>
      </c>
      <c r="KE42" s="33" t="n">
        <v>0</v>
      </c>
      <c r="KF42" s="33" t="n">
        <v>0</v>
      </c>
      <c r="KG42" s="33" t="n">
        <v>0</v>
      </c>
      <c r="KH42" s="33" t="n">
        <v>0</v>
      </c>
      <c r="KI42" s="33" t="n">
        <v>0</v>
      </c>
      <c r="KJ42" s="33" t="n">
        <v>0</v>
      </c>
      <c r="KK42" s="33" t="n">
        <v>0</v>
      </c>
      <c r="KL42" s="33" t="n">
        <v>0</v>
      </c>
      <c r="KM42" s="33" t="n">
        <v>0</v>
      </c>
      <c r="KN42" s="33" t="n">
        <v>0</v>
      </c>
      <c r="KO42" s="33" t="n">
        <v>0</v>
      </c>
      <c r="KP42" s="33" t="n">
        <v>0</v>
      </c>
      <c r="KQ42" s="33" t="n">
        <v>0</v>
      </c>
      <c r="KR42" s="33" t="n">
        <v>0</v>
      </c>
      <c r="KS42" s="33" t="n">
        <v>0</v>
      </c>
      <c r="KT42" s="33" t="n">
        <v>0</v>
      </c>
      <c r="KU42" s="33" t="n">
        <v>0</v>
      </c>
      <c r="KV42" s="33" t="n">
        <v>0</v>
      </c>
      <c r="KW42" s="33" t="n">
        <v>0</v>
      </c>
      <c r="KX42" s="33" t="n">
        <v>0</v>
      </c>
      <c r="KY42" s="33" t="n">
        <v>0</v>
      </c>
      <c r="KZ42" s="33" t="n">
        <v>0</v>
      </c>
      <c r="LA42" s="33" t="n">
        <v>0</v>
      </c>
      <c r="LB42" s="33" t="n">
        <v>0</v>
      </c>
      <c r="LC42" s="33" t="n">
        <v>0</v>
      </c>
      <c r="LD42" s="33" t="n">
        <v>0</v>
      </c>
      <c r="LE42" s="33" t="n">
        <v>0</v>
      </c>
      <c r="LF42" s="33" t="n">
        <v>0</v>
      </c>
      <c r="LG42" s="33" t="n">
        <v>0</v>
      </c>
      <c r="LH42" s="33" t="n">
        <v>0</v>
      </c>
      <c r="LI42" s="33" t="n">
        <v>0</v>
      </c>
      <c r="LJ42" s="33" t="n">
        <v>0</v>
      </c>
      <c r="LK42" s="33" t="n">
        <v>0</v>
      </c>
      <c r="LL42" s="33" t="n">
        <v>0</v>
      </c>
      <c r="LM42" s="33" t="n">
        <v>0</v>
      </c>
      <c r="LN42" s="33" t="n">
        <v>0</v>
      </c>
      <c r="LO42" s="33" t="n">
        <v>0</v>
      </c>
      <c r="LP42" s="33" t="n">
        <v>0</v>
      </c>
      <c r="LQ42" s="33" t="n">
        <v>0</v>
      </c>
      <c r="LR42" s="33" t="n">
        <v>0</v>
      </c>
      <c r="LS42" s="33" t="n">
        <v>0</v>
      </c>
      <c r="LT42" s="33" t="n">
        <v>0</v>
      </c>
      <c r="LU42" s="33" t="n">
        <v>0</v>
      </c>
      <c r="LV42" s="33" t="n">
        <v>0</v>
      </c>
      <c r="LW42" s="33" t="n">
        <v>0</v>
      </c>
      <c r="LX42" s="33" t="n">
        <v>0</v>
      </c>
      <c r="LY42" s="33" t="n">
        <v>0</v>
      </c>
      <c r="LZ42" s="33" t="n">
        <v>0</v>
      </c>
      <c r="MA42" s="33" t="n">
        <v>0</v>
      </c>
      <c r="MB42" s="33" t="n">
        <v>0</v>
      </c>
      <c r="MC42" s="33" t="n">
        <v>0</v>
      </c>
      <c r="MD42" s="33" t="n">
        <v>0</v>
      </c>
      <c r="ME42" s="33" t="n">
        <v>0</v>
      </c>
      <c r="MF42" s="33" t="n">
        <v>0</v>
      </c>
      <c r="MG42" s="33" t="n">
        <v>0</v>
      </c>
      <c r="MH42" s="33" t="n">
        <v>0</v>
      </c>
      <c r="MI42" s="33" t="n">
        <v>0</v>
      </c>
      <c r="MJ42" s="33" t="n">
        <v>0</v>
      </c>
      <c r="MK42" s="33" t="n">
        <v>0</v>
      </c>
      <c r="ML42" s="33" t="n">
        <v>0</v>
      </c>
      <c r="MM42" s="33" t="n">
        <v>0</v>
      </c>
      <c r="MN42" s="33" t="n">
        <v>0</v>
      </c>
      <c r="MO42" s="33" t="n">
        <v>0</v>
      </c>
      <c r="MP42" s="33" t="n">
        <v>0</v>
      </c>
      <c r="MQ42" s="33" t="n">
        <v>0</v>
      </c>
      <c r="MR42" s="33" t="n">
        <v>0</v>
      </c>
      <c r="MS42" s="33" t="n">
        <v>0</v>
      </c>
      <c r="MT42" s="33" t="n">
        <v>0</v>
      </c>
      <c r="MU42" s="33" t="n">
        <v>0</v>
      </c>
      <c r="MV42" s="33" t="n">
        <v>0</v>
      </c>
      <c r="MW42" s="33" t="n">
        <v>0</v>
      </c>
      <c r="MX42" s="33" t="n">
        <v>0</v>
      </c>
      <c r="MY42" s="33" t="n">
        <v>0</v>
      </c>
      <c r="MZ42" s="33" t="n">
        <v>0</v>
      </c>
      <c r="NA42" s="33" t="n">
        <v>0</v>
      </c>
      <c r="NB42" s="33" t="n">
        <v>0</v>
      </c>
      <c r="NC42" s="33" t="n">
        <v>0</v>
      </c>
      <c r="ND42" s="33" t="n">
        <v>0</v>
      </c>
      <c r="NE42" s="33" t="n">
        <v>0</v>
      </c>
      <c r="NF42" s="33" t="n">
        <v>0</v>
      </c>
      <c r="NG42" s="33" t="n">
        <v>0</v>
      </c>
      <c r="NH42" s="33" t="n">
        <v>0</v>
      </c>
      <c r="NI42" s="33" t="n">
        <v>0</v>
      </c>
      <c r="NJ42" s="33" t="n">
        <v>0</v>
      </c>
      <c r="NK42" s="33" t="n">
        <v>0</v>
      </c>
      <c r="NL42" s="33" t="n">
        <v>0</v>
      </c>
      <c r="NM42" s="33" t="n">
        <v>0</v>
      </c>
      <c r="NN42" s="33" t="n">
        <v>0</v>
      </c>
      <c r="NO42" s="33" t="n">
        <v>0</v>
      </c>
      <c r="NP42" s="33" t="n">
        <v>0</v>
      </c>
      <c r="NQ42" s="33" t="n">
        <v>0</v>
      </c>
      <c r="NR42" s="33" t="n">
        <v>0</v>
      </c>
      <c r="NS42" s="33" t="n">
        <v>0</v>
      </c>
      <c r="NT42" s="33" t="n">
        <v>0</v>
      </c>
      <c r="NU42" s="33" t="n">
        <v>0</v>
      </c>
      <c r="NV42" s="33" t="n">
        <v>0</v>
      </c>
      <c r="NW42" s="33" t="n">
        <v>0</v>
      </c>
      <c r="NX42" s="33" t="n">
        <v>0</v>
      </c>
      <c r="NY42" s="33" t="n">
        <v>0</v>
      </c>
      <c r="NZ42" s="33" t="n">
        <v>0</v>
      </c>
      <c r="OA42" s="33" t="n">
        <v>0</v>
      </c>
      <c r="OB42" s="33" t="n">
        <v>0</v>
      </c>
      <c r="OC42" s="33" t="n">
        <v>0</v>
      </c>
      <c r="OD42" s="33" t="n">
        <v>0</v>
      </c>
      <c r="OE42" s="33" t="n">
        <v>0</v>
      </c>
      <c r="OF42" s="33" t="n">
        <v>0</v>
      </c>
      <c r="OG42" s="33" t="n">
        <v>0</v>
      </c>
      <c r="OH42" s="33" t="n">
        <v>0</v>
      </c>
      <c r="OI42" s="33" t="n">
        <v>0</v>
      </c>
      <c r="OJ42" s="33" t="n">
        <v>0</v>
      </c>
      <c r="OK42" s="33" t="n">
        <v>0</v>
      </c>
      <c r="OL42" s="33" t="n">
        <v>0</v>
      </c>
      <c r="OM42" s="33" t="n">
        <v>0</v>
      </c>
      <c r="ON42" s="33" t="n">
        <v>0</v>
      </c>
      <c r="OO42" s="33" t="n">
        <v>0</v>
      </c>
      <c r="OP42" s="33" t="n">
        <v>0</v>
      </c>
      <c r="OQ42" s="33" t="n">
        <v>0</v>
      </c>
      <c r="OR42" s="33" t="n">
        <v>0</v>
      </c>
      <c r="OS42" s="33" t="n">
        <v>0</v>
      </c>
      <c r="OT42" s="33" t="n">
        <v>0</v>
      </c>
      <c r="OU42" s="33" t="n">
        <v>0</v>
      </c>
      <c r="OV42" s="33" t="n">
        <v>0</v>
      </c>
      <c r="OW42" s="33" t="n">
        <v>0</v>
      </c>
      <c r="OX42" s="33" t="n">
        <v>0</v>
      </c>
      <c r="OY42" s="33" t="n">
        <v>0</v>
      </c>
      <c r="OZ42" s="33" t="n">
        <v>0</v>
      </c>
      <c r="PA42" s="33" t="n">
        <v>0</v>
      </c>
      <c r="PB42" s="33" t="n">
        <v>0</v>
      </c>
      <c r="PC42" s="33" t="n">
        <v>0</v>
      </c>
      <c r="PD42" s="33" t="n">
        <v>0</v>
      </c>
      <c r="PE42" s="33" t="n">
        <v>0</v>
      </c>
      <c r="PF42" s="33" t="n">
        <v>0</v>
      </c>
      <c r="PG42" s="33" t="n">
        <v>0</v>
      </c>
      <c r="PH42" s="33" t="n">
        <v>0</v>
      </c>
      <c r="PI42" s="33" t="n">
        <v>0</v>
      </c>
      <c r="PJ42" s="33" t="n">
        <v>0</v>
      </c>
      <c r="PK42" s="33" t="n">
        <v>0</v>
      </c>
      <c r="PL42" s="33" t="n">
        <v>0</v>
      </c>
      <c r="PM42" s="33" t="n">
        <v>0</v>
      </c>
      <c r="PN42" s="33" t="n">
        <v>0</v>
      </c>
      <c r="PO42" s="33" t="n">
        <v>0</v>
      </c>
      <c r="PP42" s="33" t="n">
        <v>0</v>
      </c>
      <c r="PQ42" s="33" t="n">
        <v>0</v>
      </c>
      <c r="PR42" s="33" t="n">
        <v>0</v>
      </c>
      <c r="PS42" s="33" t="n">
        <v>0</v>
      </c>
      <c r="PT42" s="33" t="n">
        <v>0</v>
      </c>
      <c r="PU42" s="33" t="n">
        <v>0</v>
      </c>
      <c r="PV42" s="33" t="n">
        <v>0</v>
      </c>
      <c r="PW42" s="33" t="n">
        <v>0</v>
      </c>
      <c r="PX42" s="33" t="n">
        <v>0</v>
      </c>
      <c r="PY42" s="33" t="n">
        <v>0</v>
      </c>
      <c r="PZ42" s="33" t="n">
        <v>0</v>
      </c>
      <c r="QA42" s="33" t="n">
        <v>0</v>
      </c>
      <c r="QB42" s="33" t="n">
        <v>0</v>
      </c>
      <c r="QC42" s="33" t="n">
        <v>0</v>
      </c>
      <c r="QD42" s="33" t="n">
        <v>0</v>
      </c>
      <c r="QE42" s="33" t="n">
        <v>0</v>
      </c>
      <c r="QF42" s="33" t="n">
        <v>0</v>
      </c>
      <c r="QG42" s="33" t="n">
        <v>0</v>
      </c>
      <c r="QH42" s="33" t="n">
        <v>0</v>
      </c>
      <c r="QI42" s="33" t="n">
        <v>0</v>
      </c>
      <c r="QJ42" s="33" t="n">
        <v>0</v>
      </c>
      <c r="QK42" s="33" t="n">
        <v>0</v>
      </c>
      <c r="QL42" s="33" t="n">
        <v>0</v>
      </c>
      <c r="QM42" s="33" t="n">
        <v>0</v>
      </c>
      <c r="QN42" s="33" t="n">
        <v>0</v>
      </c>
      <c r="QO42" s="33" t="n">
        <v>0</v>
      </c>
      <c r="QP42" s="33" t="n">
        <v>0</v>
      </c>
      <c r="QQ42" s="33" t="n">
        <v>0</v>
      </c>
      <c r="QR42" s="33" t="n">
        <v>0</v>
      </c>
      <c r="QS42" s="33" t="n">
        <v>0</v>
      </c>
      <c r="QT42" s="33" t="n">
        <v>0</v>
      </c>
      <c r="QU42" s="33" t="n">
        <v>0</v>
      </c>
      <c r="QV42" s="33" t="n">
        <v>0</v>
      </c>
      <c r="QW42" s="33" t="n">
        <v>0</v>
      </c>
      <c r="QX42" s="33" t="n">
        <v>0</v>
      </c>
      <c r="QY42" s="33" t="n">
        <v>0</v>
      </c>
      <c r="QZ42" s="33" t="n">
        <v>0</v>
      </c>
      <c r="RA42" s="33" t="n">
        <v>0</v>
      </c>
      <c r="RB42" s="33" t="n">
        <v>0</v>
      </c>
      <c r="RC42" s="33" t="n">
        <v>0</v>
      </c>
      <c r="RD42" s="33" t="n">
        <v>0</v>
      </c>
      <c r="RE42" s="33" t="n">
        <v>0</v>
      </c>
      <c r="RF42" s="33" t="n">
        <v>0</v>
      </c>
      <c r="RG42" s="33" t="n">
        <v>0</v>
      </c>
      <c r="RH42" s="33" t="n">
        <v>0</v>
      </c>
      <c r="RI42" s="33" t="n">
        <v>0</v>
      </c>
      <c r="RJ42" s="33" t="n">
        <v>0</v>
      </c>
      <c r="RK42" s="33" t="n">
        <v>0</v>
      </c>
      <c r="RL42" s="33" t="n">
        <v>0</v>
      </c>
      <c r="RM42" s="33" t="n">
        <v>0</v>
      </c>
      <c r="RN42" s="33" t="n">
        <v>0</v>
      </c>
      <c r="RO42" s="33" t="n">
        <v>0</v>
      </c>
      <c r="RP42" s="33" t="n">
        <v>0</v>
      </c>
      <c r="RQ42" s="33" t="n">
        <v>0</v>
      </c>
      <c r="RR42" s="33" t="n">
        <v>0</v>
      </c>
      <c r="RS42" s="33" t="n">
        <v>0</v>
      </c>
      <c r="RT42" s="33" t="n">
        <v>0</v>
      </c>
      <c r="RU42" s="33" t="n">
        <v>0</v>
      </c>
      <c r="RV42" s="33" t="n">
        <v>0</v>
      </c>
      <c r="RW42" s="33" t="n">
        <v>0</v>
      </c>
    </row>
    <row r="43" hidden="1" outlineLevel="1" ht="13.05" customHeight="1">
      <c r="E43" s="21" t="inlineStr">
        <is>
          <t>Grid Import Fee</t>
        </is>
      </c>
      <c r="F43" s="29" t="n"/>
      <c r="G43" s="29" t="inlineStr">
        <is>
          <t>kEUR</t>
        </is>
      </c>
      <c r="H43" s="29" t="n"/>
      <c r="I43" s="29" t="n"/>
      <c r="J43" s="32" t="n">
        <v>0</v>
      </c>
      <c r="K43" s="29" t="n"/>
      <c r="L43" s="33" t="n">
        <v>0</v>
      </c>
      <c r="M43" s="33" t="n">
        <v>0</v>
      </c>
      <c r="N43" s="33" t="n">
        <v>0</v>
      </c>
      <c r="O43" s="33" t="n">
        <v>0</v>
      </c>
      <c r="P43" s="33" t="n">
        <v>0</v>
      </c>
      <c r="Q43" s="33" t="n">
        <v>0</v>
      </c>
      <c r="R43" s="33" t="n">
        <v>0</v>
      </c>
      <c r="S43" s="33" t="n">
        <v>0</v>
      </c>
      <c r="T43" s="33" t="n">
        <v>0</v>
      </c>
      <c r="U43" s="33" t="n">
        <v>0</v>
      </c>
      <c r="V43" s="33" t="n">
        <v>0</v>
      </c>
      <c r="W43" s="33" t="n">
        <v>0</v>
      </c>
      <c r="X43" s="33" t="n">
        <v>0</v>
      </c>
      <c r="Y43" s="33" t="n">
        <v>0</v>
      </c>
      <c r="Z43" s="33" t="n">
        <v>0</v>
      </c>
      <c r="AA43" s="33" t="n">
        <v>0</v>
      </c>
      <c r="AB43" s="33" t="n">
        <v>0</v>
      </c>
      <c r="AC43" s="33" t="n">
        <v>0</v>
      </c>
      <c r="AD43" s="33" t="n">
        <v>0</v>
      </c>
      <c r="AE43" s="33" t="n">
        <v>0</v>
      </c>
      <c r="AF43" s="33" t="n">
        <v>0</v>
      </c>
      <c r="AG43" s="33" t="n">
        <v>0</v>
      </c>
      <c r="AH43" s="33" t="n">
        <v>0</v>
      </c>
      <c r="AI43" s="33" t="n">
        <v>0</v>
      </c>
      <c r="AJ43" s="33" t="n">
        <v>0</v>
      </c>
      <c r="AK43" s="33" t="n">
        <v>0</v>
      </c>
      <c r="AL43" s="33" t="n">
        <v>0</v>
      </c>
      <c r="AM43" s="33" t="n">
        <v>0</v>
      </c>
      <c r="AN43" s="33" t="n">
        <v>0</v>
      </c>
      <c r="AO43" s="33" t="n">
        <v>0</v>
      </c>
      <c r="AP43" s="33" t="n">
        <v>0</v>
      </c>
      <c r="AQ43" s="33" t="n">
        <v>0</v>
      </c>
      <c r="AR43" s="33" t="n">
        <v>0</v>
      </c>
      <c r="AS43" s="33" t="n">
        <v>0</v>
      </c>
      <c r="AT43" s="33" t="n">
        <v>0</v>
      </c>
      <c r="AU43" s="33" t="n">
        <v>0</v>
      </c>
      <c r="AV43" s="33" t="n">
        <v>0</v>
      </c>
      <c r="AW43" s="33" t="n">
        <v>0</v>
      </c>
      <c r="AX43" s="33" t="n">
        <v>0</v>
      </c>
      <c r="AY43" s="33" t="n">
        <v>0</v>
      </c>
      <c r="AZ43" s="33" t="n">
        <v>0</v>
      </c>
      <c r="BA43" s="33" t="n">
        <v>0</v>
      </c>
      <c r="BB43" s="33" t="n">
        <v>0</v>
      </c>
      <c r="BC43" s="33" t="n">
        <v>0</v>
      </c>
      <c r="BD43" s="33" t="n">
        <v>0</v>
      </c>
      <c r="BE43" s="33" t="n">
        <v>0</v>
      </c>
      <c r="BF43" s="33" t="n">
        <v>0</v>
      </c>
      <c r="BG43" s="33" t="n">
        <v>0</v>
      </c>
      <c r="BH43" s="33" t="n">
        <v>0</v>
      </c>
      <c r="BI43" s="33" t="n">
        <v>0</v>
      </c>
      <c r="BJ43" s="33" t="n">
        <v>0</v>
      </c>
      <c r="BK43" s="33" t="n">
        <v>0</v>
      </c>
      <c r="BL43" s="33" t="n">
        <v>0</v>
      </c>
      <c r="BM43" s="33" t="n">
        <v>0</v>
      </c>
      <c r="BN43" s="33" t="n">
        <v>0</v>
      </c>
      <c r="BO43" s="33" t="n">
        <v>0</v>
      </c>
      <c r="BP43" s="33" t="n">
        <v>0</v>
      </c>
      <c r="BQ43" s="33" t="n">
        <v>0</v>
      </c>
      <c r="BR43" s="33" t="n">
        <v>0</v>
      </c>
      <c r="BS43" s="33" t="n">
        <v>0</v>
      </c>
      <c r="BT43" s="33" t="n">
        <v>0</v>
      </c>
      <c r="BU43" s="33" t="n">
        <v>0</v>
      </c>
      <c r="BV43" s="33" t="n">
        <v>0</v>
      </c>
      <c r="BW43" s="33" t="n">
        <v>0</v>
      </c>
      <c r="BX43" s="33" t="n">
        <v>0</v>
      </c>
      <c r="BY43" s="33" t="n">
        <v>0</v>
      </c>
      <c r="BZ43" s="33" t="n">
        <v>0</v>
      </c>
      <c r="CA43" s="33" t="n">
        <v>0</v>
      </c>
      <c r="CB43" s="33" t="n">
        <v>0</v>
      </c>
      <c r="CC43" s="33" t="n">
        <v>0</v>
      </c>
      <c r="CD43" s="33" t="n">
        <v>0</v>
      </c>
      <c r="CE43" s="33" t="n">
        <v>0</v>
      </c>
      <c r="CF43" s="33" t="n">
        <v>0</v>
      </c>
      <c r="CG43" s="33" t="n">
        <v>0</v>
      </c>
      <c r="CH43" s="33" t="n">
        <v>0</v>
      </c>
      <c r="CI43" s="33" t="n">
        <v>0</v>
      </c>
      <c r="CJ43" s="33" t="n">
        <v>0</v>
      </c>
      <c r="CK43" s="33" t="n">
        <v>0</v>
      </c>
      <c r="CL43" s="33" t="n">
        <v>0</v>
      </c>
      <c r="CM43" s="33" t="n">
        <v>0</v>
      </c>
      <c r="CN43" s="33" t="n">
        <v>0</v>
      </c>
      <c r="CO43" s="33" t="n">
        <v>0</v>
      </c>
      <c r="CP43" s="33" t="n">
        <v>0</v>
      </c>
      <c r="CQ43" s="33" t="n">
        <v>0</v>
      </c>
      <c r="CR43" s="33" t="n">
        <v>0</v>
      </c>
      <c r="CS43" s="33" t="n">
        <v>0</v>
      </c>
      <c r="CT43" s="33" t="n">
        <v>0</v>
      </c>
      <c r="CU43" s="33" t="n">
        <v>0</v>
      </c>
      <c r="CV43" s="33" t="n">
        <v>0</v>
      </c>
      <c r="CW43" s="33" t="n">
        <v>0</v>
      </c>
      <c r="CX43" s="33" t="n">
        <v>0</v>
      </c>
      <c r="CY43" s="33" t="n">
        <v>0</v>
      </c>
      <c r="CZ43" s="33" t="n">
        <v>0</v>
      </c>
      <c r="DA43" s="33" t="n">
        <v>0</v>
      </c>
      <c r="DB43" s="33" t="n">
        <v>0</v>
      </c>
      <c r="DC43" s="33" t="n">
        <v>0</v>
      </c>
      <c r="DD43" s="33" t="n">
        <v>0</v>
      </c>
      <c r="DE43" s="33" t="n">
        <v>0</v>
      </c>
      <c r="DF43" s="33" t="n">
        <v>0</v>
      </c>
      <c r="DG43" s="33" t="n">
        <v>0</v>
      </c>
      <c r="DH43" s="33" t="n">
        <v>0</v>
      </c>
      <c r="DI43" s="33" t="n">
        <v>0</v>
      </c>
      <c r="DJ43" s="33" t="n">
        <v>0</v>
      </c>
      <c r="DK43" s="33" t="n">
        <v>0</v>
      </c>
      <c r="DL43" s="33" t="n">
        <v>0</v>
      </c>
      <c r="DM43" s="33" t="n">
        <v>0</v>
      </c>
      <c r="DN43" s="33" t="n">
        <v>0</v>
      </c>
      <c r="DO43" s="33" t="n">
        <v>0</v>
      </c>
      <c r="DP43" s="33" t="n">
        <v>0</v>
      </c>
      <c r="DQ43" s="33" t="n">
        <v>0</v>
      </c>
      <c r="DR43" s="33" t="n">
        <v>0</v>
      </c>
      <c r="DS43" s="33" t="n">
        <v>0</v>
      </c>
      <c r="DT43" s="33" t="n">
        <v>0</v>
      </c>
      <c r="DU43" s="33" t="n">
        <v>0</v>
      </c>
      <c r="DV43" s="33" t="n">
        <v>0</v>
      </c>
      <c r="DW43" s="33" t="n">
        <v>0</v>
      </c>
      <c r="DX43" s="33" t="n">
        <v>0</v>
      </c>
      <c r="DY43" s="33" t="n">
        <v>0</v>
      </c>
      <c r="DZ43" s="33" t="n">
        <v>0</v>
      </c>
      <c r="EA43" s="33" t="n">
        <v>0</v>
      </c>
      <c r="EB43" s="33" t="n">
        <v>0</v>
      </c>
      <c r="EC43" s="33" t="n">
        <v>0</v>
      </c>
      <c r="ED43" s="33" t="n">
        <v>0</v>
      </c>
      <c r="EE43" s="33" t="n">
        <v>0</v>
      </c>
      <c r="EF43" s="33" t="n">
        <v>0</v>
      </c>
      <c r="EG43" s="33" t="n">
        <v>0</v>
      </c>
      <c r="EH43" s="33" t="n">
        <v>0</v>
      </c>
      <c r="EI43" s="33" t="n">
        <v>0</v>
      </c>
      <c r="EJ43" s="33" t="n">
        <v>0</v>
      </c>
      <c r="EK43" s="33" t="n">
        <v>0</v>
      </c>
      <c r="EL43" s="33" t="n">
        <v>0</v>
      </c>
      <c r="EM43" s="33" t="n">
        <v>0</v>
      </c>
      <c r="EN43" s="33" t="n">
        <v>0</v>
      </c>
      <c r="EO43" s="33" t="n">
        <v>0</v>
      </c>
      <c r="EP43" s="33" t="n">
        <v>0</v>
      </c>
      <c r="EQ43" s="33" t="n">
        <v>0</v>
      </c>
      <c r="ER43" s="33" t="n">
        <v>0</v>
      </c>
      <c r="ES43" s="33" t="n">
        <v>0</v>
      </c>
      <c r="ET43" s="33" t="n">
        <v>0</v>
      </c>
      <c r="EU43" s="33" t="n">
        <v>0</v>
      </c>
      <c r="EV43" s="33" t="n">
        <v>0</v>
      </c>
      <c r="EW43" s="33" t="n">
        <v>0</v>
      </c>
      <c r="EX43" s="33" t="n">
        <v>0</v>
      </c>
      <c r="EY43" s="33" t="n">
        <v>0</v>
      </c>
      <c r="EZ43" s="33" t="n">
        <v>0</v>
      </c>
      <c r="FA43" s="33" t="n">
        <v>0</v>
      </c>
      <c r="FB43" s="33" t="n">
        <v>0</v>
      </c>
      <c r="FC43" s="33" t="n">
        <v>0</v>
      </c>
      <c r="FD43" s="33" t="n">
        <v>0</v>
      </c>
      <c r="FE43" s="33" t="n">
        <v>0</v>
      </c>
      <c r="FF43" s="33" t="n">
        <v>0</v>
      </c>
      <c r="FG43" s="33" t="n">
        <v>0</v>
      </c>
      <c r="FH43" s="33" t="n">
        <v>0</v>
      </c>
      <c r="FI43" s="33" t="n">
        <v>0</v>
      </c>
      <c r="FJ43" s="33" t="n">
        <v>0</v>
      </c>
      <c r="FK43" s="33" t="n">
        <v>0</v>
      </c>
      <c r="FL43" s="33" t="n">
        <v>0</v>
      </c>
      <c r="FM43" s="33" t="n">
        <v>0</v>
      </c>
      <c r="FN43" s="33" t="n">
        <v>0</v>
      </c>
      <c r="FO43" s="33" t="n">
        <v>0</v>
      </c>
      <c r="FP43" s="33" t="n">
        <v>0</v>
      </c>
      <c r="FQ43" s="33" t="n">
        <v>0</v>
      </c>
      <c r="FR43" s="33" t="n">
        <v>0</v>
      </c>
      <c r="FS43" s="33" t="n">
        <v>0</v>
      </c>
      <c r="FT43" s="33" t="n">
        <v>0</v>
      </c>
      <c r="FU43" s="33" t="n">
        <v>0</v>
      </c>
      <c r="FV43" s="33" t="n">
        <v>0</v>
      </c>
      <c r="FW43" s="33" t="n">
        <v>0</v>
      </c>
      <c r="FX43" s="33" t="n">
        <v>0</v>
      </c>
      <c r="FY43" s="33" t="n">
        <v>0</v>
      </c>
      <c r="FZ43" s="33" t="n">
        <v>0</v>
      </c>
      <c r="GA43" s="33" t="n">
        <v>0</v>
      </c>
      <c r="GB43" s="33" t="n">
        <v>0</v>
      </c>
      <c r="GC43" s="33" t="n">
        <v>0</v>
      </c>
      <c r="GD43" s="33" t="n">
        <v>0</v>
      </c>
      <c r="GE43" s="33" t="n">
        <v>0</v>
      </c>
      <c r="GF43" s="33" t="n">
        <v>0</v>
      </c>
      <c r="GG43" s="33" t="n">
        <v>0</v>
      </c>
      <c r="GH43" s="33" t="n">
        <v>0</v>
      </c>
      <c r="GI43" s="33" t="n">
        <v>0</v>
      </c>
      <c r="GJ43" s="33" t="n">
        <v>0</v>
      </c>
      <c r="GK43" s="33" t="n">
        <v>0</v>
      </c>
      <c r="GL43" s="33" t="n">
        <v>0</v>
      </c>
      <c r="GM43" s="33" t="n">
        <v>0</v>
      </c>
      <c r="GN43" s="33" t="n">
        <v>0</v>
      </c>
      <c r="GO43" s="33" t="n">
        <v>0</v>
      </c>
      <c r="GP43" s="33" t="n">
        <v>0</v>
      </c>
      <c r="GQ43" s="33" t="n">
        <v>0</v>
      </c>
      <c r="GR43" s="33" t="n">
        <v>0</v>
      </c>
      <c r="GS43" s="33" t="n">
        <v>0</v>
      </c>
      <c r="GT43" s="33" t="n">
        <v>0</v>
      </c>
      <c r="GU43" s="33" t="n">
        <v>0</v>
      </c>
      <c r="GV43" s="33" t="n">
        <v>0</v>
      </c>
      <c r="GW43" s="33" t="n">
        <v>0</v>
      </c>
      <c r="GX43" s="33" t="n">
        <v>0</v>
      </c>
      <c r="GY43" s="33" t="n">
        <v>0</v>
      </c>
      <c r="GZ43" s="33" t="n">
        <v>0</v>
      </c>
      <c r="HA43" s="33" t="n">
        <v>0</v>
      </c>
      <c r="HB43" s="33" t="n">
        <v>0</v>
      </c>
      <c r="HC43" s="33" t="n">
        <v>0</v>
      </c>
      <c r="HD43" s="33" t="n">
        <v>0</v>
      </c>
      <c r="HE43" s="33" t="n">
        <v>0</v>
      </c>
      <c r="HF43" s="33" t="n">
        <v>0</v>
      </c>
      <c r="HG43" s="33" t="n">
        <v>0</v>
      </c>
      <c r="HH43" s="33" t="n">
        <v>0</v>
      </c>
      <c r="HI43" s="33" t="n">
        <v>0</v>
      </c>
      <c r="HJ43" s="33" t="n">
        <v>0</v>
      </c>
      <c r="HK43" s="33" t="n">
        <v>0</v>
      </c>
      <c r="HL43" s="33" t="n">
        <v>0</v>
      </c>
      <c r="HM43" s="33" t="n">
        <v>0</v>
      </c>
      <c r="HN43" s="33" t="n">
        <v>0</v>
      </c>
      <c r="HO43" s="33" t="n">
        <v>0</v>
      </c>
      <c r="HP43" s="33" t="n">
        <v>0</v>
      </c>
      <c r="HQ43" s="33" t="n">
        <v>0</v>
      </c>
      <c r="HR43" s="33" t="n">
        <v>0</v>
      </c>
      <c r="HS43" s="33" t="n">
        <v>0</v>
      </c>
      <c r="HT43" s="33" t="n">
        <v>0</v>
      </c>
      <c r="HU43" s="33" t="n">
        <v>0</v>
      </c>
      <c r="HV43" s="33" t="n">
        <v>0</v>
      </c>
      <c r="HW43" s="33" t="n">
        <v>0</v>
      </c>
      <c r="HX43" s="33" t="n">
        <v>0</v>
      </c>
      <c r="HY43" s="33" t="n">
        <v>0</v>
      </c>
      <c r="HZ43" s="33" t="n">
        <v>0</v>
      </c>
      <c r="IA43" s="33" t="n">
        <v>0</v>
      </c>
      <c r="IB43" s="33" t="n">
        <v>0</v>
      </c>
      <c r="IC43" s="33" t="n">
        <v>0</v>
      </c>
      <c r="ID43" s="33" t="n">
        <v>0</v>
      </c>
      <c r="IE43" s="33" t="n">
        <v>0</v>
      </c>
      <c r="IF43" s="33" t="n">
        <v>0</v>
      </c>
      <c r="IG43" s="33" t="n">
        <v>0</v>
      </c>
      <c r="IH43" s="33" t="n">
        <v>0</v>
      </c>
      <c r="II43" s="33" t="n">
        <v>0</v>
      </c>
      <c r="IJ43" s="33" t="n">
        <v>0</v>
      </c>
      <c r="IK43" s="33" t="n">
        <v>0</v>
      </c>
      <c r="IL43" s="33" t="n">
        <v>0</v>
      </c>
      <c r="IM43" s="33" t="n">
        <v>0</v>
      </c>
      <c r="IN43" s="33" t="n">
        <v>0</v>
      </c>
      <c r="IO43" s="33" t="n">
        <v>0</v>
      </c>
      <c r="IP43" s="33" t="n">
        <v>0</v>
      </c>
      <c r="IQ43" s="33" t="n">
        <v>0</v>
      </c>
      <c r="IR43" s="33" t="n">
        <v>0</v>
      </c>
      <c r="IS43" s="33" t="n">
        <v>0</v>
      </c>
      <c r="IT43" s="33" t="n">
        <v>0</v>
      </c>
      <c r="IU43" s="33" t="n">
        <v>0</v>
      </c>
      <c r="IV43" s="33" t="n">
        <v>0</v>
      </c>
      <c r="IW43" s="33" t="n">
        <v>0</v>
      </c>
      <c r="IX43" s="33" t="n">
        <v>0</v>
      </c>
      <c r="IY43" s="33" t="n">
        <v>0</v>
      </c>
      <c r="IZ43" s="33" t="n">
        <v>0</v>
      </c>
      <c r="JA43" s="33" t="n">
        <v>0</v>
      </c>
      <c r="JB43" s="33" t="n">
        <v>0</v>
      </c>
      <c r="JC43" s="33" t="n">
        <v>0</v>
      </c>
      <c r="JD43" s="33" t="n">
        <v>0</v>
      </c>
      <c r="JE43" s="33" t="n">
        <v>0</v>
      </c>
      <c r="JF43" s="33" t="n">
        <v>0</v>
      </c>
      <c r="JG43" s="33" t="n">
        <v>0</v>
      </c>
      <c r="JH43" s="33" t="n">
        <v>0</v>
      </c>
      <c r="JI43" s="33" t="n">
        <v>0</v>
      </c>
      <c r="JJ43" s="33" t="n">
        <v>0</v>
      </c>
      <c r="JK43" s="33" t="n">
        <v>0</v>
      </c>
      <c r="JL43" s="33" t="n">
        <v>0</v>
      </c>
      <c r="JM43" s="33" t="n">
        <v>0</v>
      </c>
      <c r="JN43" s="33" t="n">
        <v>0</v>
      </c>
      <c r="JO43" s="33" t="n">
        <v>0</v>
      </c>
      <c r="JP43" s="33" t="n">
        <v>0</v>
      </c>
      <c r="JQ43" s="33" t="n">
        <v>0</v>
      </c>
      <c r="JR43" s="33" t="n">
        <v>0</v>
      </c>
      <c r="JS43" s="33" t="n">
        <v>0</v>
      </c>
      <c r="JT43" s="33" t="n">
        <v>0</v>
      </c>
      <c r="JU43" s="33" t="n">
        <v>0</v>
      </c>
      <c r="JV43" s="33" t="n">
        <v>0</v>
      </c>
      <c r="JW43" s="33" t="n">
        <v>0</v>
      </c>
      <c r="JX43" s="33" t="n">
        <v>0</v>
      </c>
      <c r="JY43" s="33" t="n">
        <v>0</v>
      </c>
      <c r="JZ43" s="33" t="n">
        <v>0</v>
      </c>
      <c r="KA43" s="33" t="n">
        <v>0</v>
      </c>
      <c r="KB43" s="33" t="n">
        <v>0</v>
      </c>
      <c r="KC43" s="33" t="n">
        <v>0</v>
      </c>
      <c r="KD43" s="33" t="n">
        <v>0</v>
      </c>
      <c r="KE43" s="33" t="n">
        <v>0</v>
      </c>
      <c r="KF43" s="33" t="n">
        <v>0</v>
      </c>
      <c r="KG43" s="33" t="n">
        <v>0</v>
      </c>
      <c r="KH43" s="33" t="n">
        <v>0</v>
      </c>
      <c r="KI43" s="33" t="n">
        <v>0</v>
      </c>
      <c r="KJ43" s="33" t="n">
        <v>0</v>
      </c>
      <c r="KK43" s="33" t="n">
        <v>0</v>
      </c>
      <c r="KL43" s="33" t="n">
        <v>0</v>
      </c>
      <c r="KM43" s="33" t="n">
        <v>0</v>
      </c>
      <c r="KN43" s="33" t="n">
        <v>0</v>
      </c>
      <c r="KO43" s="33" t="n">
        <v>0</v>
      </c>
      <c r="KP43" s="33" t="n">
        <v>0</v>
      </c>
      <c r="KQ43" s="33" t="n">
        <v>0</v>
      </c>
      <c r="KR43" s="33" t="n">
        <v>0</v>
      </c>
      <c r="KS43" s="33" t="n">
        <v>0</v>
      </c>
      <c r="KT43" s="33" t="n">
        <v>0</v>
      </c>
      <c r="KU43" s="33" t="n">
        <v>0</v>
      </c>
      <c r="KV43" s="33" t="n">
        <v>0</v>
      </c>
      <c r="KW43" s="33" t="n">
        <v>0</v>
      </c>
      <c r="KX43" s="33" t="n">
        <v>0</v>
      </c>
      <c r="KY43" s="33" t="n">
        <v>0</v>
      </c>
      <c r="KZ43" s="33" t="n">
        <v>0</v>
      </c>
      <c r="LA43" s="33" t="n">
        <v>0</v>
      </c>
      <c r="LB43" s="33" t="n">
        <v>0</v>
      </c>
      <c r="LC43" s="33" t="n">
        <v>0</v>
      </c>
      <c r="LD43" s="33" t="n">
        <v>0</v>
      </c>
      <c r="LE43" s="33" t="n">
        <v>0</v>
      </c>
      <c r="LF43" s="33" t="n">
        <v>0</v>
      </c>
      <c r="LG43" s="33" t="n">
        <v>0</v>
      </c>
      <c r="LH43" s="33" t="n">
        <v>0</v>
      </c>
      <c r="LI43" s="33" t="n">
        <v>0</v>
      </c>
      <c r="LJ43" s="33" t="n">
        <v>0</v>
      </c>
      <c r="LK43" s="33" t="n">
        <v>0</v>
      </c>
      <c r="LL43" s="33" t="n">
        <v>0</v>
      </c>
      <c r="LM43" s="33" t="n">
        <v>0</v>
      </c>
      <c r="LN43" s="33" t="n">
        <v>0</v>
      </c>
      <c r="LO43" s="33" t="n">
        <v>0</v>
      </c>
      <c r="LP43" s="33" t="n">
        <v>0</v>
      </c>
      <c r="LQ43" s="33" t="n">
        <v>0</v>
      </c>
      <c r="LR43" s="33" t="n">
        <v>0</v>
      </c>
      <c r="LS43" s="33" t="n">
        <v>0</v>
      </c>
      <c r="LT43" s="33" t="n">
        <v>0</v>
      </c>
      <c r="LU43" s="33" t="n">
        <v>0</v>
      </c>
      <c r="LV43" s="33" t="n">
        <v>0</v>
      </c>
      <c r="LW43" s="33" t="n">
        <v>0</v>
      </c>
      <c r="LX43" s="33" t="n">
        <v>0</v>
      </c>
      <c r="LY43" s="33" t="n">
        <v>0</v>
      </c>
      <c r="LZ43" s="33" t="n">
        <v>0</v>
      </c>
      <c r="MA43" s="33" t="n">
        <v>0</v>
      </c>
      <c r="MB43" s="33" t="n">
        <v>0</v>
      </c>
      <c r="MC43" s="33" t="n">
        <v>0</v>
      </c>
      <c r="MD43" s="33" t="n">
        <v>0</v>
      </c>
      <c r="ME43" s="33" t="n">
        <v>0</v>
      </c>
      <c r="MF43" s="33" t="n">
        <v>0</v>
      </c>
      <c r="MG43" s="33" t="n">
        <v>0</v>
      </c>
      <c r="MH43" s="33" t="n">
        <v>0</v>
      </c>
      <c r="MI43" s="33" t="n">
        <v>0</v>
      </c>
      <c r="MJ43" s="33" t="n">
        <v>0</v>
      </c>
      <c r="MK43" s="33" t="n">
        <v>0</v>
      </c>
      <c r="ML43" s="33" t="n">
        <v>0</v>
      </c>
      <c r="MM43" s="33" t="n">
        <v>0</v>
      </c>
      <c r="MN43" s="33" t="n">
        <v>0</v>
      </c>
      <c r="MO43" s="33" t="n">
        <v>0</v>
      </c>
      <c r="MP43" s="33" t="n">
        <v>0</v>
      </c>
      <c r="MQ43" s="33" t="n">
        <v>0</v>
      </c>
      <c r="MR43" s="33" t="n">
        <v>0</v>
      </c>
      <c r="MS43" s="33" t="n">
        <v>0</v>
      </c>
      <c r="MT43" s="33" t="n">
        <v>0</v>
      </c>
      <c r="MU43" s="33" t="n">
        <v>0</v>
      </c>
      <c r="MV43" s="33" t="n">
        <v>0</v>
      </c>
      <c r="MW43" s="33" t="n">
        <v>0</v>
      </c>
      <c r="MX43" s="33" t="n">
        <v>0</v>
      </c>
      <c r="MY43" s="33" t="n">
        <v>0</v>
      </c>
      <c r="MZ43" s="33" t="n">
        <v>0</v>
      </c>
      <c r="NA43" s="33" t="n">
        <v>0</v>
      </c>
      <c r="NB43" s="33" t="n">
        <v>0</v>
      </c>
      <c r="NC43" s="33" t="n">
        <v>0</v>
      </c>
      <c r="ND43" s="33" t="n">
        <v>0</v>
      </c>
      <c r="NE43" s="33" t="n">
        <v>0</v>
      </c>
      <c r="NF43" s="33" t="n">
        <v>0</v>
      </c>
      <c r="NG43" s="33" t="n">
        <v>0</v>
      </c>
      <c r="NH43" s="33" t="n">
        <v>0</v>
      </c>
      <c r="NI43" s="33" t="n">
        <v>0</v>
      </c>
      <c r="NJ43" s="33" t="n">
        <v>0</v>
      </c>
      <c r="NK43" s="33" t="n">
        <v>0</v>
      </c>
      <c r="NL43" s="33" t="n">
        <v>0</v>
      </c>
      <c r="NM43" s="33" t="n">
        <v>0</v>
      </c>
      <c r="NN43" s="33" t="n">
        <v>0</v>
      </c>
      <c r="NO43" s="33" t="n">
        <v>0</v>
      </c>
      <c r="NP43" s="33" t="n">
        <v>0</v>
      </c>
      <c r="NQ43" s="33" t="n">
        <v>0</v>
      </c>
      <c r="NR43" s="33" t="n">
        <v>0</v>
      </c>
      <c r="NS43" s="33" t="n">
        <v>0</v>
      </c>
      <c r="NT43" s="33" t="n">
        <v>0</v>
      </c>
      <c r="NU43" s="33" t="n">
        <v>0</v>
      </c>
      <c r="NV43" s="33" t="n">
        <v>0</v>
      </c>
      <c r="NW43" s="33" t="n">
        <v>0</v>
      </c>
      <c r="NX43" s="33" t="n">
        <v>0</v>
      </c>
      <c r="NY43" s="33" t="n">
        <v>0</v>
      </c>
      <c r="NZ43" s="33" t="n">
        <v>0</v>
      </c>
      <c r="OA43" s="33" t="n">
        <v>0</v>
      </c>
      <c r="OB43" s="33" t="n">
        <v>0</v>
      </c>
      <c r="OC43" s="33" t="n">
        <v>0</v>
      </c>
      <c r="OD43" s="33" t="n">
        <v>0</v>
      </c>
      <c r="OE43" s="33" t="n">
        <v>0</v>
      </c>
      <c r="OF43" s="33" t="n">
        <v>0</v>
      </c>
      <c r="OG43" s="33" t="n">
        <v>0</v>
      </c>
      <c r="OH43" s="33" t="n">
        <v>0</v>
      </c>
      <c r="OI43" s="33" t="n">
        <v>0</v>
      </c>
      <c r="OJ43" s="33" t="n">
        <v>0</v>
      </c>
      <c r="OK43" s="33" t="n">
        <v>0</v>
      </c>
      <c r="OL43" s="33" t="n">
        <v>0</v>
      </c>
      <c r="OM43" s="33" t="n">
        <v>0</v>
      </c>
      <c r="ON43" s="33" t="n">
        <v>0</v>
      </c>
      <c r="OO43" s="33" t="n">
        <v>0</v>
      </c>
      <c r="OP43" s="33" t="n">
        <v>0</v>
      </c>
      <c r="OQ43" s="33" t="n">
        <v>0</v>
      </c>
      <c r="OR43" s="33" t="n">
        <v>0</v>
      </c>
      <c r="OS43" s="33" t="n">
        <v>0</v>
      </c>
      <c r="OT43" s="33" t="n">
        <v>0</v>
      </c>
      <c r="OU43" s="33" t="n">
        <v>0</v>
      </c>
      <c r="OV43" s="33" t="n">
        <v>0</v>
      </c>
      <c r="OW43" s="33" t="n">
        <v>0</v>
      </c>
      <c r="OX43" s="33" t="n">
        <v>0</v>
      </c>
      <c r="OY43" s="33" t="n">
        <v>0</v>
      </c>
      <c r="OZ43" s="33" t="n">
        <v>0</v>
      </c>
      <c r="PA43" s="33" t="n">
        <v>0</v>
      </c>
      <c r="PB43" s="33" t="n">
        <v>0</v>
      </c>
      <c r="PC43" s="33" t="n">
        <v>0</v>
      </c>
      <c r="PD43" s="33" t="n">
        <v>0</v>
      </c>
      <c r="PE43" s="33" t="n">
        <v>0</v>
      </c>
      <c r="PF43" s="33" t="n">
        <v>0</v>
      </c>
      <c r="PG43" s="33" t="n">
        <v>0</v>
      </c>
      <c r="PH43" s="33" t="n">
        <v>0</v>
      </c>
      <c r="PI43" s="33" t="n">
        <v>0</v>
      </c>
      <c r="PJ43" s="33" t="n">
        <v>0</v>
      </c>
      <c r="PK43" s="33" t="n">
        <v>0</v>
      </c>
      <c r="PL43" s="33" t="n">
        <v>0</v>
      </c>
      <c r="PM43" s="33" t="n">
        <v>0</v>
      </c>
      <c r="PN43" s="33" t="n">
        <v>0</v>
      </c>
      <c r="PO43" s="33" t="n">
        <v>0</v>
      </c>
      <c r="PP43" s="33" t="n">
        <v>0</v>
      </c>
      <c r="PQ43" s="33" t="n">
        <v>0</v>
      </c>
      <c r="PR43" s="33" t="n">
        <v>0</v>
      </c>
      <c r="PS43" s="33" t="n">
        <v>0</v>
      </c>
      <c r="PT43" s="33" t="n">
        <v>0</v>
      </c>
      <c r="PU43" s="33" t="n">
        <v>0</v>
      </c>
      <c r="PV43" s="33" t="n">
        <v>0</v>
      </c>
      <c r="PW43" s="33" t="n">
        <v>0</v>
      </c>
      <c r="PX43" s="33" t="n">
        <v>0</v>
      </c>
      <c r="PY43" s="33" t="n">
        <v>0</v>
      </c>
      <c r="PZ43" s="33" t="n">
        <v>0</v>
      </c>
      <c r="QA43" s="33" t="n">
        <v>0</v>
      </c>
      <c r="QB43" s="33" t="n">
        <v>0</v>
      </c>
      <c r="QC43" s="33" t="n">
        <v>0</v>
      </c>
      <c r="QD43" s="33" t="n">
        <v>0</v>
      </c>
      <c r="QE43" s="33" t="n">
        <v>0</v>
      </c>
      <c r="QF43" s="33" t="n">
        <v>0</v>
      </c>
      <c r="QG43" s="33" t="n">
        <v>0</v>
      </c>
      <c r="QH43" s="33" t="n">
        <v>0</v>
      </c>
      <c r="QI43" s="33" t="n">
        <v>0</v>
      </c>
      <c r="QJ43" s="33" t="n">
        <v>0</v>
      </c>
      <c r="QK43" s="33" t="n">
        <v>0</v>
      </c>
      <c r="QL43" s="33" t="n">
        <v>0</v>
      </c>
      <c r="QM43" s="33" t="n">
        <v>0</v>
      </c>
      <c r="QN43" s="33" t="n">
        <v>0</v>
      </c>
      <c r="QO43" s="33" t="n">
        <v>0</v>
      </c>
      <c r="QP43" s="33" t="n">
        <v>0</v>
      </c>
      <c r="QQ43" s="33" t="n">
        <v>0</v>
      </c>
      <c r="QR43" s="33" t="n">
        <v>0</v>
      </c>
      <c r="QS43" s="33" t="n">
        <v>0</v>
      </c>
      <c r="QT43" s="33" t="n">
        <v>0</v>
      </c>
      <c r="QU43" s="33" t="n">
        <v>0</v>
      </c>
      <c r="QV43" s="33" t="n">
        <v>0</v>
      </c>
      <c r="QW43" s="33" t="n">
        <v>0</v>
      </c>
      <c r="QX43" s="33" t="n">
        <v>0</v>
      </c>
      <c r="QY43" s="33" t="n">
        <v>0</v>
      </c>
      <c r="QZ43" s="33" t="n">
        <v>0</v>
      </c>
      <c r="RA43" s="33" t="n">
        <v>0</v>
      </c>
      <c r="RB43" s="33" t="n">
        <v>0</v>
      </c>
      <c r="RC43" s="33" t="n">
        <v>0</v>
      </c>
      <c r="RD43" s="33" t="n">
        <v>0</v>
      </c>
      <c r="RE43" s="33" t="n">
        <v>0</v>
      </c>
      <c r="RF43" s="33" t="n">
        <v>0</v>
      </c>
      <c r="RG43" s="33" t="n">
        <v>0</v>
      </c>
      <c r="RH43" s="33" t="n">
        <v>0</v>
      </c>
      <c r="RI43" s="33" t="n">
        <v>0</v>
      </c>
      <c r="RJ43" s="33" t="n">
        <v>0</v>
      </c>
      <c r="RK43" s="33" t="n">
        <v>0</v>
      </c>
      <c r="RL43" s="33" t="n">
        <v>0</v>
      </c>
      <c r="RM43" s="33" t="n">
        <v>0</v>
      </c>
      <c r="RN43" s="33" t="n">
        <v>0</v>
      </c>
      <c r="RO43" s="33" t="n">
        <v>0</v>
      </c>
      <c r="RP43" s="33" t="n">
        <v>0</v>
      </c>
      <c r="RQ43" s="33" t="n">
        <v>0</v>
      </c>
      <c r="RR43" s="33" t="n">
        <v>0</v>
      </c>
      <c r="RS43" s="33" t="n">
        <v>0</v>
      </c>
      <c r="RT43" s="33" t="n">
        <v>0</v>
      </c>
      <c r="RU43" s="33" t="n">
        <v>0</v>
      </c>
      <c r="RV43" s="33" t="n">
        <v>0</v>
      </c>
      <c r="RW43" s="33" t="n">
        <v>0</v>
      </c>
    </row>
    <row r="44" hidden="1" outlineLevel="1" ht="13.05" customHeight="1">
      <c r="E44" s="21" t="inlineStr">
        <is>
          <t>Total Import Production Costs</t>
        </is>
      </c>
      <c r="F44" s="29" t="n"/>
      <c r="G44" s="29" t="inlineStr">
        <is>
          <t>kEUR</t>
        </is>
      </c>
      <c r="H44" s="29" t="n"/>
      <c r="I44" s="29" t="n"/>
      <c r="J44" s="32" t="n">
        <v>0</v>
      </c>
      <c r="K44" s="29" t="n"/>
      <c r="L44" s="33" t="n">
        <v>0</v>
      </c>
      <c r="M44" s="33" t="n">
        <v>0</v>
      </c>
      <c r="N44" s="33" t="n">
        <v>0</v>
      </c>
      <c r="O44" s="33" t="n">
        <v>0</v>
      </c>
      <c r="P44" s="33" t="n">
        <v>0</v>
      </c>
      <c r="Q44" s="33" t="n">
        <v>0</v>
      </c>
      <c r="R44" s="33" t="n">
        <v>0</v>
      </c>
      <c r="S44" s="33" t="n">
        <v>0</v>
      </c>
      <c r="T44" s="33" t="n">
        <v>0</v>
      </c>
      <c r="U44" s="33" t="n">
        <v>0</v>
      </c>
      <c r="V44" s="33" t="n">
        <v>0</v>
      </c>
      <c r="W44" s="33" t="n">
        <v>0</v>
      </c>
      <c r="X44" s="33" t="n">
        <v>0</v>
      </c>
      <c r="Y44" s="33" t="n">
        <v>0</v>
      </c>
      <c r="Z44" s="33" t="n">
        <v>0</v>
      </c>
      <c r="AA44" s="33" t="n">
        <v>0</v>
      </c>
      <c r="AB44" s="33" t="n">
        <v>0</v>
      </c>
      <c r="AC44" s="33" t="n">
        <v>0</v>
      </c>
      <c r="AD44" s="33" t="n">
        <v>0</v>
      </c>
      <c r="AE44" s="33" t="n">
        <v>0</v>
      </c>
      <c r="AF44" s="33" t="n">
        <v>0</v>
      </c>
      <c r="AG44" s="33" t="n">
        <v>0</v>
      </c>
      <c r="AH44" s="33" t="n">
        <v>0</v>
      </c>
      <c r="AI44" s="33" t="n">
        <v>0</v>
      </c>
      <c r="AJ44" s="33" t="n">
        <v>0</v>
      </c>
      <c r="AK44" s="33" t="n">
        <v>0</v>
      </c>
      <c r="AL44" s="33" t="n">
        <v>0</v>
      </c>
      <c r="AM44" s="33" t="n">
        <v>0</v>
      </c>
      <c r="AN44" s="33" t="n">
        <v>0</v>
      </c>
      <c r="AO44" s="33" t="n">
        <v>0</v>
      </c>
      <c r="AP44" s="33" t="n">
        <v>0</v>
      </c>
      <c r="AQ44" s="33" t="n">
        <v>0</v>
      </c>
      <c r="AR44" s="33" t="n">
        <v>0</v>
      </c>
      <c r="AS44" s="33" t="n">
        <v>0</v>
      </c>
      <c r="AT44" s="33" t="n">
        <v>0</v>
      </c>
      <c r="AU44" s="33" t="n">
        <v>0</v>
      </c>
      <c r="AV44" s="33" t="n">
        <v>0</v>
      </c>
      <c r="AW44" s="33" t="n">
        <v>0</v>
      </c>
      <c r="AX44" s="33" t="n">
        <v>0</v>
      </c>
      <c r="AY44" s="33" t="n">
        <v>0</v>
      </c>
      <c r="AZ44" s="33" t="n">
        <v>0</v>
      </c>
      <c r="BA44" s="33" t="n">
        <v>0</v>
      </c>
      <c r="BB44" s="33" t="n">
        <v>0</v>
      </c>
      <c r="BC44" s="33" t="n">
        <v>0</v>
      </c>
      <c r="BD44" s="33" t="n">
        <v>0</v>
      </c>
      <c r="BE44" s="33" t="n">
        <v>0</v>
      </c>
      <c r="BF44" s="33" t="n">
        <v>0</v>
      </c>
      <c r="BG44" s="33" t="n">
        <v>0</v>
      </c>
      <c r="BH44" s="33" t="n">
        <v>0</v>
      </c>
      <c r="BI44" s="33" t="n">
        <v>0</v>
      </c>
      <c r="BJ44" s="33" t="n">
        <v>0</v>
      </c>
      <c r="BK44" s="33" t="n">
        <v>0</v>
      </c>
      <c r="BL44" s="33" t="n">
        <v>0</v>
      </c>
      <c r="BM44" s="33" t="n">
        <v>0</v>
      </c>
      <c r="BN44" s="33" t="n">
        <v>0</v>
      </c>
      <c r="BO44" s="33" t="n">
        <v>0</v>
      </c>
      <c r="BP44" s="33" t="n">
        <v>0</v>
      </c>
      <c r="BQ44" s="33" t="n">
        <v>0</v>
      </c>
      <c r="BR44" s="33" t="n">
        <v>0</v>
      </c>
      <c r="BS44" s="33" t="n">
        <v>0</v>
      </c>
      <c r="BT44" s="33" t="n">
        <v>0</v>
      </c>
      <c r="BU44" s="33" t="n">
        <v>0</v>
      </c>
      <c r="BV44" s="33" t="n">
        <v>0</v>
      </c>
      <c r="BW44" s="33" t="n">
        <v>0</v>
      </c>
      <c r="BX44" s="33" t="n">
        <v>0</v>
      </c>
      <c r="BY44" s="33" t="n">
        <v>0</v>
      </c>
      <c r="BZ44" s="33" t="n">
        <v>0</v>
      </c>
      <c r="CA44" s="33" t="n">
        <v>0</v>
      </c>
      <c r="CB44" s="33" t="n">
        <v>0</v>
      </c>
      <c r="CC44" s="33" t="n">
        <v>0</v>
      </c>
      <c r="CD44" s="33" t="n">
        <v>0</v>
      </c>
      <c r="CE44" s="33" t="n">
        <v>0</v>
      </c>
      <c r="CF44" s="33" t="n">
        <v>0</v>
      </c>
      <c r="CG44" s="33" t="n">
        <v>0</v>
      </c>
      <c r="CH44" s="33" t="n">
        <v>0</v>
      </c>
      <c r="CI44" s="33" t="n">
        <v>0</v>
      </c>
      <c r="CJ44" s="33" t="n">
        <v>0</v>
      </c>
      <c r="CK44" s="33" t="n">
        <v>0</v>
      </c>
      <c r="CL44" s="33" t="n">
        <v>0</v>
      </c>
      <c r="CM44" s="33" t="n">
        <v>0</v>
      </c>
      <c r="CN44" s="33" t="n">
        <v>0</v>
      </c>
      <c r="CO44" s="33" t="n">
        <v>0</v>
      </c>
      <c r="CP44" s="33" t="n">
        <v>0</v>
      </c>
      <c r="CQ44" s="33" t="n">
        <v>0</v>
      </c>
      <c r="CR44" s="33" t="n">
        <v>0</v>
      </c>
      <c r="CS44" s="33" t="n">
        <v>0</v>
      </c>
      <c r="CT44" s="33" t="n">
        <v>0</v>
      </c>
      <c r="CU44" s="33" t="n">
        <v>0</v>
      </c>
      <c r="CV44" s="33" t="n">
        <v>0</v>
      </c>
      <c r="CW44" s="33" t="n">
        <v>0</v>
      </c>
      <c r="CX44" s="33" t="n">
        <v>0</v>
      </c>
      <c r="CY44" s="33" t="n">
        <v>0</v>
      </c>
      <c r="CZ44" s="33" t="n">
        <v>0</v>
      </c>
      <c r="DA44" s="33" t="n">
        <v>0</v>
      </c>
      <c r="DB44" s="33" t="n">
        <v>0</v>
      </c>
      <c r="DC44" s="33" t="n">
        <v>0</v>
      </c>
      <c r="DD44" s="33" t="n">
        <v>0</v>
      </c>
      <c r="DE44" s="33" t="n">
        <v>0</v>
      </c>
      <c r="DF44" s="33" t="n">
        <v>0</v>
      </c>
      <c r="DG44" s="33" t="n">
        <v>0</v>
      </c>
      <c r="DH44" s="33" t="n">
        <v>0</v>
      </c>
      <c r="DI44" s="33" t="n">
        <v>0</v>
      </c>
      <c r="DJ44" s="33" t="n">
        <v>0</v>
      </c>
      <c r="DK44" s="33" t="n">
        <v>0</v>
      </c>
      <c r="DL44" s="33" t="n">
        <v>0</v>
      </c>
      <c r="DM44" s="33" t="n">
        <v>0</v>
      </c>
      <c r="DN44" s="33" t="n">
        <v>0</v>
      </c>
      <c r="DO44" s="33" t="n">
        <v>0</v>
      </c>
      <c r="DP44" s="33" t="n">
        <v>0</v>
      </c>
      <c r="DQ44" s="33" t="n">
        <v>0</v>
      </c>
      <c r="DR44" s="33" t="n">
        <v>0</v>
      </c>
      <c r="DS44" s="33" t="n">
        <v>0</v>
      </c>
      <c r="DT44" s="33" t="n">
        <v>0</v>
      </c>
      <c r="DU44" s="33" t="n">
        <v>0</v>
      </c>
      <c r="DV44" s="33" t="n">
        <v>0</v>
      </c>
      <c r="DW44" s="33" t="n">
        <v>0</v>
      </c>
      <c r="DX44" s="33" t="n">
        <v>0</v>
      </c>
      <c r="DY44" s="33" t="n">
        <v>0</v>
      </c>
      <c r="DZ44" s="33" t="n">
        <v>0</v>
      </c>
      <c r="EA44" s="33" t="n">
        <v>0</v>
      </c>
      <c r="EB44" s="33" t="n">
        <v>0</v>
      </c>
      <c r="EC44" s="33" t="n">
        <v>0</v>
      </c>
      <c r="ED44" s="33" t="n">
        <v>0</v>
      </c>
      <c r="EE44" s="33" t="n">
        <v>0</v>
      </c>
      <c r="EF44" s="33" t="n">
        <v>0</v>
      </c>
      <c r="EG44" s="33" t="n">
        <v>0</v>
      </c>
      <c r="EH44" s="33" t="n">
        <v>0</v>
      </c>
      <c r="EI44" s="33" t="n">
        <v>0</v>
      </c>
      <c r="EJ44" s="33" t="n">
        <v>0</v>
      </c>
      <c r="EK44" s="33" t="n">
        <v>0</v>
      </c>
      <c r="EL44" s="33" t="n">
        <v>0</v>
      </c>
      <c r="EM44" s="33" t="n">
        <v>0</v>
      </c>
      <c r="EN44" s="33" t="n">
        <v>0</v>
      </c>
      <c r="EO44" s="33" t="n">
        <v>0</v>
      </c>
      <c r="EP44" s="33" t="n">
        <v>0</v>
      </c>
      <c r="EQ44" s="33" t="n">
        <v>0</v>
      </c>
      <c r="ER44" s="33" t="n">
        <v>0</v>
      </c>
      <c r="ES44" s="33" t="n">
        <v>0</v>
      </c>
      <c r="ET44" s="33" t="n">
        <v>0</v>
      </c>
      <c r="EU44" s="33" t="n">
        <v>0</v>
      </c>
      <c r="EV44" s="33" t="n">
        <v>0</v>
      </c>
      <c r="EW44" s="33" t="n">
        <v>0</v>
      </c>
      <c r="EX44" s="33" t="n">
        <v>0</v>
      </c>
      <c r="EY44" s="33" t="n">
        <v>0</v>
      </c>
      <c r="EZ44" s="33" t="n">
        <v>0</v>
      </c>
      <c r="FA44" s="33" t="n">
        <v>0</v>
      </c>
      <c r="FB44" s="33" t="n">
        <v>0</v>
      </c>
      <c r="FC44" s="33" t="n">
        <v>0</v>
      </c>
      <c r="FD44" s="33" t="n">
        <v>0</v>
      </c>
      <c r="FE44" s="33" t="n">
        <v>0</v>
      </c>
      <c r="FF44" s="33" t="n">
        <v>0</v>
      </c>
      <c r="FG44" s="33" t="n">
        <v>0</v>
      </c>
      <c r="FH44" s="33" t="n">
        <v>0</v>
      </c>
      <c r="FI44" s="33" t="n">
        <v>0</v>
      </c>
      <c r="FJ44" s="33" t="n">
        <v>0</v>
      </c>
      <c r="FK44" s="33" t="n">
        <v>0</v>
      </c>
      <c r="FL44" s="33" t="n">
        <v>0</v>
      </c>
      <c r="FM44" s="33" t="n">
        <v>0</v>
      </c>
      <c r="FN44" s="33" t="n">
        <v>0</v>
      </c>
      <c r="FO44" s="33" t="n">
        <v>0</v>
      </c>
      <c r="FP44" s="33" t="n">
        <v>0</v>
      </c>
      <c r="FQ44" s="33" t="n">
        <v>0</v>
      </c>
      <c r="FR44" s="33" t="n">
        <v>0</v>
      </c>
      <c r="FS44" s="33" t="n">
        <v>0</v>
      </c>
      <c r="FT44" s="33" t="n">
        <v>0</v>
      </c>
      <c r="FU44" s="33" t="n">
        <v>0</v>
      </c>
      <c r="FV44" s="33" t="n">
        <v>0</v>
      </c>
      <c r="FW44" s="33" t="n">
        <v>0</v>
      </c>
      <c r="FX44" s="33" t="n">
        <v>0</v>
      </c>
      <c r="FY44" s="33" t="n">
        <v>0</v>
      </c>
      <c r="FZ44" s="33" t="n">
        <v>0</v>
      </c>
      <c r="GA44" s="33" t="n">
        <v>0</v>
      </c>
      <c r="GB44" s="33" t="n">
        <v>0</v>
      </c>
      <c r="GC44" s="33" t="n">
        <v>0</v>
      </c>
      <c r="GD44" s="33" t="n">
        <v>0</v>
      </c>
      <c r="GE44" s="33" t="n">
        <v>0</v>
      </c>
      <c r="GF44" s="33" t="n">
        <v>0</v>
      </c>
      <c r="GG44" s="33" t="n">
        <v>0</v>
      </c>
      <c r="GH44" s="33" t="n">
        <v>0</v>
      </c>
      <c r="GI44" s="33" t="n">
        <v>0</v>
      </c>
      <c r="GJ44" s="33" t="n">
        <v>0</v>
      </c>
      <c r="GK44" s="33" t="n">
        <v>0</v>
      </c>
      <c r="GL44" s="33" t="n">
        <v>0</v>
      </c>
      <c r="GM44" s="33" t="n">
        <v>0</v>
      </c>
      <c r="GN44" s="33" t="n">
        <v>0</v>
      </c>
      <c r="GO44" s="33" t="n">
        <v>0</v>
      </c>
      <c r="GP44" s="33" t="n">
        <v>0</v>
      </c>
      <c r="GQ44" s="33" t="n">
        <v>0</v>
      </c>
      <c r="GR44" s="33" t="n">
        <v>0</v>
      </c>
      <c r="GS44" s="33" t="n">
        <v>0</v>
      </c>
      <c r="GT44" s="33" t="n">
        <v>0</v>
      </c>
      <c r="GU44" s="33" t="n">
        <v>0</v>
      </c>
      <c r="GV44" s="33" t="n">
        <v>0</v>
      </c>
      <c r="GW44" s="33" t="n">
        <v>0</v>
      </c>
      <c r="GX44" s="33" t="n">
        <v>0</v>
      </c>
      <c r="GY44" s="33" t="n">
        <v>0</v>
      </c>
      <c r="GZ44" s="33" t="n">
        <v>0</v>
      </c>
      <c r="HA44" s="33" t="n">
        <v>0</v>
      </c>
      <c r="HB44" s="33" t="n">
        <v>0</v>
      </c>
      <c r="HC44" s="33" t="n">
        <v>0</v>
      </c>
      <c r="HD44" s="33" t="n">
        <v>0</v>
      </c>
      <c r="HE44" s="33" t="n">
        <v>0</v>
      </c>
      <c r="HF44" s="33" t="n">
        <v>0</v>
      </c>
      <c r="HG44" s="33" t="n">
        <v>0</v>
      </c>
      <c r="HH44" s="33" t="n">
        <v>0</v>
      </c>
      <c r="HI44" s="33" t="n">
        <v>0</v>
      </c>
      <c r="HJ44" s="33" t="n">
        <v>0</v>
      </c>
      <c r="HK44" s="33" t="n">
        <v>0</v>
      </c>
      <c r="HL44" s="33" t="n">
        <v>0</v>
      </c>
      <c r="HM44" s="33" t="n">
        <v>0</v>
      </c>
      <c r="HN44" s="33" t="n">
        <v>0</v>
      </c>
      <c r="HO44" s="33" t="n">
        <v>0</v>
      </c>
      <c r="HP44" s="33" t="n">
        <v>0</v>
      </c>
      <c r="HQ44" s="33" t="n">
        <v>0</v>
      </c>
      <c r="HR44" s="33" t="n">
        <v>0</v>
      </c>
      <c r="HS44" s="33" t="n">
        <v>0</v>
      </c>
      <c r="HT44" s="33" t="n">
        <v>0</v>
      </c>
      <c r="HU44" s="33" t="n">
        <v>0</v>
      </c>
      <c r="HV44" s="33" t="n">
        <v>0</v>
      </c>
      <c r="HW44" s="33" t="n">
        <v>0</v>
      </c>
      <c r="HX44" s="33" t="n">
        <v>0</v>
      </c>
      <c r="HY44" s="33" t="n">
        <v>0</v>
      </c>
      <c r="HZ44" s="33" t="n">
        <v>0</v>
      </c>
      <c r="IA44" s="33" t="n">
        <v>0</v>
      </c>
      <c r="IB44" s="33" t="n">
        <v>0</v>
      </c>
      <c r="IC44" s="33" t="n">
        <v>0</v>
      </c>
      <c r="ID44" s="33" t="n">
        <v>0</v>
      </c>
      <c r="IE44" s="33" t="n">
        <v>0</v>
      </c>
      <c r="IF44" s="33" t="n">
        <v>0</v>
      </c>
      <c r="IG44" s="33" t="n">
        <v>0</v>
      </c>
      <c r="IH44" s="33" t="n">
        <v>0</v>
      </c>
      <c r="II44" s="33" t="n">
        <v>0</v>
      </c>
      <c r="IJ44" s="33" t="n">
        <v>0</v>
      </c>
      <c r="IK44" s="33" t="n">
        <v>0</v>
      </c>
      <c r="IL44" s="33" t="n">
        <v>0</v>
      </c>
      <c r="IM44" s="33" t="n">
        <v>0</v>
      </c>
      <c r="IN44" s="33" t="n">
        <v>0</v>
      </c>
      <c r="IO44" s="33" t="n">
        <v>0</v>
      </c>
      <c r="IP44" s="33" t="n">
        <v>0</v>
      </c>
      <c r="IQ44" s="33" t="n">
        <v>0</v>
      </c>
      <c r="IR44" s="33" t="n">
        <v>0</v>
      </c>
      <c r="IS44" s="33" t="n">
        <v>0</v>
      </c>
      <c r="IT44" s="33" t="n">
        <v>0</v>
      </c>
      <c r="IU44" s="33" t="n">
        <v>0</v>
      </c>
      <c r="IV44" s="33" t="n">
        <v>0</v>
      </c>
      <c r="IW44" s="33" t="n">
        <v>0</v>
      </c>
      <c r="IX44" s="33" t="n">
        <v>0</v>
      </c>
      <c r="IY44" s="33" t="n">
        <v>0</v>
      </c>
      <c r="IZ44" s="33" t="n">
        <v>0</v>
      </c>
      <c r="JA44" s="33" t="n">
        <v>0</v>
      </c>
      <c r="JB44" s="33" t="n">
        <v>0</v>
      </c>
      <c r="JC44" s="33" t="n">
        <v>0</v>
      </c>
      <c r="JD44" s="33" t="n">
        <v>0</v>
      </c>
      <c r="JE44" s="33" t="n">
        <v>0</v>
      </c>
      <c r="JF44" s="33" t="n">
        <v>0</v>
      </c>
      <c r="JG44" s="33" t="n">
        <v>0</v>
      </c>
      <c r="JH44" s="33" t="n">
        <v>0</v>
      </c>
      <c r="JI44" s="33" t="n">
        <v>0</v>
      </c>
      <c r="JJ44" s="33" t="n">
        <v>0</v>
      </c>
      <c r="JK44" s="33" t="n">
        <v>0</v>
      </c>
      <c r="JL44" s="33" t="n">
        <v>0</v>
      </c>
      <c r="JM44" s="33" t="n">
        <v>0</v>
      </c>
      <c r="JN44" s="33" t="n">
        <v>0</v>
      </c>
      <c r="JO44" s="33" t="n">
        <v>0</v>
      </c>
      <c r="JP44" s="33" t="n">
        <v>0</v>
      </c>
      <c r="JQ44" s="33" t="n">
        <v>0</v>
      </c>
      <c r="JR44" s="33" t="n">
        <v>0</v>
      </c>
      <c r="JS44" s="33" t="n">
        <v>0</v>
      </c>
      <c r="JT44" s="33" t="n">
        <v>0</v>
      </c>
      <c r="JU44" s="33" t="n">
        <v>0</v>
      </c>
      <c r="JV44" s="33" t="n">
        <v>0</v>
      </c>
      <c r="JW44" s="33" t="n">
        <v>0</v>
      </c>
      <c r="JX44" s="33" t="n">
        <v>0</v>
      </c>
      <c r="JY44" s="33" t="n">
        <v>0</v>
      </c>
      <c r="JZ44" s="33" t="n">
        <v>0</v>
      </c>
      <c r="KA44" s="33" t="n">
        <v>0</v>
      </c>
      <c r="KB44" s="33" t="n">
        <v>0</v>
      </c>
      <c r="KC44" s="33" t="n">
        <v>0</v>
      </c>
      <c r="KD44" s="33" t="n">
        <v>0</v>
      </c>
      <c r="KE44" s="33" t="n">
        <v>0</v>
      </c>
      <c r="KF44" s="33" t="n">
        <v>0</v>
      </c>
      <c r="KG44" s="33" t="n">
        <v>0</v>
      </c>
      <c r="KH44" s="33" t="n">
        <v>0</v>
      </c>
      <c r="KI44" s="33" t="n">
        <v>0</v>
      </c>
      <c r="KJ44" s="33" t="n">
        <v>0</v>
      </c>
      <c r="KK44" s="33" t="n">
        <v>0</v>
      </c>
      <c r="KL44" s="33" t="n">
        <v>0</v>
      </c>
      <c r="KM44" s="33" t="n">
        <v>0</v>
      </c>
      <c r="KN44" s="33" t="n">
        <v>0</v>
      </c>
      <c r="KO44" s="33" t="n">
        <v>0</v>
      </c>
      <c r="KP44" s="33" t="n">
        <v>0</v>
      </c>
      <c r="KQ44" s="33" t="n">
        <v>0</v>
      </c>
      <c r="KR44" s="33" t="n">
        <v>0</v>
      </c>
      <c r="KS44" s="33" t="n">
        <v>0</v>
      </c>
      <c r="KT44" s="33" t="n">
        <v>0</v>
      </c>
      <c r="KU44" s="33" t="n">
        <v>0</v>
      </c>
      <c r="KV44" s="33" t="n">
        <v>0</v>
      </c>
      <c r="KW44" s="33" t="n">
        <v>0</v>
      </c>
      <c r="KX44" s="33" t="n">
        <v>0</v>
      </c>
      <c r="KY44" s="33" t="n">
        <v>0</v>
      </c>
      <c r="KZ44" s="33" t="n">
        <v>0</v>
      </c>
      <c r="LA44" s="33" t="n">
        <v>0</v>
      </c>
      <c r="LB44" s="33" t="n">
        <v>0</v>
      </c>
      <c r="LC44" s="33" t="n">
        <v>0</v>
      </c>
      <c r="LD44" s="33" t="n">
        <v>0</v>
      </c>
      <c r="LE44" s="33" t="n">
        <v>0</v>
      </c>
      <c r="LF44" s="33" t="n">
        <v>0</v>
      </c>
      <c r="LG44" s="33" t="n">
        <v>0</v>
      </c>
      <c r="LH44" s="33" t="n">
        <v>0</v>
      </c>
      <c r="LI44" s="33" t="n">
        <v>0</v>
      </c>
      <c r="LJ44" s="33" t="n">
        <v>0</v>
      </c>
      <c r="LK44" s="33" t="n">
        <v>0</v>
      </c>
      <c r="LL44" s="33" t="n">
        <v>0</v>
      </c>
      <c r="LM44" s="33" t="n">
        <v>0</v>
      </c>
      <c r="LN44" s="33" t="n">
        <v>0</v>
      </c>
      <c r="LO44" s="33" t="n">
        <v>0</v>
      </c>
      <c r="LP44" s="33" t="n">
        <v>0</v>
      </c>
      <c r="LQ44" s="33" t="n">
        <v>0</v>
      </c>
      <c r="LR44" s="33" t="n">
        <v>0</v>
      </c>
      <c r="LS44" s="33" t="n">
        <v>0</v>
      </c>
      <c r="LT44" s="33" t="n">
        <v>0</v>
      </c>
      <c r="LU44" s="33" t="n">
        <v>0</v>
      </c>
      <c r="LV44" s="33" t="n">
        <v>0</v>
      </c>
      <c r="LW44" s="33" t="n">
        <v>0</v>
      </c>
      <c r="LX44" s="33" t="n">
        <v>0</v>
      </c>
      <c r="LY44" s="33" t="n">
        <v>0</v>
      </c>
      <c r="LZ44" s="33" t="n">
        <v>0</v>
      </c>
      <c r="MA44" s="33" t="n">
        <v>0</v>
      </c>
      <c r="MB44" s="33" t="n">
        <v>0</v>
      </c>
      <c r="MC44" s="33" t="n">
        <v>0</v>
      </c>
      <c r="MD44" s="33" t="n">
        <v>0</v>
      </c>
      <c r="ME44" s="33" t="n">
        <v>0</v>
      </c>
      <c r="MF44" s="33" t="n">
        <v>0</v>
      </c>
      <c r="MG44" s="33" t="n">
        <v>0</v>
      </c>
      <c r="MH44" s="33" t="n">
        <v>0</v>
      </c>
      <c r="MI44" s="33" t="n">
        <v>0</v>
      </c>
      <c r="MJ44" s="33" t="n">
        <v>0</v>
      </c>
      <c r="MK44" s="33" t="n">
        <v>0</v>
      </c>
      <c r="ML44" s="33" t="n">
        <v>0</v>
      </c>
      <c r="MM44" s="33" t="n">
        <v>0</v>
      </c>
      <c r="MN44" s="33" t="n">
        <v>0</v>
      </c>
      <c r="MO44" s="33" t="n">
        <v>0</v>
      </c>
      <c r="MP44" s="33" t="n">
        <v>0</v>
      </c>
      <c r="MQ44" s="33" t="n">
        <v>0</v>
      </c>
      <c r="MR44" s="33" t="n">
        <v>0</v>
      </c>
      <c r="MS44" s="33" t="n">
        <v>0</v>
      </c>
      <c r="MT44" s="33" t="n">
        <v>0</v>
      </c>
      <c r="MU44" s="33" t="n">
        <v>0</v>
      </c>
      <c r="MV44" s="33" t="n">
        <v>0</v>
      </c>
      <c r="MW44" s="33" t="n">
        <v>0</v>
      </c>
      <c r="MX44" s="33" t="n">
        <v>0</v>
      </c>
      <c r="MY44" s="33" t="n">
        <v>0</v>
      </c>
      <c r="MZ44" s="33" t="n">
        <v>0</v>
      </c>
      <c r="NA44" s="33" t="n">
        <v>0</v>
      </c>
      <c r="NB44" s="33" t="n">
        <v>0</v>
      </c>
      <c r="NC44" s="33" t="n">
        <v>0</v>
      </c>
      <c r="ND44" s="33" t="n">
        <v>0</v>
      </c>
      <c r="NE44" s="33" t="n">
        <v>0</v>
      </c>
      <c r="NF44" s="33" t="n">
        <v>0</v>
      </c>
      <c r="NG44" s="33" t="n">
        <v>0</v>
      </c>
      <c r="NH44" s="33" t="n">
        <v>0</v>
      </c>
      <c r="NI44" s="33" t="n">
        <v>0</v>
      </c>
      <c r="NJ44" s="33" t="n">
        <v>0</v>
      </c>
      <c r="NK44" s="33" t="n">
        <v>0</v>
      </c>
      <c r="NL44" s="33" t="n">
        <v>0</v>
      </c>
      <c r="NM44" s="33" t="n">
        <v>0</v>
      </c>
      <c r="NN44" s="33" t="n">
        <v>0</v>
      </c>
      <c r="NO44" s="33" t="n">
        <v>0</v>
      </c>
      <c r="NP44" s="33" t="n">
        <v>0</v>
      </c>
      <c r="NQ44" s="33" t="n">
        <v>0</v>
      </c>
      <c r="NR44" s="33" t="n">
        <v>0</v>
      </c>
      <c r="NS44" s="33" t="n">
        <v>0</v>
      </c>
      <c r="NT44" s="33" t="n">
        <v>0</v>
      </c>
      <c r="NU44" s="33" t="n">
        <v>0</v>
      </c>
      <c r="NV44" s="33" t="n">
        <v>0</v>
      </c>
      <c r="NW44" s="33" t="n">
        <v>0</v>
      </c>
      <c r="NX44" s="33" t="n">
        <v>0</v>
      </c>
      <c r="NY44" s="33" t="n">
        <v>0</v>
      </c>
      <c r="NZ44" s="33" t="n">
        <v>0</v>
      </c>
      <c r="OA44" s="33" t="n">
        <v>0</v>
      </c>
      <c r="OB44" s="33" t="n">
        <v>0</v>
      </c>
      <c r="OC44" s="33" t="n">
        <v>0</v>
      </c>
      <c r="OD44" s="33" t="n">
        <v>0</v>
      </c>
      <c r="OE44" s="33" t="n">
        <v>0</v>
      </c>
      <c r="OF44" s="33" t="n">
        <v>0</v>
      </c>
      <c r="OG44" s="33" t="n">
        <v>0</v>
      </c>
      <c r="OH44" s="33" t="n">
        <v>0</v>
      </c>
      <c r="OI44" s="33" t="n">
        <v>0</v>
      </c>
      <c r="OJ44" s="33" t="n">
        <v>0</v>
      </c>
      <c r="OK44" s="33" t="n">
        <v>0</v>
      </c>
      <c r="OL44" s="33" t="n">
        <v>0</v>
      </c>
      <c r="OM44" s="33" t="n">
        <v>0</v>
      </c>
      <c r="ON44" s="33" t="n">
        <v>0</v>
      </c>
      <c r="OO44" s="33" t="n">
        <v>0</v>
      </c>
      <c r="OP44" s="33" t="n">
        <v>0</v>
      </c>
      <c r="OQ44" s="33" t="n">
        <v>0</v>
      </c>
      <c r="OR44" s="33" t="n">
        <v>0</v>
      </c>
      <c r="OS44" s="33" t="n">
        <v>0</v>
      </c>
      <c r="OT44" s="33" t="n">
        <v>0</v>
      </c>
      <c r="OU44" s="33" t="n">
        <v>0</v>
      </c>
      <c r="OV44" s="33" t="n">
        <v>0</v>
      </c>
      <c r="OW44" s="33" t="n">
        <v>0</v>
      </c>
      <c r="OX44" s="33" t="n">
        <v>0</v>
      </c>
      <c r="OY44" s="33" t="n">
        <v>0</v>
      </c>
      <c r="OZ44" s="33" t="n">
        <v>0</v>
      </c>
      <c r="PA44" s="33" t="n">
        <v>0</v>
      </c>
      <c r="PB44" s="33" t="n">
        <v>0</v>
      </c>
      <c r="PC44" s="33" t="n">
        <v>0</v>
      </c>
      <c r="PD44" s="33" t="n">
        <v>0</v>
      </c>
      <c r="PE44" s="33" t="n">
        <v>0</v>
      </c>
      <c r="PF44" s="33" t="n">
        <v>0</v>
      </c>
      <c r="PG44" s="33" t="n">
        <v>0</v>
      </c>
      <c r="PH44" s="33" t="n">
        <v>0</v>
      </c>
      <c r="PI44" s="33" t="n">
        <v>0</v>
      </c>
      <c r="PJ44" s="33" t="n">
        <v>0</v>
      </c>
      <c r="PK44" s="33" t="n">
        <v>0</v>
      </c>
      <c r="PL44" s="33" t="n">
        <v>0</v>
      </c>
      <c r="PM44" s="33" t="n">
        <v>0</v>
      </c>
      <c r="PN44" s="33" t="n">
        <v>0</v>
      </c>
      <c r="PO44" s="33" t="n">
        <v>0</v>
      </c>
      <c r="PP44" s="33" t="n">
        <v>0</v>
      </c>
      <c r="PQ44" s="33" t="n">
        <v>0</v>
      </c>
      <c r="PR44" s="33" t="n">
        <v>0</v>
      </c>
      <c r="PS44" s="33" t="n">
        <v>0</v>
      </c>
      <c r="PT44" s="33" t="n">
        <v>0</v>
      </c>
      <c r="PU44" s="33" t="n">
        <v>0</v>
      </c>
      <c r="PV44" s="33" t="n">
        <v>0</v>
      </c>
      <c r="PW44" s="33" t="n">
        <v>0</v>
      </c>
      <c r="PX44" s="33" t="n">
        <v>0</v>
      </c>
      <c r="PY44" s="33" t="n">
        <v>0</v>
      </c>
      <c r="PZ44" s="33" t="n">
        <v>0</v>
      </c>
      <c r="QA44" s="33" t="n">
        <v>0</v>
      </c>
      <c r="QB44" s="33" t="n">
        <v>0</v>
      </c>
      <c r="QC44" s="33" t="n">
        <v>0</v>
      </c>
      <c r="QD44" s="33" t="n">
        <v>0</v>
      </c>
      <c r="QE44" s="33" t="n">
        <v>0</v>
      </c>
      <c r="QF44" s="33" t="n">
        <v>0</v>
      </c>
      <c r="QG44" s="33" t="n">
        <v>0</v>
      </c>
      <c r="QH44" s="33" t="n">
        <v>0</v>
      </c>
      <c r="QI44" s="33" t="n">
        <v>0</v>
      </c>
      <c r="QJ44" s="33" t="n">
        <v>0</v>
      </c>
      <c r="QK44" s="33" t="n">
        <v>0</v>
      </c>
      <c r="QL44" s="33" t="n">
        <v>0</v>
      </c>
      <c r="QM44" s="33" t="n">
        <v>0</v>
      </c>
      <c r="QN44" s="33" t="n">
        <v>0</v>
      </c>
      <c r="QO44" s="33" t="n">
        <v>0</v>
      </c>
      <c r="QP44" s="33" t="n">
        <v>0</v>
      </c>
      <c r="QQ44" s="33" t="n">
        <v>0</v>
      </c>
      <c r="QR44" s="33" t="n">
        <v>0</v>
      </c>
      <c r="QS44" s="33" t="n">
        <v>0</v>
      </c>
      <c r="QT44" s="33" t="n">
        <v>0</v>
      </c>
      <c r="QU44" s="33" t="n">
        <v>0</v>
      </c>
      <c r="QV44" s="33" t="n">
        <v>0</v>
      </c>
      <c r="QW44" s="33" t="n">
        <v>0</v>
      </c>
      <c r="QX44" s="33" t="n">
        <v>0</v>
      </c>
      <c r="QY44" s="33" t="n">
        <v>0</v>
      </c>
      <c r="QZ44" s="33" t="n">
        <v>0</v>
      </c>
      <c r="RA44" s="33" t="n">
        <v>0</v>
      </c>
      <c r="RB44" s="33" t="n">
        <v>0</v>
      </c>
      <c r="RC44" s="33" t="n">
        <v>0</v>
      </c>
      <c r="RD44" s="33" t="n">
        <v>0</v>
      </c>
      <c r="RE44" s="33" t="n">
        <v>0</v>
      </c>
      <c r="RF44" s="33" t="n">
        <v>0</v>
      </c>
      <c r="RG44" s="33" t="n">
        <v>0</v>
      </c>
      <c r="RH44" s="33" t="n">
        <v>0</v>
      </c>
      <c r="RI44" s="33" t="n">
        <v>0</v>
      </c>
      <c r="RJ44" s="33" t="n">
        <v>0</v>
      </c>
      <c r="RK44" s="33" t="n">
        <v>0</v>
      </c>
      <c r="RL44" s="33" t="n">
        <v>0</v>
      </c>
      <c r="RM44" s="33" t="n">
        <v>0</v>
      </c>
      <c r="RN44" s="33" t="n">
        <v>0</v>
      </c>
      <c r="RO44" s="33" t="n">
        <v>0</v>
      </c>
      <c r="RP44" s="33" t="n">
        <v>0</v>
      </c>
      <c r="RQ44" s="33" t="n">
        <v>0</v>
      </c>
      <c r="RR44" s="33" t="n">
        <v>0</v>
      </c>
      <c r="RS44" s="33" t="n">
        <v>0</v>
      </c>
      <c r="RT44" s="33" t="n">
        <v>0</v>
      </c>
      <c r="RU44" s="33" t="n">
        <v>0</v>
      </c>
      <c r="RV44" s="33" t="n">
        <v>0</v>
      </c>
      <c r="RW44" s="33" t="n">
        <v>0</v>
      </c>
    </row>
    <row r="45" hidden="1" outlineLevel="1" ht="13.05" customHeight="1">
      <c r="E45" s="21" t="inlineStr">
        <is>
          <t>TSO Export Cost</t>
        </is>
      </c>
      <c r="F45" s="29" t="n"/>
      <c r="G45" s="29" t="inlineStr">
        <is>
          <t>kEUR</t>
        </is>
      </c>
      <c r="H45" s="29" t="n"/>
      <c r="I45" s="29" t="n"/>
      <c r="J45" s="32" t="n">
        <v>0</v>
      </c>
      <c r="K45" s="29" t="n"/>
      <c r="L45" s="33" t="n">
        <v>0</v>
      </c>
      <c r="M45" s="33" t="n">
        <v>0</v>
      </c>
      <c r="N45" s="33" t="n">
        <v>0</v>
      </c>
      <c r="O45" s="33" t="n">
        <v>0</v>
      </c>
      <c r="P45" s="33" t="n">
        <v>0</v>
      </c>
      <c r="Q45" s="33" t="n">
        <v>0</v>
      </c>
      <c r="R45" s="33" t="n">
        <v>0</v>
      </c>
      <c r="S45" s="33" t="n">
        <v>0</v>
      </c>
      <c r="T45" s="33" t="n">
        <v>0</v>
      </c>
      <c r="U45" s="33" t="n">
        <v>0</v>
      </c>
      <c r="V45" s="33" t="n">
        <v>0</v>
      </c>
      <c r="W45" s="33" t="n">
        <v>0</v>
      </c>
      <c r="X45" s="33" t="n">
        <v>0</v>
      </c>
      <c r="Y45" s="33" t="n">
        <v>0</v>
      </c>
      <c r="Z45" s="33" t="n">
        <v>0</v>
      </c>
      <c r="AA45" s="33" t="n">
        <v>0</v>
      </c>
      <c r="AB45" s="33" t="n">
        <v>0</v>
      </c>
      <c r="AC45" s="33" t="n">
        <v>0</v>
      </c>
      <c r="AD45" s="33" t="n">
        <v>0</v>
      </c>
      <c r="AE45" s="33" t="n">
        <v>0</v>
      </c>
      <c r="AF45" s="33" t="n">
        <v>0</v>
      </c>
      <c r="AG45" s="33" t="n">
        <v>0</v>
      </c>
      <c r="AH45" s="33" t="n">
        <v>0</v>
      </c>
      <c r="AI45" s="33" t="n">
        <v>0</v>
      </c>
      <c r="AJ45" s="33" t="n">
        <v>0</v>
      </c>
      <c r="AK45" s="33" t="n">
        <v>0</v>
      </c>
      <c r="AL45" s="33" t="n">
        <v>0</v>
      </c>
      <c r="AM45" s="33" t="n">
        <v>0</v>
      </c>
      <c r="AN45" s="33" t="n">
        <v>0</v>
      </c>
      <c r="AO45" s="33" t="n">
        <v>0</v>
      </c>
      <c r="AP45" s="33" t="n">
        <v>0</v>
      </c>
      <c r="AQ45" s="33" t="n">
        <v>0</v>
      </c>
      <c r="AR45" s="33" t="n">
        <v>0</v>
      </c>
      <c r="AS45" s="33" t="n">
        <v>0</v>
      </c>
      <c r="AT45" s="33" t="n">
        <v>0</v>
      </c>
      <c r="AU45" s="33" t="n">
        <v>0</v>
      </c>
      <c r="AV45" s="33" t="n">
        <v>0</v>
      </c>
      <c r="AW45" s="33" t="n">
        <v>0</v>
      </c>
      <c r="AX45" s="33" t="n">
        <v>0</v>
      </c>
      <c r="AY45" s="33" t="n">
        <v>0</v>
      </c>
      <c r="AZ45" s="33" t="n">
        <v>0</v>
      </c>
      <c r="BA45" s="33" t="n">
        <v>0</v>
      </c>
      <c r="BB45" s="33" t="n">
        <v>0</v>
      </c>
      <c r="BC45" s="33" t="n">
        <v>0</v>
      </c>
      <c r="BD45" s="33" t="n">
        <v>0</v>
      </c>
      <c r="BE45" s="33" t="n">
        <v>0</v>
      </c>
      <c r="BF45" s="33" t="n">
        <v>0</v>
      </c>
      <c r="BG45" s="33" t="n">
        <v>0</v>
      </c>
      <c r="BH45" s="33" t="n">
        <v>0</v>
      </c>
      <c r="BI45" s="33" t="n">
        <v>0</v>
      </c>
      <c r="BJ45" s="33" t="n">
        <v>0</v>
      </c>
      <c r="BK45" s="33" t="n">
        <v>0</v>
      </c>
      <c r="BL45" s="33" t="n">
        <v>0</v>
      </c>
      <c r="BM45" s="33" t="n">
        <v>0</v>
      </c>
      <c r="BN45" s="33" t="n">
        <v>0</v>
      </c>
      <c r="BO45" s="33" t="n">
        <v>0</v>
      </c>
      <c r="BP45" s="33" t="n">
        <v>0</v>
      </c>
      <c r="BQ45" s="33" t="n">
        <v>0</v>
      </c>
      <c r="BR45" s="33" t="n">
        <v>0</v>
      </c>
      <c r="BS45" s="33" t="n">
        <v>0</v>
      </c>
      <c r="BT45" s="33" t="n">
        <v>0</v>
      </c>
      <c r="BU45" s="33" t="n">
        <v>0</v>
      </c>
      <c r="BV45" s="33" t="n">
        <v>0</v>
      </c>
      <c r="BW45" s="33" t="n">
        <v>0</v>
      </c>
      <c r="BX45" s="33" t="n">
        <v>0</v>
      </c>
      <c r="BY45" s="33" t="n">
        <v>0</v>
      </c>
      <c r="BZ45" s="33" t="n">
        <v>0</v>
      </c>
      <c r="CA45" s="33" t="n">
        <v>0</v>
      </c>
      <c r="CB45" s="33" t="n">
        <v>0</v>
      </c>
      <c r="CC45" s="33" t="n">
        <v>0</v>
      </c>
      <c r="CD45" s="33" t="n">
        <v>0</v>
      </c>
      <c r="CE45" s="33" t="n">
        <v>0</v>
      </c>
      <c r="CF45" s="33" t="n">
        <v>0</v>
      </c>
      <c r="CG45" s="33" t="n">
        <v>0</v>
      </c>
      <c r="CH45" s="33" t="n">
        <v>0</v>
      </c>
      <c r="CI45" s="33" t="n">
        <v>0</v>
      </c>
      <c r="CJ45" s="33" t="n">
        <v>0</v>
      </c>
      <c r="CK45" s="33" t="n">
        <v>0</v>
      </c>
      <c r="CL45" s="33" t="n">
        <v>0</v>
      </c>
      <c r="CM45" s="33" t="n">
        <v>0</v>
      </c>
      <c r="CN45" s="33" t="n">
        <v>0</v>
      </c>
      <c r="CO45" s="33" t="n">
        <v>0</v>
      </c>
      <c r="CP45" s="33" t="n">
        <v>0</v>
      </c>
      <c r="CQ45" s="33" t="n">
        <v>0</v>
      </c>
      <c r="CR45" s="33" t="n">
        <v>0</v>
      </c>
      <c r="CS45" s="33" t="n">
        <v>0</v>
      </c>
      <c r="CT45" s="33" t="n">
        <v>0</v>
      </c>
      <c r="CU45" s="33" t="n">
        <v>0</v>
      </c>
      <c r="CV45" s="33" t="n">
        <v>0</v>
      </c>
      <c r="CW45" s="33" t="n">
        <v>0</v>
      </c>
      <c r="CX45" s="33" t="n">
        <v>0</v>
      </c>
      <c r="CY45" s="33" t="n">
        <v>0</v>
      </c>
      <c r="CZ45" s="33" t="n">
        <v>0</v>
      </c>
      <c r="DA45" s="33" t="n">
        <v>0</v>
      </c>
      <c r="DB45" s="33" t="n">
        <v>0</v>
      </c>
      <c r="DC45" s="33" t="n">
        <v>0</v>
      </c>
      <c r="DD45" s="33" t="n">
        <v>0</v>
      </c>
      <c r="DE45" s="33" t="n">
        <v>0</v>
      </c>
      <c r="DF45" s="33" t="n">
        <v>0</v>
      </c>
      <c r="DG45" s="33" t="n">
        <v>0</v>
      </c>
      <c r="DH45" s="33" t="n">
        <v>0</v>
      </c>
      <c r="DI45" s="33" t="n">
        <v>0</v>
      </c>
      <c r="DJ45" s="33" t="n">
        <v>0</v>
      </c>
      <c r="DK45" s="33" t="n">
        <v>0</v>
      </c>
      <c r="DL45" s="33" t="n">
        <v>0</v>
      </c>
      <c r="DM45" s="33" t="n">
        <v>0</v>
      </c>
      <c r="DN45" s="33" t="n">
        <v>0</v>
      </c>
      <c r="DO45" s="33" t="n">
        <v>0</v>
      </c>
      <c r="DP45" s="33" t="n">
        <v>0</v>
      </c>
      <c r="DQ45" s="33" t="n">
        <v>0</v>
      </c>
      <c r="DR45" s="33" t="n">
        <v>0</v>
      </c>
      <c r="DS45" s="33" t="n">
        <v>0</v>
      </c>
      <c r="DT45" s="33" t="n">
        <v>0</v>
      </c>
      <c r="DU45" s="33" t="n">
        <v>0</v>
      </c>
      <c r="DV45" s="33" t="n">
        <v>0</v>
      </c>
      <c r="DW45" s="33" t="n">
        <v>0</v>
      </c>
      <c r="DX45" s="33" t="n">
        <v>0</v>
      </c>
      <c r="DY45" s="33" t="n">
        <v>0</v>
      </c>
      <c r="DZ45" s="33" t="n">
        <v>0</v>
      </c>
      <c r="EA45" s="33" t="n">
        <v>0</v>
      </c>
      <c r="EB45" s="33" t="n">
        <v>0</v>
      </c>
      <c r="EC45" s="33" t="n">
        <v>0</v>
      </c>
      <c r="ED45" s="33" t="n">
        <v>0</v>
      </c>
      <c r="EE45" s="33" t="n">
        <v>0</v>
      </c>
      <c r="EF45" s="33" t="n">
        <v>0</v>
      </c>
      <c r="EG45" s="33" t="n">
        <v>0</v>
      </c>
      <c r="EH45" s="33" t="n">
        <v>0</v>
      </c>
      <c r="EI45" s="33" t="n">
        <v>0</v>
      </c>
      <c r="EJ45" s="33" t="n">
        <v>0</v>
      </c>
      <c r="EK45" s="33" t="n">
        <v>0</v>
      </c>
      <c r="EL45" s="33" t="n">
        <v>0</v>
      </c>
      <c r="EM45" s="33" t="n">
        <v>0</v>
      </c>
      <c r="EN45" s="33" t="n">
        <v>0</v>
      </c>
      <c r="EO45" s="33" t="n">
        <v>0</v>
      </c>
      <c r="EP45" s="33" t="n">
        <v>0</v>
      </c>
      <c r="EQ45" s="33" t="n">
        <v>0</v>
      </c>
      <c r="ER45" s="33" t="n">
        <v>0</v>
      </c>
      <c r="ES45" s="33" t="n">
        <v>0</v>
      </c>
      <c r="ET45" s="33" t="n">
        <v>0</v>
      </c>
      <c r="EU45" s="33" t="n">
        <v>0</v>
      </c>
      <c r="EV45" s="33" t="n">
        <v>0</v>
      </c>
      <c r="EW45" s="33" t="n">
        <v>0</v>
      </c>
      <c r="EX45" s="33" t="n">
        <v>0</v>
      </c>
      <c r="EY45" s="33" t="n">
        <v>0</v>
      </c>
      <c r="EZ45" s="33" t="n">
        <v>0</v>
      </c>
      <c r="FA45" s="33" t="n">
        <v>0</v>
      </c>
      <c r="FB45" s="33" t="n">
        <v>0</v>
      </c>
      <c r="FC45" s="33" t="n">
        <v>0</v>
      </c>
      <c r="FD45" s="33" t="n">
        <v>0</v>
      </c>
      <c r="FE45" s="33" t="n">
        <v>0</v>
      </c>
      <c r="FF45" s="33" t="n">
        <v>0</v>
      </c>
      <c r="FG45" s="33" t="n">
        <v>0</v>
      </c>
      <c r="FH45" s="33" t="n">
        <v>0</v>
      </c>
      <c r="FI45" s="33" t="n">
        <v>0</v>
      </c>
      <c r="FJ45" s="33" t="n">
        <v>0</v>
      </c>
      <c r="FK45" s="33" t="n">
        <v>0</v>
      </c>
      <c r="FL45" s="33" t="n">
        <v>0</v>
      </c>
      <c r="FM45" s="33" t="n">
        <v>0</v>
      </c>
      <c r="FN45" s="33" t="n">
        <v>0</v>
      </c>
      <c r="FO45" s="33" t="n">
        <v>0</v>
      </c>
      <c r="FP45" s="33" t="n">
        <v>0</v>
      </c>
      <c r="FQ45" s="33" t="n">
        <v>0</v>
      </c>
      <c r="FR45" s="33" t="n">
        <v>0</v>
      </c>
      <c r="FS45" s="33" t="n">
        <v>0</v>
      </c>
      <c r="FT45" s="33" t="n">
        <v>0</v>
      </c>
      <c r="FU45" s="33" t="n">
        <v>0</v>
      </c>
      <c r="FV45" s="33" t="n">
        <v>0</v>
      </c>
      <c r="FW45" s="33" t="n">
        <v>0</v>
      </c>
      <c r="FX45" s="33" t="n">
        <v>0</v>
      </c>
      <c r="FY45" s="33" t="n">
        <v>0</v>
      </c>
      <c r="FZ45" s="33" t="n">
        <v>0</v>
      </c>
      <c r="GA45" s="33" t="n">
        <v>0</v>
      </c>
      <c r="GB45" s="33" t="n">
        <v>0</v>
      </c>
      <c r="GC45" s="33" t="n">
        <v>0</v>
      </c>
      <c r="GD45" s="33" t="n">
        <v>0</v>
      </c>
      <c r="GE45" s="33" t="n">
        <v>0</v>
      </c>
      <c r="GF45" s="33" t="n">
        <v>0</v>
      </c>
      <c r="GG45" s="33" t="n">
        <v>0</v>
      </c>
      <c r="GH45" s="33" t="n">
        <v>0</v>
      </c>
      <c r="GI45" s="33" t="n">
        <v>0</v>
      </c>
      <c r="GJ45" s="33" t="n">
        <v>0</v>
      </c>
      <c r="GK45" s="33" t="n">
        <v>0</v>
      </c>
      <c r="GL45" s="33" t="n">
        <v>0</v>
      </c>
      <c r="GM45" s="33" t="n">
        <v>0</v>
      </c>
      <c r="GN45" s="33" t="n">
        <v>0</v>
      </c>
      <c r="GO45" s="33" t="n">
        <v>0</v>
      </c>
      <c r="GP45" s="33" t="n">
        <v>0</v>
      </c>
      <c r="GQ45" s="33" t="n">
        <v>0</v>
      </c>
      <c r="GR45" s="33" t="n">
        <v>0</v>
      </c>
      <c r="GS45" s="33" t="n">
        <v>0</v>
      </c>
      <c r="GT45" s="33" t="n">
        <v>0</v>
      </c>
      <c r="GU45" s="33" t="n">
        <v>0</v>
      </c>
      <c r="GV45" s="33" t="n">
        <v>0</v>
      </c>
      <c r="GW45" s="33" t="n">
        <v>0</v>
      </c>
      <c r="GX45" s="33" t="n">
        <v>0</v>
      </c>
      <c r="GY45" s="33" t="n">
        <v>0</v>
      </c>
      <c r="GZ45" s="33" t="n">
        <v>0</v>
      </c>
      <c r="HA45" s="33" t="n">
        <v>0</v>
      </c>
      <c r="HB45" s="33" t="n">
        <v>0</v>
      </c>
      <c r="HC45" s="33" t="n">
        <v>0</v>
      </c>
      <c r="HD45" s="33" t="n">
        <v>0</v>
      </c>
      <c r="HE45" s="33" t="n">
        <v>0</v>
      </c>
      <c r="HF45" s="33" t="n">
        <v>0</v>
      </c>
      <c r="HG45" s="33" t="n">
        <v>0</v>
      </c>
      <c r="HH45" s="33" t="n">
        <v>0</v>
      </c>
      <c r="HI45" s="33" t="n">
        <v>0</v>
      </c>
      <c r="HJ45" s="33" t="n">
        <v>0</v>
      </c>
      <c r="HK45" s="33" t="n">
        <v>0</v>
      </c>
      <c r="HL45" s="33" t="n">
        <v>0</v>
      </c>
      <c r="HM45" s="33" t="n">
        <v>0</v>
      </c>
      <c r="HN45" s="33" t="n">
        <v>0</v>
      </c>
      <c r="HO45" s="33" t="n">
        <v>0</v>
      </c>
      <c r="HP45" s="33" t="n">
        <v>0</v>
      </c>
      <c r="HQ45" s="33" t="n">
        <v>0</v>
      </c>
      <c r="HR45" s="33" t="n">
        <v>0</v>
      </c>
      <c r="HS45" s="33" t="n">
        <v>0</v>
      </c>
      <c r="HT45" s="33" t="n">
        <v>0</v>
      </c>
      <c r="HU45" s="33" t="n">
        <v>0</v>
      </c>
      <c r="HV45" s="33" t="n">
        <v>0</v>
      </c>
      <c r="HW45" s="33" t="n">
        <v>0</v>
      </c>
      <c r="HX45" s="33" t="n">
        <v>0</v>
      </c>
      <c r="HY45" s="33" t="n">
        <v>0</v>
      </c>
      <c r="HZ45" s="33" t="n">
        <v>0</v>
      </c>
      <c r="IA45" s="33" t="n">
        <v>0</v>
      </c>
      <c r="IB45" s="33" t="n">
        <v>0</v>
      </c>
      <c r="IC45" s="33" t="n">
        <v>0</v>
      </c>
      <c r="ID45" s="33" t="n">
        <v>0</v>
      </c>
      <c r="IE45" s="33" t="n">
        <v>0</v>
      </c>
      <c r="IF45" s="33" t="n">
        <v>0</v>
      </c>
      <c r="IG45" s="33" t="n">
        <v>0</v>
      </c>
      <c r="IH45" s="33" t="n">
        <v>0</v>
      </c>
      <c r="II45" s="33" t="n">
        <v>0</v>
      </c>
      <c r="IJ45" s="33" t="n">
        <v>0</v>
      </c>
      <c r="IK45" s="33" t="n">
        <v>0</v>
      </c>
      <c r="IL45" s="33" t="n">
        <v>0</v>
      </c>
      <c r="IM45" s="33" t="n">
        <v>0</v>
      </c>
      <c r="IN45" s="33" t="n">
        <v>0</v>
      </c>
      <c r="IO45" s="33" t="n">
        <v>0</v>
      </c>
      <c r="IP45" s="33" t="n">
        <v>0</v>
      </c>
      <c r="IQ45" s="33" t="n">
        <v>0</v>
      </c>
      <c r="IR45" s="33" t="n">
        <v>0</v>
      </c>
      <c r="IS45" s="33" t="n">
        <v>0</v>
      </c>
      <c r="IT45" s="33" t="n">
        <v>0</v>
      </c>
      <c r="IU45" s="33" t="n">
        <v>0</v>
      </c>
      <c r="IV45" s="33" t="n">
        <v>0</v>
      </c>
      <c r="IW45" s="33" t="n">
        <v>0</v>
      </c>
      <c r="IX45" s="33" t="n">
        <v>0</v>
      </c>
      <c r="IY45" s="33" t="n">
        <v>0</v>
      </c>
      <c r="IZ45" s="33" t="n">
        <v>0</v>
      </c>
      <c r="JA45" s="33" t="n">
        <v>0</v>
      </c>
      <c r="JB45" s="33" t="n">
        <v>0</v>
      </c>
      <c r="JC45" s="33" t="n">
        <v>0</v>
      </c>
      <c r="JD45" s="33" t="n">
        <v>0</v>
      </c>
      <c r="JE45" s="33" t="n">
        <v>0</v>
      </c>
      <c r="JF45" s="33" t="n">
        <v>0</v>
      </c>
      <c r="JG45" s="33" t="n">
        <v>0</v>
      </c>
      <c r="JH45" s="33" t="n">
        <v>0</v>
      </c>
      <c r="JI45" s="33" t="n">
        <v>0</v>
      </c>
      <c r="JJ45" s="33" t="n">
        <v>0</v>
      </c>
      <c r="JK45" s="33" t="n">
        <v>0</v>
      </c>
      <c r="JL45" s="33" t="n">
        <v>0</v>
      </c>
      <c r="JM45" s="33" t="n">
        <v>0</v>
      </c>
      <c r="JN45" s="33" t="n">
        <v>0</v>
      </c>
      <c r="JO45" s="33" t="n">
        <v>0</v>
      </c>
      <c r="JP45" s="33" t="n">
        <v>0</v>
      </c>
      <c r="JQ45" s="33" t="n">
        <v>0</v>
      </c>
      <c r="JR45" s="33" t="n">
        <v>0</v>
      </c>
      <c r="JS45" s="33" t="n">
        <v>0</v>
      </c>
      <c r="JT45" s="33" t="n">
        <v>0</v>
      </c>
      <c r="JU45" s="33" t="n">
        <v>0</v>
      </c>
      <c r="JV45" s="33" t="n">
        <v>0</v>
      </c>
      <c r="JW45" s="33" t="n">
        <v>0</v>
      </c>
      <c r="JX45" s="33" t="n">
        <v>0</v>
      </c>
      <c r="JY45" s="33" t="n">
        <v>0</v>
      </c>
      <c r="JZ45" s="33" t="n">
        <v>0</v>
      </c>
      <c r="KA45" s="33" t="n">
        <v>0</v>
      </c>
      <c r="KB45" s="33" t="n">
        <v>0</v>
      </c>
      <c r="KC45" s="33" t="n">
        <v>0</v>
      </c>
      <c r="KD45" s="33" t="n">
        <v>0</v>
      </c>
      <c r="KE45" s="33" t="n">
        <v>0</v>
      </c>
      <c r="KF45" s="33" t="n">
        <v>0</v>
      </c>
      <c r="KG45" s="33" t="n">
        <v>0</v>
      </c>
      <c r="KH45" s="33" t="n">
        <v>0</v>
      </c>
      <c r="KI45" s="33" t="n">
        <v>0</v>
      </c>
      <c r="KJ45" s="33" t="n">
        <v>0</v>
      </c>
      <c r="KK45" s="33" t="n">
        <v>0</v>
      </c>
      <c r="KL45" s="33" t="n">
        <v>0</v>
      </c>
      <c r="KM45" s="33" t="n">
        <v>0</v>
      </c>
      <c r="KN45" s="33" t="n">
        <v>0</v>
      </c>
      <c r="KO45" s="33" t="n">
        <v>0</v>
      </c>
      <c r="KP45" s="33" t="n">
        <v>0</v>
      </c>
      <c r="KQ45" s="33" t="n">
        <v>0</v>
      </c>
      <c r="KR45" s="33" t="n">
        <v>0</v>
      </c>
      <c r="KS45" s="33" t="n">
        <v>0</v>
      </c>
      <c r="KT45" s="33" t="n">
        <v>0</v>
      </c>
      <c r="KU45" s="33" t="n">
        <v>0</v>
      </c>
      <c r="KV45" s="33" t="n">
        <v>0</v>
      </c>
      <c r="KW45" s="33" t="n">
        <v>0</v>
      </c>
      <c r="KX45" s="33" t="n">
        <v>0</v>
      </c>
      <c r="KY45" s="33" t="n">
        <v>0</v>
      </c>
      <c r="KZ45" s="33" t="n">
        <v>0</v>
      </c>
      <c r="LA45" s="33" t="n">
        <v>0</v>
      </c>
      <c r="LB45" s="33" t="n">
        <v>0</v>
      </c>
      <c r="LC45" s="33" t="n">
        <v>0</v>
      </c>
      <c r="LD45" s="33" t="n">
        <v>0</v>
      </c>
      <c r="LE45" s="33" t="n">
        <v>0</v>
      </c>
      <c r="LF45" s="33" t="n">
        <v>0</v>
      </c>
      <c r="LG45" s="33" t="n">
        <v>0</v>
      </c>
      <c r="LH45" s="33" t="n">
        <v>0</v>
      </c>
      <c r="LI45" s="33" t="n">
        <v>0</v>
      </c>
      <c r="LJ45" s="33" t="n">
        <v>0</v>
      </c>
      <c r="LK45" s="33" t="n">
        <v>0</v>
      </c>
      <c r="LL45" s="33" t="n">
        <v>0</v>
      </c>
      <c r="LM45" s="33" t="n">
        <v>0</v>
      </c>
      <c r="LN45" s="33" t="n">
        <v>0</v>
      </c>
      <c r="LO45" s="33" t="n">
        <v>0</v>
      </c>
      <c r="LP45" s="33" t="n">
        <v>0</v>
      </c>
      <c r="LQ45" s="33" t="n">
        <v>0</v>
      </c>
      <c r="LR45" s="33" t="n">
        <v>0</v>
      </c>
      <c r="LS45" s="33" t="n">
        <v>0</v>
      </c>
      <c r="LT45" s="33" t="n">
        <v>0</v>
      </c>
      <c r="LU45" s="33" t="n">
        <v>0</v>
      </c>
      <c r="LV45" s="33" t="n">
        <v>0</v>
      </c>
      <c r="LW45" s="33" t="n">
        <v>0</v>
      </c>
      <c r="LX45" s="33" t="n">
        <v>0</v>
      </c>
      <c r="LY45" s="33" t="n">
        <v>0</v>
      </c>
      <c r="LZ45" s="33" t="n">
        <v>0</v>
      </c>
      <c r="MA45" s="33" t="n">
        <v>0</v>
      </c>
      <c r="MB45" s="33" t="n">
        <v>0</v>
      </c>
      <c r="MC45" s="33" t="n">
        <v>0</v>
      </c>
      <c r="MD45" s="33" t="n">
        <v>0</v>
      </c>
      <c r="ME45" s="33" t="n">
        <v>0</v>
      </c>
      <c r="MF45" s="33" t="n">
        <v>0</v>
      </c>
      <c r="MG45" s="33" t="n">
        <v>0</v>
      </c>
      <c r="MH45" s="33" t="n">
        <v>0</v>
      </c>
      <c r="MI45" s="33" t="n">
        <v>0</v>
      </c>
      <c r="MJ45" s="33" t="n">
        <v>0</v>
      </c>
      <c r="MK45" s="33" t="n">
        <v>0</v>
      </c>
      <c r="ML45" s="33" t="n">
        <v>0</v>
      </c>
      <c r="MM45" s="33" t="n">
        <v>0</v>
      </c>
      <c r="MN45" s="33" t="n">
        <v>0</v>
      </c>
      <c r="MO45" s="33" t="n">
        <v>0</v>
      </c>
      <c r="MP45" s="33" t="n">
        <v>0</v>
      </c>
      <c r="MQ45" s="33" t="n">
        <v>0</v>
      </c>
      <c r="MR45" s="33" t="n">
        <v>0</v>
      </c>
      <c r="MS45" s="33" t="n">
        <v>0</v>
      </c>
      <c r="MT45" s="33" t="n">
        <v>0</v>
      </c>
      <c r="MU45" s="33" t="n">
        <v>0</v>
      </c>
      <c r="MV45" s="33" t="n">
        <v>0</v>
      </c>
      <c r="MW45" s="33" t="n">
        <v>0</v>
      </c>
      <c r="MX45" s="33" t="n">
        <v>0</v>
      </c>
      <c r="MY45" s="33" t="n">
        <v>0</v>
      </c>
      <c r="MZ45" s="33" t="n">
        <v>0</v>
      </c>
      <c r="NA45" s="33" t="n">
        <v>0</v>
      </c>
      <c r="NB45" s="33" t="n">
        <v>0</v>
      </c>
      <c r="NC45" s="33" t="n">
        <v>0</v>
      </c>
      <c r="ND45" s="33" t="n">
        <v>0</v>
      </c>
      <c r="NE45" s="33" t="n">
        <v>0</v>
      </c>
      <c r="NF45" s="33" t="n">
        <v>0</v>
      </c>
      <c r="NG45" s="33" t="n">
        <v>0</v>
      </c>
      <c r="NH45" s="33" t="n">
        <v>0</v>
      </c>
      <c r="NI45" s="33" t="n">
        <v>0</v>
      </c>
      <c r="NJ45" s="33" t="n">
        <v>0</v>
      </c>
      <c r="NK45" s="33" t="n">
        <v>0</v>
      </c>
      <c r="NL45" s="33" t="n">
        <v>0</v>
      </c>
      <c r="NM45" s="33" t="n">
        <v>0</v>
      </c>
      <c r="NN45" s="33" t="n">
        <v>0</v>
      </c>
      <c r="NO45" s="33" t="n">
        <v>0</v>
      </c>
      <c r="NP45" s="33" t="n">
        <v>0</v>
      </c>
      <c r="NQ45" s="33" t="n">
        <v>0</v>
      </c>
      <c r="NR45" s="33" t="n">
        <v>0</v>
      </c>
      <c r="NS45" s="33" t="n">
        <v>0</v>
      </c>
      <c r="NT45" s="33" t="n">
        <v>0</v>
      </c>
      <c r="NU45" s="33" t="n">
        <v>0</v>
      </c>
      <c r="NV45" s="33" t="n">
        <v>0</v>
      </c>
      <c r="NW45" s="33" t="n">
        <v>0</v>
      </c>
      <c r="NX45" s="33" t="n">
        <v>0</v>
      </c>
      <c r="NY45" s="33" t="n">
        <v>0</v>
      </c>
      <c r="NZ45" s="33" t="n">
        <v>0</v>
      </c>
      <c r="OA45" s="33" t="n">
        <v>0</v>
      </c>
      <c r="OB45" s="33" t="n">
        <v>0</v>
      </c>
      <c r="OC45" s="33" t="n">
        <v>0</v>
      </c>
      <c r="OD45" s="33" t="n">
        <v>0</v>
      </c>
      <c r="OE45" s="33" t="n">
        <v>0</v>
      </c>
      <c r="OF45" s="33" t="n">
        <v>0</v>
      </c>
      <c r="OG45" s="33" t="n">
        <v>0</v>
      </c>
      <c r="OH45" s="33" t="n">
        <v>0</v>
      </c>
      <c r="OI45" s="33" t="n">
        <v>0</v>
      </c>
      <c r="OJ45" s="33" t="n">
        <v>0</v>
      </c>
      <c r="OK45" s="33" t="n">
        <v>0</v>
      </c>
      <c r="OL45" s="33" t="n">
        <v>0</v>
      </c>
      <c r="OM45" s="33" t="n">
        <v>0</v>
      </c>
      <c r="ON45" s="33" t="n">
        <v>0</v>
      </c>
      <c r="OO45" s="33" t="n">
        <v>0</v>
      </c>
      <c r="OP45" s="33" t="n">
        <v>0</v>
      </c>
      <c r="OQ45" s="33" t="n">
        <v>0</v>
      </c>
      <c r="OR45" s="33" t="n">
        <v>0</v>
      </c>
      <c r="OS45" s="33" t="n">
        <v>0</v>
      </c>
      <c r="OT45" s="33" t="n">
        <v>0</v>
      </c>
      <c r="OU45" s="33" t="n">
        <v>0</v>
      </c>
      <c r="OV45" s="33" t="n">
        <v>0</v>
      </c>
      <c r="OW45" s="33" t="n">
        <v>0</v>
      </c>
      <c r="OX45" s="33" t="n">
        <v>0</v>
      </c>
      <c r="OY45" s="33" t="n">
        <v>0</v>
      </c>
      <c r="OZ45" s="33" t="n">
        <v>0</v>
      </c>
      <c r="PA45" s="33" t="n">
        <v>0</v>
      </c>
      <c r="PB45" s="33" t="n">
        <v>0</v>
      </c>
      <c r="PC45" s="33" t="n">
        <v>0</v>
      </c>
      <c r="PD45" s="33" t="n">
        <v>0</v>
      </c>
      <c r="PE45" s="33" t="n">
        <v>0</v>
      </c>
      <c r="PF45" s="33" t="n">
        <v>0</v>
      </c>
      <c r="PG45" s="33" t="n">
        <v>0</v>
      </c>
      <c r="PH45" s="33" t="n">
        <v>0</v>
      </c>
      <c r="PI45" s="33" t="n">
        <v>0</v>
      </c>
      <c r="PJ45" s="33" t="n">
        <v>0</v>
      </c>
      <c r="PK45" s="33" t="n">
        <v>0</v>
      </c>
      <c r="PL45" s="33" t="n">
        <v>0</v>
      </c>
      <c r="PM45" s="33" t="n">
        <v>0</v>
      </c>
      <c r="PN45" s="33" t="n">
        <v>0</v>
      </c>
      <c r="PO45" s="33" t="n">
        <v>0</v>
      </c>
      <c r="PP45" s="33" t="n">
        <v>0</v>
      </c>
      <c r="PQ45" s="33" t="n">
        <v>0</v>
      </c>
      <c r="PR45" s="33" t="n">
        <v>0</v>
      </c>
      <c r="PS45" s="33" t="n">
        <v>0</v>
      </c>
      <c r="PT45" s="33" t="n">
        <v>0</v>
      </c>
      <c r="PU45" s="33" t="n">
        <v>0</v>
      </c>
      <c r="PV45" s="33" t="n">
        <v>0</v>
      </c>
      <c r="PW45" s="33" t="n">
        <v>0</v>
      </c>
      <c r="PX45" s="33" t="n">
        <v>0</v>
      </c>
      <c r="PY45" s="33" t="n">
        <v>0</v>
      </c>
      <c r="PZ45" s="33" t="n">
        <v>0</v>
      </c>
      <c r="QA45" s="33" t="n">
        <v>0</v>
      </c>
      <c r="QB45" s="33" t="n">
        <v>0</v>
      </c>
      <c r="QC45" s="33" t="n">
        <v>0</v>
      </c>
      <c r="QD45" s="33" t="n">
        <v>0</v>
      </c>
      <c r="QE45" s="33" t="n">
        <v>0</v>
      </c>
      <c r="QF45" s="33" t="n">
        <v>0</v>
      </c>
      <c r="QG45" s="33" t="n">
        <v>0</v>
      </c>
      <c r="QH45" s="33" t="n">
        <v>0</v>
      </c>
      <c r="QI45" s="33" t="n">
        <v>0</v>
      </c>
      <c r="QJ45" s="33" t="n">
        <v>0</v>
      </c>
      <c r="QK45" s="33" t="n">
        <v>0</v>
      </c>
      <c r="QL45" s="33" t="n">
        <v>0</v>
      </c>
      <c r="QM45" s="33" t="n">
        <v>0</v>
      </c>
      <c r="QN45" s="33" t="n">
        <v>0</v>
      </c>
      <c r="QO45" s="33" t="n">
        <v>0</v>
      </c>
      <c r="QP45" s="33" t="n">
        <v>0</v>
      </c>
      <c r="QQ45" s="33" t="n">
        <v>0</v>
      </c>
      <c r="QR45" s="33" t="n">
        <v>0</v>
      </c>
      <c r="QS45" s="33" t="n">
        <v>0</v>
      </c>
      <c r="QT45" s="33" t="n">
        <v>0</v>
      </c>
      <c r="QU45" s="33" t="n">
        <v>0</v>
      </c>
      <c r="QV45" s="33" t="n">
        <v>0</v>
      </c>
      <c r="QW45" s="33" t="n">
        <v>0</v>
      </c>
      <c r="QX45" s="33" t="n">
        <v>0</v>
      </c>
      <c r="QY45" s="33" t="n">
        <v>0</v>
      </c>
      <c r="QZ45" s="33" t="n">
        <v>0</v>
      </c>
      <c r="RA45" s="33" t="n">
        <v>0</v>
      </c>
      <c r="RB45" s="33" t="n">
        <v>0</v>
      </c>
      <c r="RC45" s="33" t="n">
        <v>0</v>
      </c>
      <c r="RD45" s="33" t="n">
        <v>0</v>
      </c>
      <c r="RE45" s="33" t="n">
        <v>0</v>
      </c>
      <c r="RF45" s="33" t="n">
        <v>0</v>
      </c>
      <c r="RG45" s="33" t="n">
        <v>0</v>
      </c>
      <c r="RH45" s="33" t="n">
        <v>0</v>
      </c>
      <c r="RI45" s="33" t="n">
        <v>0</v>
      </c>
      <c r="RJ45" s="33" t="n">
        <v>0</v>
      </c>
      <c r="RK45" s="33" t="n">
        <v>0</v>
      </c>
      <c r="RL45" s="33" t="n">
        <v>0</v>
      </c>
      <c r="RM45" s="33" t="n">
        <v>0</v>
      </c>
      <c r="RN45" s="33" t="n">
        <v>0</v>
      </c>
      <c r="RO45" s="33" t="n">
        <v>0</v>
      </c>
      <c r="RP45" s="33" t="n">
        <v>0</v>
      </c>
      <c r="RQ45" s="33" t="n">
        <v>0</v>
      </c>
      <c r="RR45" s="33" t="n">
        <v>0</v>
      </c>
      <c r="RS45" s="33" t="n">
        <v>0</v>
      </c>
      <c r="RT45" s="33" t="n">
        <v>0</v>
      </c>
      <c r="RU45" s="33" t="n">
        <v>0</v>
      </c>
      <c r="RV45" s="33" t="n">
        <v>0</v>
      </c>
      <c r="RW45" s="33" t="n">
        <v>0</v>
      </c>
    </row>
    <row r="46" hidden="1" outlineLevel="1" ht="13.05" customHeight="1">
      <c r="E46" s="21" t="inlineStr">
        <is>
          <t>DSO Export Cost</t>
        </is>
      </c>
      <c r="F46" s="29" t="n"/>
      <c r="G46" s="29" t="inlineStr">
        <is>
          <t>kEUR</t>
        </is>
      </c>
      <c r="H46" s="29" t="n"/>
      <c r="I46" s="29" t="n"/>
      <c r="J46" s="32" t="n">
        <v>0</v>
      </c>
      <c r="K46" s="29" t="n"/>
      <c r="L46" s="33" t="n">
        <v>0</v>
      </c>
      <c r="M46" s="33" t="n">
        <v>0</v>
      </c>
      <c r="N46" s="33" t="n">
        <v>0</v>
      </c>
      <c r="O46" s="33" t="n">
        <v>0</v>
      </c>
      <c r="P46" s="33" t="n">
        <v>0</v>
      </c>
      <c r="Q46" s="33" t="n">
        <v>0</v>
      </c>
      <c r="R46" s="33" t="n">
        <v>0</v>
      </c>
      <c r="S46" s="33" t="n">
        <v>0</v>
      </c>
      <c r="T46" s="33" t="n">
        <v>0</v>
      </c>
      <c r="U46" s="33" t="n">
        <v>0</v>
      </c>
      <c r="V46" s="33" t="n">
        <v>0</v>
      </c>
      <c r="W46" s="33" t="n">
        <v>0</v>
      </c>
      <c r="X46" s="33" t="n">
        <v>0</v>
      </c>
      <c r="Y46" s="33" t="n">
        <v>0</v>
      </c>
      <c r="Z46" s="33" t="n">
        <v>0</v>
      </c>
      <c r="AA46" s="33" t="n">
        <v>0</v>
      </c>
      <c r="AB46" s="33" t="n">
        <v>0</v>
      </c>
      <c r="AC46" s="33" t="n">
        <v>0</v>
      </c>
      <c r="AD46" s="33" t="n">
        <v>0</v>
      </c>
      <c r="AE46" s="33" t="n">
        <v>0</v>
      </c>
      <c r="AF46" s="33" t="n">
        <v>0</v>
      </c>
      <c r="AG46" s="33" t="n">
        <v>0</v>
      </c>
      <c r="AH46" s="33" t="n">
        <v>0</v>
      </c>
      <c r="AI46" s="33" t="n">
        <v>0</v>
      </c>
      <c r="AJ46" s="33" t="n">
        <v>0</v>
      </c>
      <c r="AK46" s="33" t="n">
        <v>0</v>
      </c>
      <c r="AL46" s="33" t="n">
        <v>0</v>
      </c>
      <c r="AM46" s="33" t="n">
        <v>0</v>
      </c>
      <c r="AN46" s="33" t="n">
        <v>0</v>
      </c>
      <c r="AO46" s="33" t="n">
        <v>0</v>
      </c>
      <c r="AP46" s="33" t="n">
        <v>0</v>
      </c>
      <c r="AQ46" s="33" t="n">
        <v>0</v>
      </c>
      <c r="AR46" s="33" t="n">
        <v>0</v>
      </c>
      <c r="AS46" s="33" t="n">
        <v>0</v>
      </c>
      <c r="AT46" s="33" t="n">
        <v>0</v>
      </c>
      <c r="AU46" s="33" t="n">
        <v>0</v>
      </c>
      <c r="AV46" s="33" t="n">
        <v>0</v>
      </c>
      <c r="AW46" s="33" t="n">
        <v>0</v>
      </c>
      <c r="AX46" s="33" t="n">
        <v>0</v>
      </c>
      <c r="AY46" s="33" t="n">
        <v>0</v>
      </c>
      <c r="AZ46" s="33" t="n">
        <v>0</v>
      </c>
      <c r="BA46" s="33" t="n">
        <v>0</v>
      </c>
      <c r="BB46" s="33" t="n">
        <v>0</v>
      </c>
      <c r="BC46" s="33" t="n">
        <v>0</v>
      </c>
      <c r="BD46" s="33" t="n">
        <v>0</v>
      </c>
      <c r="BE46" s="33" t="n">
        <v>0</v>
      </c>
      <c r="BF46" s="33" t="n">
        <v>0</v>
      </c>
      <c r="BG46" s="33" t="n">
        <v>0</v>
      </c>
      <c r="BH46" s="33" t="n">
        <v>0</v>
      </c>
      <c r="BI46" s="33" t="n">
        <v>0</v>
      </c>
      <c r="BJ46" s="33" t="n">
        <v>0</v>
      </c>
      <c r="BK46" s="33" t="n">
        <v>0</v>
      </c>
      <c r="BL46" s="33" t="n">
        <v>0</v>
      </c>
      <c r="BM46" s="33" t="n">
        <v>0</v>
      </c>
      <c r="BN46" s="33" t="n">
        <v>0</v>
      </c>
      <c r="BO46" s="33" t="n">
        <v>0</v>
      </c>
      <c r="BP46" s="33" t="n">
        <v>0</v>
      </c>
      <c r="BQ46" s="33" t="n">
        <v>0</v>
      </c>
      <c r="BR46" s="33" t="n">
        <v>0</v>
      </c>
      <c r="BS46" s="33" t="n">
        <v>0</v>
      </c>
      <c r="BT46" s="33" t="n">
        <v>0</v>
      </c>
      <c r="BU46" s="33" t="n">
        <v>0</v>
      </c>
      <c r="BV46" s="33" t="n">
        <v>0</v>
      </c>
      <c r="BW46" s="33" t="n">
        <v>0</v>
      </c>
      <c r="BX46" s="33" t="n">
        <v>0</v>
      </c>
      <c r="BY46" s="33" t="n">
        <v>0</v>
      </c>
      <c r="BZ46" s="33" t="n">
        <v>0</v>
      </c>
      <c r="CA46" s="33" t="n">
        <v>0</v>
      </c>
      <c r="CB46" s="33" t="n">
        <v>0</v>
      </c>
      <c r="CC46" s="33" t="n">
        <v>0</v>
      </c>
      <c r="CD46" s="33" t="n">
        <v>0</v>
      </c>
      <c r="CE46" s="33" t="n">
        <v>0</v>
      </c>
      <c r="CF46" s="33" t="n">
        <v>0</v>
      </c>
      <c r="CG46" s="33" t="n">
        <v>0</v>
      </c>
      <c r="CH46" s="33" t="n">
        <v>0</v>
      </c>
      <c r="CI46" s="33" t="n">
        <v>0</v>
      </c>
      <c r="CJ46" s="33" t="n">
        <v>0</v>
      </c>
      <c r="CK46" s="33" t="n">
        <v>0</v>
      </c>
      <c r="CL46" s="33" t="n">
        <v>0</v>
      </c>
      <c r="CM46" s="33" t="n">
        <v>0</v>
      </c>
      <c r="CN46" s="33" t="n">
        <v>0</v>
      </c>
      <c r="CO46" s="33" t="n">
        <v>0</v>
      </c>
      <c r="CP46" s="33" t="n">
        <v>0</v>
      </c>
      <c r="CQ46" s="33" t="n">
        <v>0</v>
      </c>
      <c r="CR46" s="33" t="n">
        <v>0</v>
      </c>
      <c r="CS46" s="33" t="n">
        <v>0</v>
      </c>
      <c r="CT46" s="33" t="n">
        <v>0</v>
      </c>
      <c r="CU46" s="33" t="n">
        <v>0</v>
      </c>
      <c r="CV46" s="33" t="n">
        <v>0</v>
      </c>
      <c r="CW46" s="33" t="n">
        <v>0</v>
      </c>
      <c r="CX46" s="33" t="n">
        <v>0</v>
      </c>
      <c r="CY46" s="33" t="n">
        <v>0</v>
      </c>
      <c r="CZ46" s="33" t="n">
        <v>0</v>
      </c>
      <c r="DA46" s="33" t="n">
        <v>0</v>
      </c>
      <c r="DB46" s="33" t="n">
        <v>0</v>
      </c>
      <c r="DC46" s="33" t="n">
        <v>0</v>
      </c>
      <c r="DD46" s="33" t="n">
        <v>0</v>
      </c>
      <c r="DE46" s="33" t="n">
        <v>0</v>
      </c>
      <c r="DF46" s="33" t="n">
        <v>0</v>
      </c>
      <c r="DG46" s="33" t="n">
        <v>0</v>
      </c>
      <c r="DH46" s="33" t="n">
        <v>0</v>
      </c>
      <c r="DI46" s="33" t="n">
        <v>0</v>
      </c>
      <c r="DJ46" s="33" t="n">
        <v>0</v>
      </c>
      <c r="DK46" s="33" t="n">
        <v>0</v>
      </c>
      <c r="DL46" s="33" t="n">
        <v>0</v>
      </c>
      <c r="DM46" s="33" t="n">
        <v>0</v>
      </c>
      <c r="DN46" s="33" t="n">
        <v>0</v>
      </c>
      <c r="DO46" s="33" t="n">
        <v>0</v>
      </c>
      <c r="DP46" s="33" t="n">
        <v>0</v>
      </c>
      <c r="DQ46" s="33" t="n">
        <v>0</v>
      </c>
      <c r="DR46" s="33" t="n">
        <v>0</v>
      </c>
      <c r="DS46" s="33" t="n">
        <v>0</v>
      </c>
      <c r="DT46" s="33" t="n">
        <v>0</v>
      </c>
      <c r="DU46" s="33" t="n">
        <v>0</v>
      </c>
      <c r="DV46" s="33" t="n">
        <v>0</v>
      </c>
      <c r="DW46" s="33" t="n">
        <v>0</v>
      </c>
      <c r="DX46" s="33" t="n">
        <v>0</v>
      </c>
      <c r="DY46" s="33" t="n">
        <v>0</v>
      </c>
      <c r="DZ46" s="33" t="n">
        <v>0</v>
      </c>
      <c r="EA46" s="33" t="n">
        <v>0</v>
      </c>
      <c r="EB46" s="33" t="n">
        <v>0</v>
      </c>
      <c r="EC46" s="33" t="n">
        <v>0</v>
      </c>
      <c r="ED46" s="33" t="n">
        <v>0</v>
      </c>
      <c r="EE46" s="33" t="n">
        <v>0</v>
      </c>
      <c r="EF46" s="33" t="n">
        <v>0</v>
      </c>
      <c r="EG46" s="33" t="n">
        <v>0</v>
      </c>
      <c r="EH46" s="33" t="n">
        <v>0</v>
      </c>
      <c r="EI46" s="33" t="n">
        <v>0</v>
      </c>
      <c r="EJ46" s="33" t="n">
        <v>0</v>
      </c>
      <c r="EK46" s="33" t="n">
        <v>0</v>
      </c>
      <c r="EL46" s="33" t="n">
        <v>0</v>
      </c>
      <c r="EM46" s="33" t="n">
        <v>0</v>
      </c>
      <c r="EN46" s="33" t="n">
        <v>0</v>
      </c>
      <c r="EO46" s="33" t="n">
        <v>0</v>
      </c>
      <c r="EP46" s="33" t="n">
        <v>0</v>
      </c>
      <c r="EQ46" s="33" t="n">
        <v>0</v>
      </c>
      <c r="ER46" s="33" t="n">
        <v>0</v>
      </c>
      <c r="ES46" s="33" t="n">
        <v>0</v>
      </c>
      <c r="ET46" s="33" t="n">
        <v>0</v>
      </c>
      <c r="EU46" s="33" t="n">
        <v>0</v>
      </c>
      <c r="EV46" s="33" t="n">
        <v>0</v>
      </c>
      <c r="EW46" s="33" t="n">
        <v>0</v>
      </c>
      <c r="EX46" s="33" t="n">
        <v>0</v>
      </c>
      <c r="EY46" s="33" t="n">
        <v>0</v>
      </c>
      <c r="EZ46" s="33" t="n">
        <v>0</v>
      </c>
      <c r="FA46" s="33" t="n">
        <v>0</v>
      </c>
      <c r="FB46" s="33" t="n">
        <v>0</v>
      </c>
      <c r="FC46" s="33" t="n">
        <v>0</v>
      </c>
      <c r="FD46" s="33" t="n">
        <v>0</v>
      </c>
      <c r="FE46" s="33" t="n">
        <v>0</v>
      </c>
      <c r="FF46" s="33" t="n">
        <v>0</v>
      </c>
      <c r="FG46" s="33" t="n">
        <v>0</v>
      </c>
      <c r="FH46" s="33" t="n">
        <v>0</v>
      </c>
      <c r="FI46" s="33" t="n">
        <v>0</v>
      </c>
      <c r="FJ46" s="33" t="n">
        <v>0</v>
      </c>
      <c r="FK46" s="33" t="n">
        <v>0</v>
      </c>
      <c r="FL46" s="33" t="n">
        <v>0</v>
      </c>
      <c r="FM46" s="33" t="n">
        <v>0</v>
      </c>
      <c r="FN46" s="33" t="n">
        <v>0</v>
      </c>
      <c r="FO46" s="33" t="n">
        <v>0</v>
      </c>
      <c r="FP46" s="33" t="n">
        <v>0</v>
      </c>
      <c r="FQ46" s="33" t="n">
        <v>0</v>
      </c>
      <c r="FR46" s="33" t="n">
        <v>0</v>
      </c>
      <c r="FS46" s="33" t="n">
        <v>0</v>
      </c>
      <c r="FT46" s="33" t="n">
        <v>0</v>
      </c>
      <c r="FU46" s="33" t="n">
        <v>0</v>
      </c>
      <c r="FV46" s="33" t="n">
        <v>0</v>
      </c>
      <c r="FW46" s="33" t="n">
        <v>0</v>
      </c>
      <c r="FX46" s="33" t="n">
        <v>0</v>
      </c>
      <c r="FY46" s="33" t="n">
        <v>0</v>
      </c>
      <c r="FZ46" s="33" t="n">
        <v>0</v>
      </c>
      <c r="GA46" s="33" t="n">
        <v>0</v>
      </c>
      <c r="GB46" s="33" t="n">
        <v>0</v>
      </c>
      <c r="GC46" s="33" t="n">
        <v>0</v>
      </c>
      <c r="GD46" s="33" t="n">
        <v>0</v>
      </c>
      <c r="GE46" s="33" t="n">
        <v>0</v>
      </c>
      <c r="GF46" s="33" t="n">
        <v>0</v>
      </c>
      <c r="GG46" s="33" t="n">
        <v>0</v>
      </c>
      <c r="GH46" s="33" t="n">
        <v>0</v>
      </c>
      <c r="GI46" s="33" t="n">
        <v>0</v>
      </c>
      <c r="GJ46" s="33" t="n">
        <v>0</v>
      </c>
      <c r="GK46" s="33" t="n">
        <v>0</v>
      </c>
      <c r="GL46" s="33" t="n">
        <v>0</v>
      </c>
      <c r="GM46" s="33" t="n">
        <v>0</v>
      </c>
      <c r="GN46" s="33" t="n">
        <v>0</v>
      </c>
      <c r="GO46" s="33" t="n">
        <v>0</v>
      </c>
      <c r="GP46" s="33" t="n">
        <v>0</v>
      </c>
      <c r="GQ46" s="33" t="n">
        <v>0</v>
      </c>
      <c r="GR46" s="33" t="n">
        <v>0</v>
      </c>
      <c r="GS46" s="33" t="n">
        <v>0</v>
      </c>
      <c r="GT46" s="33" t="n">
        <v>0</v>
      </c>
      <c r="GU46" s="33" t="n">
        <v>0</v>
      </c>
      <c r="GV46" s="33" t="n">
        <v>0</v>
      </c>
      <c r="GW46" s="33" t="n">
        <v>0</v>
      </c>
      <c r="GX46" s="33" t="n">
        <v>0</v>
      </c>
      <c r="GY46" s="33" t="n">
        <v>0</v>
      </c>
      <c r="GZ46" s="33" t="n">
        <v>0</v>
      </c>
      <c r="HA46" s="33" t="n">
        <v>0</v>
      </c>
      <c r="HB46" s="33" t="n">
        <v>0</v>
      </c>
      <c r="HC46" s="33" t="n">
        <v>0</v>
      </c>
      <c r="HD46" s="33" t="n">
        <v>0</v>
      </c>
      <c r="HE46" s="33" t="n">
        <v>0</v>
      </c>
      <c r="HF46" s="33" t="n">
        <v>0</v>
      </c>
      <c r="HG46" s="33" t="n">
        <v>0</v>
      </c>
      <c r="HH46" s="33" t="n">
        <v>0</v>
      </c>
      <c r="HI46" s="33" t="n">
        <v>0</v>
      </c>
      <c r="HJ46" s="33" t="n">
        <v>0</v>
      </c>
      <c r="HK46" s="33" t="n">
        <v>0</v>
      </c>
      <c r="HL46" s="33" t="n">
        <v>0</v>
      </c>
      <c r="HM46" s="33" t="n">
        <v>0</v>
      </c>
      <c r="HN46" s="33" t="n">
        <v>0</v>
      </c>
      <c r="HO46" s="33" t="n">
        <v>0</v>
      </c>
      <c r="HP46" s="33" t="n">
        <v>0</v>
      </c>
      <c r="HQ46" s="33" t="n">
        <v>0</v>
      </c>
      <c r="HR46" s="33" t="n">
        <v>0</v>
      </c>
      <c r="HS46" s="33" t="n">
        <v>0</v>
      </c>
      <c r="HT46" s="33" t="n">
        <v>0</v>
      </c>
      <c r="HU46" s="33" t="n">
        <v>0</v>
      </c>
      <c r="HV46" s="33" t="n">
        <v>0</v>
      </c>
      <c r="HW46" s="33" t="n">
        <v>0</v>
      </c>
      <c r="HX46" s="33" t="n">
        <v>0</v>
      </c>
      <c r="HY46" s="33" t="n">
        <v>0</v>
      </c>
      <c r="HZ46" s="33" t="n">
        <v>0</v>
      </c>
      <c r="IA46" s="33" t="n">
        <v>0</v>
      </c>
      <c r="IB46" s="33" t="n">
        <v>0</v>
      </c>
      <c r="IC46" s="33" t="n">
        <v>0</v>
      </c>
      <c r="ID46" s="33" t="n">
        <v>0</v>
      </c>
      <c r="IE46" s="33" t="n">
        <v>0</v>
      </c>
      <c r="IF46" s="33" t="n">
        <v>0</v>
      </c>
      <c r="IG46" s="33" t="n">
        <v>0</v>
      </c>
      <c r="IH46" s="33" t="n">
        <v>0</v>
      </c>
      <c r="II46" s="33" t="n">
        <v>0</v>
      </c>
      <c r="IJ46" s="33" t="n">
        <v>0</v>
      </c>
      <c r="IK46" s="33" t="n">
        <v>0</v>
      </c>
      <c r="IL46" s="33" t="n">
        <v>0</v>
      </c>
      <c r="IM46" s="33" t="n">
        <v>0</v>
      </c>
      <c r="IN46" s="33" t="n">
        <v>0</v>
      </c>
      <c r="IO46" s="33" t="n">
        <v>0</v>
      </c>
      <c r="IP46" s="33" t="n">
        <v>0</v>
      </c>
      <c r="IQ46" s="33" t="n">
        <v>0</v>
      </c>
      <c r="IR46" s="33" t="n">
        <v>0</v>
      </c>
      <c r="IS46" s="33" t="n">
        <v>0</v>
      </c>
      <c r="IT46" s="33" t="n">
        <v>0</v>
      </c>
      <c r="IU46" s="33" t="n">
        <v>0</v>
      </c>
      <c r="IV46" s="33" t="n">
        <v>0</v>
      </c>
      <c r="IW46" s="33" t="n">
        <v>0</v>
      </c>
      <c r="IX46" s="33" t="n">
        <v>0</v>
      </c>
      <c r="IY46" s="33" t="n">
        <v>0</v>
      </c>
      <c r="IZ46" s="33" t="n">
        <v>0</v>
      </c>
      <c r="JA46" s="33" t="n">
        <v>0</v>
      </c>
      <c r="JB46" s="33" t="n">
        <v>0</v>
      </c>
      <c r="JC46" s="33" t="n">
        <v>0</v>
      </c>
      <c r="JD46" s="33" t="n">
        <v>0</v>
      </c>
      <c r="JE46" s="33" t="n">
        <v>0</v>
      </c>
      <c r="JF46" s="33" t="n">
        <v>0</v>
      </c>
      <c r="JG46" s="33" t="n">
        <v>0</v>
      </c>
      <c r="JH46" s="33" t="n">
        <v>0</v>
      </c>
      <c r="JI46" s="33" t="n">
        <v>0</v>
      </c>
      <c r="JJ46" s="33" t="n">
        <v>0</v>
      </c>
      <c r="JK46" s="33" t="n">
        <v>0</v>
      </c>
      <c r="JL46" s="33" t="n">
        <v>0</v>
      </c>
      <c r="JM46" s="33" t="n">
        <v>0</v>
      </c>
      <c r="JN46" s="33" t="n">
        <v>0</v>
      </c>
      <c r="JO46" s="33" t="n">
        <v>0</v>
      </c>
      <c r="JP46" s="33" t="n">
        <v>0</v>
      </c>
      <c r="JQ46" s="33" t="n">
        <v>0</v>
      </c>
      <c r="JR46" s="33" t="n">
        <v>0</v>
      </c>
      <c r="JS46" s="33" t="n">
        <v>0</v>
      </c>
      <c r="JT46" s="33" t="n">
        <v>0</v>
      </c>
      <c r="JU46" s="33" t="n">
        <v>0</v>
      </c>
      <c r="JV46" s="33" t="n">
        <v>0</v>
      </c>
      <c r="JW46" s="33" t="n">
        <v>0</v>
      </c>
      <c r="JX46" s="33" t="n">
        <v>0</v>
      </c>
      <c r="JY46" s="33" t="n">
        <v>0</v>
      </c>
      <c r="JZ46" s="33" t="n">
        <v>0</v>
      </c>
      <c r="KA46" s="33" t="n">
        <v>0</v>
      </c>
      <c r="KB46" s="33" t="n">
        <v>0</v>
      </c>
      <c r="KC46" s="33" t="n">
        <v>0</v>
      </c>
      <c r="KD46" s="33" t="n">
        <v>0</v>
      </c>
      <c r="KE46" s="33" t="n">
        <v>0</v>
      </c>
      <c r="KF46" s="33" t="n">
        <v>0</v>
      </c>
      <c r="KG46" s="33" t="n">
        <v>0</v>
      </c>
      <c r="KH46" s="33" t="n">
        <v>0</v>
      </c>
      <c r="KI46" s="33" t="n">
        <v>0</v>
      </c>
      <c r="KJ46" s="33" t="n">
        <v>0</v>
      </c>
      <c r="KK46" s="33" t="n">
        <v>0</v>
      </c>
      <c r="KL46" s="33" t="n">
        <v>0</v>
      </c>
      <c r="KM46" s="33" t="n">
        <v>0</v>
      </c>
      <c r="KN46" s="33" t="n">
        <v>0</v>
      </c>
      <c r="KO46" s="33" t="n">
        <v>0</v>
      </c>
      <c r="KP46" s="33" t="n">
        <v>0</v>
      </c>
      <c r="KQ46" s="33" t="n">
        <v>0</v>
      </c>
      <c r="KR46" s="33" t="n">
        <v>0</v>
      </c>
      <c r="KS46" s="33" t="n">
        <v>0</v>
      </c>
      <c r="KT46" s="33" t="n">
        <v>0</v>
      </c>
      <c r="KU46" s="33" t="n">
        <v>0</v>
      </c>
      <c r="KV46" s="33" t="n">
        <v>0</v>
      </c>
      <c r="KW46" s="33" t="n">
        <v>0</v>
      </c>
      <c r="KX46" s="33" t="n">
        <v>0</v>
      </c>
      <c r="KY46" s="33" t="n">
        <v>0</v>
      </c>
      <c r="KZ46" s="33" t="n">
        <v>0</v>
      </c>
      <c r="LA46" s="33" t="n">
        <v>0</v>
      </c>
      <c r="LB46" s="33" t="n">
        <v>0</v>
      </c>
      <c r="LC46" s="33" t="n">
        <v>0</v>
      </c>
      <c r="LD46" s="33" t="n">
        <v>0</v>
      </c>
      <c r="LE46" s="33" t="n">
        <v>0</v>
      </c>
      <c r="LF46" s="33" t="n">
        <v>0</v>
      </c>
      <c r="LG46" s="33" t="n">
        <v>0</v>
      </c>
      <c r="LH46" s="33" t="n">
        <v>0</v>
      </c>
      <c r="LI46" s="33" t="n">
        <v>0</v>
      </c>
      <c r="LJ46" s="33" t="n">
        <v>0</v>
      </c>
      <c r="LK46" s="33" t="n">
        <v>0</v>
      </c>
      <c r="LL46" s="33" t="n">
        <v>0</v>
      </c>
      <c r="LM46" s="33" t="n">
        <v>0</v>
      </c>
      <c r="LN46" s="33" t="n">
        <v>0</v>
      </c>
      <c r="LO46" s="33" t="n">
        <v>0</v>
      </c>
      <c r="LP46" s="33" t="n">
        <v>0</v>
      </c>
      <c r="LQ46" s="33" t="n">
        <v>0</v>
      </c>
      <c r="LR46" s="33" t="n">
        <v>0</v>
      </c>
      <c r="LS46" s="33" t="n">
        <v>0</v>
      </c>
      <c r="LT46" s="33" t="n">
        <v>0</v>
      </c>
      <c r="LU46" s="33" t="n">
        <v>0</v>
      </c>
      <c r="LV46" s="33" t="n">
        <v>0</v>
      </c>
      <c r="LW46" s="33" t="n">
        <v>0</v>
      </c>
      <c r="LX46" s="33" t="n">
        <v>0</v>
      </c>
      <c r="LY46" s="33" t="n">
        <v>0</v>
      </c>
      <c r="LZ46" s="33" t="n">
        <v>0</v>
      </c>
      <c r="MA46" s="33" t="n">
        <v>0</v>
      </c>
      <c r="MB46" s="33" t="n">
        <v>0</v>
      </c>
      <c r="MC46" s="33" t="n">
        <v>0</v>
      </c>
      <c r="MD46" s="33" t="n">
        <v>0</v>
      </c>
      <c r="ME46" s="33" t="n">
        <v>0</v>
      </c>
      <c r="MF46" s="33" t="n">
        <v>0</v>
      </c>
      <c r="MG46" s="33" t="n">
        <v>0</v>
      </c>
      <c r="MH46" s="33" t="n">
        <v>0</v>
      </c>
      <c r="MI46" s="33" t="n">
        <v>0</v>
      </c>
      <c r="MJ46" s="33" t="n">
        <v>0</v>
      </c>
      <c r="MK46" s="33" t="n">
        <v>0</v>
      </c>
      <c r="ML46" s="33" t="n">
        <v>0</v>
      </c>
      <c r="MM46" s="33" t="n">
        <v>0</v>
      </c>
      <c r="MN46" s="33" t="n">
        <v>0</v>
      </c>
      <c r="MO46" s="33" t="n">
        <v>0</v>
      </c>
      <c r="MP46" s="33" t="n">
        <v>0</v>
      </c>
      <c r="MQ46" s="33" t="n">
        <v>0</v>
      </c>
      <c r="MR46" s="33" t="n">
        <v>0</v>
      </c>
      <c r="MS46" s="33" t="n">
        <v>0</v>
      </c>
      <c r="MT46" s="33" t="n">
        <v>0</v>
      </c>
      <c r="MU46" s="33" t="n">
        <v>0</v>
      </c>
      <c r="MV46" s="33" t="n">
        <v>0</v>
      </c>
      <c r="MW46" s="33" t="n">
        <v>0</v>
      </c>
      <c r="MX46" s="33" t="n">
        <v>0</v>
      </c>
      <c r="MY46" s="33" t="n">
        <v>0</v>
      </c>
      <c r="MZ46" s="33" t="n">
        <v>0</v>
      </c>
      <c r="NA46" s="33" t="n">
        <v>0</v>
      </c>
      <c r="NB46" s="33" t="n">
        <v>0</v>
      </c>
      <c r="NC46" s="33" t="n">
        <v>0</v>
      </c>
      <c r="ND46" s="33" t="n">
        <v>0</v>
      </c>
      <c r="NE46" s="33" t="n">
        <v>0</v>
      </c>
      <c r="NF46" s="33" t="n">
        <v>0</v>
      </c>
      <c r="NG46" s="33" t="n">
        <v>0</v>
      </c>
      <c r="NH46" s="33" t="n">
        <v>0</v>
      </c>
      <c r="NI46" s="33" t="n">
        <v>0</v>
      </c>
      <c r="NJ46" s="33" t="n">
        <v>0</v>
      </c>
      <c r="NK46" s="33" t="n">
        <v>0</v>
      </c>
      <c r="NL46" s="33" t="n">
        <v>0</v>
      </c>
      <c r="NM46" s="33" t="n">
        <v>0</v>
      </c>
      <c r="NN46" s="33" t="n">
        <v>0</v>
      </c>
      <c r="NO46" s="33" t="n">
        <v>0</v>
      </c>
      <c r="NP46" s="33" t="n">
        <v>0</v>
      </c>
      <c r="NQ46" s="33" t="n">
        <v>0</v>
      </c>
      <c r="NR46" s="33" t="n">
        <v>0</v>
      </c>
      <c r="NS46" s="33" t="n">
        <v>0</v>
      </c>
      <c r="NT46" s="33" t="n">
        <v>0</v>
      </c>
      <c r="NU46" s="33" t="n">
        <v>0</v>
      </c>
      <c r="NV46" s="33" t="n">
        <v>0</v>
      </c>
      <c r="NW46" s="33" t="n">
        <v>0</v>
      </c>
      <c r="NX46" s="33" t="n">
        <v>0</v>
      </c>
      <c r="NY46" s="33" t="n">
        <v>0</v>
      </c>
      <c r="NZ46" s="33" t="n">
        <v>0</v>
      </c>
      <c r="OA46" s="33" t="n">
        <v>0</v>
      </c>
      <c r="OB46" s="33" t="n">
        <v>0</v>
      </c>
      <c r="OC46" s="33" t="n">
        <v>0</v>
      </c>
      <c r="OD46" s="33" t="n">
        <v>0</v>
      </c>
      <c r="OE46" s="33" t="n">
        <v>0</v>
      </c>
      <c r="OF46" s="33" t="n">
        <v>0</v>
      </c>
      <c r="OG46" s="33" t="n">
        <v>0</v>
      </c>
      <c r="OH46" s="33" t="n">
        <v>0</v>
      </c>
      <c r="OI46" s="33" t="n">
        <v>0</v>
      </c>
      <c r="OJ46" s="33" t="n">
        <v>0</v>
      </c>
      <c r="OK46" s="33" t="n">
        <v>0</v>
      </c>
      <c r="OL46" s="33" t="n">
        <v>0</v>
      </c>
      <c r="OM46" s="33" t="n">
        <v>0</v>
      </c>
      <c r="ON46" s="33" t="n">
        <v>0</v>
      </c>
      <c r="OO46" s="33" t="n">
        <v>0</v>
      </c>
      <c r="OP46" s="33" t="n">
        <v>0</v>
      </c>
      <c r="OQ46" s="33" t="n">
        <v>0</v>
      </c>
      <c r="OR46" s="33" t="n">
        <v>0</v>
      </c>
      <c r="OS46" s="33" t="n">
        <v>0</v>
      </c>
      <c r="OT46" s="33" t="n">
        <v>0</v>
      </c>
      <c r="OU46" s="33" t="n">
        <v>0</v>
      </c>
      <c r="OV46" s="33" t="n">
        <v>0</v>
      </c>
      <c r="OW46" s="33" t="n">
        <v>0</v>
      </c>
      <c r="OX46" s="33" t="n">
        <v>0</v>
      </c>
      <c r="OY46" s="33" t="n">
        <v>0</v>
      </c>
      <c r="OZ46" s="33" t="n">
        <v>0</v>
      </c>
      <c r="PA46" s="33" t="n">
        <v>0</v>
      </c>
      <c r="PB46" s="33" t="n">
        <v>0</v>
      </c>
      <c r="PC46" s="33" t="n">
        <v>0</v>
      </c>
      <c r="PD46" s="33" t="n">
        <v>0</v>
      </c>
      <c r="PE46" s="33" t="n">
        <v>0</v>
      </c>
      <c r="PF46" s="33" t="n">
        <v>0</v>
      </c>
      <c r="PG46" s="33" t="n">
        <v>0</v>
      </c>
      <c r="PH46" s="33" t="n">
        <v>0</v>
      </c>
      <c r="PI46" s="33" t="n">
        <v>0</v>
      </c>
      <c r="PJ46" s="33" t="n">
        <v>0</v>
      </c>
      <c r="PK46" s="33" t="n">
        <v>0</v>
      </c>
      <c r="PL46" s="33" t="n">
        <v>0</v>
      </c>
      <c r="PM46" s="33" t="n">
        <v>0</v>
      </c>
      <c r="PN46" s="33" t="n">
        <v>0</v>
      </c>
      <c r="PO46" s="33" t="n">
        <v>0</v>
      </c>
      <c r="PP46" s="33" t="n">
        <v>0</v>
      </c>
      <c r="PQ46" s="33" t="n">
        <v>0</v>
      </c>
      <c r="PR46" s="33" t="n">
        <v>0</v>
      </c>
      <c r="PS46" s="33" t="n">
        <v>0</v>
      </c>
      <c r="PT46" s="33" t="n">
        <v>0</v>
      </c>
      <c r="PU46" s="33" t="n">
        <v>0</v>
      </c>
      <c r="PV46" s="33" t="n">
        <v>0</v>
      </c>
      <c r="PW46" s="33" t="n">
        <v>0</v>
      </c>
      <c r="PX46" s="33" t="n">
        <v>0</v>
      </c>
      <c r="PY46" s="33" t="n">
        <v>0</v>
      </c>
      <c r="PZ46" s="33" t="n">
        <v>0</v>
      </c>
      <c r="QA46" s="33" t="n">
        <v>0</v>
      </c>
      <c r="QB46" s="33" t="n">
        <v>0</v>
      </c>
      <c r="QC46" s="33" t="n">
        <v>0</v>
      </c>
      <c r="QD46" s="33" t="n">
        <v>0</v>
      </c>
      <c r="QE46" s="33" t="n">
        <v>0</v>
      </c>
      <c r="QF46" s="33" t="n">
        <v>0</v>
      </c>
      <c r="QG46" s="33" t="n">
        <v>0</v>
      </c>
      <c r="QH46" s="33" t="n">
        <v>0</v>
      </c>
      <c r="QI46" s="33" t="n">
        <v>0</v>
      </c>
      <c r="QJ46" s="33" t="n">
        <v>0</v>
      </c>
      <c r="QK46" s="33" t="n">
        <v>0</v>
      </c>
      <c r="QL46" s="33" t="n">
        <v>0</v>
      </c>
      <c r="QM46" s="33" t="n">
        <v>0</v>
      </c>
      <c r="QN46" s="33" t="n">
        <v>0</v>
      </c>
      <c r="QO46" s="33" t="n">
        <v>0</v>
      </c>
      <c r="QP46" s="33" t="n">
        <v>0</v>
      </c>
      <c r="QQ46" s="33" t="n">
        <v>0</v>
      </c>
      <c r="QR46" s="33" t="n">
        <v>0</v>
      </c>
      <c r="QS46" s="33" t="n">
        <v>0</v>
      </c>
      <c r="QT46" s="33" t="n">
        <v>0</v>
      </c>
      <c r="QU46" s="33" t="n">
        <v>0</v>
      </c>
      <c r="QV46" s="33" t="n">
        <v>0</v>
      </c>
      <c r="QW46" s="33" t="n">
        <v>0</v>
      </c>
      <c r="QX46" s="33" t="n">
        <v>0</v>
      </c>
      <c r="QY46" s="33" t="n">
        <v>0</v>
      </c>
      <c r="QZ46" s="33" t="n">
        <v>0</v>
      </c>
      <c r="RA46" s="33" t="n">
        <v>0</v>
      </c>
      <c r="RB46" s="33" t="n">
        <v>0</v>
      </c>
      <c r="RC46" s="33" t="n">
        <v>0</v>
      </c>
      <c r="RD46" s="33" t="n">
        <v>0</v>
      </c>
      <c r="RE46" s="33" t="n">
        <v>0</v>
      </c>
      <c r="RF46" s="33" t="n">
        <v>0</v>
      </c>
      <c r="RG46" s="33" t="n">
        <v>0</v>
      </c>
      <c r="RH46" s="33" t="n">
        <v>0</v>
      </c>
      <c r="RI46" s="33" t="n">
        <v>0</v>
      </c>
      <c r="RJ46" s="33" t="n">
        <v>0</v>
      </c>
      <c r="RK46" s="33" t="n">
        <v>0</v>
      </c>
      <c r="RL46" s="33" t="n">
        <v>0</v>
      </c>
      <c r="RM46" s="33" t="n">
        <v>0</v>
      </c>
      <c r="RN46" s="33" t="n">
        <v>0</v>
      </c>
      <c r="RO46" s="33" t="n">
        <v>0</v>
      </c>
      <c r="RP46" s="33" t="n">
        <v>0</v>
      </c>
      <c r="RQ46" s="33" t="n">
        <v>0</v>
      </c>
      <c r="RR46" s="33" t="n">
        <v>0</v>
      </c>
      <c r="RS46" s="33" t="n">
        <v>0</v>
      </c>
      <c r="RT46" s="33" t="n">
        <v>0</v>
      </c>
      <c r="RU46" s="33" t="n">
        <v>0</v>
      </c>
      <c r="RV46" s="33" t="n">
        <v>0</v>
      </c>
      <c r="RW46" s="33" t="n">
        <v>0</v>
      </c>
    </row>
    <row r="47" hidden="1" outlineLevel="1" ht="13.05" customHeight="1">
      <c r="E47" s="21" t="inlineStr">
        <is>
          <t>Nord Pool Export Cost</t>
        </is>
      </c>
      <c r="F47" s="29" t="n"/>
      <c r="G47" s="29" t="inlineStr">
        <is>
          <t>kEUR</t>
        </is>
      </c>
      <c r="H47" s="29" t="n"/>
      <c r="I47" s="29" t="n"/>
      <c r="J47" s="32" t="n">
        <v>0</v>
      </c>
      <c r="K47" s="29" t="n"/>
      <c r="L47" s="33" t="n">
        <v>0</v>
      </c>
      <c r="M47" s="33" t="n">
        <v>0</v>
      </c>
      <c r="N47" s="33" t="n">
        <v>0</v>
      </c>
      <c r="O47" s="33" t="n">
        <v>0</v>
      </c>
      <c r="P47" s="33" t="n">
        <v>0</v>
      </c>
      <c r="Q47" s="33" t="n">
        <v>0</v>
      </c>
      <c r="R47" s="33" t="n">
        <v>0</v>
      </c>
      <c r="S47" s="33" t="n">
        <v>0</v>
      </c>
      <c r="T47" s="33" t="n">
        <v>0</v>
      </c>
      <c r="U47" s="33" t="n">
        <v>0</v>
      </c>
      <c r="V47" s="33" t="n">
        <v>0</v>
      </c>
      <c r="W47" s="33" t="n">
        <v>0</v>
      </c>
      <c r="X47" s="33" t="n">
        <v>0</v>
      </c>
      <c r="Y47" s="33" t="n">
        <v>0</v>
      </c>
      <c r="Z47" s="33" t="n">
        <v>0</v>
      </c>
      <c r="AA47" s="33" t="n">
        <v>0</v>
      </c>
      <c r="AB47" s="33" t="n">
        <v>0</v>
      </c>
      <c r="AC47" s="33" t="n">
        <v>0</v>
      </c>
      <c r="AD47" s="33" t="n">
        <v>0</v>
      </c>
      <c r="AE47" s="33" t="n">
        <v>0</v>
      </c>
      <c r="AF47" s="33" t="n">
        <v>0</v>
      </c>
      <c r="AG47" s="33" t="n">
        <v>0</v>
      </c>
      <c r="AH47" s="33" t="n">
        <v>0</v>
      </c>
      <c r="AI47" s="33" t="n">
        <v>0</v>
      </c>
      <c r="AJ47" s="33" t="n">
        <v>0</v>
      </c>
      <c r="AK47" s="33" t="n">
        <v>0</v>
      </c>
      <c r="AL47" s="33" t="n">
        <v>0</v>
      </c>
      <c r="AM47" s="33" t="n">
        <v>0</v>
      </c>
      <c r="AN47" s="33" t="n">
        <v>0</v>
      </c>
      <c r="AO47" s="33" t="n">
        <v>0</v>
      </c>
      <c r="AP47" s="33" t="n">
        <v>0</v>
      </c>
      <c r="AQ47" s="33" t="n">
        <v>0</v>
      </c>
      <c r="AR47" s="33" t="n">
        <v>0</v>
      </c>
      <c r="AS47" s="33" t="n">
        <v>0</v>
      </c>
      <c r="AT47" s="33" t="n">
        <v>0</v>
      </c>
      <c r="AU47" s="33" t="n">
        <v>0</v>
      </c>
      <c r="AV47" s="33" t="n">
        <v>0</v>
      </c>
      <c r="AW47" s="33" t="n">
        <v>0</v>
      </c>
      <c r="AX47" s="33" t="n">
        <v>0</v>
      </c>
      <c r="AY47" s="33" t="n">
        <v>0</v>
      </c>
      <c r="AZ47" s="33" t="n">
        <v>0</v>
      </c>
      <c r="BA47" s="33" t="n">
        <v>0</v>
      </c>
      <c r="BB47" s="33" t="n">
        <v>0</v>
      </c>
      <c r="BC47" s="33" t="n">
        <v>0</v>
      </c>
      <c r="BD47" s="33" t="n">
        <v>0</v>
      </c>
      <c r="BE47" s="33" t="n">
        <v>0</v>
      </c>
      <c r="BF47" s="33" t="n">
        <v>0</v>
      </c>
      <c r="BG47" s="33" t="n">
        <v>0</v>
      </c>
      <c r="BH47" s="33" t="n">
        <v>0</v>
      </c>
      <c r="BI47" s="33" t="n">
        <v>0</v>
      </c>
      <c r="BJ47" s="33" t="n">
        <v>0</v>
      </c>
      <c r="BK47" s="33" t="n">
        <v>0</v>
      </c>
      <c r="BL47" s="33" t="n">
        <v>0</v>
      </c>
      <c r="BM47" s="33" t="n">
        <v>0</v>
      </c>
      <c r="BN47" s="33" t="n">
        <v>0</v>
      </c>
      <c r="BO47" s="33" t="n">
        <v>0</v>
      </c>
      <c r="BP47" s="33" t="n">
        <v>0</v>
      </c>
      <c r="BQ47" s="33" t="n">
        <v>0</v>
      </c>
      <c r="BR47" s="33" t="n">
        <v>0</v>
      </c>
      <c r="BS47" s="33" t="n">
        <v>0</v>
      </c>
      <c r="BT47" s="33" t="n">
        <v>0</v>
      </c>
      <c r="BU47" s="33" t="n">
        <v>0</v>
      </c>
      <c r="BV47" s="33" t="n">
        <v>0</v>
      </c>
      <c r="BW47" s="33" t="n">
        <v>0</v>
      </c>
      <c r="BX47" s="33" t="n">
        <v>0</v>
      </c>
      <c r="BY47" s="33" t="n">
        <v>0</v>
      </c>
      <c r="BZ47" s="33" t="n">
        <v>0</v>
      </c>
      <c r="CA47" s="33" t="n">
        <v>0</v>
      </c>
      <c r="CB47" s="33" t="n">
        <v>0</v>
      </c>
      <c r="CC47" s="33" t="n">
        <v>0</v>
      </c>
      <c r="CD47" s="33" t="n">
        <v>0</v>
      </c>
      <c r="CE47" s="33" t="n">
        <v>0</v>
      </c>
      <c r="CF47" s="33" t="n">
        <v>0</v>
      </c>
      <c r="CG47" s="33" t="n">
        <v>0</v>
      </c>
      <c r="CH47" s="33" t="n">
        <v>0</v>
      </c>
      <c r="CI47" s="33" t="n">
        <v>0</v>
      </c>
      <c r="CJ47" s="33" t="n">
        <v>0</v>
      </c>
      <c r="CK47" s="33" t="n">
        <v>0</v>
      </c>
      <c r="CL47" s="33" t="n">
        <v>0</v>
      </c>
      <c r="CM47" s="33" t="n">
        <v>0</v>
      </c>
      <c r="CN47" s="33" t="n">
        <v>0</v>
      </c>
      <c r="CO47" s="33" t="n">
        <v>0</v>
      </c>
      <c r="CP47" s="33" t="n">
        <v>0</v>
      </c>
      <c r="CQ47" s="33" t="n">
        <v>0</v>
      </c>
      <c r="CR47" s="33" t="n">
        <v>0</v>
      </c>
      <c r="CS47" s="33" t="n">
        <v>0</v>
      </c>
      <c r="CT47" s="33" t="n">
        <v>0</v>
      </c>
      <c r="CU47" s="33" t="n">
        <v>0</v>
      </c>
      <c r="CV47" s="33" t="n">
        <v>0</v>
      </c>
      <c r="CW47" s="33" t="n">
        <v>0</v>
      </c>
      <c r="CX47" s="33" t="n">
        <v>0</v>
      </c>
      <c r="CY47" s="33" t="n">
        <v>0</v>
      </c>
      <c r="CZ47" s="33" t="n">
        <v>0</v>
      </c>
      <c r="DA47" s="33" t="n">
        <v>0</v>
      </c>
      <c r="DB47" s="33" t="n">
        <v>0</v>
      </c>
      <c r="DC47" s="33" t="n">
        <v>0</v>
      </c>
      <c r="DD47" s="33" t="n">
        <v>0</v>
      </c>
      <c r="DE47" s="33" t="n">
        <v>0</v>
      </c>
      <c r="DF47" s="33" t="n">
        <v>0</v>
      </c>
      <c r="DG47" s="33" t="n">
        <v>0</v>
      </c>
      <c r="DH47" s="33" t="n">
        <v>0</v>
      </c>
      <c r="DI47" s="33" t="n">
        <v>0</v>
      </c>
      <c r="DJ47" s="33" t="n">
        <v>0</v>
      </c>
      <c r="DK47" s="33" t="n">
        <v>0</v>
      </c>
      <c r="DL47" s="33" t="n">
        <v>0</v>
      </c>
      <c r="DM47" s="33" t="n">
        <v>0</v>
      </c>
      <c r="DN47" s="33" t="n">
        <v>0</v>
      </c>
      <c r="DO47" s="33" t="n">
        <v>0</v>
      </c>
      <c r="DP47" s="33" t="n">
        <v>0</v>
      </c>
      <c r="DQ47" s="33" t="n">
        <v>0</v>
      </c>
      <c r="DR47" s="33" t="n">
        <v>0</v>
      </c>
      <c r="DS47" s="33" t="n">
        <v>0</v>
      </c>
      <c r="DT47" s="33" t="n">
        <v>0</v>
      </c>
      <c r="DU47" s="33" t="n">
        <v>0</v>
      </c>
      <c r="DV47" s="33" t="n">
        <v>0</v>
      </c>
      <c r="DW47" s="33" t="n">
        <v>0</v>
      </c>
      <c r="DX47" s="33" t="n">
        <v>0</v>
      </c>
      <c r="DY47" s="33" t="n">
        <v>0</v>
      </c>
      <c r="DZ47" s="33" t="n">
        <v>0</v>
      </c>
      <c r="EA47" s="33" t="n">
        <v>0</v>
      </c>
      <c r="EB47" s="33" t="n">
        <v>0</v>
      </c>
      <c r="EC47" s="33" t="n">
        <v>0</v>
      </c>
      <c r="ED47" s="33" t="n">
        <v>0</v>
      </c>
      <c r="EE47" s="33" t="n">
        <v>0</v>
      </c>
      <c r="EF47" s="33" t="n">
        <v>0</v>
      </c>
      <c r="EG47" s="33" t="n">
        <v>0</v>
      </c>
      <c r="EH47" s="33" t="n">
        <v>0</v>
      </c>
      <c r="EI47" s="33" t="n">
        <v>0</v>
      </c>
      <c r="EJ47" s="33" t="n">
        <v>0</v>
      </c>
      <c r="EK47" s="33" t="n">
        <v>0</v>
      </c>
      <c r="EL47" s="33" t="n">
        <v>0</v>
      </c>
      <c r="EM47" s="33" t="n">
        <v>0</v>
      </c>
      <c r="EN47" s="33" t="n">
        <v>0</v>
      </c>
      <c r="EO47" s="33" t="n">
        <v>0</v>
      </c>
      <c r="EP47" s="33" t="n">
        <v>0</v>
      </c>
      <c r="EQ47" s="33" t="n">
        <v>0</v>
      </c>
      <c r="ER47" s="33" t="n">
        <v>0</v>
      </c>
      <c r="ES47" s="33" t="n">
        <v>0</v>
      </c>
      <c r="ET47" s="33" t="n">
        <v>0</v>
      </c>
      <c r="EU47" s="33" t="n">
        <v>0</v>
      </c>
      <c r="EV47" s="33" t="n">
        <v>0</v>
      </c>
      <c r="EW47" s="33" t="n">
        <v>0</v>
      </c>
      <c r="EX47" s="33" t="n">
        <v>0</v>
      </c>
      <c r="EY47" s="33" t="n">
        <v>0</v>
      </c>
      <c r="EZ47" s="33" t="n">
        <v>0</v>
      </c>
      <c r="FA47" s="33" t="n">
        <v>0</v>
      </c>
      <c r="FB47" s="33" t="n">
        <v>0</v>
      </c>
      <c r="FC47" s="33" t="n">
        <v>0</v>
      </c>
      <c r="FD47" s="33" t="n">
        <v>0</v>
      </c>
      <c r="FE47" s="33" t="n">
        <v>0</v>
      </c>
      <c r="FF47" s="33" t="n">
        <v>0</v>
      </c>
      <c r="FG47" s="33" t="n">
        <v>0</v>
      </c>
      <c r="FH47" s="33" t="n">
        <v>0</v>
      </c>
      <c r="FI47" s="33" t="n">
        <v>0</v>
      </c>
      <c r="FJ47" s="33" t="n">
        <v>0</v>
      </c>
      <c r="FK47" s="33" t="n">
        <v>0</v>
      </c>
      <c r="FL47" s="33" t="n">
        <v>0</v>
      </c>
      <c r="FM47" s="33" t="n">
        <v>0</v>
      </c>
      <c r="FN47" s="33" t="n">
        <v>0</v>
      </c>
      <c r="FO47" s="33" t="n">
        <v>0</v>
      </c>
      <c r="FP47" s="33" t="n">
        <v>0</v>
      </c>
      <c r="FQ47" s="33" t="n">
        <v>0</v>
      </c>
      <c r="FR47" s="33" t="n">
        <v>0</v>
      </c>
      <c r="FS47" s="33" t="n">
        <v>0</v>
      </c>
      <c r="FT47" s="33" t="n">
        <v>0</v>
      </c>
      <c r="FU47" s="33" t="n">
        <v>0</v>
      </c>
      <c r="FV47" s="33" t="n">
        <v>0</v>
      </c>
      <c r="FW47" s="33" t="n">
        <v>0</v>
      </c>
      <c r="FX47" s="33" t="n">
        <v>0</v>
      </c>
      <c r="FY47" s="33" t="n">
        <v>0</v>
      </c>
      <c r="FZ47" s="33" t="n">
        <v>0</v>
      </c>
      <c r="GA47" s="33" t="n">
        <v>0</v>
      </c>
      <c r="GB47" s="33" t="n">
        <v>0</v>
      </c>
      <c r="GC47" s="33" t="n">
        <v>0</v>
      </c>
      <c r="GD47" s="33" t="n">
        <v>0</v>
      </c>
      <c r="GE47" s="33" t="n">
        <v>0</v>
      </c>
      <c r="GF47" s="33" t="n">
        <v>0</v>
      </c>
      <c r="GG47" s="33" t="n">
        <v>0</v>
      </c>
      <c r="GH47" s="33" t="n">
        <v>0</v>
      </c>
      <c r="GI47" s="33" t="n">
        <v>0</v>
      </c>
      <c r="GJ47" s="33" t="n">
        <v>0</v>
      </c>
      <c r="GK47" s="33" t="n">
        <v>0</v>
      </c>
      <c r="GL47" s="33" t="n">
        <v>0</v>
      </c>
      <c r="GM47" s="33" t="n">
        <v>0</v>
      </c>
      <c r="GN47" s="33" t="n">
        <v>0</v>
      </c>
      <c r="GO47" s="33" t="n">
        <v>0</v>
      </c>
      <c r="GP47" s="33" t="n">
        <v>0</v>
      </c>
      <c r="GQ47" s="33" t="n">
        <v>0</v>
      </c>
      <c r="GR47" s="33" t="n">
        <v>0</v>
      </c>
      <c r="GS47" s="33" t="n">
        <v>0</v>
      </c>
      <c r="GT47" s="33" t="n">
        <v>0</v>
      </c>
      <c r="GU47" s="33" t="n">
        <v>0</v>
      </c>
      <c r="GV47" s="33" t="n">
        <v>0</v>
      </c>
      <c r="GW47" s="33" t="n">
        <v>0</v>
      </c>
      <c r="GX47" s="33" t="n">
        <v>0</v>
      </c>
      <c r="GY47" s="33" t="n">
        <v>0</v>
      </c>
      <c r="GZ47" s="33" t="n">
        <v>0</v>
      </c>
      <c r="HA47" s="33" t="n">
        <v>0</v>
      </c>
      <c r="HB47" s="33" t="n">
        <v>0</v>
      </c>
      <c r="HC47" s="33" t="n">
        <v>0</v>
      </c>
      <c r="HD47" s="33" t="n">
        <v>0</v>
      </c>
      <c r="HE47" s="33" t="n">
        <v>0</v>
      </c>
      <c r="HF47" s="33" t="n">
        <v>0</v>
      </c>
      <c r="HG47" s="33" t="n">
        <v>0</v>
      </c>
      <c r="HH47" s="33" t="n">
        <v>0</v>
      </c>
      <c r="HI47" s="33" t="n">
        <v>0</v>
      </c>
      <c r="HJ47" s="33" t="n">
        <v>0</v>
      </c>
      <c r="HK47" s="33" t="n">
        <v>0</v>
      </c>
      <c r="HL47" s="33" t="n">
        <v>0</v>
      </c>
      <c r="HM47" s="33" t="n">
        <v>0</v>
      </c>
      <c r="HN47" s="33" t="n">
        <v>0</v>
      </c>
      <c r="HO47" s="33" t="n">
        <v>0</v>
      </c>
      <c r="HP47" s="33" t="n">
        <v>0</v>
      </c>
      <c r="HQ47" s="33" t="n">
        <v>0</v>
      </c>
      <c r="HR47" s="33" t="n">
        <v>0</v>
      </c>
      <c r="HS47" s="33" t="n">
        <v>0</v>
      </c>
      <c r="HT47" s="33" t="n">
        <v>0</v>
      </c>
      <c r="HU47" s="33" t="n">
        <v>0</v>
      </c>
      <c r="HV47" s="33" t="n">
        <v>0</v>
      </c>
      <c r="HW47" s="33" t="n">
        <v>0</v>
      </c>
      <c r="HX47" s="33" t="n">
        <v>0</v>
      </c>
      <c r="HY47" s="33" t="n">
        <v>0</v>
      </c>
      <c r="HZ47" s="33" t="n">
        <v>0</v>
      </c>
      <c r="IA47" s="33" t="n">
        <v>0</v>
      </c>
      <c r="IB47" s="33" t="n">
        <v>0</v>
      </c>
      <c r="IC47" s="33" t="n">
        <v>0</v>
      </c>
      <c r="ID47" s="33" t="n">
        <v>0</v>
      </c>
      <c r="IE47" s="33" t="n">
        <v>0</v>
      </c>
      <c r="IF47" s="33" t="n">
        <v>0</v>
      </c>
      <c r="IG47" s="33" t="n">
        <v>0</v>
      </c>
      <c r="IH47" s="33" t="n">
        <v>0</v>
      </c>
      <c r="II47" s="33" t="n">
        <v>0</v>
      </c>
      <c r="IJ47" s="33" t="n">
        <v>0</v>
      </c>
      <c r="IK47" s="33" t="n">
        <v>0</v>
      </c>
      <c r="IL47" s="33" t="n">
        <v>0</v>
      </c>
      <c r="IM47" s="33" t="n">
        <v>0</v>
      </c>
      <c r="IN47" s="33" t="n">
        <v>0</v>
      </c>
      <c r="IO47" s="33" t="n">
        <v>0</v>
      </c>
      <c r="IP47" s="33" t="n">
        <v>0</v>
      </c>
      <c r="IQ47" s="33" t="n">
        <v>0</v>
      </c>
      <c r="IR47" s="33" t="n">
        <v>0</v>
      </c>
      <c r="IS47" s="33" t="n">
        <v>0</v>
      </c>
      <c r="IT47" s="33" t="n">
        <v>0</v>
      </c>
      <c r="IU47" s="33" t="n">
        <v>0</v>
      </c>
      <c r="IV47" s="33" t="n">
        <v>0</v>
      </c>
      <c r="IW47" s="33" t="n">
        <v>0</v>
      </c>
      <c r="IX47" s="33" t="n">
        <v>0</v>
      </c>
      <c r="IY47" s="33" t="n">
        <v>0</v>
      </c>
      <c r="IZ47" s="33" t="n">
        <v>0</v>
      </c>
      <c r="JA47" s="33" t="n">
        <v>0</v>
      </c>
      <c r="JB47" s="33" t="n">
        <v>0</v>
      </c>
      <c r="JC47" s="33" t="n">
        <v>0</v>
      </c>
      <c r="JD47" s="33" t="n">
        <v>0</v>
      </c>
      <c r="JE47" s="33" t="n">
        <v>0</v>
      </c>
      <c r="JF47" s="33" t="n">
        <v>0</v>
      </c>
      <c r="JG47" s="33" t="n">
        <v>0</v>
      </c>
      <c r="JH47" s="33" t="n">
        <v>0</v>
      </c>
      <c r="JI47" s="33" t="n">
        <v>0</v>
      </c>
      <c r="JJ47" s="33" t="n">
        <v>0</v>
      </c>
      <c r="JK47" s="33" t="n">
        <v>0</v>
      </c>
      <c r="JL47" s="33" t="n">
        <v>0</v>
      </c>
      <c r="JM47" s="33" t="n">
        <v>0</v>
      </c>
      <c r="JN47" s="33" t="n">
        <v>0</v>
      </c>
      <c r="JO47" s="33" t="n">
        <v>0</v>
      </c>
      <c r="JP47" s="33" t="n">
        <v>0</v>
      </c>
      <c r="JQ47" s="33" t="n">
        <v>0</v>
      </c>
      <c r="JR47" s="33" t="n">
        <v>0</v>
      </c>
      <c r="JS47" s="33" t="n">
        <v>0</v>
      </c>
      <c r="JT47" s="33" t="n">
        <v>0</v>
      </c>
      <c r="JU47" s="33" t="n">
        <v>0</v>
      </c>
      <c r="JV47" s="33" t="n">
        <v>0</v>
      </c>
      <c r="JW47" s="33" t="n">
        <v>0</v>
      </c>
      <c r="JX47" s="33" t="n">
        <v>0</v>
      </c>
      <c r="JY47" s="33" t="n">
        <v>0</v>
      </c>
      <c r="JZ47" s="33" t="n">
        <v>0</v>
      </c>
      <c r="KA47" s="33" t="n">
        <v>0</v>
      </c>
      <c r="KB47" s="33" t="n">
        <v>0</v>
      </c>
      <c r="KC47" s="33" t="n">
        <v>0</v>
      </c>
      <c r="KD47" s="33" t="n">
        <v>0</v>
      </c>
      <c r="KE47" s="33" t="n">
        <v>0</v>
      </c>
      <c r="KF47" s="33" t="n">
        <v>0</v>
      </c>
      <c r="KG47" s="33" t="n">
        <v>0</v>
      </c>
      <c r="KH47" s="33" t="n">
        <v>0</v>
      </c>
      <c r="KI47" s="33" t="n">
        <v>0</v>
      </c>
      <c r="KJ47" s="33" t="n">
        <v>0</v>
      </c>
      <c r="KK47" s="33" t="n">
        <v>0</v>
      </c>
      <c r="KL47" s="33" t="n">
        <v>0</v>
      </c>
      <c r="KM47" s="33" t="n">
        <v>0</v>
      </c>
      <c r="KN47" s="33" t="n">
        <v>0</v>
      </c>
      <c r="KO47" s="33" t="n">
        <v>0</v>
      </c>
      <c r="KP47" s="33" t="n">
        <v>0</v>
      </c>
      <c r="KQ47" s="33" t="n">
        <v>0</v>
      </c>
      <c r="KR47" s="33" t="n">
        <v>0</v>
      </c>
      <c r="KS47" s="33" t="n">
        <v>0</v>
      </c>
      <c r="KT47" s="33" t="n">
        <v>0</v>
      </c>
      <c r="KU47" s="33" t="n">
        <v>0</v>
      </c>
      <c r="KV47" s="33" t="n">
        <v>0</v>
      </c>
      <c r="KW47" s="33" t="n">
        <v>0</v>
      </c>
      <c r="KX47" s="33" t="n">
        <v>0</v>
      </c>
      <c r="KY47" s="33" t="n">
        <v>0</v>
      </c>
      <c r="KZ47" s="33" t="n">
        <v>0</v>
      </c>
      <c r="LA47" s="33" t="n">
        <v>0</v>
      </c>
      <c r="LB47" s="33" t="n">
        <v>0</v>
      </c>
      <c r="LC47" s="33" t="n">
        <v>0</v>
      </c>
      <c r="LD47" s="33" t="n">
        <v>0</v>
      </c>
      <c r="LE47" s="33" t="n">
        <v>0</v>
      </c>
      <c r="LF47" s="33" t="n">
        <v>0</v>
      </c>
      <c r="LG47" s="33" t="n">
        <v>0</v>
      </c>
      <c r="LH47" s="33" t="n">
        <v>0</v>
      </c>
      <c r="LI47" s="33" t="n">
        <v>0</v>
      </c>
      <c r="LJ47" s="33" t="n">
        <v>0</v>
      </c>
      <c r="LK47" s="33" t="n">
        <v>0</v>
      </c>
      <c r="LL47" s="33" t="n">
        <v>0</v>
      </c>
      <c r="LM47" s="33" t="n">
        <v>0</v>
      </c>
      <c r="LN47" s="33" t="n">
        <v>0</v>
      </c>
      <c r="LO47" s="33" t="n">
        <v>0</v>
      </c>
      <c r="LP47" s="33" t="n">
        <v>0</v>
      </c>
      <c r="LQ47" s="33" t="n">
        <v>0</v>
      </c>
      <c r="LR47" s="33" t="n">
        <v>0</v>
      </c>
      <c r="LS47" s="33" t="n">
        <v>0</v>
      </c>
      <c r="LT47" s="33" t="n">
        <v>0</v>
      </c>
      <c r="LU47" s="33" t="n">
        <v>0</v>
      </c>
      <c r="LV47" s="33" t="n">
        <v>0</v>
      </c>
      <c r="LW47" s="33" t="n">
        <v>0</v>
      </c>
      <c r="LX47" s="33" t="n">
        <v>0</v>
      </c>
      <c r="LY47" s="33" t="n">
        <v>0</v>
      </c>
      <c r="LZ47" s="33" t="n">
        <v>0</v>
      </c>
      <c r="MA47" s="33" t="n">
        <v>0</v>
      </c>
      <c r="MB47" s="33" t="n">
        <v>0</v>
      </c>
      <c r="MC47" s="33" t="n">
        <v>0</v>
      </c>
      <c r="MD47" s="33" t="n">
        <v>0</v>
      </c>
      <c r="ME47" s="33" t="n">
        <v>0</v>
      </c>
      <c r="MF47" s="33" t="n">
        <v>0</v>
      </c>
      <c r="MG47" s="33" t="n">
        <v>0</v>
      </c>
      <c r="MH47" s="33" t="n">
        <v>0</v>
      </c>
      <c r="MI47" s="33" t="n">
        <v>0</v>
      </c>
      <c r="MJ47" s="33" t="n">
        <v>0</v>
      </c>
      <c r="MK47" s="33" t="n">
        <v>0</v>
      </c>
      <c r="ML47" s="33" t="n">
        <v>0</v>
      </c>
      <c r="MM47" s="33" t="n">
        <v>0</v>
      </c>
      <c r="MN47" s="33" t="n">
        <v>0</v>
      </c>
      <c r="MO47" s="33" t="n">
        <v>0</v>
      </c>
      <c r="MP47" s="33" t="n">
        <v>0</v>
      </c>
      <c r="MQ47" s="33" t="n">
        <v>0</v>
      </c>
      <c r="MR47" s="33" t="n">
        <v>0</v>
      </c>
      <c r="MS47" s="33" t="n">
        <v>0</v>
      </c>
      <c r="MT47" s="33" t="n">
        <v>0</v>
      </c>
      <c r="MU47" s="33" t="n">
        <v>0</v>
      </c>
      <c r="MV47" s="33" t="n">
        <v>0</v>
      </c>
      <c r="MW47" s="33" t="n">
        <v>0</v>
      </c>
      <c r="MX47" s="33" t="n">
        <v>0</v>
      </c>
      <c r="MY47" s="33" t="n">
        <v>0</v>
      </c>
      <c r="MZ47" s="33" t="n">
        <v>0</v>
      </c>
      <c r="NA47" s="33" t="n">
        <v>0</v>
      </c>
      <c r="NB47" s="33" t="n">
        <v>0</v>
      </c>
      <c r="NC47" s="33" t="n">
        <v>0</v>
      </c>
      <c r="ND47" s="33" t="n">
        <v>0</v>
      </c>
      <c r="NE47" s="33" t="n">
        <v>0</v>
      </c>
      <c r="NF47" s="33" t="n">
        <v>0</v>
      </c>
      <c r="NG47" s="33" t="n">
        <v>0</v>
      </c>
      <c r="NH47" s="33" t="n">
        <v>0</v>
      </c>
      <c r="NI47" s="33" t="n">
        <v>0</v>
      </c>
      <c r="NJ47" s="33" t="n">
        <v>0</v>
      </c>
      <c r="NK47" s="33" t="n">
        <v>0</v>
      </c>
      <c r="NL47" s="33" t="n">
        <v>0</v>
      </c>
      <c r="NM47" s="33" t="n">
        <v>0</v>
      </c>
      <c r="NN47" s="33" t="n">
        <v>0</v>
      </c>
      <c r="NO47" s="33" t="n">
        <v>0</v>
      </c>
      <c r="NP47" s="33" t="n">
        <v>0</v>
      </c>
      <c r="NQ47" s="33" t="n">
        <v>0</v>
      </c>
      <c r="NR47" s="33" t="n">
        <v>0</v>
      </c>
      <c r="NS47" s="33" t="n">
        <v>0</v>
      </c>
      <c r="NT47" s="33" t="n">
        <v>0</v>
      </c>
      <c r="NU47" s="33" t="n">
        <v>0</v>
      </c>
      <c r="NV47" s="33" t="n">
        <v>0</v>
      </c>
      <c r="NW47" s="33" t="n">
        <v>0</v>
      </c>
      <c r="NX47" s="33" t="n">
        <v>0</v>
      </c>
      <c r="NY47" s="33" t="n">
        <v>0</v>
      </c>
      <c r="NZ47" s="33" t="n">
        <v>0</v>
      </c>
      <c r="OA47" s="33" t="n">
        <v>0</v>
      </c>
      <c r="OB47" s="33" t="n">
        <v>0</v>
      </c>
      <c r="OC47" s="33" t="n">
        <v>0</v>
      </c>
      <c r="OD47" s="33" t="n">
        <v>0</v>
      </c>
      <c r="OE47" s="33" t="n">
        <v>0</v>
      </c>
      <c r="OF47" s="33" t="n">
        <v>0</v>
      </c>
      <c r="OG47" s="33" t="n">
        <v>0</v>
      </c>
      <c r="OH47" s="33" t="n">
        <v>0</v>
      </c>
      <c r="OI47" s="33" t="n">
        <v>0</v>
      </c>
      <c r="OJ47" s="33" t="n">
        <v>0</v>
      </c>
      <c r="OK47" s="33" t="n">
        <v>0</v>
      </c>
      <c r="OL47" s="33" t="n">
        <v>0</v>
      </c>
      <c r="OM47" s="33" t="n">
        <v>0</v>
      </c>
      <c r="ON47" s="33" t="n">
        <v>0</v>
      </c>
      <c r="OO47" s="33" t="n">
        <v>0</v>
      </c>
      <c r="OP47" s="33" t="n">
        <v>0</v>
      </c>
      <c r="OQ47" s="33" t="n">
        <v>0</v>
      </c>
      <c r="OR47" s="33" t="n">
        <v>0</v>
      </c>
      <c r="OS47" s="33" t="n">
        <v>0</v>
      </c>
      <c r="OT47" s="33" t="n">
        <v>0</v>
      </c>
      <c r="OU47" s="33" t="n">
        <v>0</v>
      </c>
      <c r="OV47" s="33" t="n">
        <v>0</v>
      </c>
      <c r="OW47" s="33" t="n">
        <v>0</v>
      </c>
      <c r="OX47" s="33" t="n">
        <v>0</v>
      </c>
      <c r="OY47" s="33" t="n">
        <v>0</v>
      </c>
      <c r="OZ47" s="33" t="n">
        <v>0</v>
      </c>
      <c r="PA47" s="33" t="n">
        <v>0</v>
      </c>
      <c r="PB47" s="33" t="n">
        <v>0</v>
      </c>
      <c r="PC47" s="33" t="n">
        <v>0</v>
      </c>
      <c r="PD47" s="33" t="n">
        <v>0</v>
      </c>
      <c r="PE47" s="33" t="n">
        <v>0</v>
      </c>
      <c r="PF47" s="33" t="n">
        <v>0</v>
      </c>
      <c r="PG47" s="33" t="n">
        <v>0</v>
      </c>
      <c r="PH47" s="33" t="n">
        <v>0</v>
      </c>
      <c r="PI47" s="33" t="n">
        <v>0</v>
      </c>
      <c r="PJ47" s="33" t="n">
        <v>0</v>
      </c>
      <c r="PK47" s="33" t="n">
        <v>0</v>
      </c>
      <c r="PL47" s="33" t="n">
        <v>0</v>
      </c>
      <c r="PM47" s="33" t="n">
        <v>0</v>
      </c>
      <c r="PN47" s="33" t="n">
        <v>0</v>
      </c>
      <c r="PO47" s="33" t="n">
        <v>0</v>
      </c>
      <c r="PP47" s="33" t="n">
        <v>0</v>
      </c>
      <c r="PQ47" s="33" t="n">
        <v>0</v>
      </c>
      <c r="PR47" s="33" t="n">
        <v>0</v>
      </c>
      <c r="PS47" s="33" t="n">
        <v>0</v>
      </c>
      <c r="PT47" s="33" t="n">
        <v>0</v>
      </c>
      <c r="PU47" s="33" t="n">
        <v>0</v>
      </c>
      <c r="PV47" s="33" t="n">
        <v>0</v>
      </c>
      <c r="PW47" s="33" t="n">
        <v>0</v>
      </c>
      <c r="PX47" s="33" t="n">
        <v>0</v>
      </c>
      <c r="PY47" s="33" t="n">
        <v>0</v>
      </c>
      <c r="PZ47" s="33" t="n">
        <v>0</v>
      </c>
      <c r="QA47" s="33" t="n">
        <v>0</v>
      </c>
      <c r="QB47" s="33" t="n">
        <v>0</v>
      </c>
      <c r="QC47" s="33" t="n">
        <v>0</v>
      </c>
      <c r="QD47" s="33" t="n">
        <v>0</v>
      </c>
      <c r="QE47" s="33" t="n">
        <v>0</v>
      </c>
      <c r="QF47" s="33" t="n">
        <v>0</v>
      </c>
      <c r="QG47" s="33" t="n">
        <v>0</v>
      </c>
      <c r="QH47" s="33" t="n">
        <v>0</v>
      </c>
      <c r="QI47" s="33" t="n">
        <v>0</v>
      </c>
      <c r="QJ47" s="33" t="n">
        <v>0</v>
      </c>
      <c r="QK47" s="33" t="n">
        <v>0</v>
      </c>
      <c r="QL47" s="33" t="n">
        <v>0</v>
      </c>
      <c r="QM47" s="33" t="n">
        <v>0</v>
      </c>
      <c r="QN47" s="33" t="n">
        <v>0</v>
      </c>
      <c r="QO47" s="33" t="n">
        <v>0</v>
      </c>
      <c r="QP47" s="33" t="n">
        <v>0</v>
      </c>
      <c r="QQ47" s="33" t="n">
        <v>0</v>
      </c>
      <c r="QR47" s="33" t="n">
        <v>0</v>
      </c>
      <c r="QS47" s="33" t="n">
        <v>0</v>
      </c>
      <c r="QT47" s="33" t="n">
        <v>0</v>
      </c>
      <c r="QU47" s="33" t="n">
        <v>0</v>
      </c>
      <c r="QV47" s="33" t="n">
        <v>0</v>
      </c>
      <c r="QW47" s="33" t="n">
        <v>0</v>
      </c>
      <c r="QX47" s="33" t="n">
        <v>0</v>
      </c>
      <c r="QY47" s="33" t="n">
        <v>0</v>
      </c>
      <c r="QZ47" s="33" t="n">
        <v>0</v>
      </c>
      <c r="RA47" s="33" t="n">
        <v>0</v>
      </c>
      <c r="RB47" s="33" t="n">
        <v>0</v>
      </c>
      <c r="RC47" s="33" t="n">
        <v>0</v>
      </c>
      <c r="RD47" s="33" t="n">
        <v>0</v>
      </c>
      <c r="RE47" s="33" t="n">
        <v>0</v>
      </c>
      <c r="RF47" s="33" t="n">
        <v>0</v>
      </c>
      <c r="RG47" s="33" t="n">
        <v>0</v>
      </c>
      <c r="RH47" s="33" t="n">
        <v>0</v>
      </c>
      <c r="RI47" s="33" t="n">
        <v>0</v>
      </c>
      <c r="RJ47" s="33" t="n">
        <v>0</v>
      </c>
      <c r="RK47" s="33" t="n">
        <v>0</v>
      </c>
      <c r="RL47" s="33" t="n">
        <v>0</v>
      </c>
      <c r="RM47" s="33" t="n">
        <v>0</v>
      </c>
      <c r="RN47" s="33" t="n">
        <v>0</v>
      </c>
      <c r="RO47" s="33" t="n">
        <v>0</v>
      </c>
      <c r="RP47" s="33" t="n">
        <v>0</v>
      </c>
      <c r="RQ47" s="33" t="n">
        <v>0</v>
      </c>
      <c r="RR47" s="33" t="n">
        <v>0</v>
      </c>
      <c r="RS47" s="33" t="n">
        <v>0</v>
      </c>
      <c r="RT47" s="33" t="n">
        <v>0</v>
      </c>
      <c r="RU47" s="33" t="n">
        <v>0</v>
      </c>
      <c r="RV47" s="33" t="n">
        <v>0</v>
      </c>
      <c r="RW47" s="33" t="n">
        <v>0</v>
      </c>
    </row>
    <row r="48" hidden="1" outlineLevel="1" ht="13.05" customHeight="1">
      <c r="E48" s="21" t="inlineStr">
        <is>
          <t>Total Export Production Costs</t>
        </is>
      </c>
      <c r="F48" s="29" t="n"/>
      <c r="G48" s="29" t="inlineStr">
        <is>
          <t>kEUR</t>
        </is>
      </c>
      <c r="H48" s="29" t="n"/>
      <c r="I48" s="29" t="n"/>
      <c r="J48" s="32" t="n">
        <v>0</v>
      </c>
      <c r="K48" s="29" t="n"/>
      <c r="L48" s="33" t="n">
        <v>0</v>
      </c>
      <c r="M48" s="33" t="n">
        <v>0</v>
      </c>
      <c r="N48" s="33" t="n">
        <v>0</v>
      </c>
      <c r="O48" s="33" t="n">
        <v>0</v>
      </c>
      <c r="P48" s="33" t="n">
        <v>0</v>
      </c>
      <c r="Q48" s="33" t="n">
        <v>0</v>
      </c>
      <c r="R48" s="33" t="n">
        <v>0</v>
      </c>
      <c r="S48" s="33" t="n">
        <v>0</v>
      </c>
      <c r="T48" s="33" t="n">
        <v>0</v>
      </c>
      <c r="U48" s="33" t="n">
        <v>0</v>
      </c>
      <c r="V48" s="33" t="n">
        <v>0</v>
      </c>
      <c r="W48" s="33" t="n">
        <v>0</v>
      </c>
      <c r="X48" s="33" t="n">
        <v>0</v>
      </c>
      <c r="Y48" s="33" t="n">
        <v>0</v>
      </c>
      <c r="Z48" s="33" t="n">
        <v>0</v>
      </c>
      <c r="AA48" s="33" t="n">
        <v>0</v>
      </c>
      <c r="AB48" s="33" t="n">
        <v>0</v>
      </c>
      <c r="AC48" s="33" t="n">
        <v>0</v>
      </c>
      <c r="AD48" s="33" t="n">
        <v>0</v>
      </c>
      <c r="AE48" s="33" t="n">
        <v>0</v>
      </c>
      <c r="AF48" s="33" t="n">
        <v>0</v>
      </c>
      <c r="AG48" s="33" t="n">
        <v>0</v>
      </c>
      <c r="AH48" s="33" t="n">
        <v>0</v>
      </c>
      <c r="AI48" s="33" t="n">
        <v>0</v>
      </c>
      <c r="AJ48" s="33" t="n">
        <v>0</v>
      </c>
      <c r="AK48" s="33" t="n">
        <v>0</v>
      </c>
      <c r="AL48" s="33" t="n">
        <v>0</v>
      </c>
      <c r="AM48" s="33" t="n">
        <v>0</v>
      </c>
      <c r="AN48" s="33" t="n">
        <v>0</v>
      </c>
      <c r="AO48" s="33" t="n">
        <v>0</v>
      </c>
      <c r="AP48" s="33" t="n">
        <v>0</v>
      </c>
      <c r="AQ48" s="33" t="n">
        <v>0</v>
      </c>
      <c r="AR48" s="33" t="n">
        <v>0</v>
      </c>
      <c r="AS48" s="33" t="n">
        <v>0</v>
      </c>
      <c r="AT48" s="33" t="n">
        <v>0</v>
      </c>
      <c r="AU48" s="33" t="n">
        <v>0</v>
      </c>
      <c r="AV48" s="33" t="n">
        <v>0</v>
      </c>
      <c r="AW48" s="33" t="n">
        <v>0</v>
      </c>
      <c r="AX48" s="33" t="n">
        <v>0</v>
      </c>
      <c r="AY48" s="33" t="n">
        <v>0</v>
      </c>
      <c r="AZ48" s="33" t="n">
        <v>0</v>
      </c>
      <c r="BA48" s="33" t="n">
        <v>0</v>
      </c>
      <c r="BB48" s="33" t="n">
        <v>0</v>
      </c>
      <c r="BC48" s="33" t="n">
        <v>0</v>
      </c>
      <c r="BD48" s="33" t="n">
        <v>0</v>
      </c>
      <c r="BE48" s="33" t="n">
        <v>0</v>
      </c>
      <c r="BF48" s="33" t="n">
        <v>0</v>
      </c>
      <c r="BG48" s="33" t="n">
        <v>0</v>
      </c>
      <c r="BH48" s="33" t="n">
        <v>0</v>
      </c>
      <c r="BI48" s="33" t="n">
        <v>0</v>
      </c>
      <c r="BJ48" s="33" t="n">
        <v>0</v>
      </c>
      <c r="BK48" s="33" t="n">
        <v>0</v>
      </c>
      <c r="BL48" s="33" t="n">
        <v>0</v>
      </c>
      <c r="BM48" s="33" t="n">
        <v>0</v>
      </c>
      <c r="BN48" s="33" t="n">
        <v>0</v>
      </c>
      <c r="BO48" s="33" t="n">
        <v>0</v>
      </c>
      <c r="BP48" s="33" t="n">
        <v>0</v>
      </c>
      <c r="BQ48" s="33" t="n">
        <v>0</v>
      </c>
      <c r="BR48" s="33" t="n">
        <v>0</v>
      </c>
      <c r="BS48" s="33" t="n">
        <v>0</v>
      </c>
      <c r="BT48" s="33" t="n">
        <v>0</v>
      </c>
      <c r="BU48" s="33" t="n">
        <v>0</v>
      </c>
      <c r="BV48" s="33" t="n">
        <v>0</v>
      </c>
      <c r="BW48" s="33" t="n">
        <v>0</v>
      </c>
      <c r="BX48" s="33" t="n">
        <v>0</v>
      </c>
      <c r="BY48" s="33" t="n">
        <v>0</v>
      </c>
      <c r="BZ48" s="33" t="n">
        <v>0</v>
      </c>
      <c r="CA48" s="33" t="n">
        <v>0</v>
      </c>
      <c r="CB48" s="33" t="n">
        <v>0</v>
      </c>
      <c r="CC48" s="33" t="n">
        <v>0</v>
      </c>
      <c r="CD48" s="33" t="n">
        <v>0</v>
      </c>
      <c r="CE48" s="33" t="n">
        <v>0</v>
      </c>
      <c r="CF48" s="33" t="n">
        <v>0</v>
      </c>
      <c r="CG48" s="33" t="n">
        <v>0</v>
      </c>
      <c r="CH48" s="33" t="n">
        <v>0</v>
      </c>
      <c r="CI48" s="33" t="n">
        <v>0</v>
      </c>
      <c r="CJ48" s="33" t="n">
        <v>0</v>
      </c>
      <c r="CK48" s="33" t="n">
        <v>0</v>
      </c>
      <c r="CL48" s="33" t="n">
        <v>0</v>
      </c>
      <c r="CM48" s="33" t="n">
        <v>0</v>
      </c>
      <c r="CN48" s="33" t="n">
        <v>0</v>
      </c>
      <c r="CO48" s="33" t="n">
        <v>0</v>
      </c>
      <c r="CP48" s="33" t="n">
        <v>0</v>
      </c>
      <c r="CQ48" s="33" t="n">
        <v>0</v>
      </c>
      <c r="CR48" s="33" t="n">
        <v>0</v>
      </c>
      <c r="CS48" s="33" t="n">
        <v>0</v>
      </c>
      <c r="CT48" s="33" t="n">
        <v>0</v>
      </c>
      <c r="CU48" s="33" t="n">
        <v>0</v>
      </c>
      <c r="CV48" s="33" t="n">
        <v>0</v>
      </c>
      <c r="CW48" s="33" t="n">
        <v>0</v>
      </c>
      <c r="CX48" s="33" t="n">
        <v>0</v>
      </c>
      <c r="CY48" s="33" t="n">
        <v>0</v>
      </c>
      <c r="CZ48" s="33" t="n">
        <v>0</v>
      </c>
      <c r="DA48" s="33" t="n">
        <v>0</v>
      </c>
      <c r="DB48" s="33" t="n">
        <v>0</v>
      </c>
      <c r="DC48" s="33" t="n">
        <v>0</v>
      </c>
      <c r="DD48" s="33" t="n">
        <v>0</v>
      </c>
      <c r="DE48" s="33" t="n">
        <v>0</v>
      </c>
      <c r="DF48" s="33" t="n">
        <v>0</v>
      </c>
      <c r="DG48" s="33" t="n">
        <v>0</v>
      </c>
      <c r="DH48" s="33" t="n">
        <v>0</v>
      </c>
      <c r="DI48" s="33" t="n">
        <v>0</v>
      </c>
      <c r="DJ48" s="33" t="n">
        <v>0</v>
      </c>
      <c r="DK48" s="33" t="n">
        <v>0</v>
      </c>
      <c r="DL48" s="33" t="n">
        <v>0</v>
      </c>
      <c r="DM48" s="33" t="n">
        <v>0</v>
      </c>
      <c r="DN48" s="33" t="n">
        <v>0</v>
      </c>
      <c r="DO48" s="33" t="n">
        <v>0</v>
      </c>
      <c r="DP48" s="33" t="n">
        <v>0</v>
      </c>
      <c r="DQ48" s="33" t="n">
        <v>0</v>
      </c>
      <c r="DR48" s="33" t="n">
        <v>0</v>
      </c>
      <c r="DS48" s="33" t="n">
        <v>0</v>
      </c>
      <c r="DT48" s="33" t="n">
        <v>0</v>
      </c>
      <c r="DU48" s="33" t="n">
        <v>0</v>
      </c>
      <c r="DV48" s="33" t="n">
        <v>0</v>
      </c>
      <c r="DW48" s="33" t="n">
        <v>0</v>
      </c>
      <c r="DX48" s="33" t="n">
        <v>0</v>
      </c>
      <c r="DY48" s="33" t="n">
        <v>0</v>
      </c>
      <c r="DZ48" s="33" t="n">
        <v>0</v>
      </c>
      <c r="EA48" s="33" t="n">
        <v>0</v>
      </c>
      <c r="EB48" s="33" t="n">
        <v>0</v>
      </c>
      <c r="EC48" s="33" t="n">
        <v>0</v>
      </c>
      <c r="ED48" s="33" t="n">
        <v>0</v>
      </c>
      <c r="EE48" s="33" t="n">
        <v>0</v>
      </c>
      <c r="EF48" s="33" t="n">
        <v>0</v>
      </c>
      <c r="EG48" s="33" t="n">
        <v>0</v>
      </c>
      <c r="EH48" s="33" t="n">
        <v>0</v>
      </c>
      <c r="EI48" s="33" t="n">
        <v>0</v>
      </c>
      <c r="EJ48" s="33" t="n">
        <v>0</v>
      </c>
      <c r="EK48" s="33" t="n">
        <v>0</v>
      </c>
      <c r="EL48" s="33" t="n">
        <v>0</v>
      </c>
      <c r="EM48" s="33" t="n">
        <v>0</v>
      </c>
      <c r="EN48" s="33" t="n">
        <v>0</v>
      </c>
      <c r="EO48" s="33" t="n">
        <v>0</v>
      </c>
      <c r="EP48" s="33" t="n">
        <v>0</v>
      </c>
      <c r="EQ48" s="33" t="n">
        <v>0</v>
      </c>
      <c r="ER48" s="33" t="n">
        <v>0</v>
      </c>
      <c r="ES48" s="33" t="n">
        <v>0</v>
      </c>
      <c r="ET48" s="33" t="n">
        <v>0</v>
      </c>
      <c r="EU48" s="33" t="n">
        <v>0</v>
      </c>
      <c r="EV48" s="33" t="n">
        <v>0</v>
      </c>
      <c r="EW48" s="33" t="n">
        <v>0</v>
      </c>
      <c r="EX48" s="33" t="n">
        <v>0</v>
      </c>
      <c r="EY48" s="33" t="n">
        <v>0</v>
      </c>
      <c r="EZ48" s="33" t="n">
        <v>0</v>
      </c>
      <c r="FA48" s="33" t="n">
        <v>0</v>
      </c>
      <c r="FB48" s="33" t="n">
        <v>0</v>
      </c>
      <c r="FC48" s="33" t="n">
        <v>0</v>
      </c>
      <c r="FD48" s="33" t="n">
        <v>0</v>
      </c>
      <c r="FE48" s="33" t="n">
        <v>0</v>
      </c>
      <c r="FF48" s="33" t="n">
        <v>0</v>
      </c>
      <c r="FG48" s="33" t="n">
        <v>0</v>
      </c>
      <c r="FH48" s="33" t="n">
        <v>0</v>
      </c>
      <c r="FI48" s="33" t="n">
        <v>0</v>
      </c>
      <c r="FJ48" s="33" t="n">
        <v>0</v>
      </c>
      <c r="FK48" s="33" t="n">
        <v>0</v>
      </c>
      <c r="FL48" s="33" t="n">
        <v>0</v>
      </c>
      <c r="FM48" s="33" t="n">
        <v>0</v>
      </c>
      <c r="FN48" s="33" t="n">
        <v>0</v>
      </c>
      <c r="FO48" s="33" t="n">
        <v>0</v>
      </c>
      <c r="FP48" s="33" t="n">
        <v>0</v>
      </c>
      <c r="FQ48" s="33" t="n">
        <v>0</v>
      </c>
      <c r="FR48" s="33" t="n">
        <v>0</v>
      </c>
      <c r="FS48" s="33" t="n">
        <v>0</v>
      </c>
      <c r="FT48" s="33" t="n">
        <v>0</v>
      </c>
      <c r="FU48" s="33" t="n">
        <v>0</v>
      </c>
      <c r="FV48" s="33" t="n">
        <v>0</v>
      </c>
      <c r="FW48" s="33" t="n">
        <v>0</v>
      </c>
      <c r="FX48" s="33" t="n">
        <v>0</v>
      </c>
      <c r="FY48" s="33" t="n">
        <v>0</v>
      </c>
      <c r="FZ48" s="33" t="n">
        <v>0</v>
      </c>
      <c r="GA48" s="33" t="n">
        <v>0</v>
      </c>
      <c r="GB48" s="33" t="n">
        <v>0</v>
      </c>
      <c r="GC48" s="33" t="n">
        <v>0</v>
      </c>
      <c r="GD48" s="33" t="n">
        <v>0</v>
      </c>
      <c r="GE48" s="33" t="n">
        <v>0</v>
      </c>
      <c r="GF48" s="33" t="n">
        <v>0</v>
      </c>
      <c r="GG48" s="33" t="n">
        <v>0</v>
      </c>
      <c r="GH48" s="33" t="n">
        <v>0</v>
      </c>
      <c r="GI48" s="33" t="n">
        <v>0</v>
      </c>
      <c r="GJ48" s="33" t="n">
        <v>0</v>
      </c>
      <c r="GK48" s="33" t="n">
        <v>0</v>
      </c>
      <c r="GL48" s="33" t="n">
        <v>0</v>
      </c>
      <c r="GM48" s="33" t="n">
        <v>0</v>
      </c>
      <c r="GN48" s="33" t="n">
        <v>0</v>
      </c>
      <c r="GO48" s="33" t="n">
        <v>0</v>
      </c>
      <c r="GP48" s="33" t="n">
        <v>0</v>
      </c>
      <c r="GQ48" s="33" t="n">
        <v>0</v>
      </c>
      <c r="GR48" s="33" t="n">
        <v>0</v>
      </c>
      <c r="GS48" s="33" t="n">
        <v>0</v>
      </c>
      <c r="GT48" s="33" t="n">
        <v>0</v>
      </c>
      <c r="GU48" s="33" t="n">
        <v>0</v>
      </c>
      <c r="GV48" s="33" t="n">
        <v>0</v>
      </c>
      <c r="GW48" s="33" t="n">
        <v>0</v>
      </c>
      <c r="GX48" s="33" t="n">
        <v>0</v>
      </c>
      <c r="GY48" s="33" t="n">
        <v>0</v>
      </c>
      <c r="GZ48" s="33" t="n">
        <v>0</v>
      </c>
      <c r="HA48" s="33" t="n">
        <v>0</v>
      </c>
      <c r="HB48" s="33" t="n">
        <v>0</v>
      </c>
      <c r="HC48" s="33" t="n">
        <v>0</v>
      </c>
      <c r="HD48" s="33" t="n">
        <v>0</v>
      </c>
      <c r="HE48" s="33" t="n">
        <v>0</v>
      </c>
      <c r="HF48" s="33" t="n">
        <v>0</v>
      </c>
      <c r="HG48" s="33" t="n">
        <v>0</v>
      </c>
      <c r="HH48" s="33" t="n">
        <v>0</v>
      </c>
      <c r="HI48" s="33" t="n">
        <v>0</v>
      </c>
      <c r="HJ48" s="33" t="n">
        <v>0</v>
      </c>
      <c r="HK48" s="33" t="n">
        <v>0</v>
      </c>
      <c r="HL48" s="33" t="n">
        <v>0</v>
      </c>
      <c r="HM48" s="33" t="n">
        <v>0</v>
      </c>
      <c r="HN48" s="33" t="n">
        <v>0</v>
      </c>
      <c r="HO48" s="33" t="n">
        <v>0</v>
      </c>
      <c r="HP48" s="33" t="n">
        <v>0</v>
      </c>
      <c r="HQ48" s="33" t="n">
        <v>0</v>
      </c>
      <c r="HR48" s="33" t="n">
        <v>0</v>
      </c>
      <c r="HS48" s="33" t="n">
        <v>0</v>
      </c>
      <c r="HT48" s="33" t="n">
        <v>0</v>
      </c>
      <c r="HU48" s="33" t="n">
        <v>0</v>
      </c>
      <c r="HV48" s="33" t="n">
        <v>0</v>
      </c>
      <c r="HW48" s="33" t="n">
        <v>0</v>
      </c>
      <c r="HX48" s="33" t="n">
        <v>0</v>
      </c>
      <c r="HY48" s="33" t="n">
        <v>0</v>
      </c>
      <c r="HZ48" s="33" t="n">
        <v>0</v>
      </c>
      <c r="IA48" s="33" t="n">
        <v>0</v>
      </c>
      <c r="IB48" s="33" t="n">
        <v>0</v>
      </c>
      <c r="IC48" s="33" t="n">
        <v>0</v>
      </c>
      <c r="ID48" s="33" t="n">
        <v>0</v>
      </c>
      <c r="IE48" s="33" t="n">
        <v>0</v>
      </c>
      <c r="IF48" s="33" t="n">
        <v>0</v>
      </c>
      <c r="IG48" s="33" t="n">
        <v>0</v>
      </c>
      <c r="IH48" s="33" t="n">
        <v>0</v>
      </c>
      <c r="II48" s="33" t="n">
        <v>0</v>
      </c>
      <c r="IJ48" s="33" t="n">
        <v>0</v>
      </c>
      <c r="IK48" s="33" t="n">
        <v>0</v>
      </c>
      <c r="IL48" s="33" t="n">
        <v>0</v>
      </c>
      <c r="IM48" s="33" t="n">
        <v>0</v>
      </c>
      <c r="IN48" s="33" t="n">
        <v>0</v>
      </c>
      <c r="IO48" s="33" t="n">
        <v>0</v>
      </c>
      <c r="IP48" s="33" t="n">
        <v>0</v>
      </c>
      <c r="IQ48" s="33" t="n">
        <v>0</v>
      </c>
      <c r="IR48" s="33" t="n">
        <v>0</v>
      </c>
      <c r="IS48" s="33" t="n">
        <v>0</v>
      </c>
      <c r="IT48" s="33" t="n">
        <v>0</v>
      </c>
      <c r="IU48" s="33" t="n">
        <v>0</v>
      </c>
      <c r="IV48" s="33" t="n">
        <v>0</v>
      </c>
      <c r="IW48" s="33" t="n">
        <v>0</v>
      </c>
      <c r="IX48" s="33" t="n">
        <v>0</v>
      </c>
      <c r="IY48" s="33" t="n">
        <v>0</v>
      </c>
      <c r="IZ48" s="33" t="n">
        <v>0</v>
      </c>
      <c r="JA48" s="33" t="n">
        <v>0</v>
      </c>
      <c r="JB48" s="33" t="n">
        <v>0</v>
      </c>
      <c r="JC48" s="33" t="n">
        <v>0</v>
      </c>
      <c r="JD48" s="33" t="n">
        <v>0</v>
      </c>
      <c r="JE48" s="33" t="n">
        <v>0</v>
      </c>
      <c r="JF48" s="33" t="n">
        <v>0</v>
      </c>
      <c r="JG48" s="33" t="n">
        <v>0</v>
      </c>
      <c r="JH48" s="33" t="n">
        <v>0</v>
      </c>
      <c r="JI48" s="33" t="n">
        <v>0</v>
      </c>
      <c r="JJ48" s="33" t="n">
        <v>0</v>
      </c>
      <c r="JK48" s="33" t="n">
        <v>0</v>
      </c>
      <c r="JL48" s="33" t="n">
        <v>0</v>
      </c>
      <c r="JM48" s="33" t="n">
        <v>0</v>
      </c>
      <c r="JN48" s="33" t="n">
        <v>0</v>
      </c>
      <c r="JO48" s="33" t="n">
        <v>0</v>
      </c>
      <c r="JP48" s="33" t="n">
        <v>0</v>
      </c>
      <c r="JQ48" s="33" t="n">
        <v>0</v>
      </c>
      <c r="JR48" s="33" t="n">
        <v>0</v>
      </c>
      <c r="JS48" s="33" t="n">
        <v>0</v>
      </c>
      <c r="JT48" s="33" t="n">
        <v>0</v>
      </c>
      <c r="JU48" s="33" t="n">
        <v>0</v>
      </c>
      <c r="JV48" s="33" t="n">
        <v>0</v>
      </c>
      <c r="JW48" s="33" t="n">
        <v>0</v>
      </c>
      <c r="JX48" s="33" t="n">
        <v>0</v>
      </c>
      <c r="JY48" s="33" t="n">
        <v>0</v>
      </c>
      <c r="JZ48" s="33" t="n">
        <v>0</v>
      </c>
      <c r="KA48" s="33" t="n">
        <v>0</v>
      </c>
      <c r="KB48" s="33" t="n">
        <v>0</v>
      </c>
      <c r="KC48" s="33" t="n">
        <v>0</v>
      </c>
      <c r="KD48" s="33" t="n">
        <v>0</v>
      </c>
      <c r="KE48" s="33" t="n">
        <v>0</v>
      </c>
      <c r="KF48" s="33" t="n">
        <v>0</v>
      </c>
      <c r="KG48" s="33" t="n">
        <v>0</v>
      </c>
      <c r="KH48" s="33" t="n">
        <v>0</v>
      </c>
      <c r="KI48" s="33" t="n">
        <v>0</v>
      </c>
      <c r="KJ48" s="33" t="n">
        <v>0</v>
      </c>
      <c r="KK48" s="33" t="n">
        <v>0</v>
      </c>
      <c r="KL48" s="33" t="n">
        <v>0</v>
      </c>
      <c r="KM48" s="33" t="n">
        <v>0</v>
      </c>
      <c r="KN48" s="33" t="n">
        <v>0</v>
      </c>
      <c r="KO48" s="33" t="n">
        <v>0</v>
      </c>
      <c r="KP48" s="33" t="n">
        <v>0</v>
      </c>
      <c r="KQ48" s="33" t="n">
        <v>0</v>
      </c>
      <c r="KR48" s="33" t="n">
        <v>0</v>
      </c>
      <c r="KS48" s="33" t="n">
        <v>0</v>
      </c>
      <c r="KT48" s="33" t="n">
        <v>0</v>
      </c>
      <c r="KU48" s="33" t="n">
        <v>0</v>
      </c>
      <c r="KV48" s="33" t="n">
        <v>0</v>
      </c>
      <c r="KW48" s="33" t="n">
        <v>0</v>
      </c>
      <c r="KX48" s="33" t="n">
        <v>0</v>
      </c>
      <c r="KY48" s="33" t="n">
        <v>0</v>
      </c>
      <c r="KZ48" s="33" t="n">
        <v>0</v>
      </c>
      <c r="LA48" s="33" t="n">
        <v>0</v>
      </c>
      <c r="LB48" s="33" t="n">
        <v>0</v>
      </c>
      <c r="LC48" s="33" t="n">
        <v>0</v>
      </c>
      <c r="LD48" s="33" t="n">
        <v>0</v>
      </c>
      <c r="LE48" s="33" t="n">
        <v>0</v>
      </c>
      <c r="LF48" s="33" t="n">
        <v>0</v>
      </c>
      <c r="LG48" s="33" t="n">
        <v>0</v>
      </c>
      <c r="LH48" s="33" t="n">
        <v>0</v>
      </c>
      <c r="LI48" s="33" t="n">
        <v>0</v>
      </c>
      <c r="LJ48" s="33" t="n">
        <v>0</v>
      </c>
      <c r="LK48" s="33" t="n">
        <v>0</v>
      </c>
      <c r="LL48" s="33" t="n">
        <v>0</v>
      </c>
      <c r="LM48" s="33" t="n">
        <v>0</v>
      </c>
      <c r="LN48" s="33" t="n">
        <v>0</v>
      </c>
      <c r="LO48" s="33" t="n">
        <v>0</v>
      </c>
      <c r="LP48" s="33" t="n">
        <v>0</v>
      </c>
      <c r="LQ48" s="33" t="n">
        <v>0</v>
      </c>
      <c r="LR48" s="33" t="n">
        <v>0</v>
      </c>
      <c r="LS48" s="33" t="n">
        <v>0</v>
      </c>
      <c r="LT48" s="33" t="n">
        <v>0</v>
      </c>
      <c r="LU48" s="33" t="n">
        <v>0</v>
      </c>
      <c r="LV48" s="33" t="n">
        <v>0</v>
      </c>
      <c r="LW48" s="33" t="n">
        <v>0</v>
      </c>
      <c r="LX48" s="33" t="n">
        <v>0</v>
      </c>
      <c r="LY48" s="33" t="n">
        <v>0</v>
      </c>
      <c r="LZ48" s="33" t="n">
        <v>0</v>
      </c>
      <c r="MA48" s="33" t="n">
        <v>0</v>
      </c>
      <c r="MB48" s="33" t="n">
        <v>0</v>
      </c>
      <c r="MC48" s="33" t="n">
        <v>0</v>
      </c>
      <c r="MD48" s="33" t="n">
        <v>0</v>
      </c>
      <c r="ME48" s="33" t="n">
        <v>0</v>
      </c>
      <c r="MF48" s="33" t="n">
        <v>0</v>
      </c>
      <c r="MG48" s="33" t="n">
        <v>0</v>
      </c>
      <c r="MH48" s="33" t="n">
        <v>0</v>
      </c>
      <c r="MI48" s="33" t="n">
        <v>0</v>
      </c>
      <c r="MJ48" s="33" t="n">
        <v>0</v>
      </c>
      <c r="MK48" s="33" t="n">
        <v>0</v>
      </c>
      <c r="ML48" s="33" t="n">
        <v>0</v>
      </c>
      <c r="MM48" s="33" t="n">
        <v>0</v>
      </c>
      <c r="MN48" s="33" t="n">
        <v>0</v>
      </c>
      <c r="MO48" s="33" t="n">
        <v>0</v>
      </c>
      <c r="MP48" s="33" t="n">
        <v>0</v>
      </c>
      <c r="MQ48" s="33" t="n">
        <v>0</v>
      </c>
      <c r="MR48" s="33" t="n">
        <v>0</v>
      </c>
      <c r="MS48" s="33" t="n">
        <v>0</v>
      </c>
      <c r="MT48" s="33" t="n">
        <v>0</v>
      </c>
      <c r="MU48" s="33" t="n">
        <v>0</v>
      </c>
      <c r="MV48" s="33" t="n">
        <v>0</v>
      </c>
      <c r="MW48" s="33" t="n">
        <v>0</v>
      </c>
      <c r="MX48" s="33" t="n">
        <v>0</v>
      </c>
      <c r="MY48" s="33" t="n">
        <v>0</v>
      </c>
      <c r="MZ48" s="33" t="n">
        <v>0</v>
      </c>
      <c r="NA48" s="33" t="n">
        <v>0</v>
      </c>
      <c r="NB48" s="33" t="n">
        <v>0</v>
      </c>
      <c r="NC48" s="33" t="n">
        <v>0</v>
      </c>
      <c r="ND48" s="33" t="n">
        <v>0</v>
      </c>
      <c r="NE48" s="33" t="n">
        <v>0</v>
      </c>
      <c r="NF48" s="33" t="n">
        <v>0</v>
      </c>
      <c r="NG48" s="33" t="n">
        <v>0</v>
      </c>
      <c r="NH48" s="33" t="n">
        <v>0</v>
      </c>
      <c r="NI48" s="33" t="n">
        <v>0</v>
      </c>
      <c r="NJ48" s="33" t="n">
        <v>0</v>
      </c>
      <c r="NK48" s="33" t="n">
        <v>0</v>
      </c>
      <c r="NL48" s="33" t="n">
        <v>0</v>
      </c>
      <c r="NM48" s="33" t="n">
        <v>0</v>
      </c>
      <c r="NN48" s="33" t="n">
        <v>0</v>
      </c>
      <c r="NO48" s="33" t="n">
        <v>0</v>
      </c>
      <c r="NP48" s="33" t="n">
        <v>0</v>
      </c>
      <c r="NQ48" s="33" t="n">
        <v>0</v>
      </c>
      <c r="NR48" s="33" t="n">
        <v>0</v>
      </c>
      <c r="NS48" s="33" t="n">
        <v>0</v>
      </c>
      <c r="NT48" s="33" t="n">
        <v>0</v>
      </c>
      <c r="NU48" s="33" t="n">
        <v>0</v>
      </c>
      <c r="NV48" s="33" t="n">
        <v>0</v>
      </c>
      <c r="NW48" s="33" t="n">
        <v>0</v>
      </c>
      <c r="NX48" s="33" t="n">
        <v>0</v>
      </c>
      <c r="NY48" s="33" t="n">
        <v>0</v>
      </c>
      <c r="NZ48" s="33" t="n">
        <v>0</v>
      </c>
      <c r="OA48" s="33" t="n">
        <v>0</v>
      </c>
      <c r="OB48" s="33" t="n">
        <v>0</v>
      </c>
      <c r="OC48" s="33" t="n">
        <v>0</v>
      </c>
      <c r="OD48" s="33" t="n">
        <v>0</v>
      </c>
      <c r="OE48" s="33" t="n">
        <v>0</v>
      </c>
      <c r="OF48" s="33" t="n">
        <v>0</v>
      </c>
      <c r="OG48" s="33" t="n">
        <v>0</v>
      </c>
      <c r="OH48" s="33" t="n">
        <v>0</v>
      </c>
      <c r="OI48" s="33" t="n">
        <v>0</v>
      </c>
      <c r="OJ48" s="33" t="n">
        <v>0</v>
      </c>
      <c r="OK48" s="33" t="n">
        <v>0</v>
      </c>
      <c r="OL48" s="33" t="n">
        <v>0</v>
      </c>
      <c r="OM48" s="33" t="n">
        <v>0</v>
      </c>
      <c r="ON48" s="33" t="n">
        <v>0</v>
      </c>
      <c r="OO48" s="33" t="n">
        <v>0</v>
      </c>
      <c r="OP48" s="33" t="n">
        <v>0</v>
      </c>
      <c r="OQ48" s="33" t="n">
        <v>0</v>
      </c>
      <c r="OR48" s="33" t="n">
        <v>0</v>
      </c>
      <c r="OS48" s="33" t="n">
        <v>0</v>
      </c>
      <c r="OT48" s="33" t="n">
        <v>0</v>
      </c>
      <c r="OU48" s="33" t="n">
        <v>0</v>
      </c>
      <c r="OV48" s="33" t="n">
        <v>0</v>
      </c>
      <c r="OW48" s="33" t="n">
        <v>0</v>
      </c>
      <c r="OX48" s="33" t="n">
        <v>0</v>
      </c>
      <c r="OY48" s="33" t="n">
        <v>0</v>
      </c>
      <c r="OZ48" s="33" t="n">
        <v>0</v>
      </c>
      <c r="PA48" s="33" t="n">
        <v>0</v>
      </c>
      <c r="PB48" s="33" t="n">
        <v>0</v>
      </c>
      <c r="PC48" s="33" t="n">
        <v>0</v>
      </c>
      <c r="PD48" s="33" t="n">
        <v>0</v>
      </c>
      <c r="PE48" s="33" t="n">
        <v>0</v>
      </c>
      <c r="PF48" s="33" t="n">
        <v>0</v>
      </c>
      <c r="PG48" s="33" t="n">
        <v>0</v>
      </c>
      <c r="PH48" s="33" t="n">
        <v>0</v>
      </c>
      <c r="PI48" s="33" t="n">
        <v>0</v>
      </c>
      <c r="PJ48" s="33" t="n">
        <v>0</v>
      </c>
      <c r="PK48" s="33" t="n">
        <v>0</v>
      </c>
      <c r="PL48" s="33" t="n">
        <v>0</v>
      </c>
      <c r="PM48" s="33" t="n">
        <v>0</v>
      </c>
      <c r="PN48" s="33" t="n">
        <v>0</v>
      </c>
      <c r="PO48" s="33" t="n">
        <v>0</v>
      </c>
      <c r="PP48" s="33" t="n">
        <v>0</v>
      </c>
      <c r="PQ48" s="33" t="n">
        <v>0</v>
      </c>
      <c r="PR48" s="33" t="n">
        <v>0</v>
      </c>
      <c r="PS48" s="33" t="n">
        <v>0</v>
      </c>
      <c r="PT48" s="33" t="n">
        <v>0</v>
      </c>
      <c r="PU48" s="33" t="n">
        <v>0</v>
      </c>
      <c r="PV48" s="33" t="n">
        <v>0</v>
      </c>
      <c r="PW48" s="33" t="n">
        <v>0</v>
      </c>
      <c r="PX48" s="33" t="n">
        <v>0</v>
      </c>
      <c r="PY48" s="33" t="n">
        <v>0</v>
      </c>
      <c r="PZ48" s="33" t="n">
        <v>0</v>
      </c>
      <c r="QA48" s="33" t="n">
        <v>0</v>
      </c>
      <c r="QB48" s="33" t="n">
        <v>0</v>
      </c>
      <c r="QC48" s="33" t="n">
        <v>0</v>
      </c>
      <c r="QD48" s="33" t="n">
        <v>0</v>
      </c>
      <c r="QE48" s="33" t="n">
        <v>0</v>
      </c>
      <c r="QF48" s="33" t="n">
        <v>0</v>
      </c>
      <c r="QG48" s="33" t="n">
        <v>0</v>
      </c>
      <c r="QH48" s="33" t="n">
        <v>0</v>
      </c>
      <c r="QI48" s="33" t="n">
        <v>0</v>
      </c>
      <c r="QJ48" s="33" t="n">
        <v>0</v>
      </c>
      <c r="QK48" s="33" t="n">
        <v>0</v>
      </c>
      <c r="QL48" s="33" t="n">
        <v>0</v>
      </c>
      <c r="QM48" s="33" t="n">
        <v>0</v>
      </c>
      <c r="QN48" s="33" t="n">
        <v>0</v>
      </c>
      <c r="QO48" s="33" t="n">
        <v>0</v>
      </c>
      <c r="QP48" s="33" t="n">
        <v>0</v>
      </c>
      <c r="QQ48" s="33" t="n">
        <v>0</v>
      </c>
      <c r="QR48" s="33" t="n">
        <v>0</v>
      </c>
      <c r="QS48" s="33" t="n">
        <v>0</v>
      </c>
      <c r="QT48" s="33" t="n">
        <v>0</v>
      </c>
      <c r="QU48" s="33" t="n">
        <v>0</v>
      </c>
      <c r="QV48" s="33" t="n">
        <v>0</v>
      </c>
      <c r="QW48" s="33" t="n">
        <v>0</v>
      </c>
      <c r="QX48" s="33" t="n">
        <v>0</v>
      </c>
      <c r="QY48" s="33" t="n">
        <v>0</v>
      </c>
      <c r="QZ48" s="33" t="n">
        <v>0</v>
      </c>
      <c r="RA48" s="33" t="n">
        <v>0</v>
      </c>
      <c r="RB48" s="33" t="n">
        <v>0</v>
      </c>
      <c r="RC48" s="33" t="n">
        <v>0</v>
      </c>
      <c r="RD48" s="33" t="n">
        <v>0</v>
      </c>
      <c r="RE48" s="33" t="n">
        <v>0</v>
      </c>
      <c r="RF48" s="33" t="n">
        <v>0</v>
      </c>
      <c r="RG48" s="33" t="n">
        <v>0</v>
      </c>
      <c r="RH48" s="33" t="n">
        <v>0</v>
      </c>
      <c r="RI48" s="33" t="n">
        <v>0</v>
      </c>
      <c r="RJ48" s="33" t="n">
        <v>0</v>
      </c>
      <c r="RK48" s="33" t="n">
        <v>0</v>
      </c>
      <c r="RL48" s="33" t="n">
        <v>0</v>
      </c>
      <c r="RM48" s="33" t="n">
        <v>0</v>
      </c>
      <c r="RN48" s="33" t="n">
        <v>0</v>
      </c>
      <c r="RO48" s="33" t="n">
        <v>0</v>
      </c>
      <c r="RP48" s="33" t="n">
        <v>0</v>
      </c>
      <c r="RQ48" s="33" t="n">
        <v>0</v>
      </c>
      <c r="RR48" s="33" t="n">
        <v>0</v>
      </c>
      <c r="RS48" s="33" t="n">
        <v>0</v>
      </c>
      <c r="RT48" s="33" t="n">
        <v>0</v>
      </c>
      <c r="RU48" s="33" t="n">
        <v>0</v>
      </c>
      <c r="RV48" s="33" t="n">
        <v>0</v>
      </c>
      <c r="RW48" s="33" t="n">
        <v>0</v>
      </c>
    </row>
    <row r="49" hidden="1" outlineLevel="1" ht="13.05" customHeight="1">
      <c r="E49" s="21" t="inlineStr">
        <is>
          <t>GoO Lost Volume</t>
        </is>
      </c>
      <c r="F49" s="29" t="n"/>
      <c r="G49" s="29" t="inlineStr">
        <is>
          <t>MWh</t>
        </is>
      </c>
      <c r="H49" s="29" t="n"/>
      <c r="I49" s="29" t="n"/>
      <c r="J49" s="32" t="n">
        <v>0</v>
      </c>
      <c r="K49" s="29" t="n"/>
      <c r="L49" s="33" t="n">
        <v>0</v>
      </c>
      <c r="M49" s="33" t="n">
        <v>0</v>
      </c>
      <c r="N49" s="33" t="n">
        <v>0</v>
      </c>
      <c r="O49" s="33" t="n">
        <v>0</v>
      </c>
      <c r="P49" s="33" t="n">
        <v>0</v>
      </c>
      <c r="Q49" s="33" t="n">
        <v>0</v>
      </c>
      <c r="R49" s="33" t="n">
        <v>0</v>
      </c>
      <c r="S49" s="33" t="n">
        <v>0</v>
      </c>
      <c r="T49" s="33" t="n">
        <v>0</v>
      </c>
      <c r="U49" s="33" t="n">
        <v>0</v>
      </c>
      <c r="V49" s="33" t="n">
        <v>0</v>
      </c>
      <c r="W49" s="33" t="n">
        <v>0</v>
      </c>
      <c r="X49" s="33" t="n">
        <v>0</v>
      </c>
      <c r="Y49" s="33" t="n">
        <v>0</v>
      </c>
      <c r="Z49" s="33" t="n">
        <v>0</v>
      </c>
      <c r="AA49" s="33" t="n">
        <v>0</v>
      </c>
      <c r="AB49" s="33" t="n">
        <v>0</v>
      </c>
      <c r="AC49" s="33" t="n">
        <v>0</v>
      </c>
      <c r="AD49" s="33" t="n">
        <v>0</v>
      </c>
      <c r="AE49" s="33" t="n">
        <v>0</v>
      </c>
      <c r="AF49" s="33" t="n">
        <v>0</v>
      </c>
      <c r="AG49" s="33" t="n">
        <v>0</v>
      </c>
      <c r="AH49" s="33" t="n">
        <v>0</v>
      </c>
      <c r="AI49" s="33" t="n">
        <v>0</v>
      </c>
      <c r="AJ49" s="33" t="n">
        <v>0</v>
      </c>
      <c r="AK49" s="33" t="n">
        <v>0</v>
      </c>
      <c r="AL49" s="33" t="n">
        <v>0</v>
      </c>
      <c r="AM49" s="33" t="n">
        <v>0</v>
      </c>
      <c r="AN49" s="33" t="n">
        <v>0</v>
      </c>
      <c r="AO49" s="33" t="n">
        <v>0</v>
      </c>
      <c r="AP49" s="33" t="n">
        <v>0</v>
      </c>
      <c r="AQ49" s="33" t="n">
        <v>0</v>
      </c>
      <c r="AR49" s="33" t="n">
        <v>0</v>
      </c>
      <c r="AS49" s="33" t="n">
        <v>0</v>
      </c>
      <c r="AT49" s="33" t="n">
        <v>0</v>
      </c>
      <c r="AU49" s="33" t="n">
        <v>0</v>
      </c>
      <c r="AV49" s="33" t="n">
        <v>0</v>
      </c>
      <c r="AW49" s="33" t="n">
        <v>0</v>
      </c>
      <c r="AX49" s="33" t="n">
        <v>0</v>
      </c>
      <c r="AY49" s="33" t="n">
        <v>0</v>
      </c>
      <c r="AZ49" s="33" t="n">
        <v>0</v>
      </c>
      <c r="BA49" s="33" t="n">
        <v>0</v>
      </c>
      <c r="BB49" s="33" t="n">
        <v>0</v>
      </c>
      <c r="BC49" s="33" t="n">
        <v>0</v>
      </c>
      <c r="BD49" s="33" t="n">
        <v>0</v>
      </c>
      <c r="BE49" s="33" t="n">
        <v>0</v>
      </c>
      <c r="BF49" s="33" t="n">
        <v>0</v>
      </c>
      <c r="BG49" s="33" t="n">
        <v>0</v>
      </c>
      <c r="BH49" s="33" t="n">
        <v>0</v>
      </c>
      <c r="BI49" s="33" t="n">
        <v>0</v>
      </c>
      <c r="BJ49" s="33" t="n">
        <v>0</v>
      </c>
      <c r="BK49" s="33" t="n">
        <v>0</v>
      </c>
      <c r="BL49" s="33" t="n">
        <v>0</v>
      </c>
      <c r="BM49" s="33" t="n">
        <v>0</v>
      </c>
      <c r="BN49" s="33" t="n">
        <v>0</v>
      </c>
      <c r="BO49" s="33" t="n">
        <v>0</v>
      </c>
      <c r="BP49" s="33" t="n">
        <v>0</v>
      </c>
      <c r="BQ49" s="33" t="n">
        <v>0</v>
      </c>
      <c r="BR49" s="33" t="n">
        <v>0</v>
      </c>
      <c r="BS49" s="33" t="n">
        <v>0</v>
      </c>
      <c r="BT49" s="33" t="n">
        <v>0</v>
      </c>
      <c r="BU49" s="33" t="n">
        <v>0</v>
      </c>
      <c r="BV49" s="33" t="n">
        <v>0</v>
      </c>
      <c r="BW49" s="33" t="n">
        <v>0</v>
      </c>
      <c r="BX49" s="33" t="n">
        <v>0</v>
      </c>
      <c r="BY49" s="33" t="n">
        <v>0</v>
      </c>
      <c r="BZ49" s="33" t="n">
        <v>0</v>
      </c>
      <c r="CA49" s="33" t="n">
        <v>0</v>
      </c>
      <c r="CB49" s="33" t="n">
        <v>0</v>
      </c>
      <c r="CC49" s="33" t="n">
        <v>0</v>
      </c>
      <c r="CD49" s="33" t="n">
        <v>0</v>
      </c>
      <c r="CE49" s="33" t="n">
        <v>0</v>
      </c>
      <c r="CF49" s="33" t="n">
        <v>0</v>
      </c>
      <c r="CG49" s="33" t="n">
        <v>0</v>
      </c>
      <c r="CH49" s="33" t="n">
        <v>0</v>
      </c>
      <c r="CI49" s="33" t="n">
        <v>0</v>
      </c>
      <c r="CJ49" s="33" t="n">
        <v>0</v>
      </c>
      <c r="CK49" s="33" t="n">
        <v>0</v>
      </c>
      <c r="CL49" s="33" t="n">
        <v>0</v>
      </c>
      <c r="CM49" s="33" t="n">
        <v>0</v>
      </c>
      <c r="CN49" s="33" t="n">
        <v>0</v>
      </c>
      <c r="CO49" s="33" t="n">
        <v>0</v>
      </c>
      <c r="CP49" s="33" t="n">
        <v>0</v>
      </c>
      <c r="CQ49" s="33" t="n">
        <v>0</v>
      </c>
      <c r="CR49" s="33" t="n">
        <v>0</v>
      </c>
      <c r="CS49" s="33" t="n">
        <v>0</v>
      </c>
      <c r="CT49" s="33" t="n">
        <v>0</v>
      </c>
      <c r="CU49" s="33" t="n">
        <v>0</v>
      </c>
      <c r="CV49" s="33" t="n">
        <v>0</v>
      </c>
      <c r="CW49" s="33" t="n">
        <v>0</v>
      </c>
      <c r="CX49" s="33" t="n">
        <v>0</v>
      </c>
      <c r="CY49" s="33" t="n">
        <v>0</v>
      </c>
      <c r="CZ49" s="33" t="n">
        <v>0</v>
      </c>
      <c r="DA49" s="33" t="n">
        <v>0</v>
      </c>
      <c r="DB49" s="33" t="n">
        <v>0</v>
      </c>
      <c r="DC49" s="33" t="n">
        <v>0</v>
      </c>
      <c r="DD49" s="33" t="n">
        <v>0</v>
      </c>
      <c r="DE49" s="33" t="n">
        <v>0</v>
      </c>
      <c r="DF49" s="33" t="n">
        <v>0</v>
      </c>
      <c r="DG49" s="33" t="n">
        <v>0</v>
      </c>
      <c r="DH49" s="33" t="n">
        <v>0</v>
      </c>
      <c r="DI49" s="33" t="n">
        <v>0</v>
      </c>
      <c r="DJ49" s="33" t="n">
        <v>0</v>
      </c>
      <c r="DK49" s="33" t="n">
        <v>0</v>
      </c>
      <c r="DL49" s="33" t="n">
        <v>0</v>
      </c>
      <c r="DM49" s="33" t="n">
        <v>0</v>
      </c>
      <c r="DN49" s="33" t="n">
        <v>0</v>
      </c>
      <c r="DO49" s="33" t="n">
        <v>0</v>
      </c>
      <c r="DP49" s="33" t="n">
        <v>0</v>
      </c>
      <c r="DQ49" s="33" t="n">
        <v>0</v>
      </c>
      <c r="DR49" s="33" t="n">
        <v>0</v>
      </c>
      <c r="DS49" s="33" t="n">
        <v>0</v>
      </c>
      <c r="DT49" s="33" t="n">
        <v>0</v>
      </c>
      <c r="DU49" s="33" t="n">
        <v>0</v>
      </c>
      <c r="DV49" s="33" t="n">
        <v>0</v>
      </c>
      <c r="DW49" s="33" t="n">
        <v>0</v>
      </c>
      <c r="DX49" s="33" t="n">
        <v>0</v>
      </c>
      <c r="DY49" s="33" t="n">
        <v>0</v>
      </c>
      <c r="DZ49" s="33" t="n">
        <v>0</v>
      </c>
      <c r="EA49" s="33" t="n">
        <v>0</v>
      </c>
      <c r="EB49" s="33" t="n">
        <v>0</v>
      </c>
      <c r="EC49" s="33" t="n">
        <v>0</v>
      </c>
      <c r="ED49" s="33" t="n">
        <v>0</v>
      </c>
      <c r="EE49" s="33" t="n">
        <v>0</v>
      </c>
      <c r="EF49" s="33" t="n">
        <v>0</v>
      </c>
      <c r="EG49" s="33" t="n">
        <v>0</v>
      </c>
      <c r="EH49" s="33" t="n">
        <v>0</v>
      </c>
      <c r="EI49" s="33" t="n">
        <v>0</v>
      </c>
      <c r="EJ49" s="33" t="n">
        <v>0</v>
      </c>
      <c r="EK49" s="33" t="n">
        <v>0</v>
      </c>
      <c r="EL49" s="33" t="n">
        <v>0</v>
      </c>
      <c r="EM49" s="33" t="n">
        <v>0</v>
      </c>
      <c r="EN49" s="33" t="n">
        <v>0</v>
      </c>
      <c r="EO49" s="33" t="n">
        <v>0</v>
      </c>
      <c r="EP49" s="33" t="n">
        <v>0</v>
      </c>
      <c r="EQ49" s="33" t="n">
        <v>0</v>
      </c>
      <c r="ER49" s="33" t="n">
        <v>0</v>
      </c>
      <c r="ES49" s="33" t="n">
        <v>0</v>
      </c>
      <c r="ET49" s="33" t="n">
        <v>0</v>
      </c>
      <c r="EU49" s="33" t="n">
        <v>0</v>
      </c>
      <c r="EV49" s="33" t="n">
        <v>0</v>
      </c>
      <c r="EW49" s="33" t="n">
        <v>0</v>
      </c>
      <c r="EX49" s="33" t="n">
        <v>0</v>
      </c>
      <c r="EY49" s="33" t="n">
        <v>0</v>
      </c>
      <c r="EZ49" s="33" t="n">
        <v>0</v>
      </c>
      <c r="FA49" s="33" t="n">
        <v>0</v>
      </c>
      <c r="FB49" s="33" t="n">
        <v>0</v>
      </c>
      <c r="FC49" s="33" t="n">
        <v>0</v>
      </c>
      <c r="FD49" s="33" t="n">
        <v>0</v>
      </c>
      <c r="FE49" s="33" t="n">
        <v>0</v>
      </c>
      <c r="FF49" s="33" t="n">
        <v>0</v>
      </c>
      <c r="FG49" s="33" t="n">
        <v>0</v>
      </c>
      <c r="FH49" s="33" t="n">
        <v>0</v>
      </c>
      <c r="FI49" s="33" t="n">
        <v>0</v>
      </c>
      <c r="FJ49" s="33" t="n">
        <v>0</v>
      </c>
      <c r="FK49" s="33" t="n">
        <v>0</v>
      </c>
      <c r="FL49" s="33" t="n">
        <v>0</v>
      </c>
      <c r="FM49" s="33" t="n">
        <v>0</v>
      </c>
      <c r="FN49" s="33" t="n">
        <v>0</v>
      </c>
      <c r="FO49" s="33" t="n">
        <v>0</v>
      </c>
      <c r="FP49" s="33" t="n">
        <v>0</v>
      </c>
      <c r="FQ49" s="33" t="n">
        <v>0</v>
      </c>
      <c r="FR49" s="33" t="n">
        <v>0</v>
      </c>
      <c r="FS49" s="33" t="n">
        <v>0</v>
      </c>
      <c r="FT49" s="33" t="n">
        <v>0</v>
      </c>
      <c r="FU49" s="33" t="n">
        <v>0</v>
      </c>
      <c r="FV49" s="33" t="n">
        <v>0</v>
      </c>
      <c r="FW49" s="33" t="n">
        <v>0</v>
      </c>
      <c r="FX49" s="33" t="n">
        <v>0</v>
      </c>
      <c r="FY49" s="33" t="n">
        <v>0</v>
      </c>
      <c r="FZ49" s="33" t="n">
        <v>0</v>
      </c>
      <c r="GA49" s="33" t="n">
        <v>0</v>
      </c>
      <c r="GB49" s="33" t="n">
        <v>0</v>
      </c>
      <c r="GC49" s="33" t="n">
        <v>0</v>
      </c>
      <c r="GD49" s="33" t="n">
        <v>0</v>
      </c>
      <c r="GE49" s="33" t="n">
        <v>0</v>
      </c>
      <c r="GF49" s="33" t="n">
        <v>0</v>
      </c>
      <c r="GG49" s="33" t="n">
        <v>0</v>
      </c>
      <c r="GH49" s="33" t="n">
        <v>0</v>
      </c>
      <c r="GI49" s="33" t="n">
        <v>0</v>
      </c>
      <c r="GJ49" s="33" t="n">
        <v>0</v>
      </c>
      <c r="GK49" s="33" t="n">
        <v>0</v>
      </c>
      <c r="GL49" s="33" t="n">
        <v>0</v>
      </c>
      <c r="GM49" s="33" t="n">
        <v>0</v>
      </c>
      <c r="GN49" s="33" t="n">
        <v>0</v>
      </c>
      <c r="GO49" s="33" t="n">
        <v>0</v>
      </c>
      <c r="GP49" s="33" t="n">
        <v>0</v>
      </c>
      <c r="GQ49" s="33" t="n">
        <v>0</v>
      </c>
      <c r="GR49" s="33" t="n">
        <v>0</v>
      </c>
      <c r="GS49" s="33" t="n">
        <v>0</v>
      </c>
      <c r="GT49" s="33" t="n">
        <v>0</v>
      </c>
      <c r="GU49" s="33" t="n">
        <v>0</v>
      </c>
      <c r="GV49" s="33" t="n">
        <v>0</v>
      </c>
      <c r="GW49" s="33" t="n">
        <v>0</v>
      </c>
      <c r="GX49" s="33" t="n">
        <v>0</v>
      </c>
      <c r="GY49" s="33" t="n">
        <v>0</v>
      </c>
      <c r="GZ49" s="33" t="n">
        <v>0</v>
      </c>
      <c r="HA49" s="33" t="n">
        <v>0</v>
      </c>
      <c r="HB49" s="33" t="n">
        <v>0</v>
      </c>
      <c r="HC49" s="33" t="n">
        <v>0</v>
      </c>
      <c r="HD49" s="33" t="n">
        <v>0</v>
      </c>
      <c r="HE49" s="33" t="n">
        <v>0</v>
      </c>
      <c r="HF49" s="33" t="n">
        <v>0</v>
      </c>
      <c r="HG49" s="33" t="n">
        <v>0</v>
      </c>
      <c r="HH49" s="33" t="n">
        <v>0</v>
      </c>
      <c r="HI49" s="33" t="n">
        <v>0</v>
      </c>
      <c r="HJ49" s="33" t="n">
        <v>0</v>
      </c>
      <c r="HK49" s="33" t="n">
        <v>0</v>
      </c>
      <c r="HL49" s="33" t="n">
        <v>0</v>
      </c>
      <c r="HM49" s="33" t="n">
        <v>0</v>
      </c>
      <c r="HN49" s="33" t="n">
        <v>0</v>
      </c>
      <c r="HO49" s="33" t="n">
        <v>0</v>
      </c>
      <c r="HP49" s="33" t="n">
        <v>0</v>
      </c>
      <c r="HQ49" s="33" t="n">
        <v>0</v>
      </c>
      <c r="HR49" s="33" t="n">
        <v>0</v>
      </c>
      <c r="HS49" s="33" t="n">
        <v>0</v>
      </c>
      <c r="HT49" s="33" t="n">
        <v>0</v>
      </c>
      <c r="HU49" s="33" t="n">
        <v>0</v>
      </c>
      <c r="HV49" s="33" t="n">
        <v>0</v>
      </c>
      <c r="HW49" s="33" t="n">
        <v>0</v>
      </c>
      <c r="HX49" s="33" t="n">
        <v>0</v>
      </c>
      <c r="HY49" s="33" t="n">
        <v>0</v>
      </c>
      <c r="HZ49" s="33" t="n">
        <v>0</v>
      </c>
      <c r="IA49" s="33" t="n">
        <v>0</v>
      </c>
      <c r="IB49" s="33" t="n">
        <v>0</v>
      </c>
      <c r="IC49" s="33" t="n">
        <v>0</v>
      </c>
      <c r="ID49" s="33" t="n">
        <v>0</v>
      </c>
      <c r="IE49" s="33" t="n">
        <v>0</v>
      </c>
      <c r="IF49" s="33" t="n">
        <v>0</v>
      </c>
      <c r="IG49" s="33" t="n">
        <v>0</v>
      </c>
      <c r="IH49" s="33" t="n">
        <v>0</v>
      </c>
      <c r="II49" s="33" t="n">
        <v>0</v>
      </c>
      <c r="IJ49" s="33" t="n">
        <v>0</v>
      </c>
      <c r="IK49" s="33" t="n">
        <v>0</v>
      </c>
      <c r="IL49" s="33" t="n">
        <v>0</v>
      </c>
      <c r="IM49" s="33" t="n">
        <v>0</v>
      </c>
      <c r="IN49" s="33" t="n">
        <v>0</v>
      </c>
      <c r="IO49" s="33" t="n">
        <v>0</v>
      </c>
      <c r="IP49" s="33" t="n">
        <v>0</v>
      </c>
      <c r="IQ49" s="33" t="n">
        <v>0</v>
      </c>
      <c r="IR49" s="33" t="n">
        <v>0</v>
      </c>
      <c r="IS49" s="33" t="n">
        <v>0</v>
      </c>
      <c r="IT49" s="33" t="n">
        <v>0</v>
      </c>
      <c r="IU49" s="33" t="n">
        <v>0</v>
      </c>
      <c r="IV49" s="33" t="n">
        <v>0</v>
      </c>
      <c r="IW49" s="33" t="n">
        <v>0</v>
      </c>
      <c r="IX49" s="33" t="n">
        <v>0</v>
      </c>
      <c r="IY49" s="33" t="n">
        <v>0</v>
      </c>
      <c r="IZ49" s="33" t="n">
        <v>0</v>
      </c>
      <c r="JA49" s="33" t="n">
        <v>0</v>
      </c>
      <c r="JB49" s="33" t="n">
        <v>0</v>
      </c>
      <c r="JC49" s="33" t="n">
        <v>0</v>
      </c>
      <c r="JD49" s="33" t="n">
        <v>0</v>
      </c>
      <c r="JE49" s="33" t="n">
        <v>0</v>
      </c>
      <c r="JF49" s="33" t="n">
        <v>0</v>
      </c>
      <c r="JG49" s="33" t="n">
        <v>0</v>
      </c>
      <c r="JH49" s="33" t="n">
        <v>0</v>
      </c>
      <c r="JI49" s="33" t="n">
        <v>0</v>
      </c>
      <c r="JJ49" s="33" t="n">
        <v>0</v>
      </c>
      <c r="JK49" s="33" t="n">
        <v>0</v>
      </c>
      <c r="JL49" s="33" t="n">
        <v>0</v>
      </c>
      <c r="JM49" s="33" t="n">
        <v>0</v>
      </c>
      <c r="JN49" s="33" t="n">
        <v>0</v>
      </c>
      <c r="JO49" s="33" t="n">
        <v>0</v>
      </c>
      <c r="JP49" s="33" t="n">
        <v>0</v>
      </c>
      <c r="JQ49" s="33" t="n">
        <v>0</v>
      </c>
      <c r="JR49" s="33" t="n">
        <v>0</v>
      </c>
      <c r="JS49" s="33" t="n">
        <v>0</v>
      </c>
      <c r="JT49" s="33" t="n">
        <v>0</v>
      </c>
      <c r="JU49" s="33" t="n">
        <v>0</v>
      </c>
      <c r="JV49" s="33" t="n">
        <v>0</v>
      </c>
      <c r="JW49" s="33" t="n">
        <v>0</v>
      </c>
      <c r="JX49" s="33" t="n">
        <v>0</v>
      </c>
      <c r="JY49" s="33" t="n">
        <v>0</v>
      </c>
      <c r="JZ49" s="33" t="n">
        <v>0</v>
      </c>
      <c r="KA49" s="33" t="n">
        <v>0</v>
      </c>
      <c r="KB49" s="33" t="n">
        <v>0</v>
      </c>
      <c r="KC49" s="33" t="n">
        <v>0</v>
      </c>
      <c r="KD49" s="33" t="n">
        <v>0</v>
      </c>
      <c r="KE49" s="33" t="n">
        <v>0</v>
      </c>
      <c r="KF49" s="33" t="n">
        <v>0</v>
      </c>
      <c r="KG49" s="33" t="n">
        <v>0</v>
      </c>
      <c r="KH49" s="33" t="n">
        <v>0</v>
      </c>
      <c r="KI49" s="33" t="n">
        <v>0</v>
      </c>
      <c r="KJ49" s="33" t="n">
        <v>0</v>
      </c>
      <c r="KK49" s="33" t="n">
        <v>0</v>
      </c>
      <c r="KL49" s="33" t="n">
        <v>0</v>
      </c>
      <c r="KM49" s="33" t="n">
        <v>0</v>
      </c>
      <c r="KN49" s="33" t="n">
        <v>0</v>
      </c>
      <c r="KO49" s="33" t="n">
        <v>0</v>
      </c>
      <c r="KP49" s="33" t="n">
        <v>0</v>
      </c>
      <c r="KQ49" s="33" t="n">
        <v>0</v>
      </c>
      <c r="KR49" s="33" t="n">
        <v>0</v>
      </c>
      <c r="KS49" s="33" t="n">
        <v>0</v>
      </c>
      <c r="KT49" s="33" t="n">
        <v>0</v>
      </c>
      <c r="KU49" s="33" t="n">
        <v>0</v>
      </c>
      <c r="KV49" s="33" t="n">
        <v>0</v>
      </c>
      <c r="KW49" s="33" t="n">
        <v>0</v>
      </c>
      <c r="KX49" s="33" t="n">
        <v>0</v>
      </c>
      <c r="KY49" s="33" t="n">
        <v>0</v>
      </c>
      <c r="KZ49" s="33" t="n">
        <v>0</v>
      </c>
      <c r="LA49" s="33" t="n">
        <v>0</v>
      </c>
      <c r="LB49" s="33" t="n">
        <v>0</v>
      </c>
      <c r="LC49" s="33" t="n">
        <v>0</v>
      </c>
      <c r="LD49" s="33" t="n">
        <v>0</v>
      </c>
      <c r="LE49" s="33" t="n">
        <v>0</v>
      </c>
      <c r="LF49" s="33" t="n">
        <v>0</v>
      </c>
      <c r="LG49" s="33" t="n">
        <v>0</v>
      </c>
      <c r="LH49" s="33" t="n">
        <v>0</v>
      </c>
      <c r="LI49" s="33" t="n">
        <v>0</v>
      </c>
      <c r="LJ49" s="33" t="n">
        <v>0</v>
      </c>
      <c r="LK49" s="33" t="n">
        <v>0</v>
      </c>
      <c r="LL49" s="33" t="n">
        <v>0</v>
      </c>
      <c r="LM49" s="33" t="n">
        <v>0</v>
      </c>
      <c r="LN49" s="33" t="n">
        <v>0</v>
      </c>
      <c r="LO49" s="33" t="n">
        <v>0</v>
      </c>
      <c r="LP49" s="33" t="n">
        <v>0</v>
      </c>
      <c r="LQ49" s="33" t="n">
        <v>0</v>
      </c>
      <c r="LR49" s="33" t="n">
        <v>0</v>
      </c>
      <c r="LS49" s="33" t="n">
        <v>0</v>
      </c>
      <c r="LT49" s="33" t="n">
        <v>0</v>
      </c>
      <c r="LU49" s="33" t="n">
        <v>0</v>
      </c>
      <c r="LV49" s="33" t="n">
        <v>0</v>
      </c>
      <c r="LW49" s="33" t="n">
        <v>0</v>
      </c>
      <c r="LX49" s="33" t="n">
        <v>0</v>
      </c>
      <c r="LY49" s="33" t="n">
        <v>0</v>
      </c>
      <c r="LZ49" s="33" t="n">
        <v>0</v>
      </c>
      <c r="MA49" s="33" t="n">
        <v>0</v>
      </c>
      <c r="MB49" s="33" t="n">
        <v>0</v>
      </c>
      <c r="MC49" s="33" t="n">
        <v>0</v>
      </c>
      <c r="MD49" s="33" t="n">
        <v>0</v>
      </c>
      <c r="ME49" s="33" t="n">
        <v>0</v>
      </c>
      <c r="MF49" s="33" t="n">
        <v>0</v>
      </c>
      <c r="MG49" s="33" t="n">
        <v>0</v>
      </c>
      <c r="MH49" s="33" t="n">
        <v>0</v>
      </c>
      <c r="MI49" s="33" t="n">
        <v>0</v>
      </c>
      <c r="MJ49" s="33" t="n">
        <v>0</v>
      </c>
      <c r="MK49" s="33" t="n">
        <v>0</v>
      </c>
      <c r="ML49" s="33" t="n">
        <v>0</v>
      </c>
      <c r="MM49" s="33" t="n">
        <v>0</v>
      </c>
      <c r="MN49" s="33" t="n">
        <v>0</v>
      </c>
      <c r="MO49" s="33" t="n">
        <v>0</v>
      </c>
      <c r="MP49" s="33" t="n">
        <v>0</v>
      </c>
      <c r="MQ49" s="33" t="n">
        <v>0</v>
      </c>
      <c r="MR49" s="33" t="n">
        <v>0</v>
      </c>
      <c r="MS49" s="33" t="n">
        <v>0</v>
      </c>
      <c r="MT49" s="33" t="n">
        <v>0</v>
      </c>
      <c r="MU49" s="33" t="n">
        <v>0</v>
      </c>
      <c r="MV49" s="33" t="n">
        <v>0</v>
      </c>
      <c r="MW49" s="33" t="n">
        <v>0</v>
      </c>
      <c r="MX49" s="33" t="n">
        <v>0</v>
      </c>
      <c r="MY49" s="33" t="n">
        <v>0</v>
      </c>
      <c r="MZ49" s="33" t="n">
        <v>0</v>
      </c>
      <c r="NA49" s="33" t="n">
        <v>0</v>
      </c>
      <c r="NB49" s="33" t="n">
        <v>0</v>
      </c>
      <c r="NC49" s="33" t="n">
        <v>0</v>
      </c>
      <c r="ND49" s="33" t="n">
        <v>0</v>
      </c>
      <c r="NE49" s="33" t="n">
        <v>0</v>
      </c>
      <c r="NF49" s="33" t="n">
        <v>0</v>
      </c>
      <c r="NG49" s="33" t="n">
        <v>0</v>
      </c>
      <c r="NH49" s="33" t="n">
        <v>0</v>
      </c>
      <c r="NI49" s="33" t="n">
        <v>0</v>
      </c>
      <c r="NJ49" s="33" t="n">
        <v>0</v>
      </c>
      <c r="NK49" s="33" t="n">
        <v>0</v>
      </c>
      <c r="NL49" s="33" t="n">
        <v>0</v>
      </c>
      <c r="NM49" s="33" t="n">
        <v>0</v>
      </c>
      <c r="NN49" s="33" t="n">
        <v>0</v>
      </c>
      <c r="NO49" s="33" t="n">
        <v>0</v>
      </c>
      <c r="NP49" s="33" t="n">
        <v>0</v>
      </c>
      <c r="NQ49" s="33" t="n">
        <v>0</v>
      </c>
      <c r="NR49" s="33" t="n">
        <v>0</v>
      </c>
      <c r="NS49" s="33" t="n">
        <v>0</v>
      </c>
      <c r="NT49" s="33" t="n">
        <v>0</v>
      </c>
      <c r="NU49" s="33" t="n">
        <v>0</v>
      </c>
      <c r="NV49" s="33" t="n">
        <v>0</v>
      </c>
      <c r="NW49" s="33" t="n">
        <v>0</v>
      </c>
      <c r="NX49" s="33" t="n">
        <v>0</v>
      </c>
      <c r="NY49" s="33" t="n">
        <v>0</v>
      </c>
      <c r="NZ49" s="33" t="n">
        <v>0</v>
      </c>
      <c r="OA49" s="33" t="n">
        <v>0</v>
      </c>
      <c r="OB49" s="33" t="n">
        <v>0</v>
      </c>
      <c r="OC49" s="33" t="n">
        <v>0</v>
      </c>
      <c r="OD49" s="33" t="n">
        <v>0</v>
      </c>
      <c r="OE49" s="33" t="n">
        <v>0</v>
      </c>
      <c r="OF49" s="33" t="n">
        <v>0</v>
      </c>
      <c r="OG49" s="33" t="n">
        <v>0</v>
      </c>
      <c r="OH49" s="33" t="n">
        <v>0</v>
      </c>
      <c r="OI49" s="33" t="n">
        <v>0</v>
      </c>
      <c r="OJ49" s="33" t="n">
        <v>0</v>
      </c>
      <c r="OK49" s="33" t="n">
        <v>0</v>
      </c>
      <c r="OL49" s="33" t="n">
        <v>0</v>
      </c>
      <c r="OM49" s="33" t="n">
        <v>0</v>
      </c>
      <c r="ON49" s="33" t="n">
        <v>0</v>
      </c>
      <c r="OO49" s="33" t="n">
        <v>0</v>
      </c>
      <c r="OP49" s="33" t="n">
        <v>0</v>
      </c>
      <c r="OQ49" s="33" t="n">
        <v>0</v>
      </c>
      <c r="OR49" s="33" t="n">
        <v>0</v>
      </c>
      <c r="OS49" s="33" t="n">
        <v>0</v>
      </c>
      <c r="OT49" s="33" t="n">
        <v>0</v>
      </c>
      <c r="OU49" s="33" t="n">
        <v>0</v>
      </c>
      <c r="OV49" s="33" t="n">
        <v>0</v>
      </c>
      <c r="OW49" s="33" t="n">
        <v>0</v>
      </c>
      <c r="OX49" s="33" t="n">
        <v>0</v>
      </c>
      <c r="OY49" s="33" t="n">
        <v>0</v>
      </c>
      <c r="OZ49" s="33" t="n">
        <v>0</v>
      </c>
      <c r="PA49" s="33" t="n">
        <v>0</v>
      </c>
      <c r="PB49" s="33" t="n">
        <v>0</v>
      </c>
      <c r="PC49" s="33" t="n">
        <v>0</v>
      </c>
      <c r="PD49" s="33" t="n">
        <v>0</v>
      </c>
      <c r="PE49" s="33" t="n">
        <v>0</v>
      </c>
      <c r="PF49" s="33" t="n">
        <v>0</v>
      </c>
      <c r="PG49" s="33" t="n">
        <v>0</v>
      </c>
      <c r="PH49" s="33" t="n">
        <v>0</v>
      </c>
      <c r="PI49" s="33" t="n">
        <v>0</v>
      </c>
      <c r="PJ49" s="33" t="n">
        <v>0</v>
      </c>
      <c r="PK49" s="33" t="n">
        <v>0</v>
      </c>
      <c r="PL49" s="33" t="n">
        <v>0</v>
      </c>
      <c r="PM49" s="33" t="n">
        <v>0</v>
      </c>
      <c r="PN49" s="33" t="n">
        <v>0</v>
      </c>
      <c r="PO49" s="33" t="n">
        <v>0</v>
      </c>
      <c r="PP49" s="33" t="n">
        <v>0</v>
      </c>
      <c r="PQ49" s="33" t="n">
        <v>0</v>
      </c>
      <c r="PR49" s="33" t="n">
        <v>0</v>
      </c>
      <c r="PS49" s="33" t="n">
        <v>0</v>
      </c>
      <c r="PT49" s="33" t="n">
        <v>0</v>
      </c>
      <c r="PU49" s="33" t="n">
        <v>0</v>
      </c>
      <c r="PV49" s="33" t="n">
        <v>0</v>
      </c>
      <c r="PW49" s="33" t="n">
        <v>0</v>
      </c>
      <c r="PX49" s="33" t="n">
        <v>0</v>
      </c>
      <c r="PY49" s="33" t="n">
        <v>0</v>
      </c>
      <c r="PZ49" s="33" t="n">
        <v>0</v>
      </c>
      <c r="QA49" s="33" t="n">
        <v>0</v>
      </c>
      <c r="QB49" s="33" t="n">
        <v>0</v>
      </c>
      <c r="QC49" s="33" t="n">
        <v>0</v>
      </c>
      <c r="QD49" s="33" t="n">
        <v>0</v>
      </c>
      <c r="QE49" s="33" t="n">
        <v>0</v>
      </c>
      <c r="QF49" s="33" t="n">
        <v>0</v>
      </c>
      <c r="QG49" s="33" t="n">
        <v>0</v>
      </c>
      <c r="QH49" s="33" t="n">
        <v>0</v>
      </c>
      <c r="QI49" s="33" t="n">
        <v>0</v>
      </c>
      <c r="QJ49" s="33" t="n">
        <v>0</v>
      </c>
      <c r="QK49" s="33" t="n">
        <v>0</v>
      </c>
      <c r="QL49" s="33" t="n">
        <v>0</v>
      </c>
      <c r="QM49" s="33" t="n">
        <v>0</v>
      </c>
      <c r="QN49" s="33" t="n">
        <v>0</v>
      </c>
      <c r="QO49" s="33" t="n">
        <v>0</v>
      </c>
      <c r="QP49" s="33" t="n">
        <v>0</v>
      </c>
      <c r="QQ49" s="33" t="n">
        <v>0</v>
      </c>
      <c r="QR49" s="33" t="n">
        <v>0</v>
      </c>
      <c r="QS49" s="33" t="n">
        <v>0</v>
      </c>
      <c r="QT49" s="33" t="n">
        <v>0</v>
      </c>
      <c r="QU49" s="33" t="n">
        <v>0</v>
      </c>
      <c r="QV49" s="33" t="n">
        <v>0</v>
      </c>
      <c r="QW49" s="33" t="n">
        <v>0</v>
      </c>
      <c r="QX49" s="33" t="n">
        <v>0</v>
      </c>
      <c r="QY49" s="33" t="n">
        <v>0</v>
      </c>
      <c r="QZ49" s="33" t="n">
        <v>0</v>
      </c>
      <c r="RA49" s="33" t="n">
        <v>0</v>
      </c>
      <c r="RB49" s="33" t="n">
        <v>0</v>
      </c>
      <c r="RC49" s="33" t="n">
        <v>0</v>
      </c>
      <c r="RD49" s="33" t="n">
        <v>0</v>
      </c>
      <c r="RE49" s="33" t="n">
        <v>0</v>
      </c>
      <c r="RF49" s="33" t="n">
        <v>0</v>
      </c>
      <c r="RG49" s="33" t="n">
        <v>0</v>
      </c>
      <c r="RH49" s="33" t="n">
        <v>0</v>
      </c>
      <c r="RI49" s="33" t="n">
        <v>0</v>
      </c>
      <c r="RJ49" s="33" t="n">
        <v>0</v>
      </c>
      <c r="RK49" s="33" t="n">
        <v>0</v>
      </c>
      <c r="RL49" s="33" t="n">
        <v>0</v>
      </c>
      <c r="RM49" s="33" t="n">
        <v>0</v>
      </c>
      <c r="RN49" s="33" t="n">
        <v>0</v>
      </c>
      <c r="RO49" s="33" t="n">
        <v>0</v>
      </c>
      <c r="RP49" s="33" t="n">
        <v>0</v>
      </c>
      <c r="RQ49" s="33" t="n">
        <v>0</v>
      </c>
      <c r="RR49" s="33" t="n">
        <v>0</v>
      </c>
      <c r="RS49" s="33" t="n">
        <v>0</v>
      </c>
      <c r="RT49" s="33" t="n">
        <v>0</v>
      </c>
      <c r="RU49" s="33" t="n">
        <v>0</v>
      </c>
      <c r="RV49" s="33" t="n">
        <v>0</v>
      </c>
      <c r="RW49" s="33" t="n">
        <v>0</v>
      </c>
    </row>
    <row r="50" hidden="1" outlineLevel="1" ht="13.05" customHeight="1">
      <c r="E50" s="21" t="inlineStr">
        <is>
          <t>GoO Revenue Lost</t>
        </is>
      </c>
      <c r="F50" s="29" t="n"/>
      <c r="G50" s="29" t="inlineStr">
        <is>
          <t>kEUR</t>
        </is>
      </c>
      <c r="H50" s="29" t="n"/>
      <c r="I50" s="29" t="n"/>
      <c r="J50" s="32" t="n">
        <v>0</v>
      </c>
      <c r="K50" s="29" t="n"/>
      <c r="L50" s="33" t="n">
        <v>0</v>
      </c>
      <c r="M50" s="33" t="n">
        <v>0</v>
      </c>
      <c r="N50" s="33" t="n">
        <v>0</v>
      </c>
      <c r="O50" s="33" t="n">
        <v>0</v>
      </c>
      <c r="P50" s="33" t="n">
        <v>0</v>
      </c>
      <c r="Q50" s="33" t="n">
        <v>0</v>
      </c>
      <c r="R50" s="33" t="n">
        <v>0</v>
      </c>
      <c r="S50" s="33" t="n">
        <v>0</v>
      </c>
      <c r="T50" s="33" t="n">
        <v>0</v>
      </c>
      <c r="U50" s="33" t="n">
        <v>0</v>
      </c>
      <c r="V50" s="33" t="n">
        <v>0</v>
      </c>
      <c r="W50" s="33" t="n">
        <v>0</v>
      </c>
      <c r="X50" s="33" t="n">
        <v>0</v>
      </c>
      <c r="Y50" s="33" t="n">
        <v>0</v>
      </c>
      <c r="Z50" s="33" t="n">
        <v>0</v>
      </c>
      <c r="AA50" s="33" t="n">
        <v>0</v>
      </c>
      <c r="AB50" s="33" t="n">
        <v>0</v>
      </c>
      <c r="AC50" s="33" t="n">
        <v>0</v>
      </c>
      <c r="AD50" s="33" t="n">
        <v>0</v>
      </c>
      <c r="AE50" s="33" t="n">
        <v>0</v>
      </c>
      <c r="AF50" s="33" t="n">
        <v>0</v>
      </c>
      <c r="AG50" s="33" t="n">
        <v>0</v>
      </c>
      <c r="AH50" s="33" t="n">
        <v>0</v>
      </c>
      <c r="AI50" s="33" t="n">
        <v>0</v>
      </c>
      <c r="AJ50" s="33" t="n">
        <v>0</v>
      </c>
      <c r="AK50" s="33" t="n">
        <v>0</v>
      </c>
      <c r="AL50" s="33" t="n">
        <v>0</v>
      </c>
      <c r="AM50" s="33" t="n">
        <v>0</v>
      </c>
      <c r="AN50" s="33" t="n">
        <v>0</v>
      </c>
      <c r="AO50" s="33" t="n">
        <v>0</v>
      </c>
      <c r="AP50" s="33" t="n">
        <v>0</v>
      </c>
      <c r="AQ50" s="33" t="n">
        <v>0</v>
      </c>
      <c r="AR50" s="33" t="n">
        <v>0</v>
      </c>
      <c r="AS50" s="33" t="n">
        <v>0</v>
      </c>
      <c r="AT50" s="33" t="n">
        <v>0</v>
      </c>
      <c r="AU50" s="33" t="n">
        <v>0</v>
      </c>
      <c r="AV50" s="33" t="n">
        <v>0</v>
      </c>
      <c r="AW50" s="33" t="n">
        <v>0</v>
      </c>
      <c r="AX50" s="33" t="n">
        <v>0</v>
      </c>
      <c r="AY50" s="33" t="n">
        <v>0</v>
      </c>
      <c r="AZ50" s="33" t="n">
        <v>0</v>
      </c>
      <c r="BA50" s="33" t="n">
        <v>0</v>
      </c>
      <c r="BB50" s="33" t="n">
        <v>0</v>
      </c>
      <c r="BC50" s="33" t="n">
        <v>0</v>
      </c>
      <c r="BD50" s="33" t="n">
        <v>0</v>
      </c>
      <c r="BE50" s="33" t="n">
        <v>0</v>
      </c>
      <c r="BF50" s="33" t="n">
        <v>0</v>
      </c>
      <c r="BG50" s="33" t="n">
        <v>0</v>
      </c>
      <c r="BH50" s="33" t="n">
        <v>0</v>
      </c>
      <c r="BI50" s="33" t="n">
        <v>0</v>
      </c>
      <c r="BJ50" s="33" t="n">
        <v>0</v>
      </c>
      <c r="BK50" s="33" t="n">
        <v>0</v>
      </c>
      <c r="BL50" s="33" t="n">
        <v>0</v>
      </c>
      <c r="BM50" s="33" t="n">
        <v>0</v>
      </c>
      <c r="BN50" s="33" t="n">
        <v>0</v>
      </c>
      <c r="BO50" s="33" t="n">
        <v>0</v>
      </c>
      <c r="BP50" s="33" t="n">
        <v>0</v>
      </c>
      <c r="BQ50" s="33" t="n">
        <v>0</v>
      </c>
      <c r="BR50" s="33" t="n">
        <v>0</v>
      </c>
      <c r="BS50" s="33" t="n">
        <v>0</v>
      </c>
      <c r="BT50" s="33" t="n">
        <v>0</v>
      </c>
      <c r="BU50" s="33" t="n">
        <v>0</v>
      </c>
      <c r="BV50" s="33" t="n">
        <v>0</v>
      </c>
      <c r="BW50" s="33" t="n">
        <v>0</v>
      </c>
      <c r="BX50" s="33" t="n">
        <v>0</v>
      </c>
      <c r="BY50" s="33" t="n">
        <v>0</v>
      </c>
      <c r="BZ50" s="33" t="n">
        <v>0</v>
      </c>
      <c r="CA50" s="33" t="n">
        <v>0</v>
      </c>
      <c r="CB50" s="33" t="n">
        <v>0</v>
      </c>
      <c r="CC50" s="33" t="n">
        <v>0</v>
      </c>
      <c r="CD50" s="33" t="n">
        <v>0</v>
      </c>
      <c r="CE50" s="33" t="n">
        <v>0</v>
      </c>
      <c r="CF50" s="33" t="n">
        <v>0</v>
      </c>
      <c r="CG50" s="33" t="n">
        <v>0</v>
      </c>
      <c r="CH50" s="33" t="n">
        <v>0</v>
      </c>
      <c r="CI50" s="33" t="n">
        <v>0</v>
      </c>
      <c r="CJ50" s="33" t="n">
        <v>0</v>
      </c>
      <c r="CK50" s="33" t="n">
        <v>0</v>
      </c>
      <c r="CL50" s="33" t="n">
        <v>0</v>
      </c>
      <c r="CM50" s="33" t="n">
        <v>0</v>
      </c>
      <c r="CN50" s="33" t="n">
        <v>0</v>
      </c>
      <c r="CO50" s="33" t="n">
        <v>0</v>
      </c>
      <c r="CP50" s="33" t="n">
        <v>0</v>
      </c>
      <c r="CQ50" s="33" t="n">
        <v>0</v>
      </c>
      <c r="CR50" s="33" t="n">
        <v>0</v>
      </c>
      <c r="CS50" s="33" t="n">
        <v>0</v>
      </c>
      <c r="CT50" s="33" t="n">
        <v>0</v>
      </c>
      <c r="CU50" s="33" t="n">
        <v>0</v>
      </c>
      <c r="CV50" s="33" t="n">
        <v>0</v>
      </c>
      <c r="CW50" s="33" t="n">
        <v>0</v>
      </c>
      <c r="CX50" s="33" t="n">
        <v>0</v>
      </c>
      <c r="CY50" s="33" t="n">
        <v>0</v>
      </c>
      <c r="CZ50" s="33" t="n">
        <v>0</v>
      </c>
      <c r="DA50" s="33" t="n">
        <v>0</v>
      </c>
      <c r="DB50" s="33" t="n">
        <v>0</v>
      </c>
      <c r="DC50" s="33" t="n">
        <v>0</v>
      </c>
      <c r="DD50" s="33" t="n">
        <v>0</v>
      </c>
      <c r="DE50" s="33" t="n">
        <v>0</v>
      </c>
      <c r="DF50" s="33" t="n">
        <v>0</v>
      </c>
      <c r="DG50" s="33" t="n">
        <v>0</v>
      </c>
      <c r="DH50" s="33" t="n">
        <v>0</v>
      </c>
      <c r="DI50" s="33" t="n">
        <v>0</v>
      </c>
      <c r="DJ50" s="33" t="n">
        <v>0</v>
      </c>
      <c r="DK50" s="33" t="n">
        <v>0</v>
      </c>
      <c r="DL50" s="33" t="n">
        <v>0</v>
      </c>
      <c r="DM50" s="33" t="n">
        <v>0</v>
      </c>
      <c r="DN50" s="33" t="n">
        <v>0</v>
      </c>
      <c r="DO50" s="33" t="n">
        <v>0</v>
      </c>
      <c r="DP50" s="33" t="n">
        <v>0</v>
      </c>
      <c r="DQ50" s="33" t="n">
        <v>0</v>
      </c>
      <c r="DR50" s="33" t="n">
        <v>0</v>
      </c>
      <c r="DS50" s="33" t="n">
        <v>0</v>
      </c>
      <c r="DT50" s="33" t="n">
        <v>0</v>
      </c>
      <c r="DU50" s="33" t="n">
        <v>0</v>
      </c>
      <c r="DV50" s="33" t="n">
        <v>0</v>
      </c>
      <c r="DW50" s="33" t="n">
        <v>0</v>
      </c>
      <c r="DX50" s="33" t="n">
        <v>0</v>
      </c>
      <c r="DY50" s="33" t="n">
        <v>0</v>
      </c>
      <c r="DZ50" s="33" t="n">
        <v>0</v>
      </c>
      <c r="EA50" s="33" t="n">
        <v>0</v>
      </c>
      <c r="EB50" s="33" t="n">
        <v>0</v>
      </c>
      <c r="EC50" s="33" t="n">
        <v>0</v>
      </c>
      <c r="ED50" s="33" t="n">
        <v>0</v>
      </c>
      <c r="EE50" s="33" t="n">
        <v>0</v>
      </c>
      <c r="EF50" s="33" t="n">
        <v>0</v>
      </c>
      <c r="EG50" s="33" t="n">
        <v>0</v>
      </c>
      <c r="EH50" s="33" t="n">
        <v>0</v>
      </c>
      <c r="EI50" s="33" t="n">
        <v>0</v>
      </c>
      <c r="EJ50" s="33" t="n">
        <v>0</v>
      </c>
      <c r="EK50" s="33" t="n">
        <v>0</v>
      </c>
      <c r="EL50" s="33" t="n">
        <v>0</v>
      </c>
      <c r="EM50" s="33" t="n">
        <v>0</v>
      </c>
      <c r="EN50" s="33" t="n">
        <v>0</v>
      </c>
      <c r="EO50" s="33" t="n">
        <v>0</v>
      </c>
      <c r="EP50" s="33" t="n">
        <v>0</v>
      </c>
      <c r="EQ50" s="33" t="n">
        <v>0</v>
      </c>
      <c r="ER50" s="33" t="n">
        <v>0</v>
      </c>
      <c r="ES50" s="33" t="n">
        <v>0</v>
      </c>
      <c r="ET50" s="33" t="n">
        <v>0</v>
      </c>
      <c r="EU50" s="33" t="n">
        <v>0</v>
      </c>
      <c r="EV50" s="33" t="n">
        <v>0</v>
      </c>
      <c r="EW50" s="33" t="n">
        <v>0</v>
      </c>
      <c r="EX50" s="33" t="n">
        <v>0</v>
      </c>
      <c r="EY50" s="33" t="n">
        <v>0</v>
      </c>
      <c r="EZ50" s="33" t="n">
        <v>0</v>
      </c>
      <c r="FA50" s="33" t="n">
        <v>0</v>
      </c>
      <c r="FB50" s="33" t="n">
        <v>0</v>
      </c>
      <c r="FC50" s="33" t="n">
        <v>0</v>
      </c>
      <c r="FD50" s="33" t="n">
        <v>0</v>
      </c>
      <c r="FE50" s="33" t="n">
        <v>0</v>
      </c>
      <c r="FF50" s="33" t="n">
        <v>0</v>
      </c>
      <c r="FG50" s="33" t="n">
        <v>0</v>
      </c>
      <c r="FH50" s="33" t="n">
        <v>0</v>
      </c>
      <c r="FI50" s="33" t="n">
        <v>0</v>
      </c>
      <c r="FJ50" s="33" t="n">
        <v>0</v>
      </c>
      <c r="FK50" s="33" t="n">
        <v>0</v>
      </c>
      <c r="FL50" s="33" t="n">
        <v>0</v>
      </c>
      <c r="FM50" s="33" t="n">
        <v>0</v>
      </c>
      <c r="FN50" s="33" t="n">
        <v>0</v>
      </c>
      <c r="FO50" s="33" t="n">
        <v>0</v>
      </c>
      <c r="FP50" s="33" t="n">
        <v>0</v>
      </c>
      <c r="FQ50" s="33" t="n">
        <v>0</v>
      </c>
      <c r="FR50" s="33" t="n">
        <v>0</v>
      </c>
      <c r="FS50" s="33" t="n">
        <v>0</v>
      </c>
      <c r="FT50" s="33" t="n">
        <v>0</v>
      </c>
      <c r="FU50" s="33" t="n">
        <v>0</v>
      </c>
      <c r="FV50" s="33" t="n">
        <v>0</v>
      </c>
      <c r="FW50" s="33" t="n">
        <v>0</v>
      </c>
      <c r="FX50" s="33" t="n">
        <v>0</v>
      </c>
      <c r="FY50" s="33" t="n">
        <v>0</v>
      </c>
      <c r="FZ50" s="33" t="n">
        <v>0</v>
      </c>
      <c r="GA50" s="33" t="n">
        <v>0</v>
      </c>
      <c r="GB50" s="33" t="n">
        <v>0</v>
      </c>
      <c r="GC50" s="33" t="n">
        <v>0</v>
      </c>
      <c r="GD50" s="33" t="n">
        <v>0</v>
      </c>
      <c r="GE50" s="33" t="n">
        <v>0</v>
      </c>
      <c r="GF50" s="33" t="n">
        <v>0</v>
      </c>
      <c r="GG50" s="33" t="n">
        <v>0</v>
      </c>
      <c r="GH50" s="33" t="n">
        <v>0</v>
      </c>
      <c r="GI50" s="33" t="n">
        <v>0</v>
      </c>
      <c r="GJ50" s="33" t="n">
        <v>0</v>
      </c>
      <c r="GK50" s="33" t="n">
        <v>0</v>
      </c>
      <c r="GL50" s="33" t="n">
        <v>0</v>
      </c>
      <c r="GM50" s="33" t="n">
        <v>0</v>
      </c>
      <c r="GN50" s="33" t="n">
        <v>0</v>
      </c>
      <c r="GO50" s="33" t="n">
        <v>0</v>
      </c>
      <c r="GP50" s="33" t="n">
        <v>0</v>
      </c>
      <c r="GQ50" s="33" t="n">
        <v>0</v>
      </c>
      <c r="GR50" s="33" t="n">
        <v>0</v>
      </c>
      <c r="GS50" s="33" t="n">
        <v>0</v>
      </c>
      <c r="GT50" s="33" t="n">
        <v>0</v>
      </c>
      <c r="GU50" s="33" t="n">
        <v>0</v>
      </c>
      <c r="GV50" s="33" t="n">
        <v>0</v>
      </c>
      <c r="GW50" s="33" t="n">
        <v>0</v>
      </c>
      <c r="GX50" s="33" t="n">
        <v>0</v>
      </c>
      <c r="GY50" s="33" t="n">
        <v>0</v>
      </c>
      <c r="GZ50" s="33" t="n">
        <v>0</v>
      </c>
      <c r="HA50" s="33" t="n">
        <v>0</v>
      </c>
      <c r="HB50" s="33" t="n">
        <v>0</v>
      </c>
      <c r="HC50" s="33" t="n">
        <v>0</v>
      </c>
      <c r="HD50" s="33" t="n">
        <v>0</v>
      </c>
      <c r="HE50" s="33" t="n">
        <v>0</v>
      </c>
      <c r="HF50" s="33" t="n">
        <v>0</v>
      </c>
      <c r="HG50" s="33" t="n">
        <v>0</v>
      </c>
      <c r="HH50" s="33" t="n">
        <v>0</v>
      </c>
      <c r="HI50" s="33" t="n">
        <v>0</v>
      </c>
      <c r="HJ50" s="33" t="n">
        <v>0</v>
      </c>
      <c r="HK50" s="33" t="n">
        <v>0</v>
      </c>
      <c r="HL50" s="33" t="n">
        <v>0</v>
      </c>
      <c r="HM50" s="33" t="n">
        <v>0</v>
      </c>
      <c r="HN50" s="33" t="n">
        <v>0</v>
      </c>
      <c r="HO50" s="33" t="n">
        <v>0</v>
      </c>
      <c r="HP50" s="33" t="n">
        <v>0</v>
      </c>
      <c r="HQ50" s="33" t="n">
        <v>0</v>
      </c>
      <c r="HR50" s="33" t="n">
        <v>0</v>
      </c>
      <c r="HS50" s="33" t="n">
        <v>0</v>
      </c>
      <c r="HT50" s="33" t="n">
        <v>0</v>
      </c>
      <c r="HU50" s="33" t="n">
        <v>0</v>
      </c>
      <c r="HV50" s="33" t="n">
        <v>0</v>
      </c>
      <c r="HW50" s="33" t="n">
        <v>0</v>
      </c>
      <c r="HX50" s="33" t="n">
        <v>0</v>
      </c>
      <c r="HY50" s="33" t="n">
        <v>0</v>
      </c>
      <c r="HZ50" s="33" t="n">
        <v>0</v>
      </c>
      <c r="IA50" s="33" t="n">
        <v>0</v>
      </c>
      <c r="IB50" s="33" t="n">
        <v>0</v>
      </c>
      <c r="IC50" s="33" t="n">
        <v>0</v>
      </c>
      <c r="ID50" s="33" t="n">
        <v>0</v>
      </c>
      <c r="IE50" s="33" t="n">
        <v>0</v>
      </c>
      <c r="IF50" s="33" t="n">
        <v>0</v>
      </c>
      <c r="IG50" s="33" t="n">
        <v>0</v>
      </c>
      <c r="IH50" s="33" t="n">
        <v>0</v>
      </c>
      <c r="II50" s="33" t="n">
        <v>0</v>
      </c>
      <c r="IJ50" s="33" t="n">
        <v>0</v>
      </c>
      <c r="IK50" s="33" t="n">
        <v>0</v>
      </c>
      <c r="IL50" s="33" t="n">
        <v>0</v>
      </c>
      <c r="IM50" s="33" t="n">
        <v>0</v>
      </c>
      <c r="IN50" s="33" t="n">
        <v>0</v>
      </c>
      <c r="IO50" s="33" t="n">
        <v>0</v>
      </c>
      <c r="IP50" s="33" t="n">
        <v>0</v>
      </c>
      <c r="IQ50" s="33" t="n">
        <v>0</v>
      </c>
      <c r="IR50" s="33" t="n">
        <v>0</v>
      </c>
      <c r="IS50" s="33" t="n">
        <v>0</v>
      </c>
      <c r="IT50" s="33" t="n">
        <v>0</v>
      </c>
      <c r="IU50" s="33" t="n">
        <v>0</v>
      </c>
      <c r="IV50" s="33" t="n">
        <v>0</v>
      </c>
      <c r="IW50" s="33" t="n">
        <v>0</v>
      </c>
      <c r="IX50" s="33" t="n">
        <v>0</v>
      </c>
      <c r="IY50" s="33" t="n">
        <v>0</v>
      </c>
      <c r="IZ50" s="33" t="n">
        <v>0</v>
      </c>
      <c r="JA50" s="33" t="n">
        <v>0</v>
      </c>
      <c r="JB50" s="33" t="n">
        <v>0</v>
      </c>
      <c r="JC50" s="33" t="n">
        <v>0</v>
      </c>
      <c r="JD50" s="33" t="n">
        <v>0</v>
      </c>
      <c r="JE50" s="33" t="n">
        <v>0</v>
      </c>
      <c r="JF50" s="33" t="n">
        <v>0</v>
      </c>
      <c r="JG50" s="33" t="n">
        <v>0</v>
      </c>
      <c r="JH50" s="33" t="n">
        <v>0</v>
      </c>
      <c r="JI50" s="33" t="n">
        <v>0</v>
      </c>
      <c r="JJ50" s="33" t="n">
        <v>0</v>
      </c>
      <c r="JK50" s="33" t="n">
        <v>0</v>
      </c>
      <c r="JL50" s="33" t="n">
        <v>0</v>
      </c>
      <c r="JM50" s="33" t="n">
        <v>0</v>
      </c>
      <c r="JN50" s="33" t="n">
        <v>0</v>
      </c>
      <c r="JO50" s="33" t="n">
        <v>0</v>
      </c>
      <c r="JP50" s="33" t="n">
        <v>0</v>
      </c>
      <c r="JQ50" s="33" t="n">
        <v>0</v>
      </c>
      <c r="JR50" s="33" t="n">
        <v>0</v>
      </c>
      <c r="JS50" s="33" t="n">
        <v>0</v>
      </c>
      <c r="JT50" s="33" t="n">
        <v>0</v>
      </c>
      <c r="JU50" s="33" t="n">
        <v>0</v>
      </c>
      <c r="JV50" s="33" t="n">
        <v>0</v>
      </c>
      <c r="JW50" s="33" t="n">
        <v>0</v>
      </c>
      <c r="JX50" s="33" t="n">
        <v>0</v>
      </c>
      <c r="JY50" s="33" t="n">
        <v>0</v>
      </c>
      <c r="JZ50" s="33" t="n">
        <v>0</v>
      </c>
      <c r="KA50" s="33" t="n">
        <v>0</v>
      </c>
      <c r="KB50" s="33" t="n">
        <v>0</v>
      </c>
      <c r="KC50" s="33" t="n">
        <v>0</v>
      </c>
      <c r="KD50" s="33" t="n">
        <v>0</v>
      </c>
      <c r="KE50" s="33" t="n">
        <v>0</v>
      </c>
      <c r="KF50" s="33" t="n">
        <v>0</v>
      </c>
      <c r="KG50" s="33" t="n">
        <v>0</v>
      </c>
      <c r="KH50" s="33" t="n">
        <v>0</v>
      </c>
      <c r="KI50" s="33" t="n">
        <v>0</v>
      </c>
      <c r="KJ50" s="33" t="n">
        <v>0</v>
      </c>
      <c r="KK50" s="33" t="n">
        <v>0</v>
      </c>
      <c r="KL50" s="33" t="n">
        <v>0</v>
      </c>
      <c r="KM50" s="33" t="n">
        <v>0</v>
      </c>
      <c r="KN50" s="33" t="n">
        <v>0</v>
      </c>
      <c r="KO50" s="33" t="n">
        <v>0</v>
      </c>
      <c r="KP50" s="33" t="n">
        <v>0</v>
      </c>
      <c r="KQ50" s="33" t="n">
        <v>0</v>
      </c>
      <c r="KR50" s="33" t="n">
        <v>0</v>
      </c>
      <c r="KS50" s="33" t="n">
        <v>0</v>
      </c>
      <c r="KT50" s="33" t="n">
        <v>0</v>
      </c>
      <c r="KU50" s="33" t="n">
        <v>0</v>
      </c>
      <c r="KV50" s="33" t="n">
        <v>0</v>
      </c>
      <c r="KW50" s="33" t="n">
        <v>0</v>
      </c>
      <c r="KX50" s="33" t="n">
        <v>0</v>
      </c>
      <c r="KY50" s="33" t="n">
        <v>0</v>
      </c>
      <c r="KZ50" s="33" t="n">
        <v>0</v>
      </c>
      <c r="LA50" s="33" t="n">
        <v>0</v>
      </c>
      <c r="LB50" s="33" t="n">
        <v>0</v>
      </c>
      <c r="LC50" s="33" t="n">
        <v>0</v>
      </c>
      <c r="LD50" s="33" t="n">
        <v>0</v>
      </c>
      <c r="LE50" s="33" t="n">
        <v>0</v>
      </c>
      <c r="LF50" s="33" t="n">
        <v>0</v>
      </c>
      <c r="LG50" s="33" t="n">
        <v>0</v>
      </c>
      <c r="LH50" s="33" t="n">
        <v>0</v>
      </c>
      <c r="LI50" s="33" t="n">
        <v>0</v>
      </c>
      <c r="LJ50" s="33" t="n">
        <v>0</v>
      </c>
      <c r="LK50" s="33" t="n">
        <v>0</v>
      </c>
      <c r="LL50" s="33" t="n">
        <v>0</v>
      </c>
      <c r="LM50" s="33" t="n">
        <v>0</v>
      </c>
      <c r="LN50" s="33" t="n">
        <v>0</v>
      </c>
      <c r="LO50" s="33" t="n">
        <v>0</v>
      </c>
      <c r="LP50" s="33" t="n">
        <v>0</v>
      </c>
      <c r="LQ50" s="33" t="n">
        <v>0</v>
      </c>
      <c r="LR50" s="33" t="n">
        <v>0</v>
      </c>
      <c r="LS50" s="33" t="n">
        <v>0</v>
      </c>
      <c r="LT50" s="33" t="n">
        <v>0</v>
      </c>
      <c r="LU50" s="33" t="n">
        <v>0</v>
      </c>
      <c r="LV50" s="33" t="n">
        <v>0</v>
      </c>
      <c r="LW50" s="33" t="n">
        <v>0</v>
      </c>
      <c r="LX50" s="33" t="n">
        <v>0</v>
      </c>
      <c r="LY50" s="33" t="n">
        <v>0</v>
      </c>
      <c r="LZ50" s="33" t="n">
        <v>0</v>
      </c>
      <c r="MA50" s="33" t="n">
        <v>0</v>
      </c>
      <c r="MB50" s="33" t="n">
        <v>0</v>
      </c>
      <c r="MC50" s="33" t="n">
        <v>0</v>
      </c>
      <c r="MD50" s="33" t="n">
        <v>0</v>
      </c>
      <c r="ME50" s="33" t="n">
        <v>0</v>
      </c>
      <c r="MF50" s="33" t="n">
        <v>0</v>
      </c>
      <c r="MG50" s="33" t="n">
        <v>0</v>
      </c>
      <c r="MH50" s="33" t="n">
        <v>0</v>
      </c>
      <c r="MI50" s="33" t="n">
        <v>0</v>
      </c>
      <c r="MJ50" s="33" t="n">
        <v>0</v>
      </c>
      <c r="MK50" s="33" t="n">
        <v>0</v>
      </c>
      <c r="ML50" s="33" t="n">
        <v>0</v>
      </c>
      <c r="MM50" s="33" t="n">
        <v>0</v>
      </c>
      <c r="MN50" s="33" t="n">
        <v>0</v>
      </c>
      <c r="MO50" s="33" t="n">
        <v>0</v>
      </c>
      <c r="MP50" s="33" t="n">
        <v>0</v>
      </c>
      <c r="MQ50" s="33" t="n">
        <v>0</v>
      </c>
      <c r="MR50" s="33" t="n">
        <v>0</v>
      </c>
      <c r="MS50" s="33" t="n">
        <v>0</v>
      </c>
      <c r="MT50" s="33" t="n">
        <v>0</v>
      </c>
      <c r="MU50" s="33" t="n">
        <v>0</v>
      </c>
      <c r="MV50" s="33" t="n">
        <v>0</v>
      </c>
      <c r="MW50" s="33" t="n">
        <v>0</v>
      </c>
      <c r="MX50" s="33" t="n">
        <v>0</v>
      </c>
      <c r="MY50" s="33" t="n">
        <v>0</v>
      </c>
      <c r="MZ50" s="33" t="n">
        <v>0</v>
      </c>
      <c r="NA50" s="33" t="n">
        <v>0</v>
      </c>
      <c r="NB50" s="33" t="n">
        <v>0</v>
      </c>
      <c r="NC50" s="33" t="n">
        <v>0</v>
      </c>
      <c r="ND50" s="33" t="n">
        <v>0</v>
      </c>
      <c r="NE50" s="33" t="n">
        <v>0</v>
      </c>
      <c r="NF50" s="33" t="n">
        <v>0</v>
      </c>
      <c r="NG50" s="33" t="n">
        <v>0</v>
      </c>
      <c r="NH50" s="33" t="n">
        <v>0</v>
      </c>
      <c r="NI50" s="33" t="n">
        <v>0</v>
      </c>
      <c r="NJ50" s="33" t="n">
        <v>0</v>
      </c>
      <c r="NK50" s="33" t="n">
        <v>0</v>
      </c>
      <c r="NL50" s="33" t="n">
        <v>0</v>
      </c>
      <c r="NM50" s="33" t="n">
        <v>0</v>
      </c>
      <c r="NN50" s="33" t="n">
        <v>0</v>
      </c>
      <c r="NO50" s="33" t="n">
        <v>0</v>
      </c>
      <c r="NP50" s="33" t="n">
        <v>0</v>
      </c>
      <c r="NQ50" s="33" t="n">
        <v>0</v>
      </c>
      <c r="NR50" s="33" t="n">
        <v>0</v>
      </c>
      <c r="NS50" s="33" t="n">
        <v>0</v>
      </c>
      <c r="NT50" s="33" t="n">
        <v>0</v>
      </c>
      <c r="NU50" s="33" t="n">
        <v>0</v>
      </c>
      <c r="NV50" s="33" t="n">
        <v>0</v>
      </c>
      <c r="NW50" s="33" t="n">
        <v>0</v>
      </c>
      <c r="NX50" s="33" t="n">
        <v>0</v>
      </c>
      <c r="NY50" s="33" t="n">
        <v>0</v>
      </c>
      <c r="NZ50" s="33" t="n">
        <v>0</v>
      </c>
      <c r="OA50" s="33" t="n">
        <v>0</v>
      </c>
      <c r="OB50" s="33" t="n">
        <v>0</v>
      </c>
      <c r="OC50" s="33" t="n">
        <v>0</v>
      </c>
      <c r="OD50" s="33" t="n">
        <v>0</v>
      </c>
      <c r="OE50" s="33" t="n">
        <v>0</v>
      </c>
      <c r="OF50" s="33" t="n">
        <v>0</v>
      </c>
      <c r="OG50" s="33" t="n">
        <v>0</v>
      </c>
      <c r="OH50" s="33" t="n">
        <v>0</v>
      </c>
      <c r="OI50" s="33" t="n">
        <v>0</v>
      </c>
      <c r="OJ50" s="33" t="n">
        <v>0</v>
      </c>
      <c r="OK50" s="33" t="n">
        <v>0</v>
      </c>
      <c r="OL50" s="33" t="n">
        <v>0</v>
      </c>
      <c r="OM50" s="33" t="n">
        <v>0</v>
      </c>
      <c r="ON50" s="33" t="n">
        <v>0</v>
      </c>
      <c r="OO50" s="33" t="n">
        <v>0</v>
      </c>
      <c r="OP50" s="33" t="n">
        <v>0</v>
      </c>
      <c r="OQ50" s="33" t="n">
        <v>0</v>
      </c>
      <c r="OR50" s="33" t="n">
        <v>0</v>
      </c>
      <c r="OS50" s="33" t="n">
        <v>0</v>
      </c>
      <c r="OT50" s="33" t="n">
        <v>0</v>
      </c>
      <c r="OU50" s="33" t="n">
        <v>0</v>
      </c>
      <c r="OV50" s="33" t="n">
        <v>0</v>
      </c>
      <c r="OW50" s="33" t="n">
        <v>0</v>
      </c>
      <c r="OX50" s="33" t="n">
        <v>0</v>
      </c>
      <c r="OY50" s="33" t="n">
        <v>0</v>
      </c>
      <c r="OZ50" s="33" t="n">
        <v>0</v>
      </c>
      <c r="PA50" s="33" t="n">
        <v>0</v>
      </c>
      <c r="PB50" s="33" t="n">
        <v>0</v>
      </c>
      <c r="PC50" s="33" t="n">
        <v>0</v>
      </c>
      <c r="PD50" s="33" t="n">
        <v>0</v>
      </c>
      <c r="PE50" s="33" t="n">
        <v>0</v>
      </c>
      <c r="PF50" s="33" t="n">
        <v>0</v>
      </c>
      <c r="PG50" s="33" t="n">
        <v>0</v>
      </c>
      <c r="PH50" s="33" t="n">
        <v>0</v>
      </c>
      <c r="PI50" s="33" t="n">
        <v>0</v>
      </c>
      <c r="PJ50" s="33" t="n">
        <v>0</v>
      </c>
      <c r="PK50" s="33" t="n">
        <v>0</v>
      </c>
      <c r="PL50" s="33" t="n">
        <v>0</v>
      </c>
      <c r="PM50" s="33" t="n">
        <v>0</v>
      </c>
      <c r="PN50" s="33" t="n">
        <v>0</v>
      </c>
      <c r="PO50" s="33" t="n">
        <v>0</v>
      </c>
      <c r="PP50" s="33" t="n">
        <v>0</v>
      </c>
      <c r="PQ50" s="33" t="n">
        <v>0</v>
      </c>
      <c r="PR50" s="33" t="n">
        <v>0</v>
      </c>
      <c r="PS50" s="33" t="n">
        <v>0</v>
      </c>
      <c r="PT50" s="33" t="n">
        <v>0</v>
      </c>
      <c r="PU50" s="33" t="n">
        <v>0</v>
      </c>
      <c r="PV50" s="33" t="n">
        <v>0</v>
      </c>
      <c r="PW50" s="33" t="n">
        <v>0</v>
      </c>
      <c r="PX50" s="33" t="n">
        <v>0</v>
      </c>
      <c r="PY50" s="33" t="n">
        <v>0</v>
      </c>
      <c r="PZ50" s="33" t="n">
        <v>0</v>
      </c>
      <c r="QA50" s="33" t="n">
        <v>0</v>
      </c>
      <c r="QB50" s="33" t="n">
        <v>0</v>
      </c>
      <c r="QC50" s="33" t="n">
        <v>0</v>
      </c>
      <c r="QD50" s="33" t="n">
        <v>0</v>
      </c>
      <c r="QE50" s="33" t="n">
        <v>0</v>
      </c>
      <c r="QF50" s="33" t="n">
        <v>0</v>
      </c>
      <c r="QG50" s="33" t="n">
        <v>0</v>
      </c>
      <c r="QH50" s="33" t="n">
        <v>0</v>
      </c>
      <c r="QI50" s="33" t="n">
        <v>0</v>
      </c>
      <c r="QJ50" s="33" t="n">
        <v>0</v>
      </c>
      <c r="QK50" s="33" t="n">
        <v>0</v>
      </c>
      <c r="QL50" s="33" t="n">
        <v>0</v>
      </c>
      <c r="QM50" s="33" t="n">
        <v>0</v>
      </c>
      <c r="QN50" s="33" t="n">
        <v>0</v>
      </c>
      <c r="QO50" s="33" t="n">
        <v>0</v>
      </c>
      <c r="QP50" s="33" t="n">
        <v>0</v>
      </c>
      <c r="QQ50" s="33" t="n">
        <v>0</v>
      </c>
      <c r="QR50" s="33" t="n">
        <v>0</v>
      </c>
      <c r="QS50" s="33" t="n">
        <v>0</v>
      </c>
      <c r="QT50" s="33" t="n">
        <v>0</v>
      </c>
      <c r="QU50" s="33" t="n">
        <v>0</v>
      </c>
      <c r="QV50" s="33" t="n">
        <v>0</v>
      </c>
      <c r="QW50" s="33" t="n">
        <v>0</v>
      </c>
      <c r="QX50" s="33" t="n">
        <v>0</v>
      </c>
      <c r="QY50" s="33" t="n">
        <v>0</v>
      </c>
      <c r="QZ50" s="33" t="n">
        <v>0</v>
      </c>
      <c r="RA50" s="33" t="n">
        <v>0</v>
      </c>
      <c r="RB50" s="33" t="n">
        <v>0</v>
      </c>
      <c r="RC50" s="33" t="n">
        <v>0</v>
      </c>
      <c r="RD50" s="33" t="n">
        <v>0</v>
      </c>
      <c r="RE50" s="33" t="n">
        <v>0</v>
      </c>
      <c r="RF50" s="33" t="n">
        <v>0</v>
      </c>
      <c r="RG50" s="33" t="n">
        <v>0</v>
      </c>
      <c r="RH50" s="33" t="n">
        <v>0</v>
      </c>
      <c r="RI50" s="33" t="n">
        <v>0</v>
      </c>
      <c r="RJ50" s="33" t="n">
        <v>0</v>
      </c>
      <c r="RK50" s="33" t="n">
        <v>0</v>
      </c>
      <c r="RL50" s="33" t="n">
        <v>0</v>
      </c>
      <c r="RM50" s="33" t="n">
        <v>0</v>
      </c>
      <c r="RN50" s="33" t="n">
        <v>0</v>
      </c>
      <c r="RO50" s="33" t="n">
        <v>0</v>
      </c>
      <c r="RP50" s="33" t="n">
        <v>0</v>
      </c>
      <c r="RQ50" s="33" t="n">
        <v>0</v>
      </c>
      <c r="RR50" s="33" t="n">
        <v>0</v>
      </c>
      <c r="RS50" s="33" t="n">
        <v>0</v>
      </c>
      <c r="RT50" s="33" t="n">
        <v>0</v>
      </c>
      <c r="RU50" s="33" t="n">
        <v>0</v>
      </c>
      <c r="RV50" s="33" t="n">
        <v>0</v>
      </c>
      <c r="RW50" s="33" t="n">
        <v>0</v>
      </c>
    </row>
    <row r="51" hidden="1" outlineLevel="1" ht="13.05" customHeight="1">
      <c r="E51" s="21" t="inlineStr">
        <is>
          <t>Export Tariff Add-Back</t>
        </is>
      </c>
      <c r="F51" s="29" t="n"/>
      <c r="G51" s="29" t="inlineStr">
        <is>
          <t>kEUR</t>
        </is>
      </c>
      <c r="H51" s="29" t="n"/>
      <c r="I51" s="29" t="n"/>
      <c r="J51" s="32" t="n">
        <v>0</v>
      </c>
      <c r="K51" s="29" t="n"/>
      <c r="L51" s="33" t="n">
        <v>0</v>
      </c>
      <c r="M51" s="33" t="n">
        <v>0</v>
      </c>
      <c r="N51" s="33" t="n">
        <v>0</v>
      </c>
      <c r="O51" s="33" t="n">
        <v>0</v>
      </c>
      <c r="P51" s="33" t="n">
        <v>0</v>
      </c>
      <c r="Q51" s="33" t="n">
        <v>0</v>
      </c>
      <c r="R51" s="33" t="n">
        <v>0</v>
      </c>
      <c r="S51" s="33" t="n">
        <v>0</v>
      </c>
      <c r="T51" s="33" t="n">
        <v>0</v>
      </c>
      <c r="U51" s="33" t="n">
        <v>0</v>
      </c>
      <c r="V51" s="33" t="n">
        <v>0</v>
      </c>
      <c r="W51" s="33" t="n">
        <v>0</v>
      </c>
      <c r="X51" s="33" t="n">
        <v>0</v>
      </c>
      <c r="Y51" s="33" t="n">
        <v>0</v>
      </c>
      <c r="Z51" s="33" t="n">
        <v>0</v>
      </c>
      <c r="AA51" s="33" t="n">
        <v>0</v>
      </c>
      <c r="AB51" s="33" t="n">
        <v>0</v>
      </c>
      <c r="AC51" s="33" t="n">
        <v>0</v>
      </c>
      <c r="AD51" s="33" t="n">
        <v>0</v>
      </c>
      <c r="AE51" s="33" t="n">
        <v>0</v>
      </c>
      <c r="AF51" s="33" t="n">
        <v>0</v>
      </c>
      <c r="AG51" s="33" t="n">
        <v>0</v>
      </c>
      <c r="AH51" s="33" t="n">
        <v>0</v>
      </c>
      <c r="AI51" s="33" t="n">
        <v>0</v>
      </c>
      <c r="AJ51" s="33" t="n">
        <v>0</v>
      </c>
      <c r="AK51" s="33" t="n">
        <v>0</v>
      </c>
      <c r="AL51" s="33" t="n">
        <v>0</v>
      </c>
      <c r="AM51" s="33" t="n">
        <v>0</v>
      </c>
      <c r="AN51" s="33" t="n">
        <v>0</v>
      </c>
      <c r="AO51" s="33" t="n">
        <v>0</v>
      </c>
      <c r="AP51" s="33" t="n">
        <v>0</v>
      </c>
      <c r="AQ51" s="33" t="n">
        <v>0</v>
      </c>
      <c r="AR51" s="33" t="n">
        <v>0</v>
      </c>
      <c r="AS51" s="33" t="n">
        <v>0</v>
      </c>
      <c r="AT51" s="33" t="n">
        <v>0</v>
      </c>
      <c r="AU51" s="33" t="n">
        <v>0</v>
      </c>
      <c r="AV51" s="33" t="n">
        <v>0</v>
      </c>
      <c r="AW51" s="33" t="n">
        <v>0</v>
      </c>
      <c r="AX51" s="33" t="n">
        <v>0</v>
      </c>
      <c r="AY51" s="33" t="n">
        <v>0</v>
      </c>
      <c r="AZ51" s="33" t="n">
        <v>0</v>
      </c>
      <c r="BA51" s="33" t="n">
        <v>0</v>
      </c>
      <c r="BB51" s="33" t="n">
        <v>0</v>
      </c>
      <c r="BC51" s="33" t="n">
        <v>0</v>
      </c>
      <c r="BD51" s="33" t="n">
        <v>0</v>
      </c>
      <c r="BE51" s="33" t="n">
        <v>0</v>
      </c>
      <c r="BF51" s="33" t="n">
        <v>0</v>
      </c>
      <c r="BG51" s="33" t="n">
        <v>0</v>
      </c>
      <c r="BH51" s="33" t="n">
        <v>0</v>
      </c>
      <c r="BI51" s="33" t="n">
        <v>0</v>
      </c>
      <c r="BJ51" s="33" t="n">
        <v>0</v>
      </c>
      <c r="BK51" s="33" t="n">
        <v>0</v>
      </c>
      <c r="BL51" s="33" t="n">
        <v>0</v>
      </c>
      <c r="BM51" s="33" t="n">
        <v>0</v>
      </c>
      <c r="BN51" s="33" t="n">
        <v>0</v>
      </c>
      <c r="BO51" s="33" t="n">
        <v>0</v>
      </c>
      <c r="BP51" s="33" t="n">
        <v>0</v>
      </c>
      <c r="BQ51" s="33" t="n">
        <v>0</v>
      </c>
      <c r="BR51" s="33" t="n">
        <v>0</v>
      </c>
      <c r="BS51" s="33" t="n">
        <v>0</v>
      </c>
      <c r="BT51" s="33" t="n">
        <v>0</v>
      </c>
      <c r="BU51" s="33" t="n">
        <v>0</v>
      </c>
      <c r="BV51" s="33" t="n">
        <v>0</v>
      </c>
      <c r="BW51" s="33" t="n">
        <v>0</v>
      </c>
      <c r="BX51" s="33" t="n">
        <v>0</v>
      </c>
      <c r="BY51" s="33" t="n">
        <v>0</v>
      </c>
      <c r="BZ51" s="33" t="n">
        <v>0</v>
      </c>
      <c r="CA51" s="33" t="n">
        <v>0</v>
      </c>
      <c r="CB51" s="33" t="n">
        <v>0</v>
      </c>
      <c r="CC51" s="33" t="n">
        <v>0</v>
      </c>
      <c r="CD51" s="33" t="n">
        <v>0</v>
      </c>
      <c r="CE51" s="33" t="n">
        <v>0</v>
      </c>
      <c r="CF51" s="33" t="n">
        <v>0</v>
      </c>
      <c r="CG51" s="33" t="n">
        <v>0</v>
      </c>
      <c r="CH51" s="33" t="n">
        <v>0</v>
      </c>
      <c r="CI51" s="33" t="n">
        <v>0</v>
      </c>
      <c r="CJ51" s="33" t="n">
        <v>0</v>
      </c>
      <c r="CK51" s="33" t="n">
        <v>0</v>
      </c>
      <c r="CL51" s="33" t="n">
        <v>0</v>
      </c>
      <c r="CM51" s="33" t="n">
        <v>0</v>
      </c>
      <c r="CN51" s="33" t="n">
        <v>0</v>
      </c>
      <c r="CO51" s="33" t="n">
        <v>0</v>
      </c>
      <c r="CP51" s="33" t="n">
        <v>0</v>
      </c>
      <c r="CQ51" s="33" t="n">
        <v>0</v>
      </c>
      <c r="CR51" s="33" t="n">
        <v>0</v>
      </c>
      <c r="CS51" s="33" t="n">
        <v>0</v>
      </c>
      <c r="CT51" s="33" t="n">
        <v>0</v>
      </c>
      <c r="CU51" s="33" t="n">
        <v>0</v>
      </c>
      <c r="CV51" s="33" t="n">
        <v>0</v>
      </c>
      <c r="CW51" s="33" t="n">
        <v>0</v>
      </c>
      <c r="CX51" s="33" t="n">
        <v>0</v>
      </c>
      <c r="CY51" s="33" t="n">
        <v>0</v>
      </c>
      <c r="CZ51" s="33" t="n">
        <v>0</v>
      </c>
      <c r="DA51" s="33" t="n">
        <v>0</v>
      </c>
      <c r="DB51" s="33" t="n">
        <v>0</v>
      </c>
      <c r="DC51" s="33" t="n">
        <v>0</v>
      </c>
      <c r="DD51" s="33" t="n">
        <v>0</v>
      </c>
      <c r="DE51" s="33" t="n">
        <v>0</v>
      </c>
      <c r="DF51" s="33" t="n">
        <v>0</v>
      </c>
      <c r="DG51" s="33" t="n">
        <v>0</v>
      </c>
      <c r="DH51" s="33" t="n">
        <v>0</v>
      </c>
      <c r="DI51" s="33" t="n">
        <v>0</v>
      </c>
      <c r="DJ51" s="33" t="n">
        <v>0</v>
      </c>
      <c r="DK51" s="33" t="n">
        <v>0</v>
      </c>
      <c r="DL51" s="33" t="n">
        <v>0</v>
      </c>
      <c r="DM51" s="33" t="n">
        <v>0</v>
      </c>
      <c r="DN51" s="33" t="n">
        <v>0</v>
      </c>
      <c r="DO51" s="33" t="n">
        <v>0</v>
      </c>
      <c r="DP51" s="33" t="n">
        <v>0</v>
      </c>
      <c r="DQ51" s="33" t="n">
        <v>0</v>
      </c>
      <c r="DR51" s="33" t="n">
        <v>0</v>
      </c>
      <c r="DS51" s="33" t="n">
        <v>0</v>
      </c>
      <c r="DT51" s="33" t="n">
        <v>0</v>
      </c>
      <c r="DU51" s="33" t="n">
        <v>0</v>
      </c>
      <c r="DV51" s="33" t="n">
        <v>0</v>
      </c>
      <c r="DW51" s="33" t="n">
        <v>0</v>
      </c>
      <c r="DX51" s="33" t="n">
        <v>0</v>
      </c>
      <c r="DY51" s="33" t="n">
        <v>0</v>
      </c>
      <c r="DZ51" s="33" t="n">
        <v>0</v>
      </c>
      <c r="EA51" s="33" t="n">
        <v>0</v>
      </c>
      <c r="EB51" s="33" t="n">
        <v>0</v>
      </c>
      <c r="EC51" s="33" t="n">
        <v>0</v>
      </c>
      <c r="ED51" s="33" t="n">
        <v>0</v>
      </c>
      <c r="EE51" s="33" t="n">
        <v>0</v>
      </c>
      <c r="EF51" s="33" t="n">
        <v>0</v>
      </c>
      <c r="EG51" s="33" t="n">
        <v>0</v>
      </c>
      <c r="EH51" s="33" t="n">
        <v>0</v>
      </c>
      <c r="EI51" s="33" t="n">
        <v>0</v>
      </c>
      <c r="EJ51" s="33" t="n">
        <v>0</v>
      </c>
      <c r="EK51" s="33" t="n">
        <v>0</v>
      </c>
      <c r="EL51" s="33" t="n">
        <v>0</v>
      </c>
      <c r="EM51" s="33" t="n">
        <v>0</v>
      </c>
      <c r="EN51" s="33" t="n">
        <v>0</v>
      </c>
      <c r="EO51" s="33" t="n">
        <v>0</v>
      </c>
      <c r="EP51" s="33" t="n">
        <v>0</v>
      </c>
      <c r="EQ51" s="33" t="n">
        <v>0</v>
      </c>
      <c r="ER51" s="33" t="n">
        <v>0</v>
      </c>
      <c r="ES51" s="33" t="n">
        <v>0</v>
      </c>
      <c r="ET51" s="33" t="n">
        <v>0</v>
      </c>
      <c r="EU51" s="33" t="n">
        <v>0</v>
      </c>
      <c r="EV51" s="33" t="n">
        <v>0</v>
      </c>
      <c r="EW51" s="33" t="n">
        <v>0</v>
      </c>
      <c r="EX51" s="33" t="n">
        <v>0</v>
      </c>
      <c r="EY51" s="33" t="n">
        <v>0</v>
      </c>
      <c r="EZ51" s="33" t="n">
        <v>0</v>
      </c>
      <c r="FA51" s="33" t="n">
        <v>0</v>
      </c>
      <c r="FB51" s="33" t="n">
        <v>0</v>
      </c>
      <c r="FC51" s="33" t="n">
        <v>0</v>
      </c>
      <c r="FD51" s="33" t="n">
        <v>0</v>
      </c>
      <c r="FE51" s="33" t="n">
        <v>0</v>
      </c>
      <c r="FF51" s="33" t="n">
        <v>0</v>
      </c>
      <c r="FG51" s="33" t="n">
        <v>0</v>
      </c>
      <c r="FH51" s="33" t="n">
        <v>0</v>
      </c>
      <c r="FI51" s="33" t="n">
        <v>0</v>
      </c>
      <c r="FJ51" s="33" t="n">
        <v>0</v>
      </c>
      <c r="FK51" s="33" t="n">
        <v>0</v>
      </c>
      <c r="FL51" s="33" t="n">
        <v>0</v>
      </c>
      <c r="FM51" s="33" t="n">
        <v>0</v>
      </c>
      <c r="FN51" s="33" t="n">
        <v>0</v>
      </c>
      <c r="FO51" s="33" t="n">
        <v>0</v>
      </c>
      <c r="FP51" s="33" t="n">
        <v>0</v>
      </c>
      <c r="FQ51" s="33" t="n">
        <v>0</v>
      </c>
      <c r="FR51" s="33" t="n">
        <v>0</v>
      </c>
      <c r="FS51" s="33" t="n">
        <v>0</v>
      </c>
      <c r="FT51" s="33" t="n">
        <v>0</v>
      </c>
      <c r="FU51" s="33" t="n">
        <v>0</v>
      </c>
      <c r="FV51" s="33" t="n">
        <v>0</v>
      </c>
      <c r="FW51" s="33" t="n">
        <v>0</v>
      </c>
      <c r="FX51" s="33" t="n">
        <v>0</v>
      </c>
      <c r="FY51" s="33" t="n">
        <v>0</v>
      </c>
      <c r="FZ51" s="33" t="n">
        <v>0</v>
      </c>
      <c r="GA51" s="33" t="n">
        <v>0</v>
      </c>
      <c r="GB51" s="33" t="n">
        <v>0</v>
      </c>
      <c r="GC51" s="33" t="n">
        <v>0</v>
      </c>
      <c r="GD51" s="33" t="n">
        <v>0</v>
      </c>
      <c r="GE51" s="33" t="n">
        <v>0</v>
      </c>
      <c r="GF51" s="33" t="n">
        <v>0</v>
      </c>
      <c r="GG51" s="33" t="n">
        <v>0</v>
      </c>
      <c r="GH51" s="33" t="n">
        <v>0</v>
      </c>
      <c r="GI51" s="33" t="n">
        <v>0</v>
      </c>
      <c r="GJ51" s="33" t="n">
        <v>0</v>
      </c>
      <c r="GK51" s="33" t="n">
        <v>0</v>
      </c>
      <c r="GL51" s="33" t="n">
        <v>0</v>
      </c>
      <c r="GM51" s="33" t="n">
        <v>0</v>
      </c>
      <c r="GN51" s="33" t="n">
        <v>0</v>
      </c>
      <c r="GO51" s="33" t="n">
        <v>0</v>
      </c>
      <c r="GP51" s="33" t="n">
        <v>0</v>
      </c>
      <c r="GQ51" s="33" t="n">
        <v>0</v>
      </c>
      <c r="GR51" s="33" t="n">
        <v>0</v>
      </c>
      <c r="GS51" s="33" t="n">
        <v>0</v>
      </c>
      <c r="GT51" s="33" t="n">
        <v>0</v>
      </c>
      <c r="GU51" s="33" t="n">
        <v>0</v>
      </c>
      <c r="GV51" s="33" t="n">
        <v>0</v>
      </c>
      <c r="GW51" s="33" t="n">
        <v>0</v>
      </c>
      <c r="GX51" s="33" t="n">
        <v>0</v>
      </c>
      <c r="GY51" s="33" t="n">
        <v>0</v>
      </c>
      <c r="GZ51" s="33" t="n">
        <v>0</v>
      </c>
      <c r="HA51" s="33" t="n">
        <v>0</v>
      </c>
      <c r="HB51" s="33" t="n">
        <v>0</v>
      </c>
      <c r="HC51" s="33" t="n">
        <v>0</v>
      </c>
      <c r="HD51" s="33" t="n">
        <v>0</v>
      </c>
      <c r="HE51" s="33" t="n">
        <v>0</v>
      </c>
      <c r="HF51" s="33" t="n">
        <v>0</v>
      </c>
      <c r="HG51" s="33" t="n">
        <v>0</v>
      </c>
      <c r="HH51" s="33" t="n">
        <v>0</v>
      </c>
      <c r="HI51" s="33" t="n">
        <v>0</v>
      </c>
      <c r="HJ51" s="33" t="n">
        <v>0</v>
      </c>
      <c r="HK51" s="33" t="n">
        <v>0</v>
      </c>
      <c r="HL51" s="33" t="n">
        <v>0</v>
      </c>
      <c r="HM51" s="33" t="n">
        <v>0</v>
      </c>
      <c r="HN51" s="33" t="n">
        <v>0</v>
      </c>
      <c r="HO51" s="33" t="n">
        <v>0</v>
      </c>
      <c r="HP51" s="33" t="n">
        <v>0</v>
      </c>
      <c r="HQ51" s="33" t="n">
        <v>0</v>
      </c>
      <c r="HR51" s="33" t="n">
        <v>0</v>
      </c>
      <c r="HS51" s="33" t="n">
        <v>0</v>
      </c>
      <c r="HT51" s="33" t="n">
        <v>0</v>
      </c>
      <c r="HU51" s="33" t="n">
        <v>0</v>
      </c>
      <c r="HV51" s="33" t="n">
        <v>0</v>
      </c>
      <c r="HW51" s="33" t="n">
        <v>0</v>
      </c>
      <c r="HX51" s="33" t="n">
        <v>0</v>
      </c>
      <c r="HY51" s="33" t="n">
        <v>0</v>
      </c>
      <c r="HZ51" s="33" t="n">
        <v>0</v>
      </c>
      <c r="IA51" s="33" t="n">
        <v>0</v>
      </c>
      <c r="IB51" s="33" t="n">
        <v>0</v>
      </c>
      <c r="IC51" s="33" t="n">
        <v>0</v>
      </c>
      <c r="ID51" s="33" t="n">
        <v>0</v>
      </c>
      <c r="IE51" s="33" t="n">
        <v>0</v>
      </c>
      <c r="IF51" s="33" t="n">
        <v>0</v>
      </c>
      <c r="IG51" s="33" t="n">
        <v>0</v>
      </c>
      <c r="IH51" s="33" t="n">
        <v>0</v>
      </c>
      <c r="II51" s="33" t="n">
        <v>0</v>
      </c>
      <c r="IJ51" s="33" t="n">
        <v>0</v>
      </c>
      <c r="IK51" s="33" t="n">
        <v>0</v>
      </c>
      <c r="IL51" s="33" t="n">
        <v>0</v>
      </c>
      <c r="IM51" s="33" t="n">
        <v>0</v>
      </c>
      <c r="IN51" s="33" t="n">
        <v>0</v>
      </c>
      <c r="IO51" s="33" t="n">
        <v>0</v>
      </c>
      <c r="IP51" s="33" t="n">
        <v>0</v>
      </c>
      <c r="IQ51" s="33" t="n">
        <v>0</v>
      </c>
      <c r="IR51" s="33" t="n">
        <v>0</v>
      </c>
      <c r="IS51" s="33" t="n">
        <v>0</v>
      </c>
      <c r="IT51" s="33" t="n">
        <v>0</v>
      </c>
      <c r="IU51" s="33" t="n">
        <v>0</v>
      </c>
      <c r="IV51" s="33" t="n">
        <v>0</v>
      </c>
      <c r="IW51" s="33" t="n">
        <v>0</v>
      </c>
      <c r="IX51" s="33" t="n">
        <v>0</v>
      </c>
      <c r="IY51" s="33" t="n">
        <v>0</v>
      </c>
      <c r="IZ51" s="33" t="n">
        <v>0</v>
      </c>
      <c r="JA51" s="33" t="n">
        <v>0</v>
      </c>
      <c r="JB51" s="33" t="n">
        <v>0</v>
      </c>
      <c r="JC51" s="33" t="n">
        <v>0</v>
      </c>
      <c r="JD51" s="33" t="n">
        <v>0</v>
      </c>
      <c r="JE51" s="33" t="n">
        <v>0</v>
      </c>
      <c r="JF51" s="33" t="n">
        <v>0</v>
      </c>
      <c r="JG51" s="33" t="n">
        <v>0</v>
      </c>
      <c r="JH51" s="33" t="n">
        <v>0</v>
      </c>
      <c r="JI51" s="33" t="n">
        <v>0</v>
      </c>
      <c r="JJ51" s="33" t="n">
        <v>0</v>
      </c>
      <c r="JK51" s="33" t="n">
        <v>0</v>
      </c>
      <c r="JL51" s="33" t="n">
        <v>0</v>
      </c>
      <c r="JM51" s="33" t="n">
        <v>0</v>
      </c>
      <c r="JN51" s="33" t="n">
        <v>0</v>
      </c>
      <c r="JO51" s="33" t="n">
        <v>0</v>
      </c>
      <c r="JP51" s="33" t="n">
        <v>0</v>
      </c>
      <c r="JQ51" s="33" t="n">
        <v>0</v>
      </c>
      <c r="JR51" s="33" t="n">
        <v>0</v>
      </c>
      <c r="JS51" s="33" t="n">
        <v>0</v>
      </c>
      <c r="JT51" s="33" t="n">
        <v>0</v>
      </c>
      <c r="JU51" s="33" t="n">
        <v>0</v>
      </c>
      <c r="JV51" s="33" t="n">
        <v>0</v>
      </c>
      <c r="JW51" s="33" t="n">
        <v>0</v>
      </c>
      <c r="JX51" s="33" t="n">
        <v>0</v>
      </c>
      <c r="JY51" s="33" t="n">
        <v>0</v>
      </c>
      <c r="JZ51" s="33" t="n">
        <v>0</v>
      </c>
      <c r="KA51" s="33" t="n">
        <v>0</v>
      </c>
      <c r="KB51" s="33" t="n">
        <v>0</v>
      </c>
      <c r="KC51" s="33" t="n">
        <v>0</v>
      </c>
      <c r="KD51" s="33" t="n">
        <v>0</v>
      </c>
      <c r="KE51" s="33" t="n">
        <v>0</v>
      </c>
      <c r="KF51" s="33" t="n">
        <v>0</v>
      </c>
      <c r="KG51" s="33" t="n">
        <v>0</v>
      </c>
      <c r="KH51" s="33" t="n">
        <v>0</v>
      </c>
      <c r="KI51" s="33" t="n">
        <v>0</v>
      </c>
      <c r="KJ51" s="33" t="n">
        <v>0</v>
      </c>
      <c r="KK51" s="33" t="n">
        <v>0</v>
      </c>
      <c r="KL51" s="33" t="n">
        <v>0</v>
      </c>
      <c r="KM51" s="33" t="n">
        <v>0</v>
      </c>
      <c r="KN51" s="33" t="n">
        <v>0</v>
      </c>
      <c r="KO51" s="33" t="n">
        <v>0</v>
      </c>
      <c r="KP51" s="33" t="n">
        <v>0</v>
      </c>
      <c r="KQ51" s="33" t="n">
        <v>0</v>
      </c>
      <c r="KR51" s="33" t="n">
        <v>0</v>
      </c>
      <c r="KS51" s="33" t="n">
        <v>0</v>
      </c>
      <c r="KT51" s="33" t="n">
        <v>0</v>
      </c>
      <c r="KU51" s="33" t="n">
        <v>0</v>
      </c>
      <c r="KV51" s="33" t="n">
        <v>0</v>
      </c>
      <c r="KW51" s="33" t="n">
        <v>0</v>
      </c>
      <c r="KX51" s="33" t="n">
        <v>0</v>
      </c>
      <c r="KY51" s="33" t="n">
        <v>0</v>
      </c>
      <c r="KZ51" s="33" t="n">
        <v>0</v>
      </c>
      <c r="LA51" s="33" t="n">
        <v>0</v>
      </c>
      <c r="LB51" s="33" t="n">
        <v>0</v>
      </c>
      <c r="LC51" s="33" t="n">
        <v>0</v>
      </c>
      <c r="LD51" s="33" t="n">
        <v>0</v>
      </c>
      <c r="LE51" s="33" t="n">
        <v>0</v>
      </c>
      <c r="LF51" s="33" t="n">
        <v>0</v>
      </c>
      <c r="LG51" s="33" t="n">
        <v>0</v>
      </c>
      <c r="LH51" s="33" t="n">
        <v>0</v>
      </c>
      <c r="LI51" s="33" t="n">
        <v>0</v>
      </c>
      <c r="LJ51" s="33" t="n">
        <v>0</v>
      </c>
      <c r="LK51" s="33" t="n">
        <v>0</v>
      </c>
      <c r="LL51" s="33" t="n">
        <v>0</v>
      </c>
      <c r="LM51" s="33" t="n">
        <v>0</v>
      </c>
      <c r="LN51" s="33" t="n">
        <v>0</v>
      </c>
      <c r="LO51" s="33" t="n">
        <v>0</v>
      </c>
      <c r="LP51" s="33" t="n">
        <v>0</v>
      </c>
      <c r="LQ51" s="33" t="n">
        <v>0</v>
      </c>
      <c r="LR51" s="33" t="n">
        <v>0</v>
      </c>
      <c r="LS51" s="33" t="n">
        <v>0</v>
      </c>
      <c r="LT51" s="33" t="n">
        <v>0</v>
      </c>
      <c r="LU51" s="33" t="n">
        <v>0</v>
      </c>
      <c r="LV51" s="33" t="n">
        <v>0</v>
      </c>
      <c r="LW51" s="33" t="n">
        <v>0</v>
      </c>
      <c r="LX51" s="33" t="n">
        <v>0</v>
      </c>
      <c r="LY51" s="33" t="n">
        <v>0</v>
      </c>
      <c r="LZ51" s="33" t="n">
        <v>0</v>
      </c>
      <c r="MA51" s="33" t="n">
        <v>0</v>
      </c>
      <c r="MB51" s="33" t="n">
        <v>0</v>
      </c>
      <c r="MC51" s="33" t="n">
        <v>0</v>
      </c>
      <c r="MD51" s="33" t="n">
        <v>0</v>
      </c>
      <c r="ME51" s="33" t="n">
        <v>0</v>
      </c>
      <c r="MF51" s="33" t="n">
        <v>0</v>
      </c>
      <c r="MG51" s="33" t="n">
        <v>0</v>
      </c>
      <c r="MH51" s="33" t="n">
        <v>0</v>
      </c>
      <c r="MI51" s="33" t="n">
        <v>0</v>
      </c>
      <c r="MJ51" s="33" t="n">
        <v>0</v>
      </c>
      <c r="MK51" s="33" t="n">
        <v>0</v>
      </c>
      <c r="ML51" s="33" t="n">
        <v>0</v>
      </c>
      <c r="MM51" s="33" t="n">
        <v>0</v>
      </c>
      <c r="MN51" s="33" t="n">
        <v>0</v>
      </c>
      <c r="MO51" s="33" t="n">
        <v>0</v>
      </c>
      <c r="MP51" s="33" t="n">
        <v>0</v>
      </c>
      <c r="MQ51" s="33" t="n">
        <v>0</v>
      </c>
      <c r="MR51" s="33" t="n">
        <v>0</v>
      </c>
      <c r="MS51" s="33" t="n">
        <v>0</v>
      </c>
      <c r="MT51" s="33" t="n">
        <v>0</v>
      </c>
      <c r="MU51" s="33" t="n">
        <v>0</v>
      </c>
      <c r="MV51" s="33" t="n">
        <v>0</v>
      </c>
      <c r="MW51" s="33" t="n">
        <v>0</v>
      </c>
      <c r="MX51" s="33" t="n">
        <v>0</v>
      </c>
      <c r="MY51" s="33" t="n">
        <v>0</v>
      </c>
      <c r="MZ51" s="33" t="n">
        <v>0</v>
      </c>
      <c r="NA51" s="33" t="n">
        <v>0</v>
      </c>
      <c r="NB51" s="33" t="n">
        <v>0</v>
      </c>
      <c r="NC51" s="33" t="n">
        <v>0</v>
      </c>
      <c r="ND51" s="33" t="n">
        <v>0</v>
      </c>
      <c r="NE51" s="33" t="n">
        <v>0</v>
      </c>
      <c r="NF51" s="33" t="n">
        <v>0</v>
      </c>
      <c r="NG51" s="33" t="n">
        <v>0</v>
      </c>
      <c r="NH51" s="33" t="n">
        <v>0</v>
      </c>
      <c r="NI51" s="33" t="n">
        <v>0</v>
      </c>
      <c r="NJ51" s="33" t="n">
        <v>0</v>
      </c>
      <c r="NK51" s="33" t="n">
        <v>0</v>
      </c>
      <c r="NL51" s="33" t="n">
        <v>0</v>
      </c>
      <c r="NM51" s="33" t="n">
        <v>0</v>
      </c>
      <c r="NN51" s="33" t="n">
        <v>0</v>
      </c>
      <c r="NO51" s="33" t="n">
        <v>0</v>
      </c>
      <c r="NP51" s="33" t="n">
        <v>0</v>
      </c>
      <c r="NQ51" s="33" t="n">
        <v>0</v>
      </c>
      <c r="NR51" s="33" t="n">
        <v>0</v>
      </c>
      <c r="NS51" s="33" t="n">
        <v>0</v>
      </c>
      <c r="NT51" s="33" t="n">
        <v>0</v>
      </c>
      <c r="NU51" s="33" t="n">
        <v>0</v>
      </c>
      <c r="NV51" s="33" t="n">
        <v>0</v>
      </c>
      <c r="NW51" s="33" t="n">
        <v>0</v>
      </c>
      <c r="NX51" s="33" t="n">
        <v>0</v>
      </c>
      <c r="NY51" s="33" t="n">
        <v>0</v>
      </c>
      <c r="NZ51" s="33" t="n">
        <v>0</v>
      </c>
      <c r="OA51" s="33" t="n">
        <v>0</v>
      </c>
      <c r="OB51" s="33" t="n">
        <v>0</v>
      </c>
      <c r="OC51" s="33" t="n">
        <v>0</v>
      </c>
      <c r="OD51" s="33" t="n">
        <v>0</v>
      </c>
      <c r="OE51" s="33" t="n">
        <v>0</v>
      </c>
      <c r="OF51" s="33" t="n">
        <v>0</v>
      </c>
      <c r="OG51" s="33" t="n">
        <v>0</v>
      </c>
      <c r="OH51" s="33" t="n">
        <v>0</v>
      </c>
      <c r="OI51" s="33" t="n">
        <v>0</v>
      </c>
      <c r="OJ51" s="33" t="n">
        <v>0</v>
      </c>
      <c r="OK51" s="33" t="n">
        <v>0</v>
      </c>
      <c r="OL51" s="33" t="n">
        <v>0</v>
      </c>
      <c r="OM51" s="33" t="n">
        <v>0</v>
      </c>
      <c r="ON51" s="33" t="n">
        <v>0</v>
      </c>
      <c r="OO51" s="33" t="n">
        <v>0</v>
      </c>
      <c r="OP51" s="33" t="n">
        <v>0</v>
      </c>
      <c r="OQ51" s="33" t="n">
        <v>0</v>
      </c>
      <c r="OR51" s="33" t="n">
        <v>0</v>
      </c>
      <c r="OS51" s="33" t="n">
        <v>0</v>
      </c>
      <c r="OT51" s="33" t="n">
        <v>0</v>
      </c>
      <c r="OU51" s="33" t="n">
        <v>0</v>
      </c>
      <c r="OV51" s="33" t="n">
        <v>0</v>
      </c>
      <c r="OW51" s="33" t="n">
        <v>0</v>
      </c>
      <c r="OX51" s="33" t="n">
        <v>0</v>
      </c>
      <c r="OY51" s="33" t="n">
        <v>0</v>
      </c>
      <c r="OZ51" s="33" t="n">
        <v>0</v>
      </c>
      <c r="PA51" s="33" t="n">
        <v>0</v>
      </c>
      <c r="PB51" s="33" t="n">
        <v>0</v>
      </c>
      <c r="PC51" s="33" t="n">
        <v>0</v>
      </c>
      <c r="PD51" s="33" t="n">
        <v>0</v>
      </c>
      <c r="PE51" s="33" t="n">
        <v>0</v>
      </c>
      <c r="PF51" s="33" t="n">
        <v>0</v>
      </c>
      <c r="PG51" s="33" t="n">
        <v>0</v>
      </c>
      <c r="PH51" s="33" t="n">
        <v>0</v>
      </c>
      <c r="PI51" s="33" t="n">
        <v>0</v>
      </c>
      <c r="PJ51" s="33" t="n">
        <v>0</v>
      </c>
      <c r="PK51" s="33" t="n">
        <v>0</v>
      </c>
      <c r="PL51" s="33" t="n">
        <v>0</v>
      </c>
      <c r="PM51" s="33" t="n">
        <v>0</v>
      </c>
      <c r="PN51" s="33" t="n">
        <v>0</v>
      </c>
      <c r="PO51" s="33" t="n">
        <v>0</v>
      </c>
      <c r="PP51" s="33" t="n">
        <v>0</v>
      </c>
      <c r="PQ51" s="33" t="n">
        <v>0</v>
      </c>
      <c r="PR51" s="33" t="n">
        <v>0</v>
      </c>
      <c r="PS51" s="33" t="n">
        <v>0</v>
      </c>
      <c r="PT51" s="33" t="n">
        <v>0</v>
      </c>
      <c r="PU51" s="33" t="n">
        <v>0</v>
      </c>
      <c r="PV51" s="33" t="n">
        <v>0</v>
      </c>
      <c r="PW51" s="33" t="n">
        <v>0</v>
      </c>
      <c r="PX51" s="33" t="n">
        <v>0</v>
      </c>
      <c r="PY51" s="33" t="n">
        <v>0</v>
      </c>
      <c r="PZ51" s="33" t="n">
        <v>0</v>
      </c>
      <c r="QA51" s="33" t="n">
        <v>0</v>
      </c>
      <c r="QB51" s="33" t="n">
        <v>0</v>
      </c>
      <c r="QC51" s="33" t="n">
        <v>0</v>
      </c>
      <c r="QD51" s="33" t="n">
        <v>0</v>
      </c>
      <c r="QE51" s="33" t="n">
        <v>0</v>
      </c>
      <c r="QF51" s="33" t="n">
        <v>0</v>
      </c>
      <c r="QG51" s="33" t="n">
        <v>0</v>
      </c>
      <c r="QH51" s="33" t="n">
        <v>0</v>
      </c>
      <c r="QI51" s="33" t="n">
        <v>0</v>
      </c>
      <c r="QJ51" s="33" t="n">
        <v>0</v>
      </c>
      <c r="QK51" s="33" t="n">
        <v>0</v>
      </c>
      <c r="QL51" s="33" t="n">
        <v>0</v>
      </c>
      <c r="QM51" s="33" t="n">
        <v>0</v>
      </c>
      <c r="QN51" s="33" t="n">
        <v>0</v>
      </c>
      <c r="QO51" s="33" t="n">
        <v>0</v>
      </c>
      <c r="QP51" s="33" t="n">
        <v>0</v>
      </c>
      <c r="QQ51" s="33" t="n">
        <v>0</v>
      </c>
      <c r="QR51" s="33" t="n">
        <v>0</v>
      </c>
      <c r="QS51" s="33" t="n">
        <v>0</v>
      </c>
      <c r="QT51" s="33" t="n">
        <v>0</v>
      </c>
      <c r="QU51" s="33" t="n">
        <v>0</v>
      </c>
      <c r="QV51" s="33" t="n">
        <v>0</v>
      </c>
      <c r="QW51" s="33" t="n">
        <v>0</v>
      </c>
      <c r="QX51" s="33" t="n">
        <v>0</v>
      </c>
      <c r="QY51" s="33" t="n">
        <v>0</v>
      </c>
      <c r="QZ51" s="33" t="n">
        <v>0</v>
      </c>
      <c r="RA51" s="33" t="n">
        <v>0</v>
      </c>
      <c r="RB51" s="33" t="n">
        <v>0</v>
      </c>
      <c r="RC51" s="33" t="n">
        <v>0</v>
      </c>
      <c r="RD51" s="33" t="n">
        <v>0</v>
      </c>
      <c r="RE51" s="33" t="n">
        <v>0</v>
      </c>
      <c r="RF51" s="33" t="n">
        <v>0</v>
      </c>
      <c r="RG51" s="33" t="n">
        <v>0</v>
      </c>
      <c r="RH51" s="33" t="n">
        <v>0</v>
      </c>
      <c r="RI51" s="33" t="n">
        <v>0</v>
      </c>
      <c r="RJ51" s="33" t="n">
        <v>0</v>
      </c>
      <c r="RK51" s="33" t="n">
        <v>0</v>
      </c>
      <c r="RL51" s="33" t="n">
        <v>0</v>
      </c>
      <c r="RM51" s="33" t="n">
        <v>0</v>
      </c>
      <c r="RN51" s="33" t="n">
        <v>0</v>
      </c>
      <c r="RO51" s="33" t="n">
        <v>0</v>
      </c>
      <c r="RP51" s="33" t="n">
        <v>0</v>
      </c>
      <c r="RQ51" s="33" t="n">
        <v>0</v>
      </c>
      <c r="RR51" s="33" t="n">
        <v>0</v>
      </c>
      <c r="RS51" s="33" t="n">
        <v>0</v>
      </c>
      <c r="RT51" s="33" t="n">
        <v>0</v>
      </c>
      <c r="RU51" s="33" t="n">
        <v>0</v>
      </c>
      <c r="RV51" s="33" t="n">
        <v>0</v>
      </c>
      <c r="RW51" s="33" t="n">
        <v>0</v>
      </c>
    </row>
    <row r="52" hidden="1" outlineLevel="1" ht="13.05" customHeight="1">
      <c r="E52" s="21" t="inlineStr">
        <is>
          <t>Total System Adjustments</t>
        </is>
      </c>
      <c r="F52" s="29" t="n"/>
      <c r="G52" s="29" t="inlineStr">
        <is>
          <t>kEUR</t>
        </is>
      </c>
      <c r="H52" s="29" t="n"/>
      <c r="I52" s="29" t="n"/>
      <c r="J52" s="32" t="n">
        <v>0</v>
      </c>
      <c r="K52" s="29" t="n"/>
      <c r="L52" s="33" t="n">
        <v>0</v>
      </c>
      <c r="M52" s="33" t="n">
        <v>0</v>
      </c>
      <c r="N52" s="33" t="n">
        <v>0</v>
      </c>
      <c r="O52" s="33" t="n">
        <v>0</v>
      </c>
      <c r="P52" s="33" t="n">
        <v>0</v>
      </c>
      <c r="Q52" s="33" t="n">
        <v>0</v>
      </c>
      <c r="R52" s="33" t="n">
        <v>0</v>
      </c>
      <c r="S52" s="33" t="n">
        <v>0</v>
      </c>
      <c r="T52" s="33" t="n">
        <v>0</v>
      </c>
      <c r="U52" s="33" t="n">
        <v>0</v>
      </c>
      <c r="V52" s="33" t="n">
        <v>0</v>
      </c>
      <c r="W52" s="33" t="n">
        <v>0</v>
      </c>
      <c r="X52" s="33" t="n">
        <v>0</v>
      </c>
      <c r="Y52" s="33" t="n">
        <v>0</v>
      </c>
      <c r="Z52" s="33" t="n">
        <v>0</v>
      </c>
      <c r="AA52" s="33" t="n">
        <v>0</v>
      </c>
      <c r="AB52" s="33" t="n">
        <v>0</v>
      </c>
      <c r="AC52" s="33" t="n">
        <v>0</v>
      </c>
      <c r="AD52" s="33" t="n">
        <v>0</v>
      </c>
      <c r="AE52" s="33" t="n">
        <v>0</v>
      </c>
      <c r="AF52" s="33" t="n">
        <v>0</v>
      </c>
      <c r="AG52" s="33" t="n">
        <v>0</v>
      </c>
      <c r="AH52" s="33" t="n">
        <v>0</v>
      </c>
      <c r="AI52" s="33" t="n">
        <v>0</v>
      </c>
      <c r="AJ52" s="33" t="n">
        <v>0</v>
      </c>
      <c r="AK52" s="33" t="n">
        <v>0</v>
      </c>
      <c r="AL52" s="33" t="n">
        <v>0</v>
      </c>
      <c r="AM52" s="33" t="n">
        <v>0</v>
      </c>
      <c r="AN52" s="33" t="n">
        <v>0</v>
      </c>
      <c r="AO52" s="33" t="n">
        <v>0</v>
      </c>
      <c r="AP52" s="33" t="n">
        <v>0</v>
      </c>
      <c r="AQ52" s="33" t="n">
        <v>0</v>
      </c>
      <c r="AR52" s="33" t="n">
        <v>0</v>
      </c>
      <c r="AS52" s="33" t="n">
        <v>0</v>
      </c>
      <c r="AT52" s="33" t="n">
        <v>0</v>
      </c>
      <c r="AU52" s="33" t="n">
        <v>0</v>
      </c>
      <c r="AV52" s="33" t="n">
        <v>0</v>
      </c>
      <c r="AW52" s="33" t="n">
        <v>0</v>
      </c>
      <c r="AX52" s="33" t="n">
        <v>0</v>
      </c>
      <c r="AY52" s="33" t="n">
        <v>0</v>
      </c>
      <c r="AZ52" s="33" t="n">
        <v>0</v>
      </c>
      <c r="BA52" s="33" t="n">
        <v>0</v>
      </c>
      <c r="BB52" s="33" t="n">
        <v>0</v>
      </c>
      <c r="BC52" s="33" t="n">
        <v>0</v>
      </c>
      <c r="BD52" s="33" t="n">
        <v>0</v>
      </c>
      <c r="BE52" s="33" t="n">
        <v>0</v>
      </c>
      <c r="BF52" s="33" t="n">
        <v>0</v>
      </c>
      <c r="BG52" s="33" t="n">
        <v>0</v>
      </c>
      <c r="BH52" s="33" t="n">
        <v>0</v>
      </c>
      <c r="BI52" s="33" t="n">
        <v>0</v>
      </c>
      <c r="BJ52" s="33" t="n">
        <v>0</v>
      </c>
      <c r="BK52" s="33" t="n">
        <v>0</v>
      </c>
      <c r="BL52" s="33" t="n">
        <v>0</v>
      </c>
      <c r="BM52" s="33" t="n">
        <v>0</v>
      </c>
      <c r="BN52" s="33" t="n">
        <v>0</v>
      </c>
      <c r="BO52" s="33" t="n">
        <v>0</v>
      </c>
      <c r="BP52" s="33" t="n">
        <v>0</v>
      </c>
      <c r="BQ52" s="33" t="n">
        <v>0</v>
      </c>
      <c r="BR52" s="33" t="n">
        <v>0</v>
      </c>
      <c r="BS52" s="33" t="n">
        <v>0</v>
      </c>
      <c r="BT52" s="33" t="n">
        <v>0</v>
      </c>
      <c r="BU52" s="33" t="n">
        <v>0</v>
      </c>
      <c r="BV52" s="33" t="n">
        <v>0</v>
      </c>
      <c r="BW52" s="33" t="n">
        <v>0</v>
      </c>
      <c r="BX52" s="33" t="n">
        <v>0</v>
      </c>
      <c r="BY52" s="33" t="n">
        <v>0</v>
      </c>
      <c r="BZ52" s="33" t="n">
        <v>0</v>
      </c>
      <c r="CA52" s="33" t="n">
        <v>0</v>
      </c>
      <c r="CB52" s="33" t="n">
        <v>0</v>
      </c>
      <c r="CC52" s="33" t="n">
        <v>0</v>
      </c>
      <c r="CD52" s="33" t="n">
        <v>0</v>
      </c>
      <c r="CE52" s="33" t="n">
        <v>0</v>
      </c>
      <c r="CF52" s="33" t="n">
        <v>0</v>
      </c>
      <c r="CG52" s="33" t="n">
        <v>0</v>
      </c>
      <c r="CH52" s="33" t="n">
        <v>0</v>
      </c>
      <c r="CI52" s="33" t="n">
        <v>0</v>
      </c>
      <c r="CJ52" s="33" t="n">
        <v>0</v>
      </c>
      <c r="CK52" s="33" t="n">
        <v>0</v>
      </c>
      <c r="CL52" s="33" t="n">
        <v>0</v>
      </c>
      <c r="CM52" s="33" t="n">
        <v>0</v>
      </c>
      <c r="CN52" s="33" t="n">
        <v>0</v>
      </c>
      <c r="CO52" s="33" t="n">
        <v>0</v>
      </c>
      <c r="CP52" s="33" t="n">
        <v>0</v>
      </c>
      <c r="CQ52" s="33" t="n">
        <v>0</v>
      </c>
      <c r="CR52" s="33" t="n">
        <v>0</v>
      </c>
      <c r="CS52" s="33" t="n">
        <v>0</v>
      </c>
      <c r="CT52" s="33" t="n">
        <v>0</v>
      </c>
      <c r="CU52" s="33" t="n">
        <v>0</v>
      </c>
      <c r="CV52" s="33" t="n">
        <v>0</v>
      </c>
      <c r="CW52" s="33" t="n">
        <v>0</v>
      </c>
      <c r="CX52" s="33" t="n">
        <v>0</v>
      </c>
      <c r="CY52" s="33" t="n">
        <v>0</v>
      </c>
      <c r="CZ52" s="33" t="n">
        <v>0</v>
      </c>
      <c r="DA52" s="33" t="n">
        <v>0</v>
      </c>
      <c r="DB52" s="33" t="n">
        <v>0</v>
      </c>
      <c r="DC52" s="33" t="n">
        <v>0</v>
      </c>
      <c r="DD52" s="33" t="n">
        <v>0</v>
      </c>
      <c r="DE52" s="33" t="n">
        <v>0</v>
      </c>
      <c r="DF52" s="33" t="n">
        <v>0</v>
      </c>
      <c r="DG52" s="33" t="n">
        <v>0</v>
      </c>
      <c r="DH52" s="33" t="n">
        <v>0</v>
      </c>
      <c r="DI52" s="33" t="n">
        <v>0</v>
      </c>
      <c r="DJ52" s="33" t="n">
        <v>0</v>
      </c>
      <c r="DK52" s="33" t="n">
        <v>0</v>
      </c>
      <c r="DL52" s="33" t="n">
        <v>0</v>
      </c>
      <c r="DM52" s="33" t="n">
        <v>0</v>
      </c>
      <c r="DN52" s="33" t="n">
        <v>0</v>
      </c>
      <c r="DO52" s="33" t="n">
        <v>0</v>
      </c>
      <c r="DP52" s="33" t="n">
        <v>0</v>
      </c>
      <c r="DQ52" s="33" t="n">
        <v>0</v>
      </c>
      <c r="DR52" s="33" t="n">
        <v>0</v>
      </c>
      <c r="DS52" s="33" t="n">
        <v>0</v>
      </c>
      <c r="DT52" s="33" t="n">
        <v>0</v>
      </c>
      <c r="DU52" s="33" t="n">
        <v>0</v>
      </c>
      <c r="DV52" s="33" t="n">
        <v>0</v>
      </c>
      <c r="DW52" s="33" t="n">
        <v>0</v>
      </c>
      <c r="DX52" s="33" t="n">
        <v>0</v>
      </c>
      <c r="DY52" s="33" t="n">
        <v>0</v>
      </c>
      <c r="DZ52" s="33" t="n">
        <v>0</v>
      </c>
      <c r="EA52" s="33" t="n">
        <v>0</v>
      </c>
      <c r="EB52" s="33" t="n">
        <v>0</v>
      </c>
      <c r="EC52" s="33" t="n">
        <v>0</v>
      </c>
      <c r="ED52" s="33" t="n">
        <v>0</v>
      </c>
      <c r="EE52" s="33" t="n">
        <v>0</v>
      </c>
      <c r="EF52" s="33" t="n">
        <v>0</v>
      </c>
      <c r="EG52" s="33" t="n">
        <v>0</v>
      </c>
      <c r="EH52" s="33" t="n">
        <v>0</v>
      </c>
      <c r="EI52" s="33" t="n">
        <v>0</v>
      </c>
      <c r="EJ52" s="33" t="n">
        <v>0</v>
      </c>
      <c r="EK52" s="33" t="n">
        <v>0</v>
      </c>
      <c r="EL52" s="33" t="n">
        <v>0</v>
      </c>
      <c r="EM52" s="33" t="n">
        <v>0</v>
      </c>
      <c r="EN52" s="33" t="n">
        <v>0</v>
      </c>
      <c r="EO52" s="33" t="n">
        <v>0</v>
      </c>
      <c r="EP52" s="33" t="n">
        <v>0</v>
      </c>
      <c r="EQ52" s="33" t="n">
        <v>0</v>
      </c>
      <c r="ER52" s="33" t="n">
        <v>0</v>
      </c>
      <c r="ES52" s="33" t="n">
        <v>0</v>
      </c>
      <c r="ET52" s="33" t="n">
        <v>0</v>
      </c>
      <c r="EU52" s="33" t="n">
        <v>0</v>
      </c>
      <c r="EV52" s="33" t="n">
        <v>0</v>
      </c>
      <c r="EW52" s="33" t="n">
        <v>0</v>
      </c>
      <c r="EX52" s="33" t="n">
        <v>0</v>
      </c>
      <c r="EY52" s="33" t="n">
        <v>0</v>
      </c>
      <c r="EZ52" s="33" t="n">
        <v>0</v>
      </c>
      <c r="FA52" s="33" t="n">
        <v>0</v>
      </c>
      <c r="FB52" s="33" t="n">
        <v>0</v>
      </c>
      <c r="FC52" s="33" t="n">
        <v>0</v>
      </c>
      <c r="FD52" s="33" t="n">
        <v>0</v>
      </c>
      <c r="FE52" s="33" t="n">
        <v>0</v>
      </c>
      <c r="FF52" s="33" t="n">
        <v>0</v>
      </c>
      <c r="FG52" s="33" t="n">
        <v>0</v>
      </c>
      <c r="FH52" s="33" t="n">
        <v>0</v>
      </c>
      <c r="FI52" s="33" t="n">
        <v>0</v>
      </c>
      <c r="FJ52" s="33" t="n">
        <v>0</v>
      </c>
      <c r="FK52" s="33" t="n">
        <v>0</v>
      </c>
      <c r="FL52" s="33" t="n">
        <v>0</v>
      </c>
      <c r="FM52" s="33" t="n">
        <v>0</v>
      </c>
      <c r="FN52" s="33" t="n">
        <v>0</v>
      </c>
      <c r="FO52" s="33" t="n">
        <v>0</v>
      </c>
      <c r="FP52" s="33" t="n">
        <v>0</v>
      </c>
      <c r="FQ52" s="33" t="n">
        <v>0</v>
      </c>
      <c r="FR52" s="33" t="n">
        <v>0</v>
      </c>
      <c r="FS52" s="33" t="n">
        <v>0</v>
      </c>
      <c r="FT52" s="33" t="n">
        <v>0</v>
      </c>
      <c r="FU52" s="33" t="n">
        <v>0</v>
      </c>
      <c r="FV52" s="33" t="n">
        <v>0</v>
      </c>
      <c r="FW52" s="33" t="n">
        <v>0</v>
      </c>
      <c r="FX52" s="33" t="n">
        <v>0</v>
      </c>
      <c r="FY52" s="33" t="n">
        <v>0</v>
      </c>
      <c r="FZ52" s="33" t="n">
        <v>0</v>
      </c>
      <c r="GA52" s="33" t="n">
        <v>0</v>
      </c>
      <c r="GB52" s="33" t="n">
        <v>0</v>
      </c>
      <c r="GC52" s="33" t="n">
        <v>0</v>
      </c>
      <c r="GD52" s="33" t="n">
        <v>0</v>
      </c>
      <c r="GE52" s="33" t="n">
        <v>0</v>
      </c>
      <c r="GF52" s="33" t="n">
        <v>0</v>
      </c>
      <c r="GG52" s="33" t="n">
        <v>0</v>
      </c>
      <c r="GH52" s="33" t="n">
        <v>0</v>
      </c>
      <c r="GI52" s="33" t="n">
        <v>0</v>
      </c>
      <c r="GJ52" s="33" t="n">
        <v>0</v>
      </c>
      <c r="GK52" s="33" t="n">
        <v>0</v>
      </c>
      <c r="GL52" s="33" t="n">
        <v>0</v>
      </c>
      <c r="GM52" s="33" t="n">
        <v>0</v>
      </c>
      <c r="GN52" s="33" t="n">
        <v>0</v>
      </c>
      <c r="GO52" s="33" t="n">
        <v>0</v>
      </c>
      <c r="GP52" s="33" t="n">
        <v>0</v>
      </c>
      <c r="GQ52" s="33" t="n">
        <v>0</v>
      </c>
      <c r="GR52" s="33" t="n">
        <v>0</v>
      </c>
      <c r="GS52" s="33" t="n">
        <v>0</v>
      </c>
      <c r="GT52" s="33" t="n">
        <v>0</v>
      </c>
      <c r="GU52" s="33" t="n">
        <v>0</v>
      </c>
      <c r="GV52" s="33" t="n">
        <v>0</v>
      </c>
      <c r="GW52" s="33" t="n">
        <v>0</v>
      </c>
      <c r="GX52" s="33" t="n">
        <v>0</v>
      </c>
      <c r="GY52" s="33" t="n">
        <v>0</v>
      </c>
      <c r="GZ52" s="33" t="n">
        <v>0</v>
      </c>
      <c r="HA52" s="33" t="n">
        <v>0</v>
      </c>
      <c r="HB52" s="33" t="n">
        <v>0</v>
      </c>
      <c r="HC52" s="33" t="n">
        <v>0</v>
      </c>
      <c r="HD52" s="33" t="n">
        <v>0</v>
      </c>
      <c r="HE52" s="33" t="n">
        <v>0</v>
      </c>
      <c r="HF52" s="33" t="n">
        <v>0</v>
      </c>
      <c r="HG52" s="33" t="n">
        <v>0</v>
      </c>
      <c r="HH52" s="33" t="n">
        <v>0</v>
      </c>
      <c r="HI52" s="33" t="n">
        <v>0</v>
      </c>
      <c r="HJ52" s="33" t="n">
        <v>0</v>
      </c>
      <c r="HK52" s="33" t="n">
        <v>0</v>
      </c>
      <c r="HL52" s="33" t="n">
        <v>0</v>
      </c>
      <c r="HM52" s="33" t="n">
        <v>0</v>
      </c>
      <c r="HN52" s="33" t="n">
        <v>0</v>
      </c>
      <c r="HO52" s="33" t="n">
        <v>0</v>
      </c>
      <c r="HP52" s="33" t="n">
        <v>0</v>
      </c>
      <c r="HQ52" s="33" t="n">
        <v>0</v>
      </c>
      <c r="HR52" s="33" t="n">
        <v>0</v>
      </c>
      <c r="HS52" s="33" t="n">
        <v>0</v>
      </c>
      <c r="HT52" s="33" t="n">
        <v>0</v>
      </c>
      <c r="HU52" s="33" t="n">
        <v>0</v>
      </c>
      <c r="HV52" s="33" t="n">
        <v>0</v>
      </c>
      <c r="HW52" s="33" t="n">
        <v>0</v>
      </c>
      <c r="HX52" s="33" t="n">
        <v>0</v>
      </c>
      <c r="HY52" s="33" t="n">
        <v>0</v>
      </c>
      <c r="HZ52" s="33" t="n">
        <v>0</v>
      </c>
      <c r="IA52" s="33" t="n">
        <v>0</v>
      </c>
      <c r="IB52" s="33" t="n">
        <v>0</v>
      </c>
      <c r="IC52" s="33" t="n">
        <v>0</v>
      </c>
      <c r="ID52" s="33" t="n">
        <v>0</v>
      </c>
      <c r="IE52" s="33" t="n">
        <v>0</v>
      </c>
      <c r="IF52" s="33" t="n">
        <v>0</v>
      </c>
      <c r="IG52" s="33" t="n">
        <v>0</v>
      </c>
      <c r="IH52" s="33" t="n">
        <v>0</v>
      </c>
      <c r="II52" s="33" t="n">
        <v>0</v>
      </c>
      <c r="IJ52" s="33" t="n">
        <v>0</v>
      </c>
      <c r="IK52" s="33" t="n">
        <v>0</v>
      </c>
      <c r="IL52" s="33" t="n">
        <v>0</v>
      </c>
      <c r="IM52" s="33" t="n">
        <v>0</v>
      </c>
      <c r="IN52" s="33" t="n">
        <v>0</v>
      </c>
      <c r="IO52" s="33" t="n">
        <v>0</v>
      </c>
      <c r="IP52" s="33" t="n">
        <v>0</v>
      </c>
      <c r="IQ52" s="33" t="n">
        <v>0</v>
      </c>
      <c r="IR52" s="33" t="n">
        <v>0</v>
      </c>
      <c r="IS52" s="33" t="n">
        <v>0</v>
      </c>
      <c r="IT52" s="33" t="n">
        <v>0</v>
      </c>
      <c r="IU52" s="33" t="n">
        <v>0</v>
      </c>
      <c r="IV52" s="33" t="n">
        <v>0</v>
      </c>
      <c r="IW52" s="33" t="n">
        <v>0</v>
      </c>
      <c r="IX52" s="33" t="n">
        <v>0</v>
      </c>
      <c r="IY52" s="33" t="n">
        <v>0</v>
      </c>
      <c r="IZ52" s="33" t="n">
        <v>0</v>
      </c>
      <c r="JA52" s="33" t="n">
        <v>0</v>
      </c>
      <c r="JB52" s="33" t="n">
        <v>0</v>
      </c>
      <c r="JC52" s="33" t="n">
        <v>0</v>
      </c>
      <c r="JD52" s="33" t="n">
        <v>0</v>
      </c>
      <c r="JE52" s="33" t="n">
        <v>0</v>
      </c>
      <c r="JF52" s="33" t="n">
        <v>0</v>
      </c>
      <c r="JG52" s="33" t="n">
        <v>0</v>
      </c>
      <c r="JH52" s="33" t="n">
        <v>0</v>
      </c>
      <c r="JI52" s="33" t="n">
        <v>0</v>
      </c>
      <c r="JJ52" s="33" t="n">
        <v>0</v>
      </c>
      <c r="JK52" s="33" t="n">
        <v>0</v>
      </c>
      <c r="JL52" s="33" t="n">
        <v>0</v>
      </c>
      <c r="JM52" s="33" t="n">
        <v>0</v>
      </c>
      <c r="JN52" s="33" t="n">
        <v>0</v>
      </c>
      <c r="JO52" s="33" t="n">
        <v>0</v>
      </c>
      <c r="JP52" s="33" t="n">
        <v>0</v>
      </c>
      <c r="JQ52" s="33" t="n">
        <v>0</v>
      </c>
      <c r="JR52" s="33" t="n">
        <v>0</v>
      </c>
      <c r="JS52" s="33" t="n">
        <v>0</v>
      </c>
      <c r="JT52" s="33" t="n">
        <v>0</v>
      </c>
      <c r="JU52" s="33" t="n">
        <v>0</v>
      </c>
      <c r="JV52" s="33" t="n">
        <v>0</v>
      </c>
      <c r="JW52" s="33" t="n">
        <v>0</v>
      </c>
      <c r="JX52" s="33" t="n">
        <v>0</v>
      </c>
      <c r="JY52" s="33" t="n">
        <v>0</v>
      </c>
      <c r="JZ52" s="33" t="n">
        <v>0</v>
      </c>
      <c r="KA52" s="33" t="n">
        <v>0</v>
      </c>
      <c r="KB52" s="33" t="n">
        <v>0</v>
      </c>
      <c r="KC52" s="33" t="n">
        <v>0</v>
      </c>
      <c r="KD52" s="33" t="n">
        <v>0</v>
      </c>
      <c r="KE52" s="33" t="n">
        <v>0</v>
      </c>
      <c r="KF52" s="33" t="n">
        <v>0</v>
      </c>
      <c r="KG52" s="33" t="n">
        <v>0</v>
      </c>
      <c r="KH52" s="33" t="n">
        <v>0</v>
      </c>
      <c r="KI52" s="33" t="n">
        <v>0</v>
      </c>
      <c r="KJ52" s="33" t="n">
        <v>0</v>
      </c>
      <c r="KK52" s="33" t="n">
        <v>0</v>
      </c>
      <c r="KL52" s="33" t="n">
        <v>0</v>
      </c>
      <c r="KM52" s="33" t="n">
        <v>0</v>
      </c>
      <c r="KN52" s="33" t="n">
        <v>0</v>
      </c>
      <c r="KO52" s="33" t="n">
        <v>0</v>
      </c>
      <c r="KP52" s="33" t="n">
        <v>0</v>
      </c>
      <c r="KQ52" s="33" t="n">
        <v>0</v>
      </c>
      <c r="KR52" s="33" t="n">
        <v>0</v>
      </c>
      <c r="KS52" s="33" t="n">
        <v>0</v>
      </c>
      <c r="KT52" s="33" t="n">
        <v>0</v>
      </c>
      <c r="KU52" s="33" t="n">
        <v>0</v>
      </c>
      <c r="KV52" s="33" t="n">
        <v>0</v>
      </c>
      <c r="KW52" s="33" t="n">
        <v>0</v>
      </c>
      <c r="KX52" s="33" t="n">
        <v>0</v>
      </c>
      <c r="KY52" s="33" t="n">
        <v>0</v>
      </c>
      <c r="KZ52" s="33" t="n">
        <v>0</v>
      </c>
      <c r="LA52" s="33" t="n">
        <v>0</v>
      </c>
      <c r="LB52" s="33" t="n">
        <v>0</v>
      </c>
      <c r="LC52" s="33" t="n">
        <v>0</v>
      </c>
      <c r="LD52" s="33" t="n">
        <v>0</v>
      </c>
      <c r="LE52" s="33" t="n">
        <v>0</v>
      </c>
      <c r="LF52" s="33" t="n">
        <v>0</v>
      </c>
      <c r="LG52" s="33" t="n">
        <v>0</v>
      </c>
      <c r="LH52" s="33" t="n">
        <v>0</v>
      </c>
      <c r="LI52" s="33" t="n">
        <v>0</v>
      </c>
      <c r="LJ52" s="33" t="n">
        <v>0</v>
      </c>
      <c r="LK52" s="33" t="n">
        <v>0</v>
      </c>
      <c r="LL52" s="33" t="n">
        <v>0</v>
      </c>
      <c r="LM52" s="33" t="n">
        <v>0</v>
      </c>
      <c r="LN52" s="33" t="n">
        <v>0</v>
      </c>
      <c r="LO52" s="33" t="n">
        <v>0</v>
      </c>
      <c r="LP52" s="33" t="n">
        <v>0</v>
      </c>
      <c r="LQ52" s="33" t="n">
        <v>0</v>
      </c>
      <c r="LR52" s="33" t="n">
        <v>0</v>
      </c>
      <c r="LS52" s="33" t="n">
        <v>0</v>
      </c>
      <c r="LT52" s="33" t="n">
        <v>0</v>
      </c>
      <c r="LU52" s="33" t="n">
        <v>0</v>
      </c>
      <c r="LV52" s="33" t="n">
        <v>0</v>
      </c>
      <c r="LW52" s="33" t="n">
        <v>0</v>
      </c>
      <c r="LX52" s="33" t="n">
        <v>0</v>
      </c>
      <c r="LY52" s="33" t="n">
        <v>0</v>
      </c>
      <c r="LZ52" s="33" t="n">
        <v>0</v>
      </c>
      <c r="MA52" s="33" t="n">
        <v>0</v>
      </c>
      <c r="MB52" s="33" t="n">
        <v>0</v>
      </c>
      <c r="MC52" s="33" t="n">
        <v>0</v>
      </c>
      <c r="MD52" s="33" t="n">
        <v>0</v>
      </c>
      <c r="ME52" s="33" t="n">
        <v>0</v>
      </c>
      <c r="MF52" s="33" t="n">
        <v>0</v>
      </c>
      <c r="MG52" s="33" t="n">
        <v>0</v>
      </c>
      <c r="MH52" s="33" t="n">
        <v>0</v>
      </c>
      <c r="MI52" s="33" t="n">
        <v>0</v>
      </c>
      <c r="MJ52" s="33" t="n">
        <v>0</v>
      </c>
      <c r="MK52" s="33" t="n">
        <v>0</v>
      </c>
      <c r="ML52" s="33" t="n">
        <v>0</v>
      </c>
      <c r="MM52" s="33" t="n">
        <v>0</v>
      </c>
      <c r="MN52" s="33" t="n">
        <v>0</v>
      </c>
      <c r="MO52" s="33" t="n">
        <v>0</v>
      </c>
      <c r="MP52" s="33" t="n">
        <v>0</v>
      </c>
      <c r="MQ52" s="33" t="n">
        <v>0</v>
      </c>
      <c r="MR52" s="33" t="n">
        <v>0</v>
      </c>
      <c r="MS52" s="33" t="n">
        <v>0</v>
      </c>
      <c r="MT52" s="33" t="n">
        <v>0</v>
      </c>
      <c r="MU52" s="33" t="n">
        <v>0</v>
      </c>
      <c r="MV52" s="33" t="n">
        <v>0</v>
      </c>
      <c r="MW52" s="33" t="n">
        <v>0</v>
      </c>
      <c r="MX52" s="33" t="n">
        <v>0</v>
      </c>
      <c r="MY52" s="33" t="n">
        <v>0</v>
      </c>
      <c r="MZ52" s="33" t="n">
        <v>0</v>
      </c>
      <c r="NA52" s="33" t="n">
        <v>0</v>
      </c>
      <c r="NB52" s="33" t="n">
        <v>0</v>
      </c>
      <c r="NC52" s="33" t="n">
        <v>0</v>
      </c>
      <c r="ND52" s="33" t="n">
        <v>0</v>
      </c>
      <c r="NE52" s="33" t="n">
        <v>0</v>
      </c>
      <c r="NF52" s="33" t="n">
        <v>0</v>
      </c>
      <c r="NG52" s="33" t="n">
        <v>0</v>
      </c>
      <c r="NH52" s="33" t="n">
        <v>0</v>
      </c>
      <c r="NI52" s="33" t="n">
        <v>0</v>
      </c>
      <c r="NJ52" s="33" t="n">
        <v>0</v>
      </c>
      <c r="NK52" s="33" t="n">
        <v>0</v>
      </c>
      <c r="NL52" s="33" t="n">
        <v>0</v>
      </c>
      <c r="NM52" s="33" t="n">
        <v>0</v>
      </c>
      <c r="NN52" s="33" t="n">
        <v>0</v>
      </c>
      <c r="NO52" s="33" t="n">
        <v>0</v>
      </c>
      <c r="NP52" s="33" t="n">
        <v>0</v>
      </c>
      <c r="NQ52" s="33" t="n">
        <v>0</v>
      </c>
      <c r="NR52" s="33" t="n">
        <v>0</v>
      </c>
      <c r="NS52" s="33" t="n">
        <v>0</v>
      </c>
      <c r="NT52" s="33" t="n">
        <v>0</v>
      </c>
      <c r="NU52" s="33" t="n">
        <v>0</v>
      </c>
      <c r="NV52" s="33" t="n">
        <v>0</v>
      </c>
      <c r="NW52" s="33" t="n">
        <v>0</v>
      </c>
      <c r="NX52" s="33" t="n">
        <v>0</v>
      </c>
      <c r="NY52" s="33" t="n">
        <v>0</v>
      </c>
      <c r="NZ52" s="33" t="n">
        <v>0</v>
      </c>
      <c r="OA52" s="33" t="n">
        <v>0</v>
      </c>
      <c r="OB52" s="33" t="n">
        <v>0</v>
      </c>
      <c r="OC52" s="33" t="n">
        <v>0</v>
      </c>
      <c r="OD52" s="33" t="n">
        <v>0</v>
      </c>
      <c r="OE52" s="33" t="n">
        <v>0</v>
      </c>
      <c r="OF52" s="33" t="n">
        <v>0</v>
      </c>
      <c r="OG52" s="33" t="n">
        <v>0</v>
      </c>
      <c r="OH52" s="33" t="n">
        <v>0</v>
      </c>
      <c r="OI52" s="33" t="n">
        <v>0</v>
      </c>
      <c r="OJ52" s="33" t="n">
        <v>0</v>
      </c>
      <c r="OK52" s="33" t="n">
        <v>0</v>
      </c>
      <c r="OL52" s="33" t="n">
        <v>0</v>
      </c>
      <c r="OM52" s="33" t="n">
        <v>0</v>
      </c>
      <c r="ON52" s="33" t="n">
        <v>0</v>
      </c>
      <c r="OO52" s="33" t="n">
        <v>0</v>
      </c>
      <c r="OP52" s="33" t="n">
        <v>0</v>
      </c>
      <c r="OQ52" s="33" t="n">
        <v>0</v>
      </c>
      <c r="OR52" s="33" t="n">
        <v>0</v>
      </c>
      <c r="OS52" s="33" t="n">
        <v>0</v>
      </c>
      <c r="OT52" s="33" t="n">
        <v>0</v>
      </c>
      <c r="OU52" s="33" t="n">
        <v>0</v>
      </c>
      <c r="OV52" s="33" t="n">
        <v>0</v>
      </c>
      <c r="OW52" s="33" t="n">
        <v>0</v>
      </c>
      <c r="OX52" s="33" t="n">
        <v>0</v>
      </c>
      <c r="OY52" s="33" t="n">
        <v>0</v>
      </c>
      <c r="OZ52" s="33" t="n">
        <v>0</v>
      </c>
      <c r="PA52" s="33" t="n">
        <v>0</v>
      </c>
      <c r="PB52" s="33" t="n">
        <v>0</v>
      </c>
      <c r="PC52" s="33" t="n">
        <v>0</v>
      </c>
      <c r="PD52" s="33" t="n">
        <v>0</v>
      </c>
      <c r="PE52" s="33" t="n">
        <v>0</v>
      </c>
      <c r="PF52" s="33" t="n">
        <v>0</v>
      </c>
      <c r="PG52" s="33" t="n">
        <v>0</v>
      </c>
      <c r="PH52" s="33" t="n">
        <v>0</v>
      </c>
      <c r="PI52" s="33" t="n">
        <v>0</v>
      </c>
      <c r="PJ52" s="33" t="n">
        <v>0</v>
      </c>
      <c r="PK52" s="33" t="n">
        <v>0</v>
      </c>
      <c r="PL52" s="33" t="n">
        <v>0</v>
      </c>
      <c r="PM52" s="33" t="n">
        <v>0</v>
      </c>
      <c r="PN52" s="33" t="n">
        <v>0</v>
      </c>
      <c r="PO52" s="33" t="n">
        <v>0</v>
      </c>
      <c r="PP52" s="33" t="n">
        <v>0</v>
      </c>
      <c r="PQ52" s="33" t="n">
        <v>0</v>
      </c>
      <c r="PR52" s="33" t="n">
        <v>0</v>
      </c>
      <c r="PS52" s="33" t="n">
        <v>0</v>
      </c>
      <c r="PT52" s="33" t="n">
        <v>0</v>
      </c>
      <c r="PU52" s="33" t="n">
        <v>0</v>
      </c>
      <c r="PV52" s="33" t="n">
        <v>0</v>
      </c>
      <c r="PW52" s="33" t="n">
        <v>0</v>
      </c>
      <c r="PX52" s="33" t="n">
        <v>0</v>
      </c>
      <c r="PY52" s="33" t="n">
        <v>0</v>
      </c>
      <c r="PZ52" s="33" t="n">
        <v>0</v>
      </c>
      <c r="QA52" s="33" t="n">
        <v>0</v>
      </c>
      <c r="QB52" s="33" t="n">
        <v>0</v>
      </c>
      <c r="QC52" s="33" t="n">
        <v>0</v>
      </c>
      <c r="QD52" s="33" t="n">
        <v>0</v>
      </c>
      <c r="QE52" s="33" t="n">
        <v>0</v>
      </c>
      <c r="QF52" s="33" t="n">
        <v>0</v>
      </c>
      <c r="QG52" s="33" t="n">
        <v>0</v>
      </c>
      <c r="QH52" s="33" t="n">
        <v>0</v>
      </c>
      <c r="QI52" s="33" t="n">
        <v>0</v>
      </c>
      <c r="QJ52" s="33" t="n">
        <v>0</v>
      </c>
      <c r="QK52" s="33" t="n">
        <v>0</v>
      </c>
      <c r="QL52" s="33" t="n">
        <v>0</v>
      </c>
      <c r="QM52" s="33" t="n">
        <v>0</v>
      </c>
      <c r="QN52" s="33" t="n">
        <v>0</v>
      </c>
      <c r="QO52" s="33" t="n">
        <v>0</v>
      </c>
      <c r="QP52" s="33" t="n">
        <v>0</v>
      </c>
      <c r="QQ52" s="33" t="n">
        <v>0</v>
      </c>
      <c r="QR52" s="33" t="n">
        <v>0</v>
      </c>
      <c r="QS52" s="33" t="n">
        <v>0</v>
      </c>
      <c r="QT52" s="33" t="n">
        <v>0</v>
      </c>
      <c r="QU52" s="33" t="n">
        <v>0</v>
      </c>
      <c r="QV52" s="33" t="n">
        <v>0</v>
      </c>
      <c r="QW52" s="33" t="n">
        <v>0</v>
      </c>
      <c r="QX52" s="33" t="n">
        <v>0</v>
      </c>
      <c r="QY52" s="33" t="n">
        <v>0</v>
      </c>
      <c r="QZ52" s="33" t="n">
        <v>0</v>
      </c>
      <c r="RA52" s="33" t="n">
        <v>0</v>
      </c>
      <c r="RB52" s="33" t="n">
        <v>0</v>
      </c>
      <c r="RC52" s="33" t="n">
        <v>0</v>
      </c>
      <c r="RD52" s="33" t="n">
        <v>0</v>
      </c>
      <c r="RE52" s="33" t="n">
        <v>0</v>
      </c>
      <c r="RF52" s="33" t="n">
        <v>0</v>
      </c>
      <c r="RG52" s="33" t="n">
        <v>0</v>
      </c>
      <c r="RH52" s="33" t="n">
        <v>0</v>
      </c>
      <c r="RI52" s="33" t="n">
        <v>0</v>
      </c>
      <c r="RJ52" s="33" t="n">
        <v>0</v>
      </c>
      <c r="RK52" s="33" t="n">
        <v>0</v>
      </c>
      <c r="RL52" s="33" t="n">
        <v>0</v>
      </c>
      <c r="RM52" s="33" t="n">
        <v>0</v>
      </c>
      <c r="RN52" s="33" t="n">
        <v>0</v>
      </c>
      <c r="RO52" s="33" t="n">
        <v>0</v>
      </c>
      <c r="RP52" s="33" t="n">
        <v>0</v>
      </c>
      <c r="RQ52" s="33" t="n">
        <v>0</v>
      </c>
      <c r="RR52" s="33" t="n">
        <v>0</v>
      </c>
      <c r="RS52" s="33" t="n">
        <v>0</v>
      </c>
      <c r="RT52" s="33" t="n">
        <v>0</v>
      </c>
      <c r="RU52" s="33" t="n">
        <v>0</v>
      </c>
      <c r="RV52" s="33" t="n">
        <v>0</v>
      </c>
      <c r="RW52" s="33" t="n">
        <v>0</v>
      </c>
    </row>
    <row r="53" hidden="1" outlineLevel="1" ht="13.05" customHeight="1">
      <c r="E53" s="21" t="inlineStr">
        <is>
          <t>BESS Net (ex-Multimarket)</t>
        </is>
      </c>
      <c r="F53" s="29" t="n"/>
      <c r="G53" s="29" t="inlineStr">
        <is>
          <t>kEUR</t>
        </is>
      </c>
      <c r="H53" s="29" t="n"/>
      <c r="I53" s="29" t="n"/>
      <c r="J53" s="32" t="n">
        <v>1638982</v>
      </c>
      <c r="K53" s="29" t="n"/>
      <c r="L53" s="33" t="n">
        <v>0</v>
      </c>
      <c r="M53" s="33" t="n">
        <v>0</v>
      </c>
      <c r="N53" s="33" t="n">
        <v>0</v>
      </c>
      <c r="O53" s="33" t="n">
        <v>0</v>
      </c>
      <c r="P53" s="33" t="n">
        <v>0</v>
      </c>
      <c r="Q53" s="33" t="n">
        <v>0</v>
      </c>
      <c r="R53" s="33" t="n">
        <v>0</v>
      </c>
      <c r="S53" s="33" t="n">
        <v>0</v>
      </c>
      <c r="T53" s="33" t="n">
        <v>0</v>
      </c>
      <c r="U53" s="33" t="n">
        <v>0</v>
      </c>
      <c r="V53" s="33" t="n">
        <v>0</v>
      </c>
      <c r="W53" s="33" t="n">
        <v>0</v>
      </c>
      <c r="X53" s="33" t="n">
        <v>0</v>
      </c>
      <c r="Y53" s="33" t="n">
        <v>0</v>
      </c>
      <c r="Z53" s="33" t="n">
        <v>0</v>
      </c>
      <c r="AA53" s="33" t="n">
        <v>0</v>
      </c>
      <c r="AB53" s="33" t="n">
        <v>0</v>
      </c>
      <c r="AC53" s="33" t="n">
        <v>0</v>
      </c>
      <c r="AD53" s="33" t="n">
        <v>0</v>
      </c>
      <c r="AE53" s="33" t="n">
        <v>0</v>
      </c>
      <c r="AF53" s="33" t="n">
        <v>0</v>
      </c>
      <c r="AG53" s="33" t="n">
        <v>0</v>
      </c>
      <c r="AH53" s="33" t="n">
        <v>0</v>
      </c>
      <c r="AI53" s="33" t="n">
        <v>0</v>
      </c>
      <c r="AJ53" s="33" t="n">
        <v>0</v>
      </c>
      <c r="AK53" s="33" t="n">
        <v>0</v>
      </c>
      <c r="AL53" s="33" t="n">
        <v>0</v>
      </c>
      <c r="AM53" s="33" t="n">
        <v>0</v>
      </c>
      <c r="AN53" s="33" t="n">
        <v>0</v>
      </c>
      <c r="AO53" s="33" t="n">
        <v>0</v>
      </c>
      <c r="AP53" s="33" t="n">
        <v>0</v>
      </c>
      <c r="AQ53" s="33" t="n">
        <v>0</v>
      </c>
      <c r="AR53" s="33" t="n">
        <v>0</v>
      </c>
      <c r="AS53" s="33" t="n">
        <v>0</v>
      </c>
      <c r="AT53" s="33" t="n">
        <v>0</v>
      </c>
      <c r="AU53" s="33" t="n">
        <v>0</v>
      </c>
      <c r="AV53" s="33" t="n">
        <v>0</v>
      </c>
      <c r="AW53" s="33" t="n">
        <v>0</v>
      </c>
      <c r="AX53" s="33" t="n">
        <v>0</v>
      </c>
      <c r="AY53" s="33" t="n">
        <v>0</v>
      </c>
      <c r="AZ53" s="33" t="n">
        <v>0</v>
      </c>
      <c r="BA53" s="33" t="n">
        <v>0</v>
      </c>
      <c r="BB53" s="33" t="n">
        <v>0</v>
      </c>
      <c r="BC53" s="33" t="n">
        <v>0</v>
      </c>
      <c r="BD53" s="33" t="n">
        <v>0</v>
      </c>
      <c r="BE53" s="33" t="n">
        <v>0</v>
      </c>
      <c r="BF53" s="33" t="n">
        <v>0</v>
      </c>
      <c r="BG53" s="33" t="n">
        <v>0</v>
      </c>
      <c r="BH53" s="33" t="n">
        <v>0</v>
      </c>
      <c r="BI53" s="33" t="n">
        <v>0</v>
      </c>
      <c r="BJ53" s="33" t="n">
        <v>0</v>
      </c>
      <c r="BK53" s="33" t="n">
        <v>0</v>
      </c>
      <c r="BL53" s="33" t="n">
        <v>0</v>
      </c>
      <c r="BM53" s="33" t="n">
        <v>0</v>
      </c>
      <c r="BN53" s="33" t="n">
        <v>0</v>
      </c>
      <c r="BO53" s="33" t="n">
        <v>0</v>
      </c>
      <c r="BP53" s="33" t="n">
        <v>0</v>
      </c>
      <c r="BQ53" s="33" t="n">
        <v>0</v>
      </c>
      <c r="BR53" s="33" t="n">
        <v>0</v>
      </c>
      <c r="BS53" s="33" t="n">
        <v>0</v>
      </c>
      <c r="BT53" s="33" t="n">
        <v>0</v>
      </c>
      <c r="BU53" s="33" t="n">
        <v>0</v>
      </c>
      <c r="BV53" s="33" t="n">
        <v>0</v>
      </c>
      <c r="BW53" s="33" t="n">
        <v>0</v>
      </c>
      <c r="BX53" s="33" t="n">
        <v>0</v>
      </c>
      <c r="BY53" s="33" t="n">
        <v>0</v>
      </c>
      <c r="BZ53" s="33" t="n">
        <v>0</v>
      </c>
      <c r="CA53" s="33" t="n">
        <v>0</v>
      </c>
      <c r="CB53" s="33" t="n">
        <v>0</v>
      </c>
      <c r="CC53" s="33" t="n">
        <v>0</v>
      </c>
      <c r="CD53" s="33" t="n">
        <v>0</v>
      </c>
      <c r="CE53" s="33" t="n">
        <v>0</v>
      </c>
      <c r="CF53" s="33" t="n">
        <v>0</v>
      </c>
      <c r="CG53" s="33" t="n">
        <v>0</v>
      </c>
      <c r="CH53" s="33" t="n">
        <v>0</v>
      </c>
      <c r="CI53" s="33" t="n">
        <v>0</v>
      </c>
      <c r="CJ53" s="33" t="n">
        <v>0</v>
      </c>
      <c r="CK53" s="33" t="n">
        <v>0</v>
      </c>
      <c r="CL53" s="33" t="n">
        <v>0</v>
      </c>
      <c r="CM53" s="33" t="n">
        <v>0</v>
      </c>
      <c r="CN53" s="33" t="n">
        <v>0</v>
      </c>
      <c r="CO53" s="33" t="n">
        <v>0</v>
      </c>
      <c r="CP53" s="33" t="n">
        <v>0</v>
      </c>
      <c r="CQ53" s="33" t="n">
        <v>0</v>
      </c>
      <c r="CR53" s="33" t="n">
        <v>14573.16666666667</v>
      </c>
      <c r="CS53" s="33" t="n">
        <v>14573.16666666667</v>
      </c>
      <c r="CT53" s="33" t="n">
        <v>14573.16666666667</v>
      </c>
      <c r="CU53" s="33" t="n">
        <v>14573.16666666667</v>
      </c>
      <c r="CV53" s="33" t="n">
        <v>14573.16666666667</v>
      </c>
      <c r="CW53" s="33" t="n">
        <v>14573.16666666667</v>
      </c>
      <c r="CX53" s="33" t="n">
        <v>14573.16666666667</v>
      </c>
      <c r="CY53" s="33" t="n">
        <v>14573.16666666667</v>
      </c>
      <c r="CZ53" s="33" t="n">
        <v>14573.16666666667</v>
      </c>
      <c r="DA53" s="33" t="n">
        <v>14573.16666666667</v>
      </c>
      <c r="DB53" s="33" t="n">
        <v>14573.16666666667</v>
      </c>
      <c r="DC53" s="33" t="n">
        <v>14573.16666666667</v>
      </c>
      <c r="DD53" s="33" t="n">
        <v>5843.666666666667</v>
      </c>
      <c r="DE53" s="33" t="n">
        <v>5843.666666666667</v>
      </c>
      <c r="DF53" s="33" t="n">
        <v>5843.666666666667</v>
      </c>
      <c r="DG53" s="33" t="n">
        <v>5843.666666666667</v>
      </c>
      <c r="DH53" s="33" t="n">
        <v>5843.666666666667</v>
      </c>
      <c r="DI53" s="33" t="n">
        <v>5843.666666666667</v>
      </c>
      <c r="DJ53" s="33" t="n">
        <v>5843.666666666667</v>
      </c>
      <c r="DK53" s="33" t="n">
        <v>5843.666666666667</v>
      </c>
      <c r="DL53" s="33" t="n">
        <v>5843.666666666667</v>
      </c>
      <c r="DM53" s="33" t="n">
        <v>5843.666666666667</v>
      </c>
      <c r="DN53" s="33" t="n">
        <v>5843.666666666667</v>
      </c>
      <c r="DO53" s="33" t="n">
        <v>5843.666666666667</v>
      </c>
      <c r="DP53" s="33" t="n">
        <v>6092.25</v>
      </c>
      <c r="DQ53" s="33" t="n">
        <v>6092.25</v>
      </c>
      <c r="DR53" s="33" t="n">
        <v>6092.25</v>
      </c>
      <c r="DS53" s="33" t="n">
        <v>6092.25</v>
      </c>
      <c r="DT53" s="33" t="n">
        <v>6092.25</v>
      </c>
      <c r="DU53" s="33" t="n">
        <v>6092.25</v>
      </c>
      <c r="DV53" s="33" t="n">
        <v>6092.25</v>
      </c>
      <c r="DW53" s="33" t="n">
        <v>6092.25</v>
      </c>
      <c r="DX53" s="33" t="n">
        <v>6092.25</v>
      </c>
      <c r="DY53" s="33" t="n">
        <v>6092.25</v>
      </c>
      <c r="DZ53" s="33" t="n">
        <v>6092.25</v>
      </c>
      <c r="EA53" s="33" t="n">
        <v>6092.25</v>
      </c>
      <c r="EB53" s="33" t="n">
        <v>7547.75</v>
      </c>
      <c r="EC53" s="33" t="n">
        <v>7547.75</v>
      </c>
      <c r="ED53" s="33" t="n">
        <v>7547.75</v>
      </c>
      <c r="EE53" s="33" t="n">
        <v>7547.75</v>
      </c>
      <c r="EF53" s="33" t="n">
        <v>7547.75</v>
      </c>
      <c r="EG53" s="33" t="n">
        <v>7547.75</v>
      </c>
      <c r="EH53" s="33" t="n">
        <v>7547.75</v>
      </c>
      <c r="EI53" s="33" t="n">
        <v>7547.75</v>
      </c>
      <c r="EJ53" s="33" t="n">
        <v>7547.75</v>
      </c>
      <c r="EK53" s="33" t="n">
        <v>7547.75</v>
      </c>
      <c r="EL53" s="33" t="n">
        <v>7547.75</v>
      </c>
      <c r="EM53" s="33" t="n">
        <v>7547.75</v>
      </c>
      <c r="EN53" s="33" t="n">
        <v>5439.333333333333</v>
      </c>
      <c r="EO53" s="33" t="n">
        <v>5439.333333333333</v>
      </c>
      <c r="EP53" s="33" t="n">
        <v>5439.333333333333</v>
      </c>
      <c r="EQ53" s="33" t="n">
        <v>5439.333333333333</v>
      </c>
      <c r="ER53" s="33" t="n">
        <v>5439.333333333333</v>
      </c>
      <c r="ES53" s="33" t="n">
        <v>5439.333333333333</v>
      </c>
      <c r="ET53" s="33" t="n">
        <v>5439.333333333333</v>
      </c>
      <c r="EU53" s="33" t="n">
        <v>5439.333333333333</v>
      </c>
      <c r="EV53" s="33" t="n">
        <v>5439.333333333333</v>
      </c>
      <c r="EW53" s="33" t="n">
        <v>5439.333333333333</v>
      </c>
      <c r="EX53" s="33" t="n">
        <v>5439.333333333333</v>
      </c>
      <c r="EY53" s="33" t="n">
        <v>5439.333333333333</v>
      </c>
      <c r="EZ53" s="33" t="n">
        <v>6333.25</v>
      </c>
      <c r="FA53" s="33" t="n">
        <v>6333.25</v>
      </c>
      <c r="FB53" s="33" t="n">
        <v>6333.25</v>
      </c>
      <c r="FC53" s="33" t="n">
        <v>6333.25</v>
      </c>
      <c r="FD53" s="33" t="n">
        <v>6333.25</v>
      </c>
      <c r="FE53" s="33" t="n">
        <v>6333.25</v>
      </c>
      <c r="FF53" s="33" t="n">
        <v>6333.25</v>
      </c>
      <c r="FG53" s="33" t="n">
        <v>6333.25</v>
      </c>
      <c r="FH53" s="33" t="n">
        <v>6333.25</v>
      </c>
      <c r="FI53" s="33" t="n">
        <v>6333.25</v>
      </c>
      <c r="FJ53" s="33" t="n">
        <v>6333.25</v>
      </c>
      <c r="FK53" s="33" t="n">
        <v>6333.25</v>
      </c>
      <c r="FL53" s="33" t="n">
        <v>8570.416666666666</v>
      </c>
      <c r="FM53" s="33" t="n">
        <v>8570.416666666666</v>
      </c>
      <c r="FN53" s="33" t="n">
        <v>8570.416666666666</v>
      </c>
      <c r="FO53" s="33" t="n">
        <v>8570.416666666666</v>
      </c>
      <c r="FP53" s="33" t="n">
        <v>8570.416666666666</v>
      </c>
      <c r="FQ53" s="33" t="n">
        <v>8570.416666666666</v>
      </c>
      <c r="FR53" s="33" t="n">
        <v>8570.416666666666</v>
      </c>
      <c r="FS53" s="33" t="n">
        <v>8570.416666666666</v>
      </c>
      <c r="FT53" s="33" t="n">
        <v>8570.416666666666</v>
      </c>
      <c r="FU53" s="33" t="n">
        <v>8570.416666666666</v>
      </c>
      <c r="FV53" s="33" t="n">
        <v>8570.416666666666</v>
      </c>
      <c r="FW53" s="33" t="n">
        <v>8570.416666666666</v>
      </c>
      <c r="FX53" s="33" t="n">
        <v>5819.25</v>
      </c>
      <c r="FY53" s="33" t="n">
        <v>5819.25</v>
      </c>
      <c r="FZ53" s="33" t="n">
        <v>5819.25</v>
      </c>
      <c r="GA53" s="33" t="n">
        <v>5819.25</v>
      </c>
      <c r="GB53" s="33" t="n">
        <v>5819.25</v>
      </c>
      <c r="GC53" s="33" t="n">
        <v>5819.25</v>
      </c>
      <c r="GD53" s="33" t="n">
        <v>5819.25</v>
      </c>
      <c r="GE53" s="33" t="n">
        <v>5819.25</v>
      </c>
      <c r="GF53" s="33" t="n">
        <v>5819.25</v>
      </c>
      <c r="GG53" s="33" t="n">
        <v>5819.25</v>
      </c>
      <c r="GH53" s="33" t="n">
        <v>5819.25</v>
      </c>
      <c r="GI53" s="33" t="n">
        <v>5819.25</v>
      </c>
      <c r="GJ53" s="33" t="n">
        <v>5581.583333333333</v>
      </c>
      <c r="GK53" s="33" t="n">
        <v>5581.583333333333</v>
      </c>
      <c r="GL53" s="33" t="n">
        <v>5581.583333333333</v>
      </c>
      <c r="GM53" s="33" t="n">
        <v>5581.583333333333</v>
      </c>
      <c r="GN53" s="33" t="n">
        <v>5581.583333333333</v>
      </c>
      <c r="GO53" s="33" t="n">
        <v>5581.583333333333</v>
      </c>
      <c r="GP53" s="33" t="n">
        <v>5581.583333333333</v>
      </c>
      <c r="GQ53" s="33" t="n">
        <v>5581.583333333333</v>
      </c>
      <c r="GR53" s="33" t="n">
        <v>5581.583333333333</v>
      </c>
      <c r="GS53" s="33" t="n">
        <v>5581.583333333333</v>
      </c>
      <c r="GT53" s="33" t="n">
        <v>5581.583333333333</v>
      </c>
      <c r="GU53" s="33" t="n">
        <v>5581.583333333333</v>
      </c>
      <c r="GV53" s="33" t="n">
        <v>8526.833333333334</v>
      </c>
      <c r="GW53" s="33" t="n">
        <v>8526.833333333334</v>
      </c>
      <c r="GX53" s="33" t="n">
        <v>8526.833333333334</v>
      </c>
      <c r="GY53" s="33" t="n">
        <v>8526.833333333334</v>
      </c>
      <c r="GZ53" s="33" t="n">
        <v>8526.833333333334</v>
      </c>
      <c r="HA53" s="33" t="n">
        <v>8526.833333333334</v>
      </c>
      <c r="HB53" s="33" t="n">
        <v>8526.833333333334</v>
      </c>
      <c r="HC53" s="33" t="n">
        <v>8526.833333333334</v>
      </c>
      <c r="HD53" s="33" t="n">
        <v>8526.833333333334</v>
      </c>
      <c r="HE53" s="33" t="n">
        <v>8526.833333333334</v>
      </c>
      <c r="HF53" s="33" t="n">
        <v>8526.833333333334</v>
      </c>
      <c r="HG53" s="33" t="n">
        <v>8526.833333333334</v>
      </c>
      <c r="HH53" s="33" t="n">
        <v>5934.083333333333</v>
      </c>
      <c r="HI53" s="33" t="n">
        <v>5934.083333333333</v>
      </c>
      <c r="HJ53" s="33" t="n">
        <v>5934.083333333333</v>
      </c>
      <c r="HK53" s="33" t="n">
        <v>5934.083333333333</v>
      </c>
      <c r="HL53" s="33" t="n">
        <v>5934.083333333333</v>
      </c>
      <c r="HM53" s="33" t="n">
        <v>5934.083333333333</v>
      </c>
      <c r="HN53" s="33" t="n">
        <v>5934.083333333333</v>
      </c>
      <c r="HO53" s="33" t="n">
        <v>5934.083333333333</v>
      </c>
      <c r="HP53" s="33" t="n">
        <v>5934.083333333333</v>
      </c>
      <c r="HQ53" s="33" t="n">
        <v>5934.083333333333</v>
      </c>
      <c r="HR53" s="33" t="n">
        <v>5934.083333333333</v>
      </c>
      <c r="HS53" s="33" t="n">
        <v>5934.083333333333</v>
      </c>
      <c r="HT53" s="33" t="n">
        <v>5902.75</v>
      </c>
      <c r="HU53" s="33" t="n">
        <v>5902.75</v>
      </c>
      <c r="HV53" s="33" t="n">
        <v>5902.75</v>
      </c>
      <c r="HW53" s="33" t="n">
        <v>5902.75</v>
      </c>
      <c r="HX53" s="33" t="n">
        <v>5902.75</v>
      </c>
      <c r="HY53" s="33" t="n">
        <v>5902.75</v>
      </c>
      <c r="HZ53" s="33" t="n">
        <v>5902.75</v>
      </c>
      <c r="IA53" s="33" t="n">
        <v>5902.75</v>
      </c>
      <c r="IB53" s="33" t="n">
        <v>5902.75</v>
      </c>
      <c r="IC53" s="33" t="n">
        <v>5902.75</v>
      </c>
      <c r="ID53" s="33" t="n">
        <v>5902.75</v>
      </c>
      <c r="IE53" s="33" t="n">
        <v>5902.75</v>
      </c>
      <c r="IF53" s="33" t="n">
        <v>8060.333333333333</v>
      </c>
      <c r="IG53" s="33" t="n">
        <v>8060.333333333333</v>
      </c>
      <c r="IH53" s="33" t="n">
        <v>8060.333333333333</v>
      </c>
      <c r="II53" s="33" t="n">
        <v>8060.333333333333</v>
      </c>
      <c r="IJ53" s="33" t="n">
        <v>8060.333333333333</v>
      </c>
      <c r="IK53" s="33" t="n">
        <v>8060.333333333333</v>
      </c>
      <c r="IL53" s="33" t="n">
        <v>8060.333333333333</v>
      </c>
      <c r="IM53" s="33" t="n">
        <v>8060.333333333333</v>
      </c>
      <c r="IN53" s="33" t="n">
        <v>8060.333333333333</v>
      </c>
      <c r="IO53" s="33" t="n">
        <v>8060.333333333333</v>
      </c>
      <c r="IP53" s="33" t="n">
        <v>8060.333333333333</v>
      </c>
      <c r="IQ53" s="33" t="n">
        <v>8060.333333333333</v>
      </c>
      <c r="IR53" s="33" t="n">
        <v>5454.083333333333</v>
      </c>
      <c r="IS53" s="33" t="n">
        <v>5454.083333333333</v>
      </c>
      <c r="IT53" s="33" t="n">
        <v>5454.083333333333</v>
      </c>
      <c r="IU53" s="33" t="n">
        <v>5454.083333333333</v>
      </c>
      <c r="IV53" s="33" t="n">
        <v>5454.083333333333</v>
      </c>
      <c r="IW53" s="33" t="n">
        <v>5454.083333333333</v>
      </c>
      <c r="IX53" s="33" t="n">
        <v>5454.083333333333</v>
      </c>
      <c r="IY53" s="33" t="n">
        <v>5454.083333333333</v>
      </c>
      <c r="IZ53" s="33" t="n">
        <v>5454.083333333333</v>
      </c>
      <c r="JA53" s="33" t="n">
        <v>5454.083333333333</v>
      </c>
      <c r="JB53" s="33" t="n">
        <v>5454.083333333333</v>
      </c>
      <c r="JC53" s="33" t="n">
        <v>5454.083333333333</v>
      </c>
      <c r="JD53" s="33" t="n">
        <v>5862.5</v>
      </c>
      <c r="JE53" s="33" t="n">
        <v>5862.5</v>
      </c>
      <c r="JF53" s="33" t="n">
        <v>5862.5</v>
      </c>
      <c r="JG53" s="33" t="n">
        <v>5862.5</v>
      </c>
      <c r="JH53" s="33" t="n">
        <v>5862.5</v>
      </c>
      <c r="JI53" s="33" t="n">
        <v>5862.5</v>
      </c>
      <c r="JJ53" s="33" t="n">
        <v>5862.5</v>
      </c>
      <c r="JK53" s="33" t="n">
        <v>5862.5</v>
      </c>
      <c r="JL53" s="33" t="n">
        <v>5862.5</v>
      </c>
      <c r="JM53" s="33" t="n">
        <v>5862.5</v>
      </c>
      <c r="JN53" s="33" t="n">
        <v>5862.5</v>
      </c>
      <c r="JO53" s="33" t="n">
        <v>5862.5</v>
      </c>
      <c r="JP53" s="33" t="n">
        <v>8309.916666666666</v>
      </c>
      <c r="JQ53" s="33" t="n">
        <v>8309.916666666666</v>
      </c>
      <c r="JR53" s="33" t="n">
        <v>8309.916666666666</v>
      </c>
      <c r="JS53" s="33" t="n">
        <v>8309.916666666666</v>
      </c>
      <c r="JT53" s="33" t="n">
        <v>8309.916666666666</v>
      </c>
      <c r="JU53" s="33" t="n">
        <v>8309.916666666666</v>
      </c>
      <c r="JV53" s="33" t="n">
        <v>8309.916666666666</v>
      </c>
      <c r="JW53" s="33" t="n">
        <v>8309.916666666666</v>
      </c>
      <c r="JX53" s="33" t="n">
        <v>8309.916666666666</v>
      </c>
      <c r="JY53" s="33" t="n">
        <v>8309.916666666666</v>
      </c>
      <c r="JZ53" s="33" t="n">
        <v>8309.916666666666</v>
      </c>
      <c r="KA53" s="33" t="n">
        <v>8309.916666666666</v>
      </c>
      <c r="KB53" s="33" t="n">
        <v>5143.583333333333</v>
      </c>
      <c r="KC53" s="33" t="n">
        <v>5143.583333333333</v>
      </c>
      <c r="KD53" s="33" t="n">
        <v>5143.583333333333</v>
      </c>
      <c r="KE53" s="33" t="n">
        <v>5143.583333333333</v>
      </c>
      <c r="KF53" s="33" t="n">
        <v>5143.583333333333</v>
      </c>
      <c r="KG53" s="33" t="n">
        <v>5143.583333333333</v>
      </c>
      <c r="KH53" s="33" t="n">
        <v>5143.583333333333</v>
      </c>
      <c r="KI53" s="33" t="n">
        <v>5143.583333333333</v>
      </c>
      <c r="KJ53" s="33" t="n">
        <v>5143.583333333333</v>
      </c>
      <c r="KK53" s="33" t="n">
        <v>5143.583333333333</v>
      </c>
      <c r="KL53" s="33" t="n">
        <v>5143.583333333333</v>
      </c>
      <c r="KM53" s="33" t="n">
        <v>5143.583333333333</v>
      </c>
      <c r="KN53" s="33" t="n">
        <v>5062.166666666667</v>
      </c>
      <c r="KO53" s="33" t="n">
        <v>5062.166666666667</v>
      </c>
      <c r="KP53" s="33" t="n">
        <v>5062.166666666667</v>
      </c>
      <c r="KQ53" s="33" t="n">
        <v>5062.166666666667</v>
      </c>
      <c r="KR53" s="33" t="n">
        <v>5062.166666666667</v>
      </c>
      <c r="KS53" s="33" t="n">
        <v>5062.166666666667</v>
      </c>
      <c r="KT53" s="33" t="n">
        <v>5062.166666666667</v>
      </c>
      <c r="KU53" s="33" t="n">
        <v>5062.166666666667</v>
      </c>
      <c r="KV53" s="33" t="n">
        <v>5062.166666666667</v>
      </c>
      <c r="KW53" s="33" t="n">
        <v>5062.166666666667</v>
      </c>
      <c r="KX53" s="33" t="n">
        <v>5062.166666666667</v>
      </c>
      <c r="KY53" s="33" t="n">
        <v>5062.166666666667</v>
      </c>
      <c r="KZ53" s="33" t="n">
        <v>8152.416666666667</v>
      </c>
      <c r="LA53" s="33" t="n">
        <v>8152.416666666667</v>
      </c>
      <c r="LB53" s="33" t="n">
        <v>8152.416666666667</v>
      </c>
      <c r="LC53" s="33" t="n">
        <v>8152.416666666667</v>
      </c>
      <c r="LD53" s="33" t="n">
        <v>8152.416666666667</v>
      </c>
      <c r="LE53" s="33" t="n">
        <v>8152.416666666667</v>
      </c>
      <c r="LF53" s="33" t="n">
        <v>8152.416666666667</v>
      </c>
      <c r="LG53" s="33" t="n">
        <v>8152.416666666667</v>
      </c>
      <c r="LH53" s="33" t="n">
        <v>8152.416666666667</v>
      </c>
      <c r="LI53" s="33" t="n">
        <v>8152.416666666667</v>
      </c>
      <c r="LJ53" s="33" t="n">
        <v>8152.416666666667</v>
      </c>
      <c r="LK53" s="33" t="n">
        <v>8152.416666666667</v>
      </c>
      <c r="LL53" s="33" t="n">
        <v>4770</v>
      </c>
      <c r="LM53" s="33" t="n">
        <v>4770</v>
      </c>
      <c r="LN53" s="33" t="n">
        <v>4770</v>
      </c>
      <c r="LO53" s="33" t="n">
        <v>4770</v>
      </c>
      <c r="LP53" s="33" t="n">
        <v>4770</v>
      </c>
      <c r="LQ53" s="33" t="n">
        <v>4770</v>
      </c>
      <c r="LR53" s="33" t="n">
        <v>4770</v>
      </c>
      <c r="LS53" s="33" t="n">
        <v>4770</v>
      </c>
      <c r="LT53" s="33" t="n">
        <v>4770</v>
      </c>
      <c r="LU53" s="33" t="n">
        <v>4770</v>
      </c>
      <c r="LV53" s="33" t="n">
        <v>4770</v>
      </c>
      <c r="LW53" s="33" t="n">
        <v>0</v>
      </c>
      <c r="LX53" s="33" t="n">
        <v>0</v>
      </c>
      <c r="LY53" s="33" t="n">
        <v>0</v>
      </c>
      <c r="LZ53" s="33" t="n">
        <v>0</v>
      </c>
      <c r="MA53" s="33" t="n">
        <v>0</v>
      </c>
      <c r="MB53" s="33" t="n">
        <v>0</v>
      </c>
      <c r="MC53" s="33" t="n">
        <v>0</v>
      </c>
      <c r="MD53" s="33" t="n">
        <v>0</v>
      </c>
      <c r="ME53" s="33" t="n">
        <v>0</v>
      </c>
      <c r="MF53" s="33" t="n">
        <v>0</v>
      </c>
      <c r="MG53" s="33" t="n">
        <v>0</v>
      </c>
      <c r="MH53" s="33" t="n">
        <v>0</v>
      </c>
      <c r="MI53" s="33" t="n">
        <v>0</v>
      </c>
      <c r="MJ53" s="33" t="n">
        <v>0</v>
      </c>
      <c r="MK53" s="33" t="n">
        <v>0</v>
      </c>
      <c r="ML53" s="33" t="n">
        <v>0</v>
      </c>
      <c r="MM53" s="33" t="n">
        <v>0</v>
      </c>
      <c r="MN53" s="33" t="n">
        <v>0</v>
      </c>
      <c r="MO53" s="33" t="n">
        <v>0</v>
      </c>
      <c r="MP53" s="33" t="n">
        <v>0</v>
      </c>
      <c r="MQ53" s="33" t="n">
        <v>0</v>
      </c>
      <c r="MR53" s="33" t="n">
        <v>0</v>
      </c>
      <c r="MS53" s="33" t="n">
        <v>0</v>
      </c>
      <c r="MT53" s="33" t="n">
        <v>0</v>
      </c>
      <c r="MU53" s="33" t="n">
        <v>0</v>
      </c>
      <c r="MV53" s="33" t="n">
        <v>0</v>
      </c>
      <c r="MW53" s="33" t="n">
        <v>0</v>
      </c>
      <c r="MX53" s="33" t="n">
        <v>0</v>
      </c>
      <c r="MY53" s="33" t="n">
        <v>0</v>
      </c>
      <c r="MZ53" s="33" t="n">
        <v>0</v>
      </c>
      <c r="NA53" s="33" t="n">
        <v>0</v>
      </c>
      <c r="NB53" s="33" t="n">
        <v>0</v>
      </c>
      <c r="NC53" s="33" t="n">
        <v>0</v>
      </c>
      <c r="ND53" s="33" t="n">
        <v>0</v>
      </c>
      <c r="NE53" s="33" t="n">
        <v>0</v>
      </c>
      <c r="NF53" s="33" t="n">
        <v>0</v>
      </c>
      <c r="NG53" s="33" t="n">
        <v>0</v>
      </c>
      <c r="NH53" s="33" t="n">
        <v>0</v>
      </c>
      <c r="NI53" s="33" t="n">
        <v>0</v>
      </c>
      <c r="NJ53" s="33" t="n">
        <v>0</v>
      </c>
      <c r="NK53" s="33" t="n">
        <v>0</v>
      </c>
      <c r="NL53" s="33" t="n">
        <v>0</v>
      </c>
      <c r="NM53" s="33" t="n">
        <v>0</v>
      </c>
      <c r="NN53" s="33" t="n">
        <v>0</v>
      </c>
      <c r="NO53" s="33" t="n">
        <v>0</v>
      </c>
      <c r="NP53" s="33" t="n">
        <v>0</v>
      </c>
      <c r="NQ53" s="33" t="n">
        <v>0</v>
      </c>
      <c r="NR53" s="33" t="n">
        <v>0</v>
      </c>
      <c r="NS53" s="33" t="n">
        <v>0</v>
      </c>
      <c r="NT53" s="33" t="n">
        <v>0</v>
      </c>
      <c r="NU53" s="33" t="n">
        <v>0</v>
      </c>
      <c r="NV53" s="33" t="n">
        <v>0</v>
      </c>
      <c r="NW53" s="33" t="n">
        <v>0</v>
      </c>
      <c r="NX53" s="33" t="n">
        <v>0</v>
      </c>
      <c r="NY53" s="33" t="n">
        <v>0</v>
      </c>
      <c r="NZ53" s="33" t="n">
        <v>0</v>
      </c>
      <c r="OA53" s="33" t="n">
        <v>0</v>
      </c>
      <c r="OB53" s="33" t="n">
        <v>0</v>
      </c>
      <c r="OC53" s="33" t="n">
        <v>0</v>
      </c>
      <c r="OD53" s="33" t="n">
        <v>0</v>
      </c>
      <c r="OE53" s="33" t="n">
        <v>0</v>
      </c>
      <c r="OF53" s="33" t="n">
        <v>0</v>
      </c>
      <c r="OG53" s="33" t="n">
        <v>0</v>
      </c>
      <c r="OH53" s="33" t="n">
        <v>0</v>
      </c>
      <c r="OI53" s="33" t="n">
        <v>0</v>
      </c>
      <c r="OJ53" s="33" t="n">
        <v>0</v>
      </c>
      <c r="OK53" s="33" t="n">
        <v>0</v>
      </c>
      <c r="OL53" s="33" t="n">
        <v>0</v>
      </c>
      <c r="OM53" s="33" t="n">
        <v>0</v>
      </c>
      <c r="ON53" s="33" t="n">
        <v>0</v>
      </c>
      <c r="OO53" s="33" t="n">
        <v>0</v>
      </c>
      <c r="OP53" s="33" t="n">
        <v>0</v>
      </c>
      <c r="OQ53" s="33" t="n">
        <v>0</v>
      </c>
      <c r="OR53" s="33" t="n">
        <v>0</v>
      </c>
      <c r="OS53" s="33" t="n">
        <v>0</v>
      </c>
      <c r="OT53" s="33" t="n">
        <v>0</v>
      </c>
      <c r="OU53" s="33" t="n">
        <v>0</v>
      </c>
      <c r="OV53" s="33" t="n">
        <v>0</v>
      </c>
      <c r="OW53" s="33" t="n">
        <v>0</v>
      </c>
      <c r="OX53" s="33" t="n">
        <v>0</v>
      </c>
      <c r="OY53" s="33" t="n">
        <v>0</v>
      </c>
      <c r="OZ53" s="33" t="n">
        <v>0</v>
      </c>
      <c r="PA53" s="33" t="n">
        <v>0</v>
      </c>
      <c r="PB53" s="33" t="n">
        <v>0</v>
      </c>
      <c r="PC53" s="33" t="n">
        <v>0</v>
      </c>
      <c r="PD53" s="33" t="n">
        <v>0</v>
      </c>
      <c r="PE53" s="33" t="n">
        <v>0</v>
      </c>
      <c r="PF53" s="33" t="n">
        <v>0</v>
      </c>
      <c r="PG53" s="33" t="n">
        <v>0</v>
      </c>
      <c r="PH53" s="33" t="n">
        <v>0</v>
      </c>
      <c r="PI53" s="33" t="n">
        <v>0</v>
      </c>
      <c r="PJ53" s="33" t="n">
        <v>0</v>
      </c>
      <c r="PK53" s="33" t="n">
        <v>0</v>
      </c>
      <c r="PL53" s="33" t="n">
        <v>0</v>
      </c>
      <c r="PM53" s="33" t="n">
        <v>0</v>
      </c>
      <c r="PN53" s="33" t="n">
        <v>0</v>
      </c>
      <c r="PO53" s="33" t="n">
        <v>0</v>
      </c>
      <c r="PP53" s="33" t="n">
        <v>0</v>
      </c>
      <c r="PQ53" s="33" t="n">
        <v>0</v>
      </c>
      <c r="PR53" s="33" t="n">
        <v>0</v>
      </c>
      <c r="PS53" s="33" t="n">
        <v>0</v>
      </c>
      <c r="PT53" s="33" t="n">
        <v>0</v>
      </c>
      <c r="PU53" s="33" t="n">
        <v>0</v>
      </c>
      <c r="PV53" s="33" t="n">
        <v>0</v>
      </c>
      <c r="PW53" s="33" t="n">
        <v>0</v>
      </c>
      <c r="PX53" s="33" t="n">
        <v>0</v>
      </c>
      <c r="PY53" s="33" t="n">
        <v>0</v>
      </c>
      <c r="PZ53" s="33" t="n">
        <v>0</v>
      </c>
      <c r="QA53" s="33" t="n">
        <v>0</v>
      </c>
      <c r="QB53" s="33" t="n">
        <v>0</v>
      </c>
      <c r="QC53" s="33" t="n">
        <v>0</v>
      </c>
      <c r="QD53" s="33" t="n">
        <v>0</v>
      </c>
      <c r="QE53" s="33" t="n">
        <v>0</v>
      </c>
      <c r="QF53" s="33" t="n">
        <v>0</v>
      </c>
      <c r="QG53" s="33" t="n">
        <v>0</v>
      </c>
      <c r="QH53" s="33" t="n">
        <v>0</v>
      </c>
      <c r="QI53" s="33" t="n">
        <v>0</v>
      </c>
      <c r="QJ53" s="33" t="n">
        <v>0</v>
      </c>
      <c r="QK53" s="33" t="n">
        <v>0</v>
      </c>
      <c r="QL53" s="33" t="n">
        <v>0</v>
      </c>
      <c r="QM53" s="33" t="n">
        <v>0</v>
      </c>
      <c r="QN53" s="33" t="n">
        <v>0</v>
      </c>
      <c r="QO53" s="33" t="n">
        <v>0</v>
      </c>
      <c r="QP53" s="33" t="n">
        <v>0</v>
      </c>
      <c r="QQ53" s="33" t="n">
        <v>0</v>
      </c>
      <c r="QR53" s="33" t="n">
        <v>0</v>
      </c>
      <c r="QS53" s="33" t="n">
        <v>0</v>
      </c>
      <c r="QT53" s="33" t="n">
        <v>0</v>
      </c>
      <c r="QU53" s="33" t="n">
        <v>0</v>
      </c>
      <c r="QV53" s="33" t="n">
        <v>0</v>
      </c>
      <c r="QW53" s="33" t="n">
        <v>0</v>
      </c>
      <c r="QX53" s="33" t="n">
        <v>0</v>
      </c>
      <c r="QY53" s="33" t="n">
        <v>0</v>
      </c>
      <c r="QZ53" s="33" t="n">
        <v>0</v>
      </c>
      <c r="RA53" s="33" t="n">
        <v>0</v>
      </c>
      <c r="RB53" s="33" t="n">
        <v>0</v>
      </c>
      <c r="RC53" s="33" t="n">
        <v>0</v>
      </c>
      <c r="RD53" s="33" t="n">
        <v>0</v>
      </c>
      <c r="RE53" s="33" t="n">
        <v>0</v>
      </c>
      <c r="RF53" s="33" t="n">
        <v>0</v>
      </c>
      <c r="RG53" s="33" t="n">
        <v>0</v>
      </c>
      <c r="RH53" s="33" t="n">
        <v>0</v>
      </c>
      <c r="RI53" s="33" t="n">
        <v>0</v>
      </c>
      <c r="RJ53" s="33" t="n">
        <v>0</v>
      </c>
      <c r="RK53" s="33" t="n">
        <v>0</v>
      </c>
      <c r="RL53" s="33" t="n">
        <v>0</v>
      </c>
      <c r="RM53" s="33" t="n">
        <v>0</v>
      </c>
      <c r="RN53" s="33" t="n">
        <v>0</v>
      </c>
      <c r="RO53" s="33" t="n">
        <v>0</v>
      </c>
      <c r="RP53" s="33" t="n">
        <v>0</v>
      </c>
      <c r="RQ53" s="33" t="n">
        <v>0</v>
      </c>
      <c r="RR53" s="33" t="n">
        <v>0</v>
      </c>
      <c r="RS53" s="33" t="n">
        <v>0</v>
      </c>
      <c r="RT53" s="33" t="n">
        <v>0</v>
      </c>
      <c r="RU53" s="33" t="n">
        <v>0</v>
      </c>
      <c r="RV53" s="33" t="n">
        <v>0</v>
      </c>
      <c r="RW53" s="33" t="n">
        <v>0</v>
      </c>
    </row>
    <row r="54" hidden="1" outlineLevel="1" ht="13.05" customHeight="1">
      <c r="E54" s="21" t="inlineStr">
        <is>
          <t>Multimarket Revenue</t>
        </is>
      </c>
      <c r="F54" s="29" t="n"/>
      <c r="G54" s="29" t="inlineStr">
        <is>
          <t>kEUR</t>
        </is>
      </c>
      <c r="H54" s="29" t="n"/>
      <c r="I54" s="29" t="n"/>
      <c r="J54" s="32" t="n">
        <v>0</v>
      </c>
      <c r="K54" s="29" t="n"/>
      <c r="L54" s="33" t="n">
        <v>0</v>
      </c>
      <c r="M54" s="33" t="n">
        <v>0</v>
      </c>
      <c r="N54" s="33" t="n">
        <v>0</v>
      </c>
      <c r="O54" s="33" t="n">
        <v>0</v>
      </c>
      <c r="P54" s="33" t="n">
        <v>0</v>
      </c>
      <c r="Q54" s="33" t="n">
        <v>0</v>
      </c>
      <c r="R54" s="33" t="n">
        <v>0</v>
      </c>
      <c r="S54" s="33" t="n">
        <v>0</v>
      </c>
      <c r="T54" s="33" t="n">
        <v>0</v>
      </c>
      <c r="U54" s="33" t="n">
        <v>0</v>
      </c>
      <c r="V54" s="33" t="n">
        <v>0</v>
      </c>
      <c r="W54" s="33" t="n">
        <v>0</v>
      </c>
      <c r="X54" s="33" t="n">
        <v>0</v>
      </c>
      <c r="Y54" s="33" t="n">
        <v>0</v>
      </c>
      <c r="Z54" s="33" t="n">
        <v>0</v>
      </c>
      <c r="AA54" s="33" t="n">
        <v>0</v>
      </c>
      <c r="AB54" s="33" t="n">
        <v>0</v>
      </c>
      <c r="AC54" s="33" t="n">
        <v>0</v>
      </c>
      <c r="AD54" s="33" t="n">
        <v>0</v>
      </c>
      <c r="AE54" s="33" t="n">
        <v>0</v>
      </c>
      <c r="AF54" s="33" t="n">
        <v>0</v>
      </c>
      <c r="AG54" s="33" t="n">
        <v>0</v>
      </c>
      <c r="AH54" s="33" t="n">
        <v>0</v>
      </c>
      <c r="AI54" s="33" t="n">
        <v>0</v>
      </c>
      <c r="AJ54" s="33" t="n">
        <v>0</v>
      </c>
      <c r="AK54" s="33" t="n">
        <v>0</v>
      </c>
      <c r="AL54" s="33" t="n">
        <v>0</v>
      </c>
      <c r="AM54" s="33" t="n">
        <v>0</v>
      </c>
      <c r="AN54" s="33" t="n">
        <v>0</v>
      </c>
      <c r="AO54" s="33" t="n">
        <v>0</v>
      </c>
      <c r="AP54" s="33" t="n">
        <v>0</v>
      </c>
      <c r="AQ54" s="33" t="n">
        <v>0</v>
      </c>
      <c r="AR54" s="33" t="n">
        <v>0</v>
      </c>
      <c r="AS54" s="33" t="n">
        <v>0</v>
      </c>
      <c r="AT54" s="33" t="n">
        <v>0</v>
      </c>
      <c r="AU54" s="33" t="n">
        <v>0</v>
      </c>
      <c r="AV54" s="33" t="n">
        <v>0</v>
      </c>
      <c r="AW54" s="33" t="n">
        <v>0</v>
      </c>
      <c r="AX54" s="33" t="n">
        <v>0</v>
      </c>
      <c r="AY54" s="33" t="n">
        <v>0</v>
      </c>
      <c r="AZ54" s="33" t="n">
        <v>0</v>
      </c>
      <c r="BA54" s="33" t="n">
        <v>0</v>
      </c>
      <c r="BB54" s="33" t="n">
        <v>0</v>
      </c>
      <c r="BC54" s="33" t="n">
        <v>0</v>
      </c>
      <c r="BD54" s="33" t="n">
        <v>0</v>
      </c>
      <c r="BE54" s="33" t="n">
        <v>0</v>
      </c>
      <c r="BF54" s="33" t="n">
        <v>0</v>
      </c>
      <c r="BG54" s="33" t="n">
        <v>0</v>
      </c>
      <c r="BH54" s="33" t="n">
        <v>0</v>
      </c>
      <c r="BI54" s="33" t="n">
        <v>0</v>
      </c>
      <c r="BJ54" s="33" t="n">
        <v>0</v>
      </c>
      <c r="BK54" s="33" t="n">
        <v>0</v>
      </c>
      <c r="BL54" s="33" t="n">
        <v>0</v>
      </c>
      <c r="BM54" s="33" t="n">
        <v>0</v>
      </c>
      <c r="BN54" s="33" t="n">
        <v>0</v>
      </c>
      <c r="BO54" s="33" t="n">
        <v>0</v>
      </c>
      <c r="BP54" s="33" t="n">
        <v>0</v>
      </c>
      <c r="BQ54" s="33" t="n">
        <v>0</v>
      </c>
      <c r="BR54" s="33" t="n">
        <v>0</v>
      </c>
      <c r="BS54" s="33" t="n">
        <v>0</v>
      </c>
      <c r="BT54" s="33" t="n">
        <v>0</v>
      </c>
      <c r="BU54" s="33" t="n">
        <v>0</v>
      </c>
      <c r="BV54" s="33" t="n">
        <v>0</v>
      </c>
      <c r="BW54" s="33" t="n">
        <v>0</v>
      </c>
      <c r="BX54" s="33" t="n">
        <v>0</v>
      </c>
      <c r="BY54" s="33" t="n">
        <v>0</v>
      </c>
      <c r="BZ54" s="33" t="n">
        <v>0</v>
      </c>
      <c r="CA54" s="33" t="n">
        <v>0</v>
      </c>
      <c r="CB54" s="33" t="n">
        <v>0</v>
      </c>
      <c r="CC54" s="33" t="n">
        <v>0</v>
      </c>
      <c r="CD54" s="33" t="n">
        <v>0</v>
      </c>
      <c r="CE54" s="33" t="n">
        <v>0</v>
      </c>
      <c r="CF54" s="33" t="n">
        <v>0</v>
      </c>
      <c r="CG54" s="33" t="n">
        <v>0</v>
      </c>
      <c r="CH54" s="33" t="n">
        <v>0</v>
      </c>
      <c r="CI54" s="33" t="n">
        <v>0</v>
      </c>
      <c r="CJ54" s="33" t="n">
        <v>0</v>
      </c>
      <c r="CK54" s="33" t="n">
        <v>0</v>
      </c>
      <c r="CL54" s="33" t="n">
        <v>0</v>
      </c>
      <c r="CM54" s="33" t="n">
        <v>0</v>
      </c>
      <c r="CN54" s="33" t="n">
        <v>0</v>
      </c>
      <c r="CO54" s="33" t="n">
        <v>0</v>
      </c>
      <c r="CP54" s="33" t="n">
        <v>0</v>
      </c>
      <c r="CQ54" s="33" t="n">
        <v>0</v>
      </c>
      <c r="CR54" s="33" t="n">
        <v>0</v>
      </c>
      <c r="CS54" s="33" t="n">
        <v>0</v>
      </c>
      <c r="CT54" s="33" t="n">
        <v>0</v>
      </c>
      <c r="CU54" s="33" t="n">
        <v>0</v>
      </c>
      <c r="CV54" s="33" t="n">
        <v>0</v>
      </c>
      <c r="CW54" s="33" t="n">
        <v>0</v>
      </c>
      <c r="CX54" s="33" t="n">
        <v>0</v>
      </c>
      <c r="CY54" s="33" t="n">
        <v>0</v>
      </c>
      <c r="CZ54" s="33" t="n">
        <v>0</v>
      </c>
      <c r="DA54" s="33" t="n">
        <v>0</v>
      </c>
      <c r="DB54" s="33" t="n">
        <v>0</v>
      </c>
      <c r="DC54" s="33" t="n">
        <v>0</v>
      </c>
      <c r="DD54" s="33" t="n">
        <v>0</v>
      </c>
      <c r="DE54" s="33" t="n">
        <v>0</v>
      </c>
      <c r="DF54" s="33" t="n">
        <v>0</v>
      </c>
      <c r="DG54" s="33" t="n">
        <v>0</v>
      </c>
      <c r="DH54" s="33" t="n">
        <v>0</v>
      </c>
      <c r="DI54" s="33" t="n">
        <v>0</v>
      </c>
      <c r="DJ54" s="33" t="n">
        <v>0</v>
      </c>
      <c r="DK54" s="33" t="n">
        <v>0</v>
      </c>
      <c r="DL54" s="33" t="n">
        <v>0</v>
      </c>
      <c r="DM54" s="33" t="n">
        <v>0</v>
      </c>
      <c r="DN54" s="33" t="n">
        <v>0</v>
      </c>
      <c r="DO54" s="33" t="n">
        <v>0</v>
      </c>
      <c r="DP54" s="33" t="n">
        <v>0</v>
      </c>
      <c r="DQ54" s="33" t="n">
        <v>0</v>
      </c>
      <c r="DR54" s="33" t="n">
        <v>0</v>
      </c>
      <c r="DS54" s="33" t="n">
        <v>0</v>
      </c>
      <c r="DT54" s="33" t="n">
        <v>0</v>
      </c>
      <c r="DU54" s="33" t="n">
        <v>0</v>
      </c>
      <c r="DV54" s="33" t="n">
        <v>0</v>
      </c>
      <c r="DW54" s="33" t="n">
        <v>0</v>
      </c>
      <c r="DX54" s="33" t="n">
        <v>0</v>
      </c>
      <c r="DY54" s="33" t="n">
        <v>0</v>
      </c>
      <c r="DZ54" s="33" t="n">
        <v>0</v>
      </c>
      <c r="EA54" s="33" t="n">
        <v>0</v>
      </c>
      <c r="EB54" s="33" t="n">
        <v>0</v>
      </c>
      <c r="EC54" s="33" t="n">
        <v>0</v>
      </c>
      <c r="ED54" s="33" t="n">
        <v>0</v>
      </c>
      <c r="EE54" s="33" t="n">
        <v>0</v>
      </c>
      <c r="EF54" s="33" t="n">
        <v>0</v>
      </c>
      <c r="EG54" s="33" t="n">
        <v>0</v>
      </c>
      <c r="EH54" s="33" t="n">
        <v>0</v>
      </c>
      <c r="EI54" s="33" t="n">
        <v>0</v>
      </c>
      <c r="EJ54" s="33" t="n">
        <v>0</v>
      </c>
      <c r="EK54" s="33" t="n">
        <v>0</v>
      </c>
      <c r="EL54" s="33" t="n">
        <v>0</v>
      </c>
      <c r="EM54" s="33" t="n">
        <v>0</v>
      </c>
      <c r="EN54" s="33" t="n">
        <v>0</v>
      </c>
      <c r="EO54" s="33" t="n">
        <v>0</v>
      </c>
      <c r="EP54" s="33" t="n">
        <v>0</v>
      </c>
      <c r="EQ54" s="33" t="n">
        <v>0</v>
      </c>
      <c r="ER54" s="33" t="n">
        <v>0</v>
      </c>
      <c r="ES54" s="33" t="n">
        <v>0</v>
      </c>
      <c r="ET54" s="33" t="n">
        <v>0</v>
      </c>
      <c r="EU54" s="33" t="n">
        <v>0</v>
      </c>
      <c r="EV54" s="33" t="n">
        <v>0</v>
      </c>
      <c r="EW54" s="33" t="n">
        <v>0</v>
      </c>
      <c r="EX54" s="33" t="n">
        <v>0</v>
      </c>
      <c r="EY54" s="33" t="n">
        <v>0</v>
      </c>
      <c r="EZ54" s="33" t="n">
        <v>0</v>
      </c>
      <c r="FA54" s="33" t="n">
        <v>0</v>
      </c>
      <c r="FB54" s="33" t="n">
        <v>0</v>
      </c>
      <c r="FC54" s="33" t="n">
        <v>0</v>
      </c>
      <c r="FD54" s="33" t="n">
        <v>0</v>
      </c>
      <c r="FE54" s="33" t="n">
        <v>0</v>
      </c>
      <c r="FF54" s="33" t="n">
        <v>0</v>
      </c>
      <c r="FG54" s="33" t="n">
        <v>0</v>
      </c>
      <c r="FH54" s="33" t="n">
        <v>0</v>
      </c>
      <c r="FI54" s="33" t="n">
        <v>0</v>
      </c>
      <c r="FJ54" s="33" t="n">
        <v>0</v>
      </c>
      <c r="FK54" s="33" t="n">
        <v>0</v>
      </c>
      <c r="FL54" s="33" t="n">
        <v>0</v>
      </c>
      <c r="FM54" s="33" t="n">
        <v>0</v>
      </c>
      <c r="FN54" s="33" t="n">
        <v>0</v>
      </c>
      <c r="FO54" s="33" t="n">
        <v>0</v>
      </c>
      <c r="FP54" s="33" t="n">
        <v>0</v>
      </c>
      <c r="FQ54" s="33" t="n">
        <v>0</v>
      </c>
      <c r="FR54" s="33" t="n">
        <v>0</v>
      </c>
      <c r="FS54" s="33" t="n">
        <v>0</v>
      </c>
      <c r="FT54" s="33" t="n">
        <v>0</v>
      </c>
      <c r="FU54" s="33" t="n">
        <v>0</v>
      </c>
      <c r="FV54" s="33" t="n">
        <v>0</v>
      </c>
      <c r="FW54" s="33" t="n">
        <v>0</v>
      </c>
      <c r="FX54" s="33" t="n">
        <v>0</v>
      </c>
      <c r="FY54" s="33" t="n">
        <v>0</v>
      </c>
      <c r="FZ54" s="33" t="n">
        <v>0</v>
      </c>
      <c r="GA54" s="33" t="n">
        <v>0</v>
      </c>
      <c r="GB54" s="33" t="n">
        <v>0</v>
      </c>
      <c r="GC54" s="33" t="n">
        <v>0</v>
      </c>
      <c r="GD54" s="33" t="n">
        <v>0</v>
      </c>
      <c r="GE54" s="33" t="n">
        <v>0</v>
      </c>
      <c r="GF54" s="33" t="n">
        <v>0</v>
      </c>
      <c r="GG54" s="33" t="n">
        <v>0</v>
      </c>
      <c r="GH54" s="33" t="n">
        <v>0</v>
      </c>
      <c r="GI54" s="33" t="n">
        <v>0</v>
      </c>
      <c r="GJ54" s="33" t="n">
        <v>0</v>
      </c>
      <c r="GK54" s="33" t="n">
        <v>0</v>
      </c>
      <c r="GL54" s="33" t="n">
        <v>0</v>
      </c>
      <c r="GM54" s="33" t="n">
        <v>0</v>
      </c>
      <c r="GN54" s="33" t="n">
        <v>0</v>
      </c>
      <c r="GO54" s="33" t="n">
        <v>0</v>
      </c>
      <c r="GP54" s="33" t="n">
        <v>0</v>
      </c>
      <c r="GQ54" s="33" t="n">
        <v>0</v>
      </c>
      <c r="GR54" s="33" t="n">
        <v>0</v>
      </c>
      <c r="GS54" s="33" t="n">
        <v>0</v>
      </c>
      <c r="GT54" s="33" t="n">
        <v>0</v>
      </c>
      <c r="GU54" s="33" t="n">
        <v>0</v>
      </c>
      <c r="GV54" s="33" t="n">
        <v>0</v>
      </c>
      <c r="GW54" s="33" t="n">
        <v>0</v>
      </c>
      <c r="GX54" s="33" t="n">
        <v>0</v>
      </c>
      <c r="GY54" s="33" t="n">
        <v>0</v>
      </c>
      <c r="GZ54" s="33" t="n">
        <v>0</v>
      </c>
      <c r="HA54" s="33" t="n">
        <v>0</v>
      </c>
      <c r="HB54" s="33" t="n">
        <v>0</v>
      </c>
      <c r="HC54" s="33" t="n">
        <v>0</v>
      </c>
      <c r="HD54" s="33" t="n">
        <v>0</v>
      </c>
      <c r="HE54" s="33" t="n">
        <v>0</v>
      </c>
      <c r="HF54" s="33" t="n">
        <v>0</v>
      </c>
      <c r="HG54" s="33" t="n">
        <v>0</v>
      </c>
      <c r="HH54" s="33" t="n">
        <v>0</v>
      </c>
      <c r="HI54" s="33" t="n">
        <v>0</v>
      </c>
      <c r="HJ54" s="33" t="n">
        <v>0</v>
      </c>
      <c r="HK54" s="33" t="n">
        <v>0</v>
      </c>
      <c r="HL54" s="33" t="n">
        <v>0</v>
      </c>
      <c r="HM54" s="33" t="n">
        <v>0</v>
      </c>
      <c r="HN54" s="33" t="n">
        <v>0</v>
      </c>
      <c r="HO54" s="33" t="n">
        <v>0</v>
      </c>
      <c r="HP54" s="33" t="n">
        <v>0</v>
      </c>
      <c r="HQ54" s="33" t="n">
        <v>0</v>
      </c>
      <c r="HR54" s="33" t="n">
        <v>0</v>
      </c>
      <c r="HS54" s="33" t="n">
        <v>0</v>
      </c>
      <c r="HT54" s="33" t="n">
        <v>0</v>
      </c>
      <c r="HU54" s="33" t="n">
        <v>0</v>
      </c>
      <c r="HV54" s="33" t="n">
        <v>0</v>
      </c>
      <c r="HW54" s="33" t="n">
        <v>0</v>
      </c>
      <c r="HX54" s="33" t="n">
        <v>0</v>
      </c>
      <c r="HY54" s="33" t="n">
        <v>0</v>
      </c>
      <c r="HZ54" s="33" t="n">
        <v>0</v>
      </c>
      <c r="IA54" s="33" t="n">
        <v>0</v>
      </c>
      <c r="IB54" s="33" t="n">
        <v>0</v>
      </c>
      <c r="IC54" s="33" t="n">
        <v>0</v>
      </c>
      <c r="ID54" s="33" t="n">
        <v>0</v>
      </c>
      <c r="IE54" s="33" t="n">
        <v>0</v>
      </c>
      <c r="IF54" s="33" t="n">
        <v>0</v>
      </c>
      <c r="IG54" s="33" t="n">
        <v>0</v>
      </c>
      <c r="IH54" s="33" t="n">
        <v>0</v>
      </c>
      <c r="II54" s="33" t="n">
        <v>0</v>
      </c>
      <c r="IJ54" s="33" t="n">
        <v>0</v>
      </c>
      <c r="IK54" s="33" t="n">
        <v>0</v>
      </c>
      <c r="IL54" s="33" t="n">
        <v>0</v>
      </c>
      <c r="IM54" s="33" t="n">
        <v>0</v>
      </c>
      <c r="IN54" s="33" t="n">
        <v>0</v>
      </c>
      <c r="IO54" s="33" t="n">
        <v>0</v>
      </c>
      <c r="IP54" s="33" t="n">
        <v>0</v>
      </c>
      <c r="IQ54" s="33" t="n">
        <v>0</v>
      </c>
      <c r="IR54" s="33" t="n">
        <v>0</v>
      </c>
      <c r="IS54" s="33" t="n">
        <v>0</v>
      </c>
      <c r="IT54" s="33" t="n">
        <v>0</v>
      </c>
      <c r="IU54" s="33" t="n">
        <v>0</v>
      </c>
      <c r="IV54" s="33" t="n">
        <v>0</v>
      </c>
      <c r="IW54" s="33" t="n">
        <v>0</v>
      </c>
      <c r="IX54" s="33" t="n">
        <v>0</v>
      </c>
      <c r="IY54" s="33" t="n">
        <v>0</v>
      </c>
      <c r="IZ54" s="33" t="n">
        <v>0</v>
      </c>
      <c r="JA54" s="33" t="n">
        <v>0</v>
      </c>
      <c r="JB54" s="33" t="n">
        <v>0</v>
      </c>
      <c r="JC54" s="33" t="n">
        <v>0</v>
      </c>
      <c r="JD54" s="33" t="n">
        <v>0</v>
      </c>
      <c r="JE54" s="33" t="n">
        <v>0</v>
      </c>
      <c r="JF54" s="33" t="n">
        <v>0</v>
      </c>
      <c r="JG54" s="33" t="n">
        <v>0</v>
      </c>
      <c r="JH54" s="33" t="n">
        <v>0</v>
      </c>
      <c r="JI54" s="33" t="n">
        <v>0</v>
      </c>
      <c r="JJ54" s="33" t="n">
        <v>0</v>
      </c>
      <c r="JK54" s="33" t="n">
        <v>0</v>
      </c>
      <c r="JL54" s="33" t="n">
        <v>0</v>
      </c>
      <c r="JM54" s="33" t="n">
        <v>0</v>
      </c>
      <c r="JN54" s="33" t="n">
        <v>0</v>
      </c>
      <c r="JO54" s="33" t="n">
        <v>0</v>
      </c>
      <c r="JP54" s="33" t="n">
        <v>0</v>
      </c>
      <c r="JQ54" s="33" t="n">
        <v>0</v>
      </c>
      <c r="JR54" s="33" t="n">
        <v>0</v>
      </c>
      <c r="JS54" s="33" t="n">
        <v>0</v>
      </c>
      <c r="JT54" s="33" t="n">
        <v>0</v>
      </c>
      <c r="JU54" s="33" t="n">
        <v>0</v>
      </c>
      <c r="JV54" s="33" t="n">
        <v>0</v>
      </c>
      <c r="JW54" s="33" t="n">
        <v>0</v>
      </c>
      <c r="JX54" s="33" t="n">
        <v>0</v>
      </c>
      <c r="JY54" s="33" t="n">
        <v>0</v>
      </c>
      <c r="JZ54" s="33" t="n">
        <v>0</v>
      </c>
      <c r="KA54" s="33" t="n">
        <v>0</v>
      </c>
      <c r="KB54" s="33" t="n">
        <v>0</v>
      </c>
      <c r="KC54" s="33" t="n">
        <v>0</v>
      </c>
      <c r="KD54" s="33" t="n">
        <v>0</v>
      </c>
      <c r="KE54" s="33" t="n">
        <v>0</v>
      </c>
      <c r="KF54" s="33" t="n">
        <v>0</v>
      </c>
      <c r="KG54" s="33" t="n">
        <v>0</v>
      </c>
      <c r="KH54" s="33" t="n">
        <v>0</v>
      </c>
      <c r="KI54" s="33" t="n">
        <v>0</v>
      </c>
      <c r="KJ54" s="33" t="n">
        <v>0</v>
      </c>
      <c r="KK54" s="33" t="n">
        <v>0</v>
      </c>
      <c r="KL54" s="33" t="n">
        <v>0</v>
      </c>
      <c r="KM54" s="33" t="n">
        <v>0</v>
      </c>
      <c r="KN54" s="33" t="n">
        <v>0</v>
      </c>
      <c r="KO54" s="33" t="n">
        <v>0</v>
      </c>
      <c r="KP54" s="33" t="n">
        <v>0</v>
      </c>
      <c r="KQ54" s="33" t="n">
        <v>0</v>
      </c>
      <c r="KR54" s="33" t="n">
        <v>0</v>
      </c>
      <c r="KS54" s="33" t="n">
        <v>0</v>
      </c>
      <c r="KT54" s="33" t="n">
        <v>0</v>
      </c>
      <c r="KU54" s="33" t="n">
        <v>0</v>
      </c>
      <c r="KV54" s="33" t="n">
        <v>0</v>
      </c>
      <c r="KW54" s="33" t="n">
        <v>0</v>
      </c>
      <c r="KX54" s="33" t="n">
        <v>0</v>
      </c>
      <c r="KY54" s="33" t="n">
        <v>0</v>
      </c>
      <c r="KZ54" s="33" t="n">
        <v>0</v>
      </c>
      <c r="LA54" s="33" t="n">
        <v>0</v>
      </c>
      <c r="LB54" s="33" t="n">
        <v>0</v>
      </c>
      <c r="LC54" s="33" t="n">
        <v>0</v>
      </c>
      <c r="LD54" s="33" t="n">
        <v>0</v>
      </c>
      <c r="LE54" s="33" t="n">
        <v>0</v>
      </c>
      <c r="LF54" s="33" t="n">
        <v>0</v>
      </c>
      <c r="LG54" s="33" t="n">
        <v>0</v>
      </c>
      <c r="LH54" s="33" t="n">
        <v>0</v>
      </c>
      <c r="LI54" s="33" t="n">
        <v>0</v>
      </c>
      <c r="LJ54" s="33" t="n">
        <v>0</v>
      </c>
      <c r="LK54" s="33" t="n">
        <v>0</v>
      </c>
      <c r="LL54" s="33" t="n">
        <v>0</v>
      </c>
      <c r="LM54" s="33" t="n">
        <v>0</v>
      </c>
      <c r="LN54" s="33" t="n">
        <v>0</v>
      </c>
      <c r="LO54" s="33" t="n">
        <v>0</v>
      </c>
      <c r="LP54" s="33" t="n">
        <v>0</v>
      </c>
      <c r="LQ54" s="33" t="n">
        <v>0</v>
      </c>
      <c r="LR54" s="33" t="n">
        <v>0</v>
      </c>
      <c r="LS54" s="33" t="n">
        <v>0</v>
      </c>
      <c r="LT54" s="33" t="n">
        <v>0</v>
      </c>
      <c r="LU54" s="33" t="n">
        <v>0</v>
      </c>
      <c r="LV54" s="33" t="n">
        <v>0</v>
      </c>
      <c r="LW54" s="33" t="n">
        <v>0</v>
      </c>
      <c r="LX54" s="33" t="n">
        <v>0</v>
      </c>
      <c r="LY54" s="33" t="n">
        <v>0</v>
      </c>
      <c r="LZ54" s="33" t="n">
        <v>0</v>
      </c>
      <c r="MA54" s="33" t="n">
        <v>0</v>
      </c>
      <c r="MB54" s="33" t="n">
        <v>0</v>
      </c>
      <c r="MC54" s="33" t="n">
        <v>0</v>
      </c>
      <c r="MD54" s="33" t="n">
        <v>0</v>
      </c>
      <c r="ME54" s="33" t="n">
        <v>0</v>
      </c>
      <c r="MF54" s="33" t="n">
        <v>0</v>
      </c>
      <c r="MG54" s="33" t="n">
        <v>0</v>
      </c>
      <c r="MH54" s="33" t="n">
        <v>0</v>
      </c>
      <c r="MI54" s="33" t="n">
        <v>0</v>
      </c>
      <c r="MJ54" s="33" t="n">
        <v>0</v>
      </c>
      <c r="MK54" s="33" t="n">
        <v>0</v>
      </c>
      <c r="ML54" s="33" t="n">
        <v>0</v>
      </c>
      <c r="MM54" s="33" t="n">
        <v>0</v>
      </c>
      <c r="MN54" s="33" t="n">
        <v>0</v>
      </c>
      <c r="MO54" s="33" t="n">
        <v>0</v>
      </c>
      <c r="MP54" s="33" t="n">
        <v>0</v>
      </c>
      <c r="MQ54" s="33" t="n">
        <v>0</v>
      </c>
      <c r="MR54" s="33" t="n">
        <v>0</v>
      </c>
      <c r="MS54" s="33" t="n">
        <v>0</v>
      </c>
      <c r="MT54" s="33" t="n">
        <v>0</v>
      </c>
      <c r="MU54" s="33" t="n">
        <v>0</v>
      </c>
      <c r="MV54" s="33" t="n">
        <v>0</v>
      </c>
      <c r="MW54" s="33" t="n">
        <v>0</v>
      </c>
      <c r="MX54" s="33" t="n">
        <v>0</v>
      </c>
      <c r="MY54" s="33" t="n">
        <v>0</v>
      </c>
      <c r="MZ54" s="33" t="n">
        <v>0</v>
      </c>
      <c r="NA54" s="33" t="n">
        <v>0</v>
      </c>
      <c r="NB54" s="33" t="n">
        <v>0</v>
      </c>
      <c r="NC54" s="33" t="n">
        <v>0</v>
      </c>
      <c r="ND54" s="33" t="n">
        <v>0</v>
      </c>
      <c r="NE54" s="33" t="n">
        <v>0</v>
      </c>
      <c r="NF54" s="33" t="n">
        <v>0</v>
      </c>
      <c r="NG54" s="33" t="n">
        <v>0</v>
      </c>
      <c r="NH54" s="33" t="n">
        <v>0</v>
      </c>
      <c r="NI54" s="33" t="n">
        <v>0</v>
      </c>
      <c r="NJ54" s="33" t="n">
        <v>0</v>
      </c>
      <c r="NK54" s="33" t="n">
        <v>0</v>
      </c>
      <c r="NL54" s="33" t="n">
        <v>0</v>
      </c>
      <c r="NM54" s="33" t="n">
        <v>0</v>
      </c>
      <c r="NN54" s="33" t="n">
        <v>0</v>
      </c>
      <c r="NO54" s="33" t="n">
        <v>0</v>
      </c>
      <c r="NP54" s="33" t="n">
        <v>0</v>
      </c>
      <c r="NQ54" s="33" t="n">
        <v>0</v>
      </c>
      <c r="NR54" s="33" t="n">
        <v>0</v>
      </c>
      <c r="NS54" s="33" t="n">
        <v>0</v>
      </c>
      <c r="NT54" s="33" t="n">
        <v>0</v>
      </c>
      <c r="NU54" s="33" t="n">
        <v>0</v>
      </c>
      <c r="NV54" s="33" t="n">
        <v>0</v>
      </c>
      <c r="NW54" s="33" t="n">
        <v>0</v>
      </c>
      <c r="NX54" s="33" t="n">
        <v>0</v>
      </c>
      <c r="NY54" s="33" t="n">
        <v>0</v>
      </c>
      <c r="NZ54" s="33" t="n">
        <v>0</v>
      </c>
      <c r="OA54" s="33" t="n">
        <v>0</v>
      </c>
      <c r="OB54" s="33" t="n">
        <v>0</v>
      </c>
      <c r="OC54" s="33" t="n">
        <v>0</v>
      </c>
      <c r="OD54" s="33" t="n">
        <v>0</v>
      </c>
      <c r="OE54" s="33" t="n">
        <v>0</v>
      </c>
      <c r="OF54" s="33" t="n">
        <v>0</v>
      </c>
      <c r="OG54" s="33" t="n">
        <v>0</v>
      </c>
      <c r="OH54" s="33" t="n">
        <v>0</v>
      </c>
      <c r="OI54" s="33" t="n">
        <v>0</v>
      </c>
      <c r="OJ54" s="33" t="n">
        <v>0</v>
      </c>
      <c r="OK54" s="33" t="n">
        <v>0</v>
      </c>
      <c r="OL54" s="33" t="n">
        <v>0</v>
      </c>
      <c r="OM54" s="33" t="n">
        <v>0</v>
      </c>
      <c r="ON54" s="33" t="n">
        <v>0</v>
      </c>
      <c r="OO54" s="33" t="n">
        <v>0</v>
      </c>
      <c r="OP54" s="33" t="n">
        <v>0</v>
      </c>
      <c r="OQ54" s="33" t="n">
        <v>0</v>
      </c>
      <c r="OR54" s="33" t="n">
        <v>0</v>
      </c>
      <c r="OS54" s="33" t="n">
        <v>0</v>
      </c>
      <c r="OT54" s="33" t="n">
        <v>0</v>
      </c>
      <c r="OU54" s="33" t="n">
        <v>0</v>
      </c>
      <c r="OV54" s="33" t="n">
        <v>0</v>
      </c>
      <c r="OW54" s="33" t="n">
        <v>0</v>
      </c>
      <c r="OX54" s="33" t="n">
        <v>0</v>
      </c>
      <c r="OY54" s="33" t="n">
        <v>0</v>
      </c>
      <c r="OZ54" s="33" t="n">
        <v>0</v>
      </c>
      <c r="PA54" s="33" t="n">
        <v>0</v>
      </c>
      <c r="PB54" s="33" t="n">
        <v>0</v>
      </c>
      <c r="PC54" s="33" t="n">
        <v>0</v>
      </c>
      <c r="PD54" s="33" t="n">
        <v>0</v>
      </c>
      <c r="PE54" s="33" t="n">
        <v>0</v>
      </c>
      <c r="PF54" s="33" t="n">
        <v>0</v>
      </c>
      <c r="PG54" s="33" t="n">
        <v>0</v>
      </c>
      <c r="PH54" s="33" t="n">
        <v>0</v>
      </c>
      <c r="PI54" s="33" t="n">
        <v>0</v>
      </c>
      <c r="PJ54" s="33" t="n">
        <v>0</v>
      </c>
      <c r="PK54" s="33" t="n">
        <v>0</v>
      </c>
      <c r="PL54" s="33" t="n">
        <v>0</v>
      </c>
      <c r="PM54" s="33" t="n">
        <v>0</v>
      </c>
      <c r="PN54" s="33" t="n">
        <v>0</v>
      </c>
      <c r="PO54" s="33" t="n">
        <v>0</v>
      </c>
      <c r="PP54" s="33" t="n">
        <v>0</v>
      </c>
      <c r="PQ54" s="33" t="n">
        <v>0</v>
      </c>
      <c r="PR54" s="33" t="n">
        <v>0</v>
      </c>
      <c r="PS54" s="33" t="n">
        <v>0</v>
      </c>
      <c r="PT54" s="33" t="n">
        <v>0</v>
      </c>
      <c r="PU54" s="33" t="n">
        <v>0</v>
      </c>
      <c r="PV54" s="33" t="n">
        <v>0</v>
      </c>
      <c r="PW54" s="33" t="n">
        <v>0</v>
      </c>
      <c r="PX54" s="33" t="n">
        <v>0</v>
      </c>
      <c r="PY54" s="33" t="n">
        <v>0</v>
      </c>
      <c r="PZ54" s="33" t="n">
        <v>0</v>
      </c>
      <c r="QA54" s="33" t="n">
        <v>0</v>
      </c>
      <c r="QB54" s="33" t="n">
        <v>0</v>
      </c>
      <c r="QC54" s="33" t="n">
        <v>0</v>
      </c>
      <c r="QD54" s="33" t="n">
        <v>0</v>
      </c>
      <c r="QE54" s="33" t="n">
        <v>0</v>
      </c>
      <c r="QF54" s="33" t="n">
        <v>0</v>
      </c>
      <c r="QG54" s="33" t="n">
        <v>0</v>
      </c>
      <c r="QH54" s="33" t="n">
        <v>0</v>
      </c>
      <c r="QI54" s="33" t="n">
        <v>0</v>
      </c>
      <c r="QJ54" s="33" t="n">
        <v>0</v>
      </c>
      <c r="QK54" s="33" t="n">
        <v>0</v>
      </c>
      <c r="QL54" s="33" t="n">
        <v>0</v>
      </c>
      <c r="QM54" s="33" t="n">
        <v>0</v>
      </c>
      <c r="QN54" s="33" t="n">
        <v>0</v>
      </c>
      <c r="QO54" s="33" t="n">
        <v>0</v>
      </c>
      <c r="QP54" s="33" t="n">
        <v>0</v>
      </c>
      <c r="QQ54" s="33" t="n">
        <v>0</v>
      </c>
      <c r="QR54" s="33" t="n">
        <v>0</v>
      </c>
      <c r="QS54" s="33" t="n">
        <v>0</v>
      </c>
      <c r="QT54" s="33" t="n">
        <v>0</v>
      </c>
      <c r="QU54" s="33" t="n">
        <v>0</v>
      </c>
      <c r="QV54" s="33" t="n">
        <v>0</v>
      </c>
      <c r="QW54" s="33" t="n">
        <v>0</v>
      </c>
      <c r="QX54" s="33" t="n">
        <v>0</v>
      </c>
      <c r="QY54" s="33" t="n">
        <v>0</v>
      </c>
      <c r="QZ54" s="33" t="n">
        <v>0</v>
      </c>
      <c r="RA54" s="33" t="n">
        <v>0</v>
      </c>
      <c r="RB54" s="33" t="n">
        <v>0</v>
      </c>
      <c r="RC54" s="33" t="n">
        <v>0</v>
      </c>
      <c r="RD54" s="33" t="n">
        <v>0</v>
      </c>
      <c r="RE54" s="33" t="n">
        <v>0</v>
      </c>
      <c r="RF54" s="33" t="n">
        <v>0</v>
      </c>
      <c r="RG54" s="33" t="n">
        <v>0</v>
      </c>
      <c r="RH54" s="33" t="n">
        <v>0</v>
      </c>
      <c r="RI54" s="33" t="n">
        <v>0</v>
      </c>
      <c r="RJ54" s="33" t="n">
        <v>0</v>
      </c>
      <c r="RK54" s="33" t="n">
        <v>0</v>
      </c>
      <c r="RL54" s="33" t="n">
        <v>0</v>
      </c>
      <c r="RM54" s="33" t="n">
        <v>0</v>
      </c>
      <c r="RN54" s="33" t="n">
        <v>0</v>
      </c>
      <c r="RO54" s="33" t="n">
        <v>0</v>
      </c>
      <c r="RP54" s="33" t="n">
        <v>0</v>
      </c>
      <c r="RQ54" s="33" t="n">
        <v>0</v>
      </c>
      <c r="RR54" s="33" t="n">
        <v>0</v>
      </c>
      <c r="RS54" s="33" t="n">
        <v>0</v>
      </c>
      <c r="RT54" s="33" t="n">
        <v>0</v>
      </c>
      <c r="RU54" s="33" t="n">
        <v>0</v>
      </c>
      <c r="RV54" s="33" t="n">
        <v>0</v>
      </c>
      <c r="RW54" s="33" t="n">
        <v>0</v>
      </c>
    </row>
    <row r="55" hidden="1" outlineLevel="1" ht="13.05" customHeight="1">
      <c r="E55" s="21" t="inlineStr">
        <is>
          <t>Tolling Revenue</t>
        </is>
      </c>
      <c r="F55" s="29" t="n"/>
      <c r="G55" s="29" t="inlineStr">
        <is>
          <t>kEUR</t>
        </is>
      </c>
      <c r="H55" s="29" t="n"/>
      <c r="I55" s="29" t="n"/>
      <c r="J55" s="32" t="n">
        <v>0</v>
      </c>
      <c r="K55" s="29" t="n"/>
      <c r="L55" s="33" t="n">
        <v>0</v>
      </c>
      <c r="M55" s="33" t="n">
        <v>0</v>
      </c>
      <c r="N55" s="33" t="n">
        <v>0</v>
      </c>
      <c r="O55" s="33" t="n">
        <v>0</v>
      </c>
      <c r="P55" s="33" t="n">
        <v>0</v>
      </c>
      <c r="Q55" s="33" t="n">
        <v>0</v>
      </c>
      <c r="R55" s="33" t="n">
        <v>0</v>
      </c>
      <c r="S55" s="33" t="n">
        <v>0</v>
      </c>
      <c r="T55" s="33" t="n">
        <v>0</v>
      </c>
      <c r="U55" s="33" t="n">
        <v>0</v>
      </c>
      <c r="V55" s="33" t="n">
        <v>0</v>
      </c>
      <c r="W55" s="33" t="n">
        <v>0</v>
      </c>
      <c r="X55" s="33" t="n">
        <v>0</v>
      </c>
      <c r="Y55" s="33" t="n">
        <v>0</v>
      </c>
      <c r="Z55" s="33" t="n">
        <v>0</v>
      </c>
      <c r="AA55" s="33" t="n">
        <v>0</v>
      </c>
      <c r="AB55" s="33" t="n">
        <v>0</v>
      </c>
      <c r="AC55" s="33" t="n">
        <v>0</v>
      </c>
      <c r="AD55" s="33" t="n">
        <v>0</v>
      </c>
      <c r="AE55" s="33" t="n">
        <v>0</v>
      </c>
      <c r="AF55" s="33" t="n">
        <v>0</v>
      </c>
      <c r="AG55" s="33" t="n">
        <v>0</v>
      </c>
      <c r="AH55" s="33" t="n">
        <v>0</v>
      </c>
      <c r="AI55" s="33" t="n">
        <v>0</v>
      </c>
      <c r="AJ55" s="33" t="n">
        <v>0</v>
      </c>
      <c r="AK55" s="33" t="n">
        <v>0</v>
      </c>
      <c r="AL55" s="33" t="n">
        <v>0</v>
      </c>
      <c r="AM55" s="33" t="n">
        <v>0</v>
      </c>
      <c r="AN55" s="33" t="n">
        <v>0</v>
      </c>
      <c r="AO55" s="33" t="n">
        <v>0</v>
      </c>
      <c r="AP55" s="33" t="n">
        <v>0</v>
      </c>
      <c r="AQ55" s="33" t="n">
        <v>0</v>
      </c>
      <c r="AR55" s="33" t="n">
        <v>0</v>
      </c>
      <c r="AS55" s="33" t="n">
        <v>0</v>
      </c>
      <c r="AT55" s="33" t="n">
        <v>0</v>
      </c>
      <c r="AU55" s="33" t="n">
        <v>0</v>
      </c>
      <c r="AV55" s="33" t="n">
        <v>0</v>
      </c>
      <c r="AW55" s="33" t="n">
        <v>0</v>
      </c>
      <c r="AX55" s="33" t="n">
        <v>0</v>
      </c>
      <c r="AY55" s="33" t="n">
        <v>0</v>
      </c>
      <c r="AZ55" s="33" t="n">
        <v>0</v>
      </c>
      <c r="BA55" s="33" t="n">
        <v>0</v>
      </c>
      <c r="BB55" s="33" t="n">
        <v>0</v>
      </c>
      <c r="BC55" s="33" t="n">
        <v>0</v>
      </c>
      <c r="BD55" s="33" t="n">
        <v>0</v>
      </c>
      <c r="BE55" s="33" t="n">
        <v>0</v>
      </c>
      <c r="BF55" s="33" t="n">
        <v>0</v>
      </c>
      <c r="BG55" s="33" t="n">
        <v>0</v>
      </c>
      <c r="BH55" s="33" t="n">
        <v>0</v>
      </c>
      <c r="BI55" s="33" t="n">
        <v>0</v>
      </c>
      <c r="BJ55" s="33" t="n">
        <v>0</v>
      </c>
      <c r="BK55" s="33" t="n">
        <v>0</v>
      </c>
      <c r="BL55" s="33" t="n">
        <v>0</v>
      </c>
      <c r="BM55" s="33" t="n">
        <v>0</v>
      </c>
      <c r="BN55" s="33" t="n">
        <v>0</v>
      </c>
      <c r="BO55" s="33" t="n">
        <v>0</v>
      </c>
      <c r="BP55" s="33" t="n">
        <v>0</v>
      </c>
      <c r="BQ55" s="33" t="n">
        <v>0</v>
      </c>
      <c r="BR55" s="33" t="n">
        <v>0</v>
      </c>
      <c r="BS55" s="33" t="n">
        <v>0</v>
      </c>
      <c r="BT55" s="33" t="n">
        <v>0</v>
      </c>
      <c r="BU55" s="33" t="n">
        <v>0</v>
      </c>
      <c r="BV55" s="33" t="n">
        <v>0</v>
      </c>
      <c r="BW55" s="33" t="n">
        <v>0</v>
      </c>
      <c r="BX55" s="33" t="n">
        <v>0</v>
      </c>
      <c r="BY55" s="33" t="n">
        <v>0</v>
      </c>
      <c r="BZ55" s="33" t="n">
        <v>0</v>
      </c>
      <c r="CA55" s="33" t="n">
        <v>0</v>
      </c>
      <c r="CB55" s="33" t="n">
        <v>0</v>
      </c>
      <c r="CC55" s="33" t="n">
        <v>0</v>
      </c>
      <c r="CD55" s="33" t="n">
        <v>0</v>
      </c>
      <c r="CE55" s="33" t="n">
        <v>0</v>
      </c>
      <c r="CF55" s="33" t="n">
        <v>0</v>
      </c>
      <c r="CG55" s="33" t="n">
        <v>0</v>
      </c>
      <c r="CH55" s="33" t="n">
        <v>0</v>
      </c>
      <c r="CI55" s="33" t="n">
        <v>0</v>
      </c>
      <c r="CJ55" s="33" t="n">
        <v>0</v>
      </c>
      <c r="CK55" s="33" t="n">
        <v>0</v>
      </c>
      <c r="CL55" s="33" t="n">
        <v>0</v>
      </c>
      <c r="CM55" s="33" t="n">
        <v>0</v>
      </c>
      <c r="CN55" s="33" t="n">
        <v>0</v>
      </c>
      <c r="CO55" s="33" t="n">
        <v>0</v>
      </c>
      <c r="CP55" s="33" t="n">
        <v>0</v>
      </c>
      <c r="CQ55" s="33" t="n">
        <v>0</v>
      </c>
      <c r="CR55" s="33" t="n">
        <v>0</v>
      </c>
      <c r="CS55" s="33" t="n">
        <v>0</v>
      </c>
      <c r="CT55" s="33" t="n">
        <v>0</v>
      </c>
      <c r="CU55" s="33" t="n">
        <v>0</v>
      </c>
      <c r="CV55" s="33" t="n">
        <v>0</v>
      </c>
      <c r="CW55" s="33" t="n">
        <v>0</v>
      </c>
      <c r="CX55" s="33" t="n">
        <v>0</v>
      </c>
      <c r="CY55" s="33" t="n">
        <v>0</v>
      </c>
      <c r="CZ55" s="33" t="n">
        <v>0</v>
      </c>
      <c r="DA55" s="33" t="n">
        <v>0</v>
      </c>
      <c r="DB55" s="33" t="n">
        <v>0</v>
      </c>
      <c r="DC55" s="33" t="n">
        <v>0</v>
      </c>
      <c r="DD55" s="33" t="n">
        <v>0</v>
      </c>
      <c r="DE55" s="33" t="n">
        <v>0</v>
      </c>
      <c r="DF55" s="33" t="n">
        <v>0</v>
      </c>
      <c r="DG55" s="33" t="n">
        <v>0</v>
      </c>
      <c r="DH55" s="33" t="n">
        <v>0</v>
      </c>
      <c r="DI55" s="33" t="n">
        <v>0</v>
      </c>
      <c r="DJ55" s="33" t="n">
        <v>0</v>
      </c>
      <c r="DK55" s="33" t="n">
        <v>0</v>
      </c>
      <c r="DL55" s="33" t="n">
        <v>0</v>
      </c>
      <c r="DM55" s="33" t="n">
        <v>0</v>
      </c>
      <c r="DN55" s="33" t="n">
        <v>0</v>
      </c>
      <c r="DO55" s="33" t="n">
        <v>0</v>
      </c>
      <c r="DP55" s="33" t="n">
        <v>0</v>
      </c>
      <c r="DQ55" s="33" t="n">
        <v>0</v>
      </c>
      <c r="DR55" s="33" t="n">
        <v>0</v>
      </c>
      <c r="DS55" s="33" t="n">
        <v>0</v>
      </c>
      <c r="DT55" s="33" t="n">
        <v>0</v>
      </c>
      <c r="DU55" s="33" t="n">
        <v>0</v>
      </c>
      <c r="DV55" s="33" t="n">
        <v>0</v>
      </c>
      <c r="DW55" s="33" t="n">
        <v>0</v>
      </c>
      <c r="DX55" s="33" t="n">
        <v>0</v>
      </c>
      <c r="DY55" s="33" t="n">
        <v>0</v>
      </c>
      <c r="DZ55" s="33" t="n">
        <v>0</v>
      </c>
      <c r="EA55" s="33" t="n">
        <v>0</v>
      </c>
      <c r="EB55" s="33" t="n">
        <v>0</v>
      </c>
      <c r="EC55" s="33" t="n">
        <v>0</v>
      </c>
      <c r="ED55" s="33" t="n">
        <v>0</v>
      </c>
      <c r="EE55" s="33" t="n">
        <v>0</v>
      </c>
      <c r="EF55" s="33" t="n">
        <v>0</v>
      </c>
      <c r="EG55" s="33" t="n">
        <v>0</v>
      </c>
      <c r="EH55" s="33" t="n">
        <v>0</v>
      </c>
      <c r="EI55" s="33" t="n">
        <v>0</v>
      </c>
      <c r="EJ55" s="33" t="n">
        <v>0</v>
      </c>
      <c r="EK55" s="33" t="n">
        <v>0</v>
      </c>
      <c r="EL55" s="33" t="n">
        <v>0</v>
      </c>
      <c r="EM55" s="33" t="n">
        <v>0</v>
      </c>
      <c r="EN55" s="33" t="n">
        <v>0</v>
      </c>
      <c r="EO55" s="33" t="n">
        <v>0</v>
      </c>
      <c r="EP55" s="33" t="n">
        <v>0</v>
      </c>
      <c r="EQ55" s="33" t="n">
        <v>0</v>
      </c>
      <c r="ER55" s="33" t="n">
        <v>0</v>
      </c>
      <c r="ES55" s="33" t="n">
        <v>0</v>
      </c>
      <c r="ET55" s="33" t="n">
        <v>0</v>
      </c>
      <c r="EU55" s="33" t="n">
        <v>0</v>
      </c>
      <c r="EV55" s="33" t="n">
        <v>0</v>
      </c>
      <c r="EW55" s="33" t="n">
        <v>0</v>
      </c>
      <c r="EX55" s="33" t="n">
        <v>0</v>
      </c>
      <c r="EY55" s="33" t="n">
        <v>0</v>
      </c>
      <c r="EZ55" s="33" t="n">
        <v>0</v>
      </c>
      <c r="FA55" s="33" t="n">
        <v>0</v>
      </c>
      <c r="FB55" s="33" t="n">
        <v>0</v>
      </c>
      <c r="FC55" s="33" t="n">
        <v>0</v>
      </c>
      <c r="FD55" s="33" t="n">
        <v>0</v>
      </c>
      <c r="FE55" s="33" t="n">
        <v>0</v>
      </c>
      <c r="FF55" s="33" t="n">
        <v>0</v>
      </c>
      <c r="FG55" s="33" t="n">
        <v>0</v>
      </c>
      <c r="FH55" s="33" t="n">
        <v>0</v>
      </c>
      <c r="FI55" s="33" t="n">
        <v>0</v>
      </c>
      <c r="FJ55" s="33" t="n">
        <v>0</v>
      </c>
      <c r="FK55" s="33" t="n">
        <v>0</v>
      </c>
      <c r="FL55" s="33" t="n">
        <v>0</v>
      </c>
      <c r="FM55" s="33" t="n">
        <v>0</v>
      </c>
      <c r="FN55" s="33" t="n">
        <v>0</v>
      </c>
      <c r="FO55" s="33" t="n">
        <v>0</v>
      </c>
      <c r="FP55" s="33" t="n">
        <v>0</v>
      </c>
      <c r="FQ55" s="33" t="n">
        <v>0</v>
      </c>
      <c r="FR55" s="33" t="n">
        <v>0</v>
      </c>
      <c r="FS55" s="33" t="n">
        <v>0</v>
      </c>
      <c r="FT55" s="33" t="n">
        <v>0</v>
      </c>
      <c r="FU55" s="33" t="n">
        <v>0</v>
      </c>
      <c r="FV55" s="33" t="n">
        <v>0</v>
      </c>
      <c r="FW55" s="33" t="n">
        <v>0</v>
      </c>
      <c r="FX55" s="33" t="n">
        <v>0</v>
      </c>
      <c r="FY55" s="33" t="n">
        <v>0</v>
      </c>
      <c r="FZ55" s="33" t="n">
        <v>0</v>
      </c>
      <c r="GA55" s="33" t="n">
        <v>0</v>
      </c>
      <c r="GB55" s="33" t="n">
        <v>0</v>
      </c>
      <c r="GC55" s="33" t="n">
        <v>0</v>
      </c>
      <c r="GD55" s="33" t="n">
        <v>0</v>
      </c>
      <c r="GE55" s="33" t="n">
        <v>0</v>
      </c>
      <c r="GF55" s="33" t="n">
        <v>0</v>
      </c>
      <c r="GG55" s="33" t="n">
        <v>0</v>
      </c>
      <c r="GH55" s="33" t="n">
        <v>0</v>
      </c>
      <c r="GI55" s="33" t="n">
        <v>0</v>
      </c>
      <c r="GJ55" s="33" t="n">
        <v>0</v>
      </c>
      <c r="GK55" s="33" t="n">
        <v>0</v>
      </c>
      <c r="GL55" s="33" t="n">
        <v>0</v>
      </c>
      <c r="GM55" s="33" t="n">
        <v>0</v>
      </c>
      <c r="GN55" s="33" t="n">
        <v>0</v>
      </c>
      <c r="GO55" s="33" t="n">
        <v>0</v>
      </c>
      <c r="GP55" s="33" t="n">
        <v>0</v>
      </c>
      <c r="GQ55" s="33" t="n">
        <v>0</v>
      </c>
      <c r="GR55" s="33" t="n">
        <v>0</v>
      </c>
      <c r="GS55" s="33" t="n">
        <v>0</v>
      </c>
      <c r="GT55" s="33" t="n">
        <v>0</v>
      </c>
      <c r="GU55" s="33" t="n">
        <v>0</v>
      </c>
      <c r="GV55" s="33" t="n">
        <v>0</v>
      </c>
      <c r="GW55" s="33" t="n">
        <v>0</v>
      </c>
      <c r="GX55" s="33" t="n">
        <v>0</v>
      </c>
      <c r="GY55" s="33" t="n">
        <v>0</v>
      </c>
      <c r="GZ55" s="33" t="n">
        <v>0</v>
      </c>
      <c r="HA55" s="33" t="n">
        <v>0</v>
      </c>
      <c r="HB55" s="33" t="n">
        <v>0</v>
      </c>
      <c r="HC55" s="33" t="n">
        <v>0</v>
      </c>
      <c r="HD55" s="33" t="n">
        <v>0</v>
      </c>
      <c r="HE55" s="33" t="n">
        <v>0</v>
      </c>
      <c r="HF55" s="33" t="n">
        <v>0</v>
      </c>
      <c r="HG55" s="33" t="n">
        <v>0</v>
      </c>
      <c r="HH55" s="33" t="n">
        <v>0</v>
      </c>
      <c r="HI55" s="33" t="n">
        <v>0</v>
      </c>
      <c r="HJ55" s="33" t="n">
        <v>0</v>
      </c>
      <c r="HK55" s="33" t="n">
        <v>0</v>
      </c>
      <c r="HL55" s="33" t="n">
        <v>0</v>
      </c>
      <c r="HM55" s="33" t="n">
        <v>0</v>
      </c>
      <c r="HN55" s="33" t="n">
        <v>0</v>
      </c>
      <c r="HO55" s="33" t="n">
        <v>0</v>
      </c>
      <c r="HP55" s="33" t="n">
        <v>0</v>
      </c>
      <c r="HQ55" s="33" t="n">
        <v>0</v>
      </c>
      <c r="HR55" s="33" t="n">
        <v>0</v>
      </c>
      <c r="HS55" s="33" t="n">
        <v>0</v>
      </c>
      <c r="HT55" s="33" t="n">
        <v>0</v>
      </c>
      <c r="HU55" s="33" t="n">
        <v>0</v>
      </c>
      <c r="HV55" s="33" t="n">
        <v>0</v>
      </c>
      <c r="HW55" s="33" t="n">
        <v>0</v>
      </c>
      <c r="HX55" s="33" t="n">
        <v>0</v>
      </c>
      <c r="HY55" s="33" t="n">
        <v>0</v>
      </c>
      <c r="HZ55" s="33" t="n">
        <v>0</v>
      </c>
      <c r="IA55" s="33" t="n">
        <v>0</v>
      </c>
      <c r="IB55" s="33" t="n">
        <v>0</v>
      </c>
      <c r="IC55" s="33" t="n">
        <v>0</v>
      </c>
      <c r="ID55" s="33" t="n">
        <v>0</v>
      </c>
      <c r="IE55" s="33" t="n">
        <v>0</v>
      </c>
      <c r="IF55" s="33" t="n">
        <v>0</v>
      </c>
      <c r="IG55" s="33" t="n">
        <v>0</v>
      </c>
      <c r="IH55" s="33" t="n">
        <v>0</v>
      </c>
      <c r="II55" s="33" t="n">
        <v>0</v>
      </c>
      <c r="IJ55" s="33" t="n">
        <v>0</v>
      </c>
      <c r="IK55" s="33" t="n">
        <v>0</v>
      </c>
      <c r="IL55" s="33" t="n">
        <v>0</v>
      </c>
      <c r="IM55" s="33" t="n">
        <v>0</v>
      </c>
      <c r="IN55" s="33" t="n">
        <v>0</v>
      </c>
      <c r="IO55" s="33" t="n">
        <v>0</v>
      </c>
      <c r="IP55" s="33" t="n">
        <v>0</v>
      </c>
      <c r="IQ55" s="33" t="n">
        <v>0</v>
      </c>
      <c r="IR55" s="33" t="n">
        <v>0</v>
      </c>
      <c r="IS55" s="33" t="n">
        <v>0</v>
      </c>
      <c r="IT55" s="33" t="n">
        <v>0</v>
      </c>
      <c r="IU55" s="33" t="n">
        <v>0</v>
      </c>
      <c r="IV55" s="33" t="n">
        <v>0</v>
      </c>
      <c r="IW55" s="33" t="n">
        <v>0</v>
      </c>
      <c r="IX55" s="33" t="n">
        <v>0</v>
      </c>
      <c r="IY55" s="33" t="n">
        <v>0</v>
      </c>
      <c r="IZ55" s="33" t="n">
        <v>0</v>
      </c>
      <c r="JA55" s="33" t="n">
        <v>0</v>
      </c>
      <c r="JB55" s="33" t="n">
        <v>0</v>
      </c>
      <c r="JC55" s="33" t="n">
        <v>0</v>
      </c>
      <c r="JD55" s="33" t="n">
        <v>0</v>
      </c>
      <c r="JE55" s="33" t="n">
        <v>0</v>
      </c>
      <c r="JF55" s="33" t="n">
        <v>0</v>
      </c>
      <c r="JG55" s="33" t="n">
        <v>0</v>
      </c>
      <c r="JH55" s="33" t="n">
        <v>0</v>
      </c>
      <c r="JI55" s="33" t="n">
        <v>0</v>
      </c>
      <c r="JJ55" s="33" t="n">
        <v>0</v>
      </c>
      <c r="JK55" s="33" t="n">
        <v>0</v>
      </c>
      <c r="JL55" s="33" t="n">
        <v>0</v>
      </c>
      <c r="JM55" s="33" t="n">
        <v>0</v>
      </c>
      <c r="JN55" s="33" t="n">
        <v>0</v>
      </c>
      <c r="JO55" s="33" t="n">
        <v>0</v>
      </c>
      <c r="JP55" s="33" t="n">
        <v>0</v>
      </c>
      <c r="JQ55" s="33" t="n">
        <v>0</v>
      </c>
      <c r="JR55" s="33" t="n">
        <v>0</v>
      </c>
      <c r="JS55" s="33" t="n">
        <v>0</v>
      </c>
      <c r="JT55" s="33" t="n">
        <v>0</v>
      </c>
      <c r="JU55" s="33" t="n">
        <v>0</v>
      </c>
      <c r="JV55" s="33" t="n">
        <v>0</v>
      </c>
      <c r="JW55" s="33" t="n">
        <v>0</v>
      </c>
      <c r="JX55" s="33" t="n">
        <v>0</v>
      </c>
      <c r="JY55" s="33" t="n">
        <v>0</v>
      </c>
      <c r="JZ55" s="33" t="n">
        <v>0</v>
      </c>
      <c r="KA55" s="33" t="n">
        <v>0</v>
      </c>
      <c r="KB55" s="33" t="n">
        <v>0</v>
      </c>
      <c r="KC55" s="33" t="n">
        <v>0</v>
      </c>
      <c r="KD55" s="33" t="n">
        <v>0</v>
      </c>
      <c r="KE55" s="33" t="n">
        <v>0</v>
      </c>
      <c r="KF55" s="33" t="n">
        <v>0</v>
      </c>
      <c r="KG55" s="33" t="n">
        <v>0</v>
      </c>
      <c r="KH55" s="33" t="n">
        <v>0</v>
      </c>
      <c r="KI55" s="33" t="n">
        <v>0</v>
      </c>
      <c r="KJ55" s="33" t="n">
        <v>0</v>
      </c>
      <c r="KK55" s="33" t="n">
        <v>0</v>
      </c>
      <c r="KL55" s="33" t="n">
        <v>0</v>
      </c>
      <c r="KM55" s="33" t="n">
        <v>0</v>
      </c>
      <c r="KN55" s="33" t="n">
        <v>0</v>
      </c>
      <c r="KO55" s="33" t="n">
        <v>0</v>
      </c>
      <c r="KP55" s="33" t="n">
        <v>0</v>
      </c>
      <c r="KQ55" s="33" t="n">
        <v>0</v>
      </c>
      <c r="KR55" s="33" t="n">
        <v>0</v>
      </c>
      <c r="KS55" s="33" t="n">
        <v>0</v>
      </c>
      <c r="KT55" s="33" t="n">
        <v>0</v>
      </c>
      <c r="KU55" s="33" t="n">
        <v>0</v>
      </c>
      <c r="KV55" s="33" t="n">
        <v>0</v>
      </c>
      <c r="KW55" s="33" t="n">
        <v>0</v>
      </c>
      <c r="KX55" s="33" t="n">
        <v>0</v>
      </c>
      <c r="KY55" s="33" t="n">
        <v>0</v>
      </c>
      <c r="KZ55" s="33" t="n">
        <v>0</v>
      </c>
      <c r="LA55" s="33" t="n">
        <v>0</v>
      </c>
      <c r="LB55" s="33" t="n">
        <v>0</v>
      </c>
      <c r="LC55" s="33" t="n">
        <v>0</v>
      </c>
      <c r="LD55" s="33" t="n">
        <v>0</v>
      </c>
      <c r="LE55" s="33" t="n">
        <v>0</v>
      </c>
      <c r="LF55" s="33" t="n">
        <v>0</v>
      </c>
      <c r="LG55" s="33" t="n">
        <v>0</v>
      </c>
      <c r="LH55" s="33" t="n">
        <v>0</v>
      </c>
      <c r="LI55" s="33" t="n">
        <v>0</v>
      </c>
      <c r="LJ55" s="33" t="n">
        <v>0</v>
      </c>
      <c r="LK55" s="33" t="n">
        <v>0</v>
      </c>
      <c r="LL55" s="33" t="n">
        <v>0</v>
      </c>
      <c r="LM55" s="33" t="n">
        <v>0</v>
      </c>
      <c r="LN55" s="33" t="n">
        <v>0</v>
      </c>
      <c r="LO55" s="33" t="n">
        <v>0</v>
      </c>
      <c r="LP55" s="33" t="n">
        <v>0</v>
      </c>
      <c r="LQ55" s="33" t="n">
        <v>0</v>
      </c>
      <c r="LR55" s="33" t="n">
        <v>0</v>
      </c>
      <c r="LS55" s="33" t="n">
        <v>0</v>
      </c>
      <c r="LT55" s="33" t="n">
        <v>0</v>
      </c>
      <c r="LU55" s="33" t="n">
        <v>0</v>
      </c>
      <c r="LV55" s="33" t="n">
        <v>0</v>
      </c>
      <c r="LW55" s="33" t="n">
        <v>0</v>
      </c>
      <c r="LX55" s="33" t="n">
        <v>0</v>
      </c>
      <c r="LY55" s="33" t="n">
        <v>0</v>
      </c>
      <c r="LZ55" s="33" t="n">
        <v>0</v>
      </c>
      <c r="MA55" s="33" t="n">
        <v>0</v>
      </c>
      <c r="MB55" s="33" t="n">
        <v>0</v>
      </c>
      <c r="MC55" s="33" t="n">
        <v>0</v>
      </c>
      <c r="MD55" s="33" t="n">
        <v>0</v>
      </c>
      <c r="ME55" s="33" t="n">
        <v>0</v>
      </c>
      <c r="MF55" s="33" t="n">
        <v>0</v>
      </c>
      <c r="MG55" s="33" t="n">
        <v>0</v>
      </c>
      <c r="MH55" s="33" t="n">
        <v>0</v>
      </c>
      <c r="MI55" s="33" t="n">
        <v>0</v>
      </c>
      <c r="MJ55" s="33" t="n">
        <v>0</v>
      </c>
      <c r="MK55" s="33" t="n">
        <v>0</v>
      </c>
      <c r="ML55" s="33" t="n">
        <v>0</v>
      </c>
      <c r="MM55" s="33" t="n">
        <v>0</v>
      </c>
      <c r="MN55" s="33" t="n">
        <v>0</v>
      </c>
      <c r="MO55" s="33" t="n">
        <v>0</v>
      </c>
      <c r="MP55" s="33" t="n">
        <v>0</v>
      </c>
      <c r="MQ55" s="33" t="n">
        <v>0</v>
      </c>
      <c r="MR55" s="33" t="n">
        <v>0</v>
      </c>
      <c r="MS55" s="33" t="n">
        <v>0</v>
      </c>
      <c r="MT55" s="33" t="n">
        <v>0</v>
      </c>
      <c r="MU55" s="33" t="n">
        <v>0</v>
      </c>
      <c r="MV55" s="33" t="n">
        <v>0</v>
      </c>
      <c r="MW55" s="33" t="n">
        <v>0</v>
      </c>
      <c r="MX55" s="33" t="n">
        <v>0</v>
      </c>
      <c r="MY55" s="33" t="n">
        <v>0</v>
      </c>
      <c r="MZ55" s="33" t="n">
        <v>0</v>
      </c>
      <c r="NA55" s="33" t="n">
        <v>0</v>
      </c>
      <c r="NB55" s="33" t="n">
        <v>0</v>
      </c>
      <c r="NC55" s="33" t="n">
        <v>0</v>
      </c>
      <c r="ND55" s="33" t="n">
        <v>0</v>
      </c>
      <c r="NE55" s="33" t="n">
        <v>0</v>
      </c>
      <c r="NF55" s="33" t="n">
        <v>0</v>
      </c>
      <c r="NG55" s="33" t="n">
        <v>0</v>
      </c>
      <c r="NH55" s="33" t="n">
        <v>0</v>
      </c>
      <c r="NI55" s="33" t="n">
        <v>0</v>
      </c>
      <c r="NJ55" s="33" t="n">
        <v>0</v>
      </c>
      <c r="NK55" s="33" t="n">
        <v>0</v>
      </c>
      <c r="NL55" s="33" t="n">
        <v>0</v>
      </c>
      <c r="NM55" s="33" t="n">
        <v>0</v>
      </c>
      <c r="NN55" s="33" t="n">
        <v>0</v>
      </c>
      <c r="NO55" s="33" t="n">
        <v>0</v>
      </c>
      <c r="NP55" s="33" t="n">
        <v>0</v>
      </c>
      <c r="NQ55" s="33" t="n">
        <v>0</v>
      </c>
      <c r="NR55" s="33" t="n">
        <v>0</v>
      </c>
      <c r="NS55" s="33" t="n">
        <v>0</v>
      </c>
      <c r="NT55" s="33" t="n">
        <v>0</v>
      </c>
      <c r="NU55" s="33" t="n">
        <v>0</v>
      </c>
      <c r="NV55" s="33" t="n">
        <v>0</v>
      </c>
      <c r="NW55" s="33" t="n">
        <v>0</v>
      </c>
      <c r="NX55" s="33" t="n">
        <v>0</v>
      </c>
      <c r="NY55" s="33" t="n">
        <v>0</v>
      </c>
      <c r="NZ55" s="33" t="n">
        <v>0</v>
      </c>
      <c r="OA55" s="33" t="n">
        <v>0</v>
      </c>
      <c r="OB55" s="33" t="n">
        <v>0</v>
      </c>
      <c r="OC55" s="33" t="n">
        <v>0</v>
      </c>
      <c r="OD55" s="33" t="n">
        <v>0</v>
      </c>
      <c r="OE55" s="33" t="n">
        <v>0</v>
      </c>
      <c r="OF55" s="33" t="n">
        <v>0</v>
      </c>
      <c r="OG55" s="33" t="n">
        <v>0</v>
      </c>
      <c r="OH55" s="33" t="n">
        <v>0</v>
      </c>
      <c r="OI55" s="33" t="n">
        <v>0</v>
      </c>
      <c r="OJ55" s="33" t="n">
        <v>0</v>
      </c>
      <c r="OK55" s="33" t="n">
        <v>0</v>
      </c>
      <c r="OL55" s="33" t="n">
        <v>0</v>
      </c>
      <c r="OM55" s="33" t="n">
        <v>0</v>
      </c>
      <c r="ON55" s="33" t="n">
        <v>0</v>
      </c>
      <c r="OO55" s="33" t="n">
        <v>0</v>
      </c>
      <c r="OP55" s="33" t="n">
        <v>0</v>
      </c>
      <c r="OQ55" s="33" t="n">
        <v>0</v>
      </c>
      <c r="OR55" s="33" t="n">
        <v>0</v>
      </c>
      <c r="OS55" s="33" t="n">
        <v>0</v>
      </c>
      <c r="OT55" s="33" t="n">
        <v>0</v>
      </c>
      <c r="OU55" s="33" t="n">
        <v>0</v>
      </c>
      <c r="OV55" s="33" t="n">
        <v>0</v>
      </c>
      <c r="OW55" s="33" t="n">
        <v>0</v>
      </c>
      <c r="OX55" s="33" t="n">
        <v>0</v>
      </c>
      <c r="OY55" s="33" t="n">
        <v>0</v>
      </c>
      <c r="OZ55" s="33" t="n">
        <v>0</v>
      </c>
      <c r="PA55" s="33" t="n">
        <v>0</v>
      </c>
      <c r="PB55" s="33" t="n">
        <v>0</v>
      </c>
      <c r="PC55" s="33" t="n">
        <v>0</v>
      </c>
      <c r="PD55" s="33" t="n">
        <v>0</v>
      </c>
      <c r="PE55" s="33" t="n">
        <v>0</v>
      </c>
      <c r="PF55" s="33" t="n">
        <v>0</v>
      </c>
      <c r="PG55" s="33" t="n">
        <v>0</v>
      </c>
      <c r="PH55" s="33" t="n">
        <v>0</v>
      </c>
      <c r="PI55" s="33" t="n">
        <v>0</v>
      </c>
      <c r="PJ55" s="33" t="n">
        <v>0</v>
      </c>
      <c r="PK55" s="33" t="n">
        <v>0</v>
      </c>
      <c r="PL55" s="33" t="n">
        <v>0</v>
      </c>
      <c r="PM55" s="33" t="n">
        <v>0</v>
      </c>
      <c r="PN55" s="33" t="n">
        <v>0</v>
      </c>
      <c r="PO55" s="33" t="n">
        <v>0</v>
      </c>
      <c r="PP55" s="33" t="n">
        <v>0</v>
      </c>
      <c r="PQ55" s="33" t="n">
        <v>0</v>
      </c>
      <c r="PR55" s="33" t="n">
        <v>0</v>
      </c>
      <c r="PS55" s="33" t="n">
        <v>0</v>
      </c>
      <c r="PT55" s="33" t="n">
        <v>0</v>
      </c>
      <c r="PU55" s="33" t="n">
        <v>0</v>
      </c>
      <c r="PV55" s="33" t="n">
        <v>0</v>
      </c>
      <c r="PW55" s="33" t="n">
        <v>0</v>
      </c>
      <c r="PX55" s="33" t="n">
        <v>0</v>
      </c>
      <c r="PY55" s="33" t="n">
        <v>0</v>
      </c>
      <c r="PZ55" s="33" t="n">
        <v>0</v>
      </c>
      <c r="QA55" s="33" t="n">
        <v>0</v>
      </c>
      <c r="QB55" s="33" t="n">
        <v>0</v>
      </c>
      <c r="QC55" s="33" t="n">
        <v>0</v>
      </c>
      <c r="QD55" s="33" t="n">
        <v>0</v>
      </c>
      <c r="QE55" s="33" t="n">
        <v>0</v>
      </c>
      <c r="QF55" s="33" t="n">
        <v>0</v>
      </c>
      <c r="QG55" s="33" t="n">
        <v>0</v>
      </c>
      <c r="QH55" s="33" t="n">
        <v>0</v>
      </c>
      <c r="QI55" s="33" t="n">
        <v>0</v>
      </c>
      <c r="QJ55" s="33" t="n">
        <v>0</v>
      </c>
      <c r="QK55" s="33" t="n">
        <v>0</v>
      </c>
      <c r="QL55" s="33" t="n">
        <v>0</v>
      </c>
      <c r="QM55" s="33" t="n">
        <v>0</v>
      </c>
      <c r="QN55" s="33" t="n">
        <v>0</v>
      </c>
      <c r="QO55" s="33" t="n">
        <v>0</v>
      </c>
      <c r="QP55" s="33" t="n">
        <v>0</v>
      </c>
      <c r="QQ55" s="33" t="n">
        <v>0</v>
      </c>
      <c r="QR55" s="33" t="n">
        <v>0</v>
      </c>
      <c r="QS55" s="33" t="n">
        <v>0</v>
      </c>
      <c r="QT55" s="33" t="n">
        <v>0</v>
      </c>
      <c r="QU55" s="33" t="n">
        <v>0</v>
      </c>
      <c r="QV55" s="33" t="n">
        <v>0</v>
      </c>
      <c r="QW55" s="33" t="n">
        <v>0</v>
      </c>
      <c r="QX55" s="33" t="n">
        <v>0</v>
      </c>
      <c r="QY55" s="33" t="n">
        <v>0</v>
      </c>
      <c r="QZ55" s="33" t="n">
        <v>0</v>
      </c>
      <c r="RA55" s="33" t="n">
        <v>0</v>
      </c>
      <c r="RB55" s="33" t="n">
        <v>0</v>
      </c>
      <c r="RC55" s="33" t="n">
        <v>0</v>
      </c>
      <c r="RD55" s="33" t="n">
        <v>0</v>
      </c>
      <c r="RE55" s="33" t="n">
        <v>0</v>
      </c>
      <c r="RF55" s="33" t="n">
        <v>0</v>
      </c>
      <c r="RG55" s="33" t="n">
        <v>0</v>
      </c>
      <c r="RH55" s="33" t="n">
        <v>0</v>
      </c>
      <c r="RI55" s="33" t="n">
        <v>0</v>
      </c>
      <c r="RJ55" s="33" t="n">
        <v>0</v>
      </c>
      <c r="RK55" s="33" t="n">
        <v>0</v>
      </c>
      <c r="RL55" s="33" t="n">
        <v>0</v>
      </c>
      <c r="RM55" s="33" t="n">
        <v>0</v>
      </c>
      <c r="RN55" s="33" t="n">
        <v>0</v>
      </c>
      <c r="RO55" s="33" t="n">
        <v>0</v>
      </c>
      <c r="RP55" s="33" t="n">
        <v>0</v>
      </c>
      <c r="RQ55" s="33" t="n">
        <v>0</v>
      </c>
      <c r="RR55" s="33" t="n">
        <v>0</v>
      </c>
      <c r="RS55" s="33" t="n">
        <v>0</v>
      </c>
      <c r="RT55" s="33" t="n">
        <v>0</v>
      </c>
      <c r="RU55" s="33" t="n">
        <v>0</v>
      </c>
      <c r="RV55" s="33" t="n">
        <v>0</v>
      </c>
      <c r="RW55" s="33" t="n">
        <v>0</v>
      </c>
    </row>
    <row r="56" hidden="1" outlineLevel="1" ht="13.05" customHeight="1">
      <c r="E56" s="21" t="inlineStr">
        <is>
          <t>FCAS Regulation Revenue</t>
        </is>
      </c>
      <c r="F56" s="29" t="n"/>
      <c r="G56" s="29" t="inlineStr">
        <is>
          <t>kEUR</t>
        </is>
      </c>
      <c r="H56" s="29" t="n"/>
      <c r="I56" s="29" t="n"/>
      <c r="J56" s="32" t="n">
        <v>0</v>
      </c>
      <c r="K56" s="29" t="n"/>
      <c r="L56" s="33" t="n">
        <v>0</v>
      </c>
      <c r="M56" s="33" t="n">
        <v>0</v>
      </c>
      <c r="N56" s="33" t="n">
        <v>0</v>
      </c>
      <c r="O56" s="33" t="n">
        <v>0</v>
      </c>
      <c r="P56" s="33" t="n">
        <v>0</v>
      </c>
      <c r="Q56" s="33" t="n">
        <v>0</v>
      </c>
      <c r="R56" s="33" t="n">
        <v>0</v>
      </c>
      <c r="S56" s="33" t="n">
        <v>0</v>
      </c>
      <c r="T56" s="33" t="n">
        <v>0</v>
      </c>
      <c r="U56" s="33" t="n">
        <v>0</v>
      </c>
      <c r="V56" s="33" t="n">
        <v>0</v>
      </c>
      <c r="W56" s="33" t="n">
        <v>0</v>
      </c>
      <c r="X56" s="33" t="n">
        <v>0</v>
      </c>
      <c r="Y56" s="33" t="n">
        <v>0</v>
      </c>
      <c r="Z56" s="33" t="n">
        <v>0</v>
      </c>
      <c r="AA56" s="33" t="n">
        <v>0</v>
      </c>
      <c r="AB56" s="33" t="n">
        <v>0</v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33" t="n">
        <v>0</v>
      </c>
      <c r="AJ56" s="33" t="n">
        <v>0</v>
      </c>
      <c r="AK56" s="33" t="n">
        <v>0</v>
      </c>
      <c r="AL56" s="33" t="n">
        <v>0</v>
      </c>
      <c r="AM56" s="33" t="n">
        <v>0</v>
      </c>
      <c r="AN56" s="33" t="n">
        <v>0</v>
      </c>
      <c r="AO56" s="33" t="n">
        <v>0</v>
      </c>
      <c r="AP56" s="33" t="n">
        <v>0</v>
      </c>
      <c r="AQ56" s="33" t="n">
        <v>0</v>
      </c>
      <c r="AR56" s="33" t="n">
        <v>0</v>
      </c>
      <c r="AS56" s="33" t="n">
        <v>0</v>
      </c>
      <c r="AT56" s="33" t="n">
        <v>0</v>
      </c>
      <c r="AU56" s="33" t="n">
        <v>0</v>
      </c>
      <c r="AV56" s="33" t="n">
        <v>0</v>
      </c>
      <c r="AW56" s="33" t="n">
        <v>0</v>
      </c>
      <c r="AX56" s="33" t="n">
        <v>0</v>
      </c>
      <c r="AY56" s="33" t="n">
        <v>0</v>
      </c>
      <c r="AZ56" s="33" t="n">
        <v>0</v>
      </c>
      <c r="BA56" s="33" t="n">
        <v>0</v>
      </c>
      <c r="BB56" s="33" t="n">
        <v>0</v>
      </c>
      <c r="BC56" s="33" t="n">
        <v>0</v>
      </c>
      <c r="BD56" s="33" t="n">
        <v>0</v>
      </c>
      <c r="BE56" s="33" t="n">
        <v>0</v>
      </c>
      <c r="BF56" s="33" t="n">
        <v>0</v>
      </c>
      <c r="BG56" s="33" t="n">
        <v>0</v>
      </c>
      <c r="BH56" s="33" t="n">
        <v>0</v>
      </c>
      <c r="BI56" s="33" t="n">
        <v>0</v>
      </c>
      <c r="BJ56" s="33" t="n">
        <v>0</v>
      </c>
      <c r="BK56" s="33" t="n">
        <v>0</v>
      </c>
      <c r="BL56" s="33" t="n">
        <v>0</v>
      </c>
      <c r="BM56" s="33" t="n">
        <v>0</v>
      </c>
      <c r="BN56" s="33" t="n">
        <v>0</v>
      </c>
      <c r="BO56" s="33" t="n">
        <v>0</v>
      </c>
      <c r="BP56" s="33" t="n">
        <v>0</v>
      </c>
      <c r="BQ56" s="33" t="n">
        <v>0</v>
      </c>
      <c r="BR56" s="33" t="n">
        <v>0</v>
      </c>
      <c r="BS56" s="33" t="n">
        <v>0</v>
      </c>
      <c r="BT56" s="33" t="n">
        <v>0</v>
      </c>
      <c r="BU56" s="33" t="n">
        <v>0</v>
      </c>
      <c r="BV56" s="33" t="n">
        <v>0</v>
      </c>
      <c r="BW56" s="33" t="n">
        <v>0</v>
      </c>
      <c r="BX56" s="33" t="n">
        <v>0</v>
      </c>
      <c r="BY56" s="33" t="n">
        <v>0</v>
      </c>
      <c r="BZ56" s="33" t="n">
        <v>0</v>
      </c>
      <c r="CA56" s="33" t="n">
        <v>0</v>
      </c>
      <c r="CB56" s="33" t="n">
        <v>0</v>
      </c>
      <c r="CC56" s="33" t="n">
        <v>0</v>
      </c>
      <c r="CD56" s="33" t="n">
        <v>0</v>
      </c>
      <c r="CE56" s="33" t="n">
        <v>0</v>
      </c>
      <c r="CF56" s="33" t="n">
        <v>0</v>
      </c>
      <c r="CG56" s="33" t="n">
        <v>0</v>
      </c>
      <c r="CH56" s="33" t="n">
        <v>0</v>
      </c>
      <c r="CI56" s="33" t="n">
        <v>0</v>
      </c>
      <c r="CJ56" s="33" t="n">
        <v>0</v>
      </c>
      <c r="CK56" s="33" t="n">
        <v>0</v>
      </c>
      <c r="CL56" s="33" t="n">
        <v>0</v>
      </c>
      <c r="CM56" s="33" t="n">
        <v>0</v>
      </c>
      <c r="CN56" s="33" t="n">
        <v>0</v>
      </c>
      <c r="CO56" s="33" t="n">
        <v>0</v>
      </c>
      <c r="CP56" s="33" t="n">
        <v>0</v>
      </c>
      <c r="CQ56" s="33" t="n">
        <v>0</v>
      </c>
      <c r="CR56" s="33" t="n">
        <v>0</v>
      </c>
      <c r="CS56" s="33" t="n">
        <v>0</v>
      </c>
      <c r="CT56" s="33" t="n">
        <v>0</v>
      </c>
      <c r="CU56" s="33" t="n">
        <v>0</v>
      </c>
      <c r="CV56" s="33" t="n">
        <v>0</v>
      </c>
      <c r="CW56" s="33" t="n">
        <v>0</v>
      </c>
      <c r="CX56" s="33" t="n">
        <v>0</v>
      </c>
      <c r="CY56" s="33" t="n">
        <v>0</v>
      </c>
      <c r="CZ56" s="33" t="n">
        <v>0</v>
      </c>
      <c r="DA56" s="33" t="n">
        <v>0</v>
      </c>
      <c r="DB56" s="33" t="n">
        <v>0</v>
      </c>
      <c r="DC56" s="33" t="n">
        <v>0</v>
      </c>
      <c r="DD56" s="33" t="n">
        <v>0</v>
      </c>
      <c r="DE56" s="33" t="n">
        <v>0</v>
      </c>
      <c r="DF56" s="33" t="n">
        <v>0</v>
      </c>
      <c r="DG56" s="33" t="n">
        <v>0</v>
      </c>
      <c r="DH56" s="33" t="n">
        <v>0</v>
      </c>
      <c r="DI56" s="33" t="n">
        <v>0</v>
      </c>
      <c r="DJ56" s="33" t="n">
        <v>0</v>
      </c>
      <c r="DK56" s="33" t="n">
        <v>0</v>
      </c>
      <c r="DL56" s="33" t="n">
        <v>0</v>
      </c>
      <c r="DM56" s="33" t="n">
        <v>0</v>
      </c>
      <c r="DN56" s="33" t="n">
        <v>0</v>
      </c>
      <c r="DO56" s="33" t="n">
        <v>0</v>
      </c>
      <c r="DP56" s="33" t="n">
        <v>0</v>
      </c>
      <c r="DQ56" s="33" t="n">
        <v>0</v>
      </c>
      <c r="DR56" s="33" t="n">
        <v>0</v>
      </c>
      <c r="DS56" s="33" t="n">
        <v>0</v>
      </c>
      <c r="DT56" s="33" t="n">
        <v>0</v>
      </c>
      <c r="DU56" s="33" t="n">
        <v>0</v>
      </c>
      <c r="DV56" s="33" t="n">
        <v>0</v>
      </c>
      <c r="DW56" s="33" t="n">
        <v>0</v>
      </c>
      <c r="DX56" s="33" t="n">
        <v>0</v>
      </c>
      <c r="DY56" s="33" t="n">
        <v>0</v>
      </c>
      <c r="DZ56" s="33" t="n">
        <v>0</v>
      </c>
      <c r="EA56" s="33" t="n">
        <v>0</v>
      </c>
      <c r="EB56" s="33" t="n">
        <v>0</v>
      </c>
      <c r="EC56" s="33" t="n">
        <v>0</v>
      </c>
      <c r="ED56" s="33" t="n">
        <v>0</v>
      </c>
      <c r="EE56" s="33" t="n">
        <v>0</v>
      </c>
      <c r="EF56" s="33" t="n">
        <v>0</v>
      </c>
      <c r="EG56" s="33" t="n">
        <v>0</v>
      </c>
      <c r="EH56" s="33" t="n">
        <v>0</v>
      </c>
      <c r="EI56" s="33" t="n">
        <v>0</v>
      </c>
      <c r="EJ56" s="33" t="n">
        <v>0</v>
      </c>
      <c r="EK56" s="33" t="n">
        <v>0</v>
      </c>
      <c r="EL56" s="33" t="n">
        <v>0</v>
      </c>
      <c r="EM56" s="33" t="n">
        <v>0</v>
      </c>
      <c r="EN56" s="33" t="n">
        <v>0</v>
      </c>
      <c r="EO56" s="33" t="n">
        <v>0</v>
      </c>
      <c r="EP56" s="33" t="n">
        <v>0</v>
      </c>
      <c r="EQ56" s="33" t="n">
        <v>0</v>
      </c>
      <c r="ER56" s="33" t="n">
        <v>0</v>
      </c>
      <c r="ES56" s="33" t="n">
        <v>0</v>
      </c>
      <c r="ET56" s="33" t="n">
        <v>0</v>
      </c>
      <c r="EU56" s="33" t="n">
        <v>0</v>
      </c>
      <c r="EV56" s="33" t="n">
        <v>0</v>
      </c>
      <c r="EW56" s="33" t="n">
        <v>0</v>
      </c>
      <c r="EX56" s="33" t="n">
        <v>0</v>
      </c>
      <c r="EY56" s="33" t="n">
        <v>0</v>
      </c>
      <c r="EZ56" s="33" t="n">
        <v>0</v>
      </c>
      <c r="FA56" s="33" t="n">
        <v>0</v>
      </c>
      <c r="FB56" s="33" t="n">
        <v>0</v>
      </c>
      <c r="FC56" s="33" t="n">
        <v>0</v>
      </c>
      <c r="FD56" s="33" t="n">
        <v>0</v>
      </c>
      <c r="FE56" s="33" t="n">
        <v>0</v>
      </c>
      <c r="FF56" s="33" t="n">
        <v>0</v>
      </c>
      <c r="FG56" s="33" t="n">
        <v>0</v>
      </c>
      <c r="FH56" s="33" t="n">
        <v>0</v>
      </c>
      <c r="FI56" s="33" t="n">
        <v>0</v>
      </c>
      <c r="FJ56" s="33" t="n">
        <v>0</v>
      </c>
      <c r="FK56" s="33" t="n">
        <v>0</v>
      </c>
      <c r="FL56" s="33" t="n">
        <v>0</v>
      </c>
      <c r="FM56" s="33" t="n">
        <v>0</v>
      </c>
      <c r="FN56" s="33" t="n">
        <v>0</v>
      </c>
      <c r="FO56" s="33" t="n">
        <v>0</v>
      </c>
      <c r="FP56" s="33" t="n">
        <v>0</v>
      </c>
      <c r="FQ56" s="33" t="n">
        <v>0</v>
      </c>
      <c r="FR56" s="33" t="n">
        <v>0</v>
      </c>
      <c r="FS56" s="33" t="n">
        <v>0</v>
      </c>
      <c r="FT56" s="33" t="n">
        <v>0</v>
      </c>
      <c r="FU56" s="33" t="n">
        <v>0</v>
      </c>
      <c r="FV56" s="33" t="n">
        <v>0</v>
      </c>
      <c r="FW56" s="33" t="n">
        <v>0</v>
      </c>
      <c r="FX56" s="33" t="n">
        <v>0</v>
      </c>
      <c r="FY56" s="33" t="n">
        <v>0</v>
      </c>
      <c r="FZ56" s="33" t="n">
        <v>0</v>
      </c>
      <c r="GA56" s="33" t="n">
        <v>0</v>
      </c>
      <c r="GB56" s="33" t="n">
        <v>0</v>
      </c>
      <c r="GC56" s="33" t="n">
        <v>0</v>
      </c>
      <c r="GD56" s="33" t="n">
        <v>0</v>
      </c>
      <c r="GE56" s="33" t="n">
        <v>0</v>
      </c>
      <c r="GF56" s="33" t="n">
        <v>0</v>
      </c>
      <c r="GG56" s="33" t="n">
        <v>0</v>
      </c>
      <c r="GH56" s="33" t="n">
        <v>0</v>
      </c>
      <c r="GI56" s="33" t="n">
        <v>0</v>
      </c>
      <c r="GJ56" s="33" t="n">
        <v>0</v>
      </c>
      <c r="GK56" s="33" t="n">
        <v>0</v>
      </c>
      <c r="GL56" s="33" t="n">
        <v>0</v>
      </c>
      <c r="GM56" s="33" t="n">
        <v>0</v>
      </c>
      <c r="GN56" s="33" t="n">
        <v>0</v>
      </c>
      <c r="GO56" s="33" t="n">
        <v>0</v>
      </c>
      <c r="GP56" s="33" t="n">
        <v>0</v>
      </c>
      <c r="GQ56" s="33" t="n">
        <v>0</v>
      </c>
      <c r="GR56" s="33" t="n">
        <v>0</v>
      </c>
      <c r="GS56" s="33" t="n">
        <v>0</v>
      </c>
      <c r="GT56" s="33" t="n">
        <v>0</v>
      </c>
      <c r="GU56" s="33" t="n">
        <v>0</v>
      </c>
      <c r="GV56" s="33" t="n">
        <v>0</v>
      </c>
      <c r="GW56" s="33" t="n">
        <v>0</v>
      </c>
      <c r="GX56" s="33" t="n">
        <v>0</v>
      </c>
      <c r="GY56" s="33" t="n">
        <v>0</v>
      </c>
      <c r="GZ56" s="33" t="n">
        <v>0</v>
      </c>
      <c r="HA56" s="33" t="n">
        <v>0</v>
      </c>
      <c r="HB56" s="33" t="n">
        <v>0</v>
      </c>
      <c r="HC56" s="33" t="n">
        <v>0</v>
      </c>
      <c r="HD56" s="33" t="n">
        <v>0</v>
      </c>
      <c r="HE56" s="33" t="n">
        <v>0</v>
      </c>
      <c r="HF56" s="33" t="n">
        <v>0</v>
      </c>
      <c r="HG56" s="33" t="n">
        <v>0</v>
      </c>
      <c r="HH56" s="33" t="n">
        <v>0</v>
      </c>
      <c r="HI56" s="33" t="n">
        <v>0</v>
      </c>
      <c r="HJ56" s="33" t="n">
        <v>0</v>
      </c>
      <c r="HK56" s="33" t="n">
        <v>0</v>
      </c>
      <c r="HL56" s="33" t="n">
        <v>0</v>
      </c>
      <c r="HM56" s="33" t="n">
        <v>0</v>
      </c>
      <c r="HN56" s="33" t="n">
        <v>0</v>
      </c>
      <c r="HO56" s="33" t="n">
        <v>0</v>
      </c>
      <c r="HP56" s="33" t="n">
        <v>0</v>
      </c>
      <c r="HQ56" s="33" t="n">
        <v>0</v>
      </c>
      <c r="HR56" s="33" t="n">
        <v>0</v>
      </c>
      <c r="HS56" s="33" t="n">
        <v>0</v>
      </c>
      <c r="HT56" s="33" t="n">
        <v>0</v>
      </c>
      <c r="HU56" s="33" t="n">
        <v>0</v>
      </c>
      <c r="HV56" s="33" t="n">
        <v>0</v>
      </c>
      <c r="HW56" s="33" t="n">
        <v>0</v>
      </c>
      <c r="HX56" s="33" t="n">
        <v>0</v>
      </c>
      <c r="HY56" s="33" t="n">
        <v>0</v>
      </c>
      <c r="HZ56" s="33" t="n">
        <v>0</v>
      </c>
      <c r="IA56" s="33" t="n">
        <v>0</v>
      </c>
      <c r="IB56" s="33" t="n">
        <v>0</v>
      </c>
      <c r="IC56" s="33" t="n">
        <v>0</v>
      </c>
      <c r="ID56" s="33" t="n">
        <v>0</v>
      </c>
      <c r="IE56" s="33" t="n">
        <v>0</v>
      </c>
      <c r="IF56" s="33" t="n">
        <v>0</v>
      </c>
      <c r="IG56" s="33" t="n">
        <v>0</v>
      </c>
      <c r="IH56" s="33" t="n">
        <v>0</v>
      </c>
      <c r="II56" s="33" t="n">
        <v>0</v>
      </c>
      <c r="IJ56" s="33" t="n">
        <v>0</v>
      </c>
      <c r="IK56" s="33" t="n">
        <v>0</v>
      </c>
      <c r="IL56" s="33" t="n">
        <v>0</v>
      </c>
      <c r="IM56" s="33" t="n">
        <v>0</v>
      </c>
      <c r="IN56" s="33" t="n">
        <v>0</v>
      </c>
      <c r="IO56" s="33" t="n">
        <v>0</v>
      </c>
      <c r="IP56" s="33" t="n">
        <v>0</v>
      </c>
      <c r="IQ56" s="33" t="n">
        <v>0</v>
      </c>
      <c r="IR56" s="33" t="n">
        <v>0</v>
      </c>
      <c r="IS56" s="33" t="n">
        <v>0</v>
      </c>
      <c r="IT56" s="33" t="n">
        <v>0</v>
      </c>
      <c r="IU56" s="33" t="n">
        <v>0</v>
      </c>
      <c r="IV56" s="33" t="n">
        <v>0</v>
      </c>
      <c r="IW56" s="33" t="n">
        <v>0</v>
      </c>
      <c r="IX56" s="33" t="n">
        <v>0</v>
      </c>
      <c r="IY56" s="33" t="n">
        <v>0</v>
      </c>
      <c r="IZ56" s="33" t="n">
        <v>0</v>
      </c>
      <c r="JA56" s="33" t="n">
        <v>0</v>
      </c>
      <c r="JB56" s="33" t="n">
        <v>0</v>
      </c>
      <c r="JC56" s="33" t="n">
        <v>0</v>
      </c>
      <c r="JD56" s="33" t="n">
        <v>0</v>
      </c>
      <c r="JE56" s="33" t="n">
        <v>0</v>
      </c>
      <c r="JF56" s="33" t="n">
        <v>0</v>
      </c>
      <c r="JG56" s="33" t="n">
        <v>0</v>
      </c>
      <c r="JH56" s="33" t="n">
        <v>0</v>
      </c>
      <c r="JI56" s="33" t="n">
        <v>0</v>
      </c>
      <c r="JJ56" s="33" t="n">
        <v>0</v>
      </c>
      <c r="JK56" s="33" t="n">
        <v>0</v>
      </c>
      <c r="JL56" s="33" t="n">
        <v>0</v>
      </c>
      <c r="JM56" s="33" t="n">
        <v>0</v>
      </c>
      <c r="JN56" s="33" t="n">
        <v>0</v>
      </c>
      <c r="JO56" s="33" t="n">
        <v>0</v>
      </c>
      <c r="JP56" s="33" t="n">
        <v>0</v>
      </c>
      <c r="JQ56" s="33" t="n">
        <v>0</v>
      </c>
      <c r="JR56" s="33" t="n">
        <v>0</v>
      </c>
      <c r="JS56" s="33" t="n">
        <v>0</v>
      </c>
      <c r="JT56" s="33" t="n">
        <v>0</v>
      </c>
      <c r="JU56" s="33" t="n">
        <v>0</v>
      </c>
      <c r="JV56" s="33" t="n">
        <v>0</v>
      </c>
      <c r="JW56" s="33" t="n">
        <v>0</v>
      </c>
      <c r="JX56" s="33" t="n">
        <v>0</v>
      </c>
      <c r="JY56" s="33" t="n">
        <v>0</v>
      </c>
      <c r="JZ56" s="33" t="n">
        <v>0</v>
      </c>
      <c r="KA56" s="33" t="n">
        <v>0</v>
      </c>
      <c r="KB56" s="33" t="n">
        <v>0</v>
      </c>
      <c r="KC56" s="33" t="n">
        <v>0</v>
      </c>
      <c r="KD56" s="33" t="n">
        <v>0</v>
      </c>
      <c r="KE56" s="33" t="n">
        <v>0</v>
      </c>
      <c r="KF56" s="33" t="n">
        <v>0</v>
      </c>
      <c r="KG56" s="33" t="n">
        <v>0</v>
      </c>
      <c r="KH56" s="33" t="n">
        <v>0</v>
      </c>
      <c r="KI56" s="33" t="n">
        <v>0</v>
      </c>
      <c r="KJ56" s="33" t="n">
        <v>0</v>
      </c>
      <c r="KK56" s="33" t="n">
        <v>0</v>
      </c>
      <c r="KL56" s="33" t="n">
        <v>0</v>
      </c>
      <c r="KM56" s="33" t="n">
        <v>0</v>
      </c>
      <c r="KN56" s="33" t="n">
        <v>0</v>
      </c>
      <c r="KO56" s="33" t="n">
        <v>0</v>
      </c>
      <c r="KP56" s="33" t="n">
        <v>0</v>
      </c>
      <c r="KQ56" s="33" t="n">
        <v>0</v>
      </c>
      <c r="KR56" s="33" t="n">
        <v>0</v>
      </c>
      <c r="KS56" s="33" t="n">
        <v>0</v>
      </c>
      <c r="KT56" s="33" t="n">
        <v>0</v>
      </c>
      <c r="KU56" s="33" t="n">
        <v>0</v>
      </c>
      <c r="KV56" s="33" t="n">
        <v>0</v>
      </c>
      <c r="KW56" s="33" t="n">
        <v>0</v>
      </c>
      <c r="KX56" s="33" t="n">
        <v>0</v>
      </c>
      <c r="KY56" s="33" t="n">
        <v>0</v>
      </c>
      <c r="KZ56" s="33" t="n">
        <v>0</v>
      </c>
      <c r="LA56" s="33" t="n">
        <v>0</v>
      </c>
      <c r="LB56" s="33" t="n">
        <v>0</v>
      </c>
      <c r="LC56" s="33" t="n">
        <v>0</v>
      </c>
      <c r="LD56" s="33" t="n">
        <v>0</v>
      </c>
      <c r="LE56" s="33" t="n">
        <v>0</v>
      </c>
      <c r="LF56" s="33" t="n">
        <v>0</v>
      </c>
      <c r="LG56" s="33" t="n">
        <v>0</v>
      </c>
      <c r="LH56" s="33" t="n">
        <v>0</v>
      </c>
      <c r="LI56" s="33" t="n">
        <v>0</v>
      </c>
      <c r="LJ56" s="33" t="n">
        <v>0</v>
      </c>
      <c r="LK56" s="33" t="n">
        <v>0</v>
      </c>
      <c r="LL56" s="33" t="n">
        <v>0</v>
      </c>
      <c r="LM56" s="33" t="n">
        <v>0</v>
      </c>
      <c r="LN56" s="33" t="n">
        <v>0</v>
      </c>
      <c r="LO56" s="33" t="n">
        <v>0</v>
      </c>
      <c r="LP56" s="33" t="n">
        <v>0</v>
      </c>
      <c r="LQ56" s="33" t="n">
        <v>0</v>
      </c>
      <c r="LR56" s="33" t="n">
        <v>0</v>
      </c>
      <c r="LS56" s="33" t="n">
        <v>0</v>
      </c>
      <c r="LT56" s="33" t="n">
        <v>0</v>
      </c>
      <c r="LU56" s="33" t="n">
        <v>0</v>
      </c>
      <c r="LV56" s="33" t="n">
        <v>0</v>
      </c>
      <c r="LW56" s="33" t="n">
        <v>0</v>
      </c>
      <c r="LX56" s="33" t="n">
        <v>0</v>
      </c>
      <c r="LY56" s="33" t="n">
        <v>0</v>
      </c>
      <c r="LZ56" s="33" t="n">
        <v>0</v>
      </c>
      <c r="MA56" s="33" t="n">
        <v>0</v>
      </c>
      <c r="MB56" s="33" t="n">
        <v>0</v>
      </c>
      <c r="MC56" s="33" t="n">
        <v>0</v>
      </c>
      <c r="MD56" s="33" t="n">
        <v>0</v>
      </c>
      <c r="ME56" s="33" t="n">
        <v>0</v>
      </c>
      <c r="MF56" s="33" t="n">
        <v>0</v>
      </c>
      <c r="MG56" s="33" t="n">
        <v>0</v>
      </c>
      <c r="MH56" s="33" t="n">
        <v>0</v>
      </c>
      <c r="MI56" s="33" t="n">
        <v>0</v>
      </c>
      <c r="MJ56" s="33" t="n">
        <v>0</v>
      </c>
      <c r="MK56" s="33" t="n">
        <v>0</v>
      </c>
      <c r="ML56" s="33" t="n">
        <v>0</v>
      </c>
      <c r="MM56" s="33" t="n">
        <v>0</v>
      </c>
      <c r="MN56" s="33" t="n">
        <v>0</v>
      </c>
      <c r="MO56" s="33" t="n">
        <v>0</v>
      </c>
      <c r="MP56" s="33" t="n">
        <v>0</v>
      </c>
      <c r="MQ56" s="33" t="n">
        <v>0</v>
      </c>
      <c r="MR56" s="33" t="n">
        <v>0</v>
      </c>
      <c r="MS56" s="33" t="n">
        <v>0</v>
      </c>
      <c r="MT56" s="33" t="n">
        <v>0</v>
      </c>
      <c r="MU56" s="33" t="n">
        <v>0</v>
      </c>
      <c r="MV56" s="33" t="n">
        <v>0</v>
      </c>
      <c r="MW56" s="33" t="n">
        <v>0</v>
      </c>
      <c r="MX56" s="33" t="n">
        <v>0</v>
      </c>
      <c r="MY56" s="33" t="n">
        <v>0</v>
      </c>
      <c r="MZ56" s="33" t="n">
        <v>0</v>
      </c>
      <c r="NA56" s="33" t="n">
        <v>0</v>
      </c>
      <c r="NB56" s="33" t="n">
        <v>0</v>
      </c>
      <c r="NC56" s="33" t="n">
        <v>0</v>
      </c>
      <c r="ND56" s="33" t="n">
        <v>0</v>
      </c>
      <c r="NE56" s="33" t="n">
        <v>0</v>
      </c>
      <c r="NF56" s="33" t="n">
        <v>0</v>
      </c>
      <c r="NG56" s="33" t="n">
        <v>0</v>
      </c>
      <c r="NH56" s="33" t="n">
        <v>0</v>
      </c>
      <c r="NI56" s="33" t="n">
        <v>0</v>
      </c>
      <c r="NJ56" s="33" t="n">
        <v>0</v>
      </c>
      <c r="NK56" s="33" t="n">
        <v>0</v>
      </c>
      <c r="NL56" s="33" t="n">
        <v>0</v>
      </c>
      <c r="NM56" s="33" t="n">
        <v>0</v>
      </c>
      <c r="NN56" s="33" t="n">
        <v>0</v>
      </c>
      <c r="NO56" s="33" t="n">
        <v>0</v>
      </c>
      <c r="NP56" s="33" t="n">
        <v>0</v>
      </c>
      <c r="NQ56" s="33" t="n">
        <v>0</v>
      </c>
      <c r="NR56" s="33" t="n">
        <v>0</v>
      </c>
      <c r="NS56" s="33" t="n">
        <v>0</v>
      </c>
      <c r="NT56" s="33" t="n">
        <v>0</v>
      </c>
      <c r="NU56" s="33" t="n">
        <v>0</v>
      </c>
      <c r="NV56" s="33" t="n">
        <v>0</v>
      </c>
      <c r="NW56" s="33" t="n">
        <v>0</v>
      </c>
      <c r="NX56" s="33" t="n">
        <v>0</v>
      </c>
      <c r="NY56" s="33" t="n">
        <v>0</v>
      </c>
      <c r="NZ56" s="33" t="n">
        <v>0</v>
      </c>
      <c r="OA56" s="33" t="n">
        <v>0</v>
      </c>
      <c r="OB56" s="33" t="n">
        <v>0</v>
      </c>
      <c r="OC56" s="33" t="n">
        <v>0</v>
      </c>
      <c r="OD56" s="33" t="n">
        <v>0</v>
      </c>
      <c r="OE56" s="33" t="n">
        <v>0</v>
      </c>
      <c r="OF56" s="33" t="n">
        <v>0</v>
      </c>
      <c r="OG56" s="33" t="n">
        <v>0</v>
      </c>
      <c r="OH56" s="33" t="n">
        <v>0</v>
      </c>
      <c r="OI56" s="33" t="n">
        <v>0</v>
      </c>
      <c r="OJ56" s="33" t="n">
        <v>0</v>
      </c>
      <c r="OK56" s="33" t="n">
        <v>0</v>
      </c>
      <c r="OL56" s="33" t="n">
        <v>0</v>
      </c>
      <c r="OM56" s="33" t="n">
        <v>0</v>
      </c>
      <c r="ON56" s="33" t="n">
        <v>0</v>
      </c>
      <c r="OO56" s="33" t="n">
        <v>0</v>
      </c>
      <c r="OP56" s="33" t="n">
        <v>0</v>
      </c>
      <c r="OQ56" s="33" t="n">
        <v>0</v>
      </c>
      <c r="OR56" s="33" t="n">
        <v>0</v>
      </c>
      <c r="OS56" s="33" t="n">
        <v>0</v>
      </c>
      <c r="OT56" s="33" t="n">
        <v>0</v>
      </c>
      <c r="OU56" s="33" t="n">
        <v>0</v>
      </c>
      <c r="OV56" s="33" t="n">
        <v>0</v>
      </c>
      <c r="OW56" s="33" t="n">
        <v>0</v>
      </c>
      <c r="OX56" s="33" t="n">
        <v>0</v>
      </c>
      <c r="OY56" s="33" t="n">
        <v>0</v>
      </c>
      <c r="OZ56" s="33" t="n">
        <v>0</v>
      </c>
      <c r="PA56" s="33" t="n">
        <v>0</v>
      </c>
      <c r="PB56" s="33" t="n">
        <v>0</v>
      </c>
      <c r="PC56" s="33" t="n">
        <v>0</v>
      </c>
      <c r="PD56" s="33" t="n">
        <v>0</v>
      </c>
      <c r="PE56" s="33" t="n">
        <v>0</v>
      </c>
      <c r="PF56" s="33" t="n">
        <v>0</v>
      </c>
      <c r="PG56" s="33" t="n">
        <v>0</v>
      </c>
      <c r="PH56" s="33" t="n">
        <v>0</v>
      </c>
      <c r="PI56" s="33" t="n">
        <v>0</v>
      </c>
      <c r="PJ56" s="33" t="n">
        <v>0</v>
      </c>
      <c r="PK56" s="33" t="n">
        <v>0</v>
      </c>
      <c r="PL56" s="33" t="n">
        <v>0</v>
      </c>
      <c r="PM56" s="33" t="n">
        <v>0</v>
      </c>
      <c r="PN56" s="33" t="n">
        <v>0</v>
      </c>
      <c r="PO56" s="33" t="n">
        <v>0</v>
      </c>
      <c r="PP56" s="33" t="n">
        <v>0</v>
      </c>
      <c r="PQ56" s="33" t="n">
        <v>0</v>
      </c>
      <c r="PR56" s="33" t="n">
        <v>0</v>
      </c>
      <c r="PS56" s="33" t="n">
        <v>0</v>
      </c>
      <c r="PT56" s="33" t="n">
        <v>0</v>
      </c>
      <c r="PU56" s="33" t="n">
        <v>0</v>
      </c>
      <c r="PV56" s="33" t="n">
        <v>0</v>
      </c>
      <c r="PW56" s="33" t="n">
        <v>0</v>
      </c>
      <c r="PX56" s="33" t="n">
        <v>0</v>
      </c>
      <c r="PY56" s="33" t="n">
        <v>0</v>
      </c>
      <c r="PZ56" s="33" t="n">
        <v>0</v>
      </c>
      <c r="QA56" s="33" t="n">
        <v>0</v>
      </c>
      <c r="QB56" s="33" t="n">
        <v>0</v>
      </c>
      <c r="QC56" s="33" t="n">
        <v>0</v>
      </c>
      <c r="QD56" s="33" t="n">
        <v>0</v>
      </c>
      <c r="QE56" s="33" t="n">
        <v>0</v>
      </c>
      <c r="QF56" s="33" t="n">
        <v>0</v>
      </c>
      <c r="QG56" s="33" t="n">
        <v>0</v>
      </c>
      <c r="QH56" s="33" t="n">
        <v>0</v>
      </c>
      <c r="QI56" s="33" t="n">
        <v>0</v>
      </c>
      <c r="QJ56" s="33" t="n">
        <v>0</v>
      </c>
      <c r="QK56" s="33" t="n">
        <v>0</v>
      </c>
      <c r="QL56" s="33" t="n">
        <v>0</v>
      </c>
      <c r="QM56" s="33" t="n">
        <v>0</v>
      </c>
      <c r="QN56" s="33" t="n">
        <v>0</v>
      </c>
      <c r="QO56" s="33" t="n">
        <v>0</v>
      </c>
      <c r="QP56" s="33" t="n">
        <v>0</v>
      </c>
      <c r="QQ56" s="33" t="n">
        <v>0</v>
      </c>
      <c r="QR56" s="33" t="n">
        <v>0</v>
      </c>
      <c r="QS56" s="33" t="n">
        <v>0</v>
      </c>
      <c r="QT56" s="33" t="n">
        <v>0</v>
      </c>
      <c r="QU56" s="33" t="n">
        <v>0</v>
      </c>
      <c r="QV56" s="33" t="n">
        <v>0</v>
      </c>
      <c r="QW56" s="33" t="n">
        <v>0</v>
      </c>
      <c r="QX56" s="33" t="n">
        <v>0</v>
      </c>
      <c r="QY56" s="33" t="n">
        <v>0</v>
      </c>
      <c r="QZ56" s="33" t="n">
        <v>0</v>
      </c>
      <c r="RA56" s="33" t="n">
        <v>0</v>
      </c>
      <c r="RB56" s="33" t="n">
        <v>0</v>
      </c>
      <c r="RC56" s="33" t="n">
        <v>0</v>
      </c>
      <c r="RD56" s="33" t="n">
        <v>0</v>
      </c>
      <c r="RE56" s="33" t="n">
        <v>0</v>
      </c>
      <c r="RF56" s="33" t="n">
        <v>0</v>
      </c>
      <c r="RG56" s="33" t="n">
        <v>0</v>
      </c>
      <c r="RH56" s="33" t="n">
        <v>0</v>
      </c>
      <c r="RI56" s="33" t="n">
        <v>0</v>
      </c>
      <c r="RJ56" s="33" t="n">
        <v>0</v>
      </c>
      <c r="RK56" s="33" t="n">
        <v>0</v>
      </c>
      <c r="RL56" s="33" t="n">
        <v>0</v>
      </c>
      <c r="RM56" s="33" t="n">
        <v>0</v>
      </c>
      <c r="RN56" s="33" t="n">
        <v>0</v>
      </c>
      <c r="RO56" s="33" t="n">
        <v>0</v>
      </c>
      <c r="RP56" s="33" t="n">
        <v>0</v>
      </c>
      <c r="RQ56" s="33" t="n">
        <v>0</v>
      </c>
      <c r="RR56" s="33" t="n">
        <v>0</v>
      </c>
      <c r="RS56" s="33" t="n">
        <v>0</v>
      </c>
      <c r="RT56" s="33" t="n">
        <v>0</v>
      </c>
      <c r="RU56" s="33" t="n">
        <v>0</v>
      </c>
      <c r="RV56" s="33" t="n">
        <v>0</v>
      </c>
      <c r="RW56" s="33" t="n">
        <v>0</v>
      </c>
    </row>
    <row r="57" hidden="1" outlineLevel="1" ht="13.05" customHeight="1">
      <c r="E57" s="21" t="inlineStr">
        <is>
          <t>FCAS Contingency Revenue</t>
        </is>
      </c>
      <c r="F57" s="29" t="n"/>
      <c r="G57" s="29" t="inlineStr">
        <is>
          <t>kEUR</t>
        </is>
      </c>
      <c r="H57" s="29" t="n"/>
      <c r="I57" s="29" t="n"/>
      <c r="J57" s="32" t="n">
        <v>0</v>
      </c>
      <c r="K57" s="29" t="n"/>
      <c r="L57" s="33" t="n">
        <v>0</v>
      </c>
      <c r="M57" s="33" t="n">
        <v>0</v>
      </c>
      <c r="N57" s="33" t="n">
        <v>0</v>
      </c>
      <c r="O57" s="33" t="n">
        <v>0</v>
      </c>
      <c r="P57" s="33" t="n">
        <v>0</v>
      </c>
      <c r="Q57" s="33" t="n">
        <v>0</v>
      </c>
      <c r="R57" s="33" t="n">
        <v>0</v>
      </c>
      <c r="S57" s="33" t="n">
        <v>0</v>
      </c>
      <c r="T57" s="33" t="n">
        <v>0</v>
      </c>
      <c r="U57" s="33" t="n">
        <v>0</v>
      </c>
      <c r="V57" s="33" t="n">
        <v>0</v>
      </c>
      <c r="W57" s="33" t="n">
        <v>0</v>
      </c>
      <c r="X57" s="33" t="n">
        <v>0</v>
      </c>
      <c r="Y57" s="33" t="n">
        <v>0</v>
      </c>
      <c r="Z57" s="33" t="n">
        <v>0</v>
      </c>
      <c r="AA57" s="33" t="n">
        <v>0</v>
      </c>
      <c r="AB57" s="33" t="n">
        <v>0</v>
      </c>
      <c r="AC57" s="33" t="n">
        <v>0</v>
      </c>
      <c r="AD57" s="33" t="n">
        <v>0</v>
      </c>
      <c r="AE57" s="33" t="n">
        <v>0</v>
      </c>
      <c r="AF57" s="33" t="n">
        <v>0</v>
      </c>
      <c r="AG57" s="33" t="n">
        <v>0</v>
      </c>
      <c r="AH57" s="33" t="n">
        <v>0</v>
      </c>
      <c r="AI57" s="33" t="n">
        <v>0</v>
      </c>
      <c r="AJ57" s="33" t="n">
        <v>0</v>
      </c>
      <c r="AK57" s="33" t="n">
        <v>0</v>
      </c>
      <c r="AL57" s="33" t="n">
        <v>0</v>
      </c>
      <c r="AM57" s="33" t="n">
        <v>0</v>
      </c>
      <c r="AN57" s="33" t="n">
        <v>0</v>
      </c>
      <c r="AO57" s="33" t="n">
        <v>0</v>
      </c>
      <c r="AP57" s="33" t="n">
        <v>0</v>
      </c>
      <c r="AQ57" s="33" t="n">
        <v>0</v>
      </c>
      <c r="AR57" s="33" t="n">
        <v>0</v>
      </c>
      <c r="AS57" s="33" t="n">
        <v>0</v>
      </c>
      <c r="AT57" s="33" t="n">
        <v>0</v>
      </c>
      <c r="AU57" s="33" t="n">
        <v>0</v>
      </c>
      <c r="AV57" s="33" t="n">
        <v>0</v>
      </c>
      <c r="AW57" s="33" t="n">
        <v>0</v>
      </c>
      <c r="AX57" s="33" t="n">
        <v>0</v>
      </c>
      <c r="AY57" s="33" t="n">
        <v>0</v>
      </c>
      <c r="AZ57" s="33" t="n">
        <v>0</v>
      </c>
      <c r="BA57" s="33" t="n">
        <v>0</v>
      </c>
      <c r="BB57" s="33" t="n">
        <v>0</v>
      </c>
      <c r="BC57" s="33" t="n">
        <v>0</v>
      </c>
      <c r="BD57" s="33" t="n">
        <v>0</v>
      </c>
      <c r="BE57" s="33" t="n">
        <v>0</v>
      </c>
      <c r="BF57" s="33" t="n">
        <v>0</v>
      </c>
      <c r="BG57" s="33" t="n">
        <v>0</v>
      </c>
      <c r="BH57" s="33" t="n">
        <v>0</v>
      </c>
      <c r="BI57" s="33" t="n">
        <v>0</v>
      </c>
      <c r="BJ57" s="33" t="n">
        <v>0</v>
      </c>
      <c r="BK57" s="33" t="n">
        <v>0</v>
      </c>
      <c r="BL57" s="33" t="n">
        <v>0</v>
      </c>
      <c r="BM57" s="33" t="n">
        <v>0</v>
      </c>
      <c r="BN57" s="33" t="n">
        <v>0</v>
      </c>
      <c r="BO57" s="33" t="n">
        <v>0</v>
      </c>
      <c r="BP57" s="33" t="n">
        <v>0</v>
      </c>
      <c r="BQ57" s="33" t="n">
        <v>0</v>
      </c>
      <c r="BR57" s="33" t="n">
        <v>0</v>
      </c>
      <c r="BS57" s="33" t="n">
        <v>0</v>
      </c>
      <c r="BT57" s="33" t="n">
        <v>0</v>
      </c>
      <c r="BU57" s="33" t="n">
        <v>0</v>
      </c>
      <c r="BV57" s="33" t="n">
        <v>0</v>
      </c>
      <c r="BW57" s="33" t="n">
        <v>0</v>
      </c>
      <c r="BX57" s="33" t="n">
        <v>0</v>
      </c>
      <c r="BY57" s="33" t="n">
        <v>0</v>
      </c>
      <c r="BZ57" s="33" t="n">
        <v>0</v>
      </c>
      <c r="CA57" s="33" t="n">
        <v>0</v>
      </c>
      <c r="CB57" s="33" t="n">
        <v>0</v>
      </c>
      <c r="CC57" s="33" t="n">
        <v>0</v>
      </c>
      <c r="CD57" s="33" t="n">
        <v>0</v>
      </c>
      <c r="CE57" s="33" t="n">
        <v>0</v>
      </c>
      <c r="CF57" s="33" t="n">
        <v>0</v>
      </c>
      <c r="CG57" s="33" t="n">
        <v>0</v>
      </c>
      <c r="CH57" s="33" t="n">
        <v>0</v>
      </c>
      <c r="CI57" s="33" t="n">
        <v>0</v>
      </c>
      <c r="CJ57" s="33" t="n">
        <v>0</v>
      </c>
      <c r="CK57" s="33" t="n">
        <v>0</v>
      </c>
      <c r="CL57" s="33" t="n">
        <v>0</v>
      </c>
      <c r="CM57" s="33" t="n">
        <v>0</v>
      </c>
      <c r="CN57" s="33" t="n">
        <v>0</v>
      </c>
      <c r="CO57" s="33" t="n">
        <v>0</v>
      </c>
      <c r="CP57" s="33" t="n">
        <v>0</v>
      </c>
      <c r="CQ57" s="33" t="n">
        <v>0</v>
      </c>
      <c r="CR57" s="33" t="n">
        <v>0</v>
      </c>
      <c r="CS57" s="33" t="n">
        <v>0</v>
      </c>
      <c r="CT57" s="33" t="n">
        <v>0</v>
      </c>
      <c r="CU57" s="33" t="n">
        <v>0</v>
      </c>
      <c r="CV57" s="33" t="n">
        <v>0</v>
      </c>
      <c r="CW57" s="33" t="n">
        <v>0</v>
      </c>
      <c r="CX57" s="33" t="n">
        <v>0</v>
      </c>
      <c r="CY57" s="33" t="n">
        <v>0</v>
      </c>
      <c r="CZ57" s="33" t="n">
        <v>0</v>
      </c>
      <c r="DA57" s="33" t="n">
        <v>0</v>
      </c>
      <c r="DB57" s="33" t="n">
        <v>0</v>
      </c>
      <c r="DC57" s="33" t="n">
        <v>0</v>
      </c>
      <c r="DD57" s="33" t="n">
        <v>0</v>
      </c>
      <c r="DE57" s="33" t="n">
        <v>0</v>
      </c>
      <c r="DF57" s="33" t="n">
        <v>0</v>
      </c>
      <c r="DG57" s="33" t="n">
        <v>0</v>
      </c>
      <c r="DH57" s="33" t="n">
        <v>0</v>
      </c>
      <c r="DI57" s="33" t="n">
        <v>0</v>
      </c>
      <c r="DJ57" s="33" t="n">
        <v>0</v>
      </c>
      <c r="DK57" s="33" t="n">
        <v>0</v>
      </c>
      <c r="DL57" s="33" t="n">
        <v>0</v>
      </c>
      <c r="DM57" s="33" t="n">
        <v>0</v>
      </c>
      <c r="DN57" s="33" t="n">
        <v>0</v>
      </c>
      <c r="DO57" s="33" t="n">
        <v>0</v>
      </c>
      <c r="DP57" s="33" t="n">
        <v>0</v>
      </c>
      <c r="DQ57" s="33" t="n">
        <v>0</v>
      </c>
      <c r="DR57" s="33" t="n">
        <v>0</v>
      </c>
      <c r="DS57" s="33" t="n">
        <v>0</v>
      </c>
      <c r="DT57" s="33" t="n">
        <v>0</v>
      </c>
      <c r="DU57" s="33" t="n">
        <v>0</v>
      </c>
      <c r="DV57" s="33" t="n">
        <v>0</v>
      </c>
      <c r="DW57" s="33" t="n">
        <v>0</v>
      </c>
      <c r="DX57" s="33" t="n">
        <v>0</v>
      </c>
      <c r="DY57" s="33" t="n">
        <v>0</v>
      </c>
      <c r="DZ57" s="33" t="n">
        <v>0</v>
      </c>
      <c r="EA57" s="33" t="n">
        <v>0</v>
      </c>
      <c r="EB57" s="33" t="n">
        <v>0</v>
      </c>
      <c r="EC57" s="33" t="n">
        <v>0</v>
      </c>
      <c r="ED57" s="33" t="n">
        <v>0</v>
      </c>
      <c r="EE57" s="33" t="n">
        <v>0</v>
      </c>
      <c r="EF57" s="33" t="n">
        <v>0</v>
      </c>
      <c r="EG57" s="33" t="n">
        <v>0</v>
      </c>
      <c r="EH57" s="33" t="n">
        <v>0</v>
      </c>
      <c r="EI57" s="33" t="n">
        <v>0</v>
      </c>
      <c r="EJ57" s="33" t="n">
        <v>0</v>
      </c>
      <c r="EK57" s="33" t="n">
        <v>0</v>
      </c>
      <c r="EL57" s="33" t="n">
        <v>0</v>
      </c>
      <c r="EM57" s="33" t="n">
        <v>0</v>
      </c>
      <c r="EN57" s="33" t="n">
        <v>0</v>
      </c>
      <c r="EO57" s="33" t="n">
        <v>0</v>
      </c>
      <c r="EP57" s="33" t="n">
        <v>0</v>
      </c>
      <c r="EQ57" s="33" t="n">
        <v>0</v>
      </c>
      <c r="ER57" s="33" t="n">
        <v>0</v>
      </c>
      <c r="ES57" s="33" t="n">
        <v>0</v>
      </c>
      <c r="ET57" s="33" t="n">
        <v>0</v>
      </c>
      <c r="EU57" s="33" t="n">
        <v>0</v>
      </c>
      <c r="EV57" s="33" t="n">
        <v>0</v>
      </c>
      <c r="EW57" s="33" t="n">
        <v>0</v>
      </c>
      <c r="EX57" s="33" t="n">
        <v>0</v>
      </c>
      <c r="EY57" s="33" t="n">
        <v>0</v>
      </c>
      <c r="EZ57" s="33" t="n">
        <v>0</v>
      </c>
      <c r="FA57" s="33" t="n">
        <v>0</v>
      </c>
      <c r="FB57" s="33" t="n">
        <v>0</v>
      </c>
      <c r="FC57" s="33" t="n">
        <v>0</v>
      </c>
      <c r="FD57" s="33" t="n">
        <v>0</v>
      </c>
      <c r="FE57" s="33" t="n">
        <v>0</v>
      </c>
      <c r="FF57" s="33" t="n">
        <v>0</v>
      </c>
      <c r="FG57" s="33" t="n">
        <v>0</v>
      </c>
      <c r="FH57" s="33" t="n">
        <v>0</v>
      </c>
      <c r="FI57" s="33" t="n">
        <v>0</v>
      </c>
      <c r="FJ57" s="33" t="n">
        <v>0</v>
      </c>
      <c r="FK57" s="33" t="n">
        <v>0</v>
      </c>
      <c r="FL57" s="33" t="n">
        <v>0</v>
      </c>
      <c r="FM57" s="33" t="n">
        <v>0</v>
      </c>
      <c r="FN57" s="33" t="n">
        <v>0</v>
      </c>
      <c r="FO57" s="33" t="n">
        <v>0</v>
      </c>
      <c r="FP57" s="33" t="n">
        <v>0</v>
      </c>
      <c r="FQ57" s="33" t="n">
        <v>0</v>
      </c>
      <c r="FR57" s="33" t="n">
        <v>0</v>
      </c>
      <c r="FS57" s="33" t="n">
        <v>0</v>
      </c>
      <c r="FT57" s="33" t="n">
        <v>0</v>
      </c>
      <c r="FU57" s="33" t="n">
        <v>0</v>
      </c>
      <c r="FV57" s="33" t="n">
        <v>0</v>
      </c>
      <c r="FW57" s="33" t="n">
        <v>0</v>
      </c>
      <c r="FX57" s="33" t="n">
        <v>0</v>
      </c>
      <c r="FY57" s="33" t="n">
        <v>0</v>
      </c>
      <c r="FZ57" s="33" t="n">
        <v>0</v>
      </c>
      <c r="GA57" s="33" t="n">
        <v>0</v>
      </c>
      <c r="GB57" s="33" t="n">
        <v>0</v>
      </c>
      <c r="GC57" s="33" t="n">
        <v>0</v>
      </c>
      <c r="GD57" s="33" t="n">
        <v>0</v>
      </c>
      <c r="GE57" s="33" t="n">
        <v>0</v>
      </c>
      <c r="GF57" s="33" t="n">
        <v>0</v>
      </c>
      <c r="GG57" s="33" t="n">
        <v>0</v>
      </c>
      <c r="GH57" s="33" t="n">
        <v>0</v>
      </c>
      <c r="GI57" s="33" t="n">
        <v>0</v>
      </c>
      <c r="GJ57" s="33" t="n">
        <v>0</v>
      </c>
      <c r="GK57" s="33" t="n">
        <v>0</v>
      </c>
      <c r="GL57" s="33" t="n">
        <v>0</v>
      </c>
      <c r="GM57" s="33" t="n">
        <v>0</v>
      </c>
      <c r="GN57" s="33" t="n">
        <v>0</v>
      </c>
      <c r="GO57" s="33" t="n">
        <v>0</v>
      </c>
      <c r="GP57" s="33" t="n">
        <v>0</v>
      </c>
      <c r="GQ57" s="33" t="n">
        <v>0</v>
      </c>
      <c r="GR57" s="33" t="n">
        <v>0</v>
      </c>
      <c r="GS57" s="33" t="n">
        <v>0</v>
      </c>
      <c r="GT57" s="33" t="n">
        <v>0</v>
      </c>
      <c r="GU57" s="33" t="n">
        <v>0</v>
      </c>
      <c r="GV57" s="33" t="n">
        <v>0</v>
      </c>
      <c r="GW57" s="33" t="n">
        <v>0</v>
      </c>
      <c r="GX57" s="33" t="n">
        <v>0</v>
      </c>
      <c r="GY57" s="33" t="n">
        <v>0</v>
      </c>
      <c r="GZ57" s="33" t="n">
        <v>0</v>
      </c>
      <c r="HA57" s="33" t="n">
        <v>0</v>
      </c>
      <c r="HB57" s="33" t="n">
        <v>0</v>
      </c>
      <c r="HC57" s="33" t="n">
        <v>0</v>
      </c>
      <c r="HD57" s="33" t="n">
        <v>0</v>
      </c>
      <c r="HE57" s="33" t="n">
        <v>0</v>
      </c>
      <c r="HF57" s="33" t="n">
        <v>0</v>
      </c>
      <c r="HG57" s="33" t="n">
        <v>0</v>
      </c>
      <c r="HH57" s="33" t="n">
        <v>0</v>
      </c>
      <c r="HI57" s="33" t="n">
        <v>0</v>
      </c>
      <c r="HJ57" s="33" t="n">
        <v>0</v>
      </c>
      <c r="HK57" s="33" t="n">
        <v>0</v>
      </c>
      <c r="HL57" s="33" t="n">
        <v>0</v>
      </c>
      <c r="HM57" s="33" t="n">
        <v>0</v>
      </c>
      <c r="HN57" s="33" t="n">
        <v>0</v>
      </c>
      <c r="HO57" s="33" t="n">
        <v>0</v>
      </c>
      <c r="HP57" s="33" t="n">
        <v>0</v>
      </c>
      <c r="HQ57" s="33" t="n">
        <v>0</v>
      </c>
      <c r="HR57" s="33" t="n">
        <v>0</v>
      </c>
      <c r="HS57" s="33" t="n">
        <v>0</v>
      </c>
      <c r="HT57" s="33" t="n">
        <v>0</v>
      </c>
      <c r="HU57" s="33" t="n">
        <v>0</v>
      </c>
      <c r="HV57" s="33" t="n">
        <v>0</v>
      </c>
      <c r="HW57" s="33" t="n">
        <v>0</v>
      </c>
      <c r="HX57" s="33" t="n">
        <v>0</v>
      </c>
      <c r="HY57" s="33" t="n">
        <v>0</v>
      </c>
      <c r="HZ57" s="33" t="n">
        <v>0</v>
      </c>
      <c r="IA57" s="33" t="n">
        <v>0</v>
      </c>
      <c r="IB57" s="33" t="n">
        <v>0</v>
      </c>
      <c r="IC57" s="33" t="n">
        <v>0</v>
      </c>
      <c r="ID57" s="33" t="n">
        <v>0</v>
      </c>
      <c r="IE57" s="33" t="n">
        <v>0</v>
      </c>
      <c r="IF57" s="33" t="n">
        <v>0</v>
      </c>
      <c r="IG57" s="33" t="n">
        <v>0</v>
      </c>
      <c r="IH57" s="33" t="n">
        <v>0</v>
      </c>
      <c r="II57" s="33" t="n">
        <v>0</v>
      </c>
      <c r="IJ57" s="33" t="n">
        <v>0</v>
      </c>
      <c r="IK57" s="33" t="n">
        <v>0</v>
      </c>
      <c r="IL57" s="33" t="n">
        <v>0</v>
      </c>
      <c r="IM57" s="33" t="n">
        <v>0</v>
      </c>
      <c r="IN57" s="33" t="n">
        <v>0</v>
      </c>
      <c r="IO57" s="33" t="n">
        <v>0</v>
      </c>
      <c r="IP57" s="33" t="n">
        <v>0</v>
      </c>
      <c r="IQ57" s="33" t="n">
        <v>0</v>
      </c>
      <c r="IR57" s="33" t="n">
        <v>0</v>
      </c>
      <c r="IS57" s="33" t="n">
        <v>0</v>
      </c>
      <c r="IT57" s="33" t="n">
        <v>0</v>
      </c>
      <c r="IU57" s="33" t="n">
        <v>0</v>
      </c>
      <c r="IV57" s="33" t="n">
        <v>0</v>
      </c>
      <c r="IW57" s="33" t="n">
        <v>0</v>
      </c>
      <c r="IX57" s="33" t="n">
        <v>0</v>
      </c>
      <c r="IY57" s="33" t="n">
        <v>0</v>
      </c>
      <c r="IZ57" s="33" t="n">
        <v>0</v>
      </c>
      <c r="JA57" s="33" t="n">
        <v>0</v>
      </c>
      <c r="JB57" s="33" t="n">
        <v>0</v>
      </c>
      <c r="JC57" s="33" t="n">
        <v>0</v>
      </c>
      <c r="JD57" s="33" t="n">
        <v>0</v>
      </c>
      <c r="JE57" s="33" t="n">
        <v>0</v>
      </c>
      <c r="JF57" s="33" t="n">
        <v>0</v>
      </c>
      <c r="JG57" s="33" t="n">
        <v>0</v>
      </c>
      <c r="JH57" s="33" t="n">
        <v>0</v>
      </c>
      <c r="JI57" s="33" t="n">
        <v>0</v>
      </c>
      <c r="JJ57" s="33" t="n">
        <v>0</v>
      </c>
      <c r="JK57" s="33" t="n">
        <v>0</v>
      </c>
      <c r="JL57" s="33" t="n">
        <v>0</v>
      </c>
      <c r="JM57" s="33" t="n">
        <v>0</v>
      </c>
      <c r="JN57" s="33" t="n">
        <v>0</v>
      </c>
      <c r="JO57" s="33" t="n">
        <v>0</v>
      </c>
      <c r="JP57" s="33" t="n">
        <v>0</v>
      </c>
      <c r="JQ57" s="33" t="n">
        <v>0</v>
      </c>
      <c r="JR57" s="33" t="n">
        <v>0</v>
      </c>
      <c r="JS57" s="33" t="n">
        <v>0</v>
      </c>
      <c r="JT57" s="33" t="n">
        <v>0</v>
      </c>
      <c r="JU57" s="33" t="n">
        <v>0</v>
      </c>
      <c r="JV57" s="33" t="n">
        <v>0</v>
      </c>
      <c r="JW57" s="33" t="n">
        <v>0</v>
      </c>
      <c r="JX57" s="33" t="n">
        <v>0</v>
      </c>
      <c r="JY57" s="33" t="n">
        <v>0</v>
      </c>
      <c r="JZ57" s="33" t="n">
        <v>0</v>
      </c>
      <c r="KA57" s="33" t="n">
        <v>0</v>
      </c>
      <c r="KB57" s="33" t="n">
        <v>0</v>
      </c>
      <c r="KC57" s="33" t="n">
        <v>0</v>
      </c>
      <c r="KD57" s="33" t="n">
        <v>0</v>
      </c>
      <c r="KE57" s="33" t="n">
        <v>0</v>
      </c>
      <c r="KF57" s="33" t="n">
        <v>0</v>
      </c>
      <c r="KG57" s="33" t="n">
        <v>0</v>
      </c>
      <c r="KH57" s="33" t="n">
        <v>0</v>
      </c>
      <c r="KI57" s="33" t="n">
        <v>0</v>
      </c>
      <c r="KJ57" s="33" t="n">
        <v>0</v>
      </c>
      <c r="KK57" s="33" t="n">
        <v>0</v>
      </c>
      <c r="KL57" s="33" t="n">
        <v>0</v>
      </c>
      <c r="KM57" s="33" t="n">
        <v>0</v>
      </c>
      <c r="KN57" s="33" t="n">
        <v>0</v>
      </c>
      <c r="KO57" s="33" t="n">
        <v>0</v>
      </c>
      <c r="KP57" s="33" t="n">
        <v>0</v>
      </c>
      <c r="KQ57" s="33" t="n">
        <v>0</v>
      </c>
      <c r="KR57" s="33" t="n">
        <v>0</v>
      </c>
      <c r="KS57" s="33" t="n">
        <v>0</v>
      </c>
      <c r="KT57" s="33" t="n">
        <v>0</v>
      </c>
      <c r="KU57" s="33" t="n">
        <v>0</v>
      </c>
      <c r="KV57" s="33" t="n">
        <v>0</v>
      </c>
      <c r="KW57" s="33" t="n">
        <v>0</v>
      </c>
      <c r="KX57" s="33" t="n">
        <v>0</v>
      </c>
      <c r="KY57" s="33" t="n">
        <v>0</v>
      </c>
      <c r="KZ57" s="33" t="n">
        <v>0</v>
      </c>
      <c r="LA57" s="33" t="n">
        <v>0</v>
      </c>
      <c r="LB57" s="33" t="n">
        <v>0</v>
      </c>
      <c r="LC57" s="33" t="n">
        <v>0</v>
      </c>
      <c r="LD57" s="33" t="n">
        <v>0</v>
      </c>
      <c r="LE57" s="33" t="n">
        <v>0</v>
      </c>
      <c r="LF57" s="33" t="n">
        <v>0</v>
      </c>
      <c r="LG57" s="33" t="n">
        <v>0</v>
      </c>
      <c r="LH57" s="33" t="n">
        <v>0</v>
      </c>
      <c r="LI57" s="33" t="n">
        <v>0</v>
      </c>
      <c r="LJ57" s="33" t="n">
        <v>0</v>
      </c>
      <c r="LK57" s="33" t="n">
        <v>0</v>
      </c>
      <c r="LL57" s="33" t="n">
        <v>0</v>
      </c>
      <c r="LM57" s="33" t="n">
        <v>0</v>
      </c>
      <c r="LN57" s="33" t="n">
        <v>0</v>
      </c>
      <c r="LO57" s="33" t="n">
        <v>0</v>
      </c>
      <c r="LP57" s="33" t="n">
        <v>0</v>
      </c>
      <c r="LQ57" s="33" t="n">
        <v>0</v>
      </c>
      <c r="LR57" s="33" t="n">
        <v>0</v>
      </c>
      <c r="LS57" s="33" t="n">
        <v>0</v>
      </c>
      <c r="LT57" s="33" t="n">
        <v>0</v>
      </c>
      <c r="LU57" s="33" t="n">
        <v>0</v>
      </c>
      <c r="LV57" s="33" t="n">
        <v>0</v>
      </c>
      <c r="LW57" s="33" t="n">
        <v>0</v>
      </c>
      <c r="LX57" s="33" t="n">
        <v>0</v>
      </c>
      <c r="LY57" s="33" t="n">
        <v>0</v>
      </c>
      <c r="LZ57" s="33" t="n">
        <v>0</v>
      </c>
      <c r="MA57" s="33" t="n">
        <v>0</v>
      </c>
      <c r="MB57" s="33" t="n">
        <v>0</v>
      </c>
      <c r="MC57" s="33" t="n">
        <v>0</v>
      </c>
      <c r="MD57" s="33" t="n">
        <v>0</v>
      </c>
      <c r="ME57" s="33" t="n">
        <v>0</v>
      </c>
      <c r="MF57" s="33" t="n">
        <v>0</v>
      </c>
      <c r="MG57" s="33" t="n">
        <v>0</v>
      </c>
      <c r="MH57" s="33" t="n">
        <v>0</v>
      </c>
      <c r="MI57" s="33" t="n">
        <v>0</v>
      </c>
      <c r="MJ57" s="33" t="n">
        <v>0</v>
      </c>
      <c r="MK57" s="33" t="n">
        <v>0</v>
      </c>
      <c r="ML57" s="33" t="n">
        <v>0</v>
      </c>
      <c r="MM57" s="33" t="n">
        <v>0</v>
      </c>
      <c r="MN57" s="33" t="n">
        <v>0</v>
      </c>
      <c r="MO57" s="33" t="n">
        <v>0</v>
      </c>
      <c r="MP57" s="33" t="n">
        <v>0</v>
      </c>
      <c r="MQ57" s="33" t="n">
        <v>0</v>
      </c>
      <c r="MR57" s="33" t="n">
        <v>0</v>
      </c>
      <c r="MS57" s="33" t="n">
        <v>0</v>
      </c>
      <c r="MT57" s="33" t="n">
        <v>0</v>
      </c>
      <c r="MU57" s="33" t="n">
        <v>0</v>
      </c>
      <c r="MV57" s="33" t="n">
        <v>0</v>
      </c>
      <c r="MW57" s="33" t="n">
        <v>0</v>
      </c>
      <c r="MX57" s="33" t="n">
        <v>0</v>
      </c>
      <c r="MY57" s="33" t="n">
        <v>0</v>
      </c>
      <c r="MZ57" s="33" t="n">
        <v>0</v>
      </c>
      <c r="NA57" s="33" t="n">
        <v>0</v>
      </c>
      <c r="NB57" s="33" t="n">
        <v>0</v>
      </c>
      <c r="NC57" s="33" t="n">
        <v>0</v>
      </c>
      <c r="ND57" s="33" t="n">
        <v>0</v>
      </c>
      <c r="NE57" s="33" t="n">
        <v>0</v>
      </c>
      <c r="NF57" s="33" t="n">
        <v>0</v>
      </c>
      <c r="NG57" s="33" t="n">
        <v>0</v>
      </c>
      <c r="NH57" s="33" t="n">
        <v>0</v>
      </c>
      <c r="NI57" s="33" t="n">
        <v>0</v>
      </c>
      <c r="NJ57" s="33" t="n">
        <v>0</v>
      </c>
      <c r="NK57" s="33" t="n">
        <v>0</v>
      </c>
      <c r="NL57" s="33" t="n">
        <v>0</v>
      </c>
      <c r="NM57" s="33" t="n">
        <v>0</v>
      </c>
      <c r="NN57" s="33" t="n">
        <v>0</v>
      </c>
      <c r="NO57" s="33" t="n">
        <v>0</v>
      </c>
      <c r="NP57" s="33" t="n">
        <v>0</v>
      </c>
      <c r="NQ57" s="33" t="n">
        <v>0</v>
      </c>
      <c r="NR57" s="33" t="n">
        <v>0</v>
      </c>
      <c r="NS57" s="33" t="n">
        <v>0</v>
      </c>
      <c r="NT57" s="33" t="n">
        <v>0</v>
      </c>
      <c r="NU57" s="33" t="n">
        <v>0</v>
      </c>
      <c r="NV57" s="33" t="n">
        <v>0</v>
      </c>
      <c r="NW57" s="33" t="n">
        <v>0</v>
      </c>
      <c r="NX57" s="33" t="n">
        <v>0</v>
      </c>
      <c r="NY57" s="33" t="n">
        <v>0</v>
      </c>
      <c r="NZ57" s="33" t="n">
        <v>0</v>
      </c>
      <c r="OA57" s="33" t="n">
        <v>0</v>
      </c>
      <c r="OB57" s="33" t="n">
        <v>0</v>
      </c>
      <c r="OC57" s="33" t="n">
        <v>0</v>
      </c>
      <c r="OD57" s="33" t="n">
        <v>0</v>
      </c>
      <c r="OE57" s="33" t="n">
        <v>0</v>
      </c>
      <c r="OF57" s="33" t="n">
        <v>0</v>
      </c>
      <c r="OG57" s="33" t="n">
        <v>0</v>
      </c>
      <c r="OH57" s="33" t="n">
        <v>0</v>
      </c>
      <c r="OI57" s="33" t="n">
        <v>0</v>
      </c>
      <c r="OJ57" s="33" t="n">
        <v>0</v>
      </c>
      <c r="OK57" s="33" t="n">
        <v>0</v>
      </c>
      <c r="OL57" s="33" t="n">
        <v>0</v>
      </c>
      <c r="OM57" s="33" t="n">
        <v>0</v>
      </c>
      <c r="ON57" s="33" t="n">
        <v>0</v>
      </c>
      <c r="OO57" s="33" t="n">
        <v>0</v>
      </c>
      <c r="OP57" s="33" t="n">
        <v>0</v>
      </c>
      <c r="OQ57" s="33" t="n">
        <v>0</v>
      </c>
      <c r="OR57" s="33" t="n">
        <v>0</v>
      </c>
      <c r="OS57" s="33" t="n">
        <v>0</v>
      </c>
      <c r="OT57" s="33" t="n">
        <v>0</v>
      </c>
      <c r="OU57" s="33" t="n">
        <v>0</v>
      </c>
      <c r="OV57" s="33" t="n">
        <v>0</v>
      </c>
      <c r="OW57" s="33" t="n">
        <v>0</v>
      </c>
      <c r="OX57" s="33" t="n">
        <v>0</v>
      </c>
      <c r="OY57" s="33" t="n">
        <v>0</v>
      </c>
      <c r="OZ57" s="33" t="n">
        <v>0</v>
      </c>
      <c r="PA57" s="33" t="n">
        <v>0</v>
      </c>
      <c r="PB57" s="33" t="n">
        <v>0</v>
      </c>
      <c r="PC57" s="33" t="n">
        <v>0</v>
      </c>
      <c r="PD57" s="33" t="n">
        <v>0</v>
      </c>
      <c r="PE57" s="33" t="n">
        <v>0</v>
      </c>
      <c r="PF57" s="33" t="n">
        <v>0</v>
      </c>
      <c r="PG57" s="33" t="n">
        <v>0</v>
      </c>
      <c r="PH57" s="33" t="n">
        <v>0</v>
      </c>
      <c r="PI57" s="33" t="n">
        <v>0</v>
      </c>
      <c r="PJ57" s="33" t="n">
        <v>0</v>
      </c>
      <c r="PK57" s="33" t="n">
        <v>0</v>
      </c>
      <c r="PL57" s="33" t="n">
        <v>0</v>
      </c>
      <c r="PM57" s="33" t="n">
        <v>0</v>
      </c>
      <c r="PN57" s="33" t="n">
        <v>0</v>
      </c>
      <c r="PO57" s="33" t="n">
        <v>0</v>
      </c>
      <c r="PP57" s="33" t="n">
        <v>0</v>
      </c>
      <c r="PQ57" s="33" t="n">
        <v>0</v>
      </c>
      <c r="PR57" s="33" t="n">
        <v>0</v>
      </c>
      <c r="PS57" s="33" t="n">
        <v>0</v>
      </c>
      <c r="PT57" s="33" t="n">
        <v>0</v>
      </c>
      <c r="PU57" s="33" t="n">
        <v>0</v>
      </c>
      <c r="PV57" s="33" t="n">
        <v>0</v>
      </c>
      <c r="PW57" s="33" t="n">
        <v>0</v>
      </c>
      <c r="PX57" s="33" t="n">
        <v>0</v>
      </c>
      <c r="PY57" s="33" t="n">
        <v>0</v>
      </c>
      <c r="PZ57" s="33" t="n">
        <v>0</v>
      </c>
      <c r="QA57" s="33" t="n">
        <v>0</v>
      </c>
      <c r="QB57" s="33" t="n">
        <v>0</v>
      </c>
      <c r="QC57" s="33" t="n">
        <v>0</v>
      </c>
      <c r="QD57" s="33" t="n">
        <v>0</v>
      </c>
      <c r="QE57" s="33" t="n">
        <v>0</v>
      </c>
      <c r="QF57" s="33" t="n">
        <v>0</v>
      </c>
      <c r="QG57" s="33" t="n">
        <v>0</v>
      </c>
      <c r="QH57" s="33" t="n">
        <v>0</v>
      </c>
      <c r="QI57" s="33" t="n">
        <v>0</v>
      </c>
      <c r="QJ57" s="33" t="n">
        <v>0</v>
      </c>
      <c r="QK57" s="33" t="n">
        <v>0</v>
      </c>
      <c r="QL57" s="33" t="n">
        <v>0</v>
      </c>
      <c r="QM57" s="33" t="n">
        <v>0</v>
      </c>
      <c r="QN57" s="33" t="n">
        <v>0</v>
      </c>
      <c r="QO57" s="33" t="n">
        <v>0</v>
      </c>
      <c r="QP57" s="33" t="n">
        <v>0</v>
      </c>
      <c r="QQ57" s="33" t="n">
        <v>0</v>
      </c>
      <c r="QR57" s="33" t="n">
        <v>0</v>
      </c>
      <c r="QS57" s="33" t="n">
        <v>0</v>
      </c>
      <c r="QT57" s="33" t="n">
        <v>0</v>
      </c>
      <c r="QU57" s="33" t="n">
        <v>0</v>
      </c>
      <c r="QV57" s="33" t="n">
        <v>0</v>
      </c>
      <c r="QW57" s="33" t="n">
        <v>0</v>
      </c>
      <c r="QX57" s="33" t="n">
        <v>0</v>
      </c>
      <c r="QY57" s="33" t="n">
        <v>0</v>
      </c>
      <c r="QZ57" s="33" t="n">
        <v>0</v>
      </c>
      <c r="RA57" s="33" t="n">
        <v>0</v>
      </c>
      <c r="RB57" s="33" t="n">
        <v>0</v>
      </c>
      <c r="RC57" s="33" t="n">
        <v>0</v>
      </c>
      <c r="RD57" s="33" t="n">
        <v>0</v>
      </c>
      <c r="RE57" s="33" t="n">
        <v>0</v>
      </c>
      <c r="RF57" s="33" t="n">
        <v>0</v>
      </c>
      <c r="RG57" s="33" t="n">
        <v>0</v>
      </c>
      <c r="RH57" s="33" t="n">
        <v>0</v>
      </c>
      <c r="RI57" s="33" t="n">
        <v>0</v>
      </c>
      <c r="RJ57" s="33" t="n">
        <v>0</v>
      </c>
      <c r="RK57" s="33" t="n">
        <v>0</v>
      </c>
      <c r="RL57" s="33" t="n">
        <v>0</v>
      </c>
      <c r="RM57" s="33" t="n">
        <v>0</v>
      </c>
      <c r="RN57" s="33" t="n">
        <v>0</v>
      </c>
      <c r="RO57" s="33" t="n">
        <v>0</v>
      </c>
      <c r="RP57" s="33" t="n">
        <v>0</v>
      </c>
      <c r="RQ57" s="33" t="n">
        <v>0</v>
      </c>
      <c r="RR57" s="33" t="n">
        <v>0</v>
      </c>
      <c r="RS57" s="33" t="n">
        <v>0</v>
      </c>
      <c r="RT57" s="33" t="n">
        <v>0</v>
      </c>
      <c r="RU57" s="33" t="n">
        <v>0</v>
      </c>
      <c r="RV57" s="33" t="n">
        <v>0</v>
      </c>
      <c r="RW57" s="33" t="n">
        <v>0</v>
      </c>
    </row>
    <row r="58" hidden="1" outlineLevel="1" ht="13.05" customHeight="1">
      <c r="E58" s="21" t="inlineStr">
        <is>
          <t>FCAS Total Revenue</t>
        </is>
      </c>
      <c r="F58" s="29" t="n"/>
      <c r="G58" s="29" t="inlineStr">
        <is>
          <t>kEUR</t>
        </is>
      </c>
      <c r="H58" s="29" t="n"/>
      <c r="I58" s="29" t="n"/>
      <c r="J58" s="32" t="n">
        <v>0</v>
      </c>
      <c r="K58" s="29" t="n"/>
      <c r="L58" s="33" t="n">
        <v>0</v>
      </c>
      <c r="M58" s="33" t="n">
        <v>0</v>
      </c>
      <c r="N58" s="33" t="n">
        <v>0</v>
      </c>
      <c r="O58" s="33" t="n">
        <v>0</v>
      </c>
      <c r="P58" s="33" t="n">
        <v>0</v>
      </c>
      <c r="Q58" s="33" t="n">
        <v>0</v>
      </c>
      <c r="R58" s="33" t="n">
        <v>0</v>
      </c>
      <c r="S58" s="33" t="n">
        <v>0</v>
      </c>
      <c r="T58" s="33" t="n">
        <v>0</v>
      </c>
      <c r="U58" s="33" t="n">
        <v>0</v>
      </c>
      <c r="V58" s="33" t="n">
        <v>0</v>
      </c>
      <c r="W58" s="33" t="n">
        <v>0</v>
      </c>
      <c r="X58" s="33" t="n">
        <v>0</v>
      </c>
      <c r="Y58" s="33" t="n">
        <v>0</v>
      </c>
      <c r="Z58" s="33" t="n">
        <v>0</v>
      </c>
      <c r="AA58" s="33" t="n">
        <v>0</v>
      </c>
      <c r="AB58" s="33" t="n">
        <v>0</v>
      </c>
      <c r="AC58" s="33" t="n">
        <v>0</v>
      </c>
      <c r="AD58" s="33" t="n">
        <v>0</v>
      </c>
      <c r="AE58" s="33" t="n">
        <v>0</v>
      </c>
      <c r="AF58" s="33" t="n">
        <v>0</v>
      </c>
      <c r="AG58" s="33" t="n">
        <v>0</v>
      </c>
      <c r="AH58" s="33" t="n">
        <v>0</v>
      </c>
      <c r="AI58" s="33" t="n">
        <v>0</v>
      </c>
      <c r="AJ58" s="33" t="n">
        <v>0</v>
      </c>
      <c r="AK58" s="33" t="n">
        <v>0</v>
      </c>
      <c r="AL58" s="33" t="n">
        <v>0</v>
      </c>
      <c r="AM58" s="33" t="n">
        <v>0</v>
      </c>
      <c r="AN58" s="33" t="n">
        <v>0</v>
      </c>
      <c r="AO58" s="33" t="n">
        <v>0</v>
      </c>
      <c r="AP58" s="33" t="n">
        <v>0</v>
      </c>
      <c r="AQ58" s="33" t="n">
        <v>0</v>
      </c>
      <c r="AR58" s="33" t="n">
        <v>0</v>
      </c>
      <c r="AS58" s="33" t="n">
        <v>0</v>
      </c>
      <c r="AT58" s="33" t="n">
        <v>0</v>
      </c>
      <c r="AU58" s="33" t="n">
        <v>0</v>
      </c>
      <c r="AV58" s="33" t="n">
        <v>0</v>
      </c>
      <c r="AW58" s="33" t="n">
        <v>0</v>
      </c>
      <c r="AX58" s="33" t="n">
        <v>0</v>
      </c>
      <c r="AY58" s="33" t="n">
        <v>0</v>
      </c>
      <c r="AZ58" s="33" t="n">
        <v>0</v>
      </c>
      <c r="BA58" s="33" t="n">
        <v>0</v>
      </c>
      <c r="BB58" s="33" t="n">
        <v>0</v>
      </c>
      <c r="BC58" s="33" t="n">
        <v>0</v>
      </c>
      <c r="BD58" s="33" t="n">
        <v>0</v>
      </c>
      <c r="BE58" s="33" t="n">
        <v>0</v>
      </c>
      <c r="BF58" s="33" t="n">
        <v>0</v>
      </c>
      <c r="BG58" s="33" t="n">
        <v>0</v>
      </c>
      <c r="BH58" s="33" t="n">
        <v>0</v>
      </c>
      <c r="BI58" s="33" t="n">
        <v>0</v>
      </c>
      <c r="BJ58" s="33" t="n">
        <v>0</v>
      </c>
      <c r="BK58" s="33" t="n">
        <v>0</v>
      </c>
      <c r="BL58" s="33" t="n">
        <v>0</v>
      </c>
      <c r="BM58" s="33" t="n">
        <v>0</v>
      </c>
      <c r="BN58" s="33" t="n">
        <v>0</v>
      </c>
      <c r="BO58" s="33" t="n">
        <v>0</v>
      </c>
      <c r="BP58" s="33" t="n">
        <v>0</v>
      </c>
      <c r="BQ58" s="33" t="n">
        <v>0</v>
      </c>
      <c r="BR58" s="33" t="n">
        <v>0</v>
      </c>
      <c r="BS58" s="33" t="n">
        <v>0</v>
      </c>
      <c r="BT58" s="33" t="n">
        <v>0</v>
      </c>
      <c r="BU58" s="33" t="n">
        <v>0</v>
      </c>
      <c r="BV58" s="33" t="n">
        <v>0</v>
      </c>
      <c r="BW58" s="33" t="n">
        <v>0</v>
      </c>
      <c r="BX58" s="33" t="n">
        <v>0</v>
      </c>
      <c r="BY58" s="33" t="n">
        <v>0</v>
      </c>
      <c r="BZ58" s="33" t="n">
        <v>0</v>
      </c>
      <c r="CA58" s="33" t="n">
        <v>0</v>
      </c>
      <c r="CB58" s="33" t="n">
        <v>0</v>
      </c>
      <c r="CC58" s="33" t="n">
        <v>0</v>
      </c>
      <c r="CD58" s="33" t="n">
        <v>0</v>
      </c>
      <c r="CE58" s="33" t="n">
        <v>0</v>
      </c>
      <c r="CF58" s="33" t="n">
        <v>0</v>
      </c>
      <c r="CG58" s="33" t="n">
        <v>0</v>
      </c>
      <c r="CH58" s="33" t="n">
        <v>0</v>
      </c>
      <c r="CI58" s="33" t="n">
        <v>0</v>
      </c>
      <c r="CJ58" s="33" t="n">
        <v>0</v>
      </c>
      <c r="CK58" s="33" t="n">
        <v>0</v>
      </c>
      <c r="CL58" s="33" t="n">
        <v>0</v>
      </c>
      <c r="CM58" s="33" t="n">
        <v>0</v>
      </c>
      <c r="CN58" s="33" t="n">
        <v>0</v>
      </c>
      <c r="CO58" s="33" t="n">
        <v>0</v>
      </c>
      <c r="CP58" s="33" t="n">
        <v>0</v>
      </c>
      <c r="CQ58" s="33" t="n">
        <v>0</v>
      </c>
      <c r="CR58" s="33" t="n">
        <v>0</v>
      </c>
      <c r="CS58" s="33" t="n">
        <v>0</v>
      </c>
      <c r="CT58" s="33" t="n">
        <v>0</v>
      </c>
      <c r="CU58" s="33" t="n">
        <v>0</v>
      </c>
      <c r="CV58" s="33" t="n">
        <v>0</v>
      </c>
      <c r="CW58" s="33" t="n">
        <v>0</v>
      </c>
      <c r="CX58" s="33" t="n">
        <v>0</v>
      </c>
      <c r="CY58" s="33" t="n">
        <v>0</v>
      </c>
      <c r="CZ58" s="33" t="n">
        <v>0</v>
      </c>
      <c r="DA58" s="33" t="n">
        <v>0</v>
      </c>
      <c r="DB58" s="33" t="n">
        <v>0</v>
      </c>
      <c r="DC58" s="33" t="n">
        <v>0</v>
      </c>
      <c r="DD58" s="33" t="n">
        <v>0</v>
      </c>
      <c r="DE58" s="33" t="n">
        <v>0</v>
      </c>
      <c r="DF58" s="33" t="n">
        <v>0</v>
      </c>
      <c r="DG58" s="33" t="n">
        <v>0</v>
      </c>
      <c r="DH58" s="33" t="n">
        <v>0</v>
      </c>
      <c r="DI58" s="33" t="n">
        <v>0</v>
      </c>
      <c r="DJ58" s="33" t="n">
        <v>0</v>
      </c>
      <c r="DK58" s="33" t="n">
        <v>0</v>
      </c>
      <c r="DL58" s="33" t="n">
        <v>0</v>
      </c>
      <c r="DM58" s="33" t="n">
        <v>0</v>
      </c>
      <c r="DN58" s="33" t="n">
        <v>0</v>
      </c>
      <c r="DO58" s="33" t="n">
        <v>0</v>
      </c>
      <c r="DP58" s="33" t="n">
        <v>0</v>
      </c>
      <c r="DQ58" s="33" t="n">
        <v>0</v>
      </c>
      <c r="DR58" s="33" t="n">
        <v>0</v>
      </c>
      <c r="DS58" s="33" t="n">
        <v>0</v>
      </c>
      <c r="DT58" s="33" t="n">
        <v>0</v>
      </c>
      <c r="DU58" s="33" t="n">
        <v>0</v>
      </c>
      <c r="DV58" s="33" t="n">
        <v>0</v>
      </c>
      <c r="DW58" s="33" t="n">
        <v>0</v>
      </c>
      <c r="DX58" s="33" t="n">
        <v>0</v>
      </c>
      <c r="DY58" s="33" t="n">
        <v>0</v>
      </c>
      <c r="DZ58" s="33" t="n">
        <v>0</v>
      </c>
      <c r="EA58" s="33" t="n">
        <v>0</v>
      </c>
      <c r="EB58" s="33" t="n">
        <v>0</v>
      </c>
      <c r="EC58" s="33" t="n">
        <v>0</v>
      </c>
      <c r="ED58" s="33" t="n">
        <v>0</v>
      </c>
      <c r="EE58" s="33" t="n">
        <v>0</v>
      </c>
      <c r="EF58" s="33" t="n">
        <v>0</v>
      </c>
      <c r="EG58" s="33" t="n">
        <v>0</v>
      </c>
      <c r="EH58" s="33" t="n">
        <v>0</v>
      </c>
      <c r="EI58" s="33" t="n">
        <v>0</v>
      </c>
      <c r="EJ58" s="33" t="n">
        <v>0</v>
      </c>
      <c r="EK58" s="33" t="n">
        <v>0</v>
      </c>
      <c r="EL58" s="33" t="n">
        <v>0</v>
      </c>
      <c r="EM58" s="33" t="n">
        <v>0</v>
      </c>
      <c r="EN58" s="33" t="n">
        <v>0</v>
      </c>
      <c r="EO58" s="33" t="n">
        <v>0</v>
      </c>
      <c r="EP58" s="33" t="n">
        <v>0</v>
      </c>
      <c r="EQ58" s="33" t="n">
        <v>0</v>
      </c>
      <c r="ER58" s="33" t="n">
        <v>0</v>
      </c>
      <c r="ES58" s="33" t="n">
        <v>0</v>
      </c>
      <c r="ET58" s="33" t="n">
        <v>0</v>
      </c>
      <c r="EU58" s="33" t="n">
        <v>0</v>
      </c>
      <c r="EV58" s="33" t="n">
        <v>0</v>
      </c>
      <c r="EW58" s="33" t="n">
        <v>0</v>
      </c>
      <c r="EX58" s="33" t="n">
        <v>0</v>
      </c>
      <c r="EY58" s="33" t="n">
        <v>0</v>
      </c>
      <c r="EZ58" s="33" t="n">
        <v>0</v>
      </c>
      <c r="FA58" s="33" t="n">
        <v>0</v>
      </c>
      <c r="FB58" s="33" t="n">
        <v>0</v>
      </c>
      <c r="FC58" s="33" t="n">
        <v>0</v>
      </c>
      <c r="FD58" s="33" t="n">
        <v>0</v>
      </c>
      <c r="FE58" s="33" t="n">
        <v>0</v>
      </c>
      <c r="FF58" s="33" t="n">
        <v>0</v>
      </c>
      <c r="FG58" s="33" t="n">
        <v>0</v>
      </c>
      <c r="FH58" s="33" t="n">
        <v>0</v>
      </c>
      <c r="FI58" s="33" t="n">
        <v>0</v>
      </c>
      <c r="FJ58" s="33" t="n">
        <v>0</v>
      </c>
      <c r="FK58" s="33" t="n">
        <v>0</v>
      </c>
      <c r="FL58" s="33" t="n">
        <v>0</v>
      </c>
      <c r="FM58" s="33" t="n">
        <v>0</v>
      </c>
      <c r="FN58" s="33" t="n">
        <v>0</v>
      </c>
      <c r="FO58" s="33" t="n">
        <v>0</v>
      </c>
      <c r="FP58" s="33" t="n">
        <v>0</v>
      </c>
      <c r="FQ58" s="33" t="n">
        <v>0</v>
      </c>
      <c r="FR58" s="33" t="n">
        <v>0</v>
      </c>
      <c r="FS58" s="33" t="n">
        <v>0</v>
      </c>
      <c r="FT58" s="33" t="n">
        <v>0</v>
      </c>
      <c r="FU58" s="33" t="n">
        <v>0</v>
      </c>
      <c r="FV58" s="33" t="n">
        <v>0</v>
      </c>
      <c r="FW58" s="33" t="n">
        <v>0</v>
      </c>
      <c r="FX58" s="33" t="n">
        <v>0</v>
      </c>
      <c r="FY58" s="33" t="n">
        <v>0</v>
      </c>
      <c r="FZ58" s="33" t="n">
        <v>0</v>
      </c>
      <c r="GA58" s="33" t="n">
        <v>0</v>
      </c>
      <c r="GB58" s="33" t="n">
        <v>0</v>
      </c>
      <c r="GC58" s="33" t="n">
        <v>0</v>
      </c>
      <c r="GD58" s="33" t="n">
        <v>0</v>
      </c>
      <c r="GE58" s="33" t="n">
        <v>0</v>
      </c>
      <c r="GF58" s="33" t="n">
        <v>0</v>
      </c>
      <c r="GG58" s="33" t="n">
        <v>0</v>
      </c>
      <c r="GH58" s="33" t="n">
        <v>0</v>
      </c>
      <c r="GI58" s="33" t="n">
        <v>0</v>
      </c>
      <c r="GJ58" s="33" t="n">
        <v>0</v>
      </c>
      <c r="GK58" s="33" t="n">
        <v>0</v>
      </c>
      <c r="GL58" s="33" t="n">
        <v>0</v>
      </c>
      <c r="GM58" s="33" t="n">
        <v>0</v>
      </c>
      <c r="GN58" s="33" t="n">
        <v>0</v>
      </c>
      <c r="GO58" s="33" t="n">
        <v>0</v>
      </c>
      <c r="GP58" s="33" t="n">
        <v>0</v>
      </c>
      <c r="GQ58" s="33" t="n">
        <v>0</v>
      </c>
      <c r="GR58" s="33" t="n">
        <v>0</v>
      </c>
      <c r="GS58" s="33" t="n">
        <v>0</v>
      </c>
      <c r="GT58" s="33" t="n">
        <v>0</v>
      </c>
      <c r="GU58" s="33" t="n">
        <v>0</v>
      </c>
      <c r="GV58" s="33" t="n">
        <v>0</v>
      </c>
      <c r="GW58" s="33" t="n">
        <v>0</v>
      </c>
      <c r="GX58" s="33" t="n">
        <v>0</v>
      </c>
      <c r="GY58" s="33" t="n">
        <v>0</v>
      </c>
      <c r="GZ58" s="33" t="n">
        <v>0</v>
      </c>
      <c r="HA58" s="33" t="n">
        <v>0</v>
      </c>
      <c r="HB58" s="33" t="n">
        <v>0</v>
      </c>
      <c r="HC58" s="33" t="n">
        <v>0</v>
      </c>
      <c r="HD58" s="33" t="n">
        <v>0</v>
      </c>
      <c r="HE58" s="33" t="n">
        <v>0</v>
      </c>
      <c r="HF58" s="33" t="n">
        <v>0</v>
      </c>
      <c r="HG58" s="33" t="n">
        <v>0</v>
      </c>
      <c r="HH58" s="33" t="n">
        <v>0</v>
      </c>
      <c r="HI58" s="33" t="n">
        <v>0</v>
      </c>
      <c r="HJ58" s="33" t="n">
        <v>0</v>
      </c>
      <c r="HK58" s="33" t="n">
        <v>0</v>
      </c>
      <c r="HL58" s="33" t="n">
        <v>0</v>
      </c>
      <c r="HM58" s="33" t="n">
        <v>0</v>
      </c>
      <c r="HN58" s="33" t="n">
        <v>0</v>
      </c>
      <c r="HO58" s="33" t="n">
        <v>0</v>
      </c>
      <c r="HP58" s="33" t="n">
        <v>0</v>
      </c>
      <c r="HQ58" s="33" t="n">
        <v>0</v>
      </c>
      <c r="HR58" s="33" t="n">
        <v>0</v>
      </c>
      <c r="HS58" s="33" t="n">
        <v>0</v>
      </c>
      <c r="HT58" s="33" t="n">
        <v>0</v>
      </c>
      <c r="HU58" s="33" t="n">
        <v>0</v>
      </c>
      <c r="HV58" s="33" t="n">
        <v>0</v>
      </c>
      <c r="HW58" s="33" t="n">
        <v>0</v>
      </c>
      <c r="HX58" s="33" t="n">
        <v>0</v>
      </c>
      <c r="HY58" s="33" t="n">
        <v>0</v>
      </c>
      <c r="HZ58" s="33" t="n">
        <v>0</v>
      </c>
      <c r="IA58" s="33" t="n">
        <v>0</v>
      </c>
      <c r="IB58" s="33" t="n">
        <v>0</v>
      </c>
      <c r="IC58" s="33" t="n">
        <v>0</v>
      </c>
      <c r="ID58" s="33" t="n">
        <v>0</v>
      </c>
      <c r="IE58" s="33" t="n">
        <v>0</v>
      </c>
      <c r="IF58" s="33" t="n">
        <v>0</v>
      </c>
      <c r="IG58" s="33" t="n">
        <v>0</v>
      </c>
      <c r="IH58" s="33" t="n">
        <v>0</v>
      </c>
      <c r="II58" s="33" t="n">
        <v>0</v>
      </c>
      <c r="IJ58" s="33" t="n">
        <v>0</v>
      </c>
      <c r="IK58" s="33" t="n">
        <v>0</v>
      </c>
      <c r="IL58" s="33" t="n">
        <v>0</v>
      </c>
      <c r="IM58" s="33" t="n">
        <v>0</v>
      </c>
      <c r="IN58" s="33" t="n">
        <v>0</v>
      </c>
      <c r="IO58" s="33" t="n">
        <v>0</v>
      </c>
      <c r="IP58" s="33" t="n">
        <v>0</v>
      </c>
      <c r="IQ58" s="33" t="n">
        <v>0</v>
      </c>
      <c r="IR58" s="33" t="n">
        <v>0</v>
      </c>
      <c r="IS58" s="33" t="n">
        <v>0</v>
      </c>
      <c r="IT58" s="33" t="n">
        <v>0</v>
      </c>
      <c r="IU58" s="33" t="n">
        <v>0</v>
      </c>
      <c r="IV58" s="33" t="n">
        <v>0</v>
      </c>
      <c r="IW58" s="33" t="n">
        <v>0</v>
      </c>
      <c r="IX58" s="33" t="n">
        <v>0</v>
      </c>
      <c r="IY58" s="33" t="n">
        <v>0</v>
      </c>
      <c r="IZ58" s="33" t="n">
        <v>0</v>
      </c>
      <c r="JA58" s="33" t="n">
        <v>0</v>
      </c>
      <c r="JB58" s="33" t="n">
        <v>0</v>
      </c>
      <c r="JC58" s="33" t="n">
        <v>0</v>
      </c>
      <c r="JD58" s="33" t="n">
        <v>0</v>
      </c>
      <c r="JE58" s="33" t="n">
        <v>0</v>
      </c>
      <c r="JF58" s="33" t="n">
        <v>0</v>
      </c>
      <c r="JG58" s="33" t="n">
        <v>0</v>
      </c>
      <c r="JH58" s="33" t="n">
        <v>0</v>
      </c>
      <c r="JI58" s="33" t="n">
        <v>0</v>
      </c>
      <c r="JJ58" s="33" t="n">
        <v>0</v>
      </c>
      <c r="JK58" s="33" t="n">
        <v>0</v>
      </c>
      <c r="JL58" s="33" t="n">
        <v>0</v>
      </c>
      <c r="JM58" s="33" t="n">
        <v>0</v>
      </c>
      <c r="JN58" s="33" t="n">
        <v>0</v>
      </c>
      <c r="JO58" s="33" t="n">
        <v>0</v>
      </c>
      <c r="JP58" s="33" t="n">
        <v>0</v>
      </c>
      <c r="JQ58" s="33" t="n">
        <v>0</v>
      </c>
      <c r="JR58" s="33" t="n">
        <v>0</v>
      </c>
      <c r="JS58" s="33" t="n">
        <v>0</v>
      </c>
      <c r="JT58" s="33" t="n">
        <v>0</v>
      </c>
      <c r="JU58" s="33" t="n">
        <v>0</v>
      </c>
      <c r="JV58" s="33" t="n">
        <v>0</v>
      </c>
      <c r="JW58" s="33" t="n">
        <v>0</v>
      </c>
      <c r="JX58" s="33" t="n">
        <v>0</v>
      </c>
      <c r="JY58" s="33" t="n">
        <v>0</v>
      </c>
      <c r="JZ58" s="33" t="n">
        <v>0</v>
      </c>
      <c r="KA58" s="33" t="n">
        <v>0</v>
      </c>
      <c r="KB58" s="33" t="n">
        <v>0</v>
      </c>
      <c r="KC58" s="33" t="n">
        <v>0</v>
      </c>
      <c r="KD58" s="33" t="n">
        <v>0</v>
      </c>
      <c r="KE58" s="33" t="n">
        <v>0</v>
      </c>
      <c r="KF58" s="33" t="n">
        <v>0</v>
      </c>
      <c r="KG58" s="33" t="n">
        <v>0</v>
      </c>
      <c r="KH58" s="33" t="n">
        <v>0</v>
      </c>
      <c r="KI58" s="33" t="n">
        <v>0</v>
      </c>
      <c r="KJ58" s="33" t="n">
        <v>0</v>
      </c>
      <c r="KK58" s="33" t="n">
        <v>0</v>
      </c>
      <c r="KL58" s="33" t="n">
        <v>0</v>
      </c>
      <c r="KM58" s="33" t="n">
        <v>0</v>
      </c>
      <c r="KN58" s="33" t="n">
        <v>0</v>
      </c>
      <c r="KO58" s="33" t="n">
        <v>0</v>
      </c>
      <c r="KP58" s="33" t="n">
        <v>0</v>
      </c>
      <c r="KQ58" s="33" t="n">
        <v>0</v>
      </c>
      <c r="KR58" s="33" t="n">
        <v>0</v>
      </c>
      <c r="KS58" s="33" t="n">
        <v>0</v>
      </c>
      <c r="KT58" s="33" t="n">
        <v>0</v>
      </c>
      <c r="KU58" s="33" t="n">
        <v>0</v>
      </c>
      <c r="KV58" s="33" t="n">
        <v>0</v>
      </c>
      <c r="KW58" s="33" t="n">
        <v>0</v>
      </c>
      <c r="KX58" s="33" t="n">
        <v>0</v>
      </c>
      <c r="KY58" s="33" t="n">
        <v>0</v>
      </c>
      <c r="KZ58" s="33" t="n">
        <v>0</v>
      </c>
      <c r="LA58" s="33" t="n">
        <v>0</v>
      </c>
      <c r="LB58" s="33" t="n">
        <v>0</v>
      </c>
      <c r="LC58" s="33" t="n">
        <v>0</v>
      </c>
      <c r="LD58" s="33" t="n">
        <v>0</v>
      </c>
      <c r="LE58" s="33" t="n">
        <v>0</v>
      </c>
      <c r="LF58" s="33" t="n">
        <v>0</v>
      </c>
      <c r="LG58" s="33" t="n">
        <v>0</v>
      </c>
      <c r="LH58" s="33" t="n">
        <v>0</v>
      </c>
      <c r="LI58" s="33" t="n">
        <v>0</v>
      </c>
      <c r="LJ58" s="33" t="n">
        <v>0</v>
      </c>
      <c r="LK58" s="33" t="n">
        <v>0</v>
      </c>
      <c r="LL58" s="33" t="n">
        <v>0</v>
      </c>
      <c r="LM58" s="33" t="n">
        <v>0</v>
      </c>
      <c r="LN58" s="33" t="n">
        <v>0</v>
      </c>
      <c r="LO58" s="33" t="n">
        <v>0</v>
      </c>
      <c r="LP58" s="33" t="n">
        <v>0</v>
      </c>
      <c r="LQ58" s="33" t="n">
        <v>0</v>
      </c>
      <c r="LR58" s="33" t="n">
        <v>0</v>
      </c>
      <c r="LS58" s="33" t="n">
        <v>0</v>
      </c>
      <c r="LT58" s="33" t="n">
        <v>0</v>
      </c>
      <c r="LU58" s="33" t="n">
        <v>0</v>
      </c>
      <c r="LV58" s="33" t="n">
        <v>0</v>
      </c>
      <c r="LW58" s="33" t="n">
        <v>0</v>
      </c>
      <c r="LX58" s="33" t="n">
        <v>0</v>
      </c>
      <c r="LY58" s="33" t="n">
        <v>0</v>
      </c>
      <c r="LZ58" s="33" t="n">
        <v>0</v>
      </c>
      <c r="MA58" s="33" t="n">
        <v>0</v>
      </c>
      <c r="MB58" s="33" t="n">
        <v>0</v>
      </c>
      <c r="MC58" s="33" t="n">
        <v>0</v>
      </c>
      <c r="MD58" s="33" t="n">
        <v>0</v>
      </c>
      <c r="ME58" s="33" t="n">
        <v>0</v>
      </c>
      <c r="MF58" s="33" t="n">
        <v>0</v>
      </c>
      <c r="MG58" s="33" t="n">
        <v>0</v>
      </c>
      <c r="MH58" s="33" t="n">
        <v>0</v>
      </c>
      <c r="MI58" s="33" t="n">
        <v>0</v>
      </c>
      <c r="MJ58" s="33" t="n">
        <v>0</v>
      </c>
      <c r="MK58" s="33" t="n">
        <v>0</v>
      </c>
      <c r="ML58" s="33" t="n">
        <v>0</v>
      </c>
      <c r="MM58" s="33" t="n">
        <v>0</v>
      </c>
      <c r="MN58" s="33" t="n">
        <v>0</v>
      </c>
      <c r="MO58" s="33" t="n">
        <v>0</v>
      </c>
      <c r="MP58" s="33" t="n">
        <v>0</v>
      </c>
      <c r="MQ58" s="33" t="n">
        <v>0</v>
      </c>
      <c r="MR58" s="33" t="n">
        <v>0</v>
      </c>
      <c r="MS58" s="33" t="n">
        <v>0</v>
      </c>
      <c r="MT58" s="33" t="n">
        <v>0</v>
      </c>
      <c r="MU58" s="33" t="n">
        <v>0</v>
      </c>
      <c r="MV58" s="33" t="n">
        <v>0</v>
      </c>
      <c r="MW58" s="33" t="n">
        <v>0</v>
      </c>
      <c r="MX58" s="33" t="n">
        <v>0</v>
      </c>
      <c r="MY58" s="33" t="n">
        <v>0</v>
      </c>
      <c r="MZ58" s="33" t="n">
        <v>0</v>
      </c>
      <c r="NA58" s="33" t="n">
        <v>0</v>
      </c>
      <c r="NB58" s="33" t="n">
        <v>0</v>
      </c>
      <c r="NC58" s="33" t="n">
        <v>0</v>
      </c>
      <c r="ND58" s="33" t="n">
        <v>0</v>
      </c>
      <c r="NE58" s="33" t="n">
        <v>0</v>
      </c>
      <c r="NF58" s="33" t="n">
        <v>0</v>
      </c>
      <c r="NG58" s="33" t="n">
        <v>0</v>
      </c>
      <c r="NH58" s="33" t="n">
        <v>0</v>
      </c>
      <c r="NI58" s="33" t="n">
        <v>0</v>
      </c>
      <c r="NJ58" s="33" t="n">
        <v>0</v>
      </c>
      <c r="NK58" s="33" t="n">
        <v>0</v>
      </c>
      <c r="NL58" s="33" t="n">
        <v>0</v>
      </c>
      <c r="NM58" s="33" t="n">
        <v>0</v>
      </c>
      <c r="NN58" s="33" t="n">
        <v>0</v>
      </c>
      <c r="NO58" s="33" t="n">
        <v>0</v>
      </c>
      <c r="NP58" s="33" t="n">
        <v>0</v>
      </c>
      <c r="NQ58" s="33" t="n">
        <v>0</v>
      </c>
      <c r="NR58" s="33" t="n">
        <v>0</v>
      </c>
      <c r="NS58" s="33" t="n">
        <v>0</v>
      </c>
      <c r="NT58" s="33" t="n">
        <v>0</v>
      </c>
      <c r="NU58" s="33" t="n">
        <v>0</v>
      </c>
      <c r="NV58" s="33" t="n">
        <v>0</v>
      </c>
      <c r="NW58" s="33" t="n">
        <v>0</v>
      </c>
      <c r="NX58" s="33" t="n">
        <v>0</v>
      </c>
      <c r="NY58" s="33" t="n">
        <v>0</v>
      </c>
      <c r="NZ58" s="33" t="n">
        <v>0</v>
      </c>
      <c r="OA58" s="33" t="n">
        <v>0</v>
      </c>
      <c r="OB58" s="33" t="n">
        <v>0</v>
      </c>
      <c r="OC58" s="33" t="n">
        <v>0</v>
      </c>
      <c r="OD58" s="33" t="n">
        <v>0</v>
      </c>
      <c r="OE58" s="33" t="n">
        <v>0</v>
      </c>
      <c r="OF58" s="33" t="n">
        <v>0</v>
      </c>
      <c r="OG58" s="33" t="n">
        <v>0</v>
      </c>
      <c r="OH58" s="33" t="n">
        <v>0</v>
      </c>
      <c r="OI58" s="33" t="n">
        <v>0</v>
      </c>
      <c r="OJ58" s="33" t="n">
        <v>0</v>
      </c>
      <c r="OK58" s="33" t="n">
        <v>0</v>
      </c>
      <c r="OL58" s="33" t="n">
        <v>0</v>
      </c>
      <c r="OM58" s="33" t="n">
        <v>0</v>
      </c>
      <c r="ON58" s="33" t="n">
        <v>0</v>
      </c>
      <c r="OO58" s="33" t="n">
        <v>0</v>
      </c>
      <c r="OP58" s="33" t="n">
        <v>0</v>
      </c>
      <c r="OQ58" s="33" t="n">
        <v>0</v>
      </c>
      <c r="OR58" s="33" t="n">
        <v>0</v>
      </c>
      <c r="OS58" s="33" t="n">
        <v>0</v>
      </c>
      <c r="OT58" s="33" t="n">
        <v>0</v>
      </c>
      <c r="OU58" s="33" t="n">
        <v>0</v>
      </c>
      <c r="OV58" s="33" t="n">
        <v>0</v>
      </c>
      <c r="OW58" s="33" t="n">
        <v>0</v>
      </c>
      <c r="OX58" s="33" t="n">
        <v>0</v>
      </c>
      <c r="OY58" s="33" t="n">
        <v>0</v>
      </c>
      <c r="OZ58" s="33" t="n">
        <v>0</v>
      </c>
      <c r="PA58" s="33" t="n">
        <v>0</v>
      </c>
      <c r="PB58" s="33" t="n">
        <v>0</v>
      </c>
      <c r="PC58" s="33" t="n">
        <v>0</v>
      </c>
      <c r="PD58" s="33" t="n">
        <v>0</v>
      </c>
      <c r="PE58" s="33" t="n">
        <v>0</v>
      </c>
      <c r="PF58" s="33" t="n">
        <v>0</v>
      </c>
      <c r="PG58" s="33" t="n">
        <v>0</v>
      </c>
      <c r="PH58" s="33" t="n">
        <v>0</v>
      </c>
      <c r="PI58" s="33" t="n">
        <v>0</v>
      </c>
      <c r="PJ58" s="33" t="n">
        <v>0</v>
      </c>
      <c r="PK58" s="33" t="n">
        <v>0</v>
      </c>
      <c r="PL58" s="33" t="n">
        <v>0</v>
      </c>
      <c r="PM58" s="33" t="n">
        <v>0</v>
      </c>
      <c r="PN58" s="33" t="n">
        <v>0</v>
      </c>
      <c r="PO58" s="33" t="n">
        <v>0</v>
      </c>
      <c r="PP58" s="33" t="n">
        <v>0</v>
      </c>
      <c r="PQ58" s="33" t="n">
        <v>0</v>
      </c>
      <c r="PR58" s="33" t="n">
        <v>0</v>
      </c>
      <c r="PS58" s="33" t="n">
        <v>0</v>
      </c>
      <c r="PT58" s="33" t="n">
        <v>0</v>
      </c>
      <c r="PU58" s="33" t="n">
        <v>0</v>
      </c>
      <c r="PV58" s="33" t="n">
        <v>0</v>
      </c>
      <c r="PW58" s="33" t="n">
        <v>0</v>
      </c>
      <c r="PX58" s="33" t="n">
        <v>0</v>
      </c>
      <c r="PY58" s="33" t="n">
        <v>0</v>
      </c>
      <c r="PZ58" s="33" t="n">
        <v>0</v>
      </c>
      <c r="QA58" s="33" t="n">
        <v>0</v>
      </c>
      <c r="QB58" s="33" t="n">
        <v>0</v>
      </c>
      <c r="QC58" s="33" t="n">
        <v>0</v>
      </c>
      <c r="QD58" s="33" t="n">
        <v>0</v>
      </c>
      <c r="QE58" s="33" t="n">
        <v>0</v>
      </c>
      <c r="QF58" s="33" t="n">
        <v>0</v>
      </c>
      <c r="QG58" s="33" t="n">
        <v>0</v>
      </c>
      <c r="QH58" s="33" t="n">
        <v>0</v>
      </c>
      <c r="QI58" s="33" t="n">
        <v>0</v>
      </c>
      <c r="QJ58" s="33" t="n">
        <v>0</v>
      </c>
      <c r="QK58" s="33" t="n">
        <v>0</v>
      </c>
      <c r="QL58" s="33" t="n">
        <v>0</v>
      </c>
      <c r="QM58" s="33" t="n">
        <v>0</v>
      </c>
      <c r="QN58" s="33" t="n">
        <v>0</v>
      </c>
      <c r="QO58" s="33" t="n">
        <v>0</v>
      </c>
      <c r="QP58" s="33" t="n">
        <v>0</v>
      </c>
      <c r="QQ58" s="33" t="n">
        <v>0</v>
      </c>
      <c r="QR58" s="33" t="n">
        <v>0</v>
      </c>
      <c r="QS58" s="33" t="n">
        <v>0</v>
      </c>
      <c r="QT58" s="33" t="n">
        <v>0</v>
      </c>
      <c r="QU58" s="33" t="n">
        <v>0</v>
      </c>
      <c r="QV58" s="33" t="n">
        <v>0</v>
      </c>
      <c r="QW58" s="33" t="n">
        <v>0</v>
      </c>
      <c r="QX58" s="33" t="n">
        <v>0</v>
      </c>
      <c r="QY58" s="33" t="n">
        <v>0</v>
      </c>
      <c r="QZ58" s="33" t="n">
        <v>0</v>
      </c>
      <c r="RA58" s="33" t="n">
        <v>0</v>
      </c>
      <c r="RB58" s="33" t="n">
        <v>0</v>
      </c>
      <c r="RC58" s="33" t="n">
        <v>0</v>
      </c>
      <c r="RD58" s="33" t="n">
        <v>0</v>
      </c>
      <c r="RE58" s="33" t="n">
        <v>0</v>
      </c>
      <c r="RF58" s="33" t="n">
        <v>0</v>
      </c>
      <c r="RG58" s="33" t="n">
        <v>0</v>
      </c>
      <c r="RH58" s="33" t="n">
        <v>0</v>
      </c>
      <c r="RI58" s="33" t="n">
        <v>0</v>
      </c>
      <c r="RJ58" s="33" t="n">
        <v>0</v>
      </c>
      <c r="RK58" s="33" t="n">
        <v>0</v>
      </c>
      <c r="RL58" s="33" t="n">
        <v>0</v>
      </c>
      <c r="RM58" s="33" t="n">
        <v>0</v>
      </c>
      <c r="RN58" s="33" t="n">
        <v>0</v>
      </c>
      <c r="RO58" s="33" t="n">
        <v>0</v>
      </c>
      <c r="RP58" s="33" t="n">
        <v>0</v>
      </c>
      <c r="RQ58" s="33" t="n">
        <v>0</v>
      </c>
      <c r="RR58" s="33" t="n">
        <v>0</v>
      </c>
      <c r="RS58" s="33" t="n">
        <v>0</v>
      </c>
      <c r="RT58" s="33" t="n">
        <v>0</v>
      </c>
      <c r="RU58" s="33" t="n">
        <v>0</v>
      </c>
      <c r="RV58" s="33" t="n">
        <v>0</v>
      </c>
      <c r="RW58" s="33" t="n">
        <v>0</v>
      </c>
    </row>
    <row r="59" hidden="1" outlineLevel="1" ht="13.05" customHeight="1">
      <c r="E59" s="21" t="inlineStr">
        <is>
          <t>VTA Co-location Compensation</t>
        </is>
      </c>
      <c r="F59" s="29" t="n"/>
      <c r="G59" s="29" t="inlineStr">
        <is>
          <t>kEUR</t>
        </is>
      </c>
      <c r="H59" s="29" t="n"/>
      <c r="I59" s="29" t="n"/>
      <c r="J59" s="32" t="n">
        <v>0</v>
      </c>
      <c r="K59" s="29" t="n"/>
      <c r="L59" s="33" t="n">
        <v>0</v>
      </c>
      <c r="M59" s="33" t="n">
        <v>0</v>
      </c>
      <c r="N59" s="33" t="n">
        <v>0</v>
      </c>
      <c r="O59" s="33" t="n">
        <v>0</v>
      </c>
      <c r="P59" s="33" t="n">
        <v>0</v>
      </c>
      <c r="Q59" s="33" t="n">
        <v>0</v>
      </c>
      <c r="R59" s="33" t="n">
        <v>0</v>
      </c>
      <c r="S59" s="33" t="n">
        <v>0</v>
      </c>
      <c r="T59" s="33" t="n">
        <v>0</v>
      </c>
      <c r="U59" s="33" t="n">
        <v>0</v>
      </c>
      <c r="V59" s="33" t="n">
        <v>0</v>
      </c>
      <c r="W59" s="33" t="n">
        <v>0</v>
      </c>
      <c r="X59" s="33" t="n">
        <v>0</v>
      </c>
      <c r="Y59" s="33" t="n">
        <v>0</v>
      </c>
      <c r="Z59" s="33" t="n">
        <v>0</v>
      </c>
      <c r="AA59" s="33" t="n">
        <v>0</v>
      </c>
      <c r="AB59" s="33" t="n">
        <v>0</v>
      </c>
      <c r="AC59" s="33" t="n">
        <v>0</v>
      </c>
      <c r="AD59" s="33" t="n">
        <v>0</v>
      </c>
      <c r="AE59" s="33" t="n">
        <v>0</v>
      </c>
      <c r="AF59" s="33" t="n">
        <v>0</v>
      </c>
      <c r="AG59" s="33" t="n">
        <v>0</v>
      </c>
      <c r="AH59" s="33" t="n">
        <v>0</v>
      </c>
      <c r="AI59" s="33" t="n">
        <v>0</v>
      </c>
      <c r="AJ59" s="33" t="n">
        <v>0</v>
      </c>
      <c r="AK59" s="33" t="n">
        <v>0</v>
      </c>
      <c r="AL59" s="33" t="n">
        <v>0</v>
      </c>
      <c r="AM59" s="33" t="n">
        <v>0</v>
      </c>
      <c r="AN59" s="33" t="n">
        <v>0</v>
      </c>
      <c r="AO59" s="33" t="n">
        <v>0</v>
      </c>
      <c r="AP59" s="33" t="n">
        <v>0</v>
      </c>
      <c r="AQ59" s="33" t="n">
        <v>0</v>
      </c>
      <c r="AR59" s="33" t="n">
        <v>0</v>
      </c>
      <c r="AS59" s="33" t="n">
        <v>0</v>
      </c>
      <c r="AT59" s="33" t="n">
        <v>0</v>
      </c>
      <c r="AU59" s="33" t="n">
        <v>0</v>
      </c>
      <c r="AV59" s="33" t="n">
        <v>0</v>
      </c>
      <c r="AW59" s="33" t="n">
        <v>0</v>
      </c>
      <c r="AX59" s="33" t="n">
        <v>0</v>
      </c>
      <c r="AY59" s="33" t="n">
        <v>0</v>
      </c>
      <c r="AZ59" s="33" t="n">
        <v>0</v>
      </c>
      <c r="BA59" s="33" t="n">
        <v>0</v>
      </c>
      <c r="BB59" s="33" t="n">
        <v>0</v>
      </c>
      <c r="BC59" s="33" t="n">
        <v>0</v>
      </c>
      <c r="BD59" s="33" t="n">
        <v>0</v>
      </c>
      <c r="BE59" s="33" t="n">
        <v>0</v>
      </c>
      <c r="BF59" s="33" t="n">
        <v>0</v>
      </c>
      <c r="BG59" s="33" t="n">
        <v>0</v>
      </c>
      <c r="BH59" s="33" t="n">
        <v>0</v>
      </c>
      <c r="BI59" s="33" t="n">
        <v>0</v>
      </c>
      <c r="BJ59" s="33" t="n">
        <v>0</v>
      </c>
      <c r="BK59" s="33" t="n">
        <v>0</v>
      </c>
      <c r="BL59" s="33" t="n">
        <v>0</v>
      </c>
      <c r="BM59" s="33" t="n">
        <v>0</v>
      </c>
      <c r="BN59" s="33" t="n">
        <v>0</v>
      </c>
      <c r="BO59" s="33" t="n">
        <v>0</v>
      </c>
      <c r="BP59" s="33" t="n">
        <v>0</v>
      </c>
      <c r="BQ59" s="33" t="n">
        <v>0</v>
      </c>
      <c r="BR59" s="33" t="n">
        <v>0</v>
      </c>
      <c r="BS59" s="33" t="n">
        <v>0</v>
      </c>
      <c r="BT59" s="33" t="n">
        <v>0</v>
      </c>
      <c r="BU59" s="33" t="n">
        <v>0</v>
      </c>
      <c r="BV59" s="33" t="n">
        <v>0</v>
      </c>
      <c r="BW59" s="33" t="n">
        <v>0</v>
      </c>
      <c r="BX59" s="33" t="n">
        <v>0</v>
      </c>
      <c r="BY59" s="33" t="n">
        <v>0</v>
      </c>
      <c r="BZ59" s="33" t="n">
        <v>0</v>
      </c>
      <c r="CA59" s="33" t="n">
        <v>0</v>
      </c>
      <c r="CB59" s="33" t="n">
        <v>0</v>
      </c>
      <c r="CC59" s="33" t="n">
        <v>0</v>
      </c>
      <c r="CD59" s="33" t="n">
        <v>0</v>
      </c>
      <c r="CE59" s="33" t="n">
        <v>0</v>
      </c>
      <c r="CF59" s="33" t="n">
        <v>0</v>
      </c>
      <c r="CG59" s="33" t="n">
        <v>0</v>
      </c>
      <c r="CH59" s="33" t="n">
        <v>0</v>
      </c>
      <c r="CI59" s="33" t="n">
        <v>0</v>
      </c>
      <c r="CJ59" s="33" t="n">
        <v>0</v>
      </c>
      <c r="CK59" s="33" t="n">
        <v>0</v>
      </c>
      <c r="CL59" s="33" t="n">
        <v>0</v>
      </c>
      <c r="CM59" s="33" t="n">
        <v>0</v>
      </c>
      <c r="CN59" s="33" t="n">
        <v>0</v>
      </c>
      <c r="CO59" s="33" t="n">
        <v>0</v>
      </c>
      <c r="CP59" s="33" t="n">
        <v>0</v>
      </c>
      <c r="CQ59" s="33" t="n">
        <v>0</v>
      </c>
      <c r="CR59" s="33" t="n">
        <v>0</v>
      </c>
      <c r="CS59" s="33" t="n">
        <v>0</v>
      </c>
      <c r="CT59" s="33" t="n">
        <v>0</v>
      </c>
      <c r="CU59" s="33" t="n">
        <v>0</v>
      </c>
      <c r="CV59" s="33" t="n">
        <v>0</v>
      </c>
      <c r="CW59" s="33" t="n">
        <v>0</v>
      </c>
      <c r="CX59" s="33" t="n">
        <v>0</v>
      </c>
      <c r="CY59" s="33" t="n">
        <v>0</v>
      </c>
      <c r="CZ59" s="33" t="n">
        <v>0</v>
      </c>
      <c r="DA59" s="33" t="n">
        <v>0</v>
      </c>
      <c r="DB59" s="33" t="n">
        <v>0</v>
      </c>
      <c r="DC59" s="33" t="n">
        <v>0</v>
      </c>
      <c r="DD59" s="33" t="n">
        <v>0</v>
      </c>
      <c r="DE59" s="33" t="n">
        <v>0</v>
      </c>
      <c r="DF59" s="33" t="n">
        <v>0</v>
      </c>
      <c r="DG59" s="33" t="n">
        <v>0</v>
      </c>
      <c r="DH59" s="33" t="n">
        <v>0</v>
      </c>
      <c r="DI59" s="33" t="n">
        <v>0</v>
      </c>
      <c r="DJ59" s="33" t="n">
        <v>0</v>
      </c>
      <c r="DK59" s="33" t="n">
        <v>0</v>
      </c>
      <c r="DL59" s="33" t="n">
        <v>0</v>
      </c>
      <c r="DM59" s="33" t="n">
        <v>0</v>
      </c>
      <c r="DN59" s="33" t="n">
        <v>0</v>
      </c>
      <c r="DO59" s="33" t="n">
        <v>0</v>
      </c>
      <c r="DP59" s="33" t="n">
        <v>0</v>
      </c>
      <c r="DQ59" s="33" t="n">
        <v>0</v>
      </c>
      <c r="DR59" s="33" t="n">
        <v>0</v>
      </c>
      <c r="DS59" s="33" t="n">
        <v>0</v>
      </c>
      <c r="DT59" s="33" t="n">
        <v>0</v>
      </c>
      <c r="DU59" s="33" t="n">
        <v>0</v>
      </c>
      <c r="DV59" s="33" t="n">
        <v>0</v>
      </c>
      <c r="DW59" s="33" t="n">
        <v>0</v>
      </c>
      <c r="DX59" s="33" t="n">
        <v>0</v>
      </c>
      <c r="DY59" s="33" t="n">
        <v>0</v>
      </c>
      <c r="DZ59" s="33" t="n">
        <v>0</v>
      </c>
      <c r="EA59" s="33" t="n">
        <v>0</v>
      </c>
      <c r="EB59" s="33" t="n">
        <v>0</v>
      </c>
      <c r="EC59" s="33" t="n">
        <v>0</v>
      </c>
      <c r="ED59" s="33" t="n">
        <v>0</v>
      </c>
      <c r="EE59" s="33" t="n">
        <v>0</v>
      </c>
      <c r="EF59" s="33" t="n">
        <v>0</v>
      </c>
      <c r="EG59" s="33" t="n">
        <v>0</v>
      </c>
      <c r="EH59" s="33" t="n">
        <v>0</v>
      </c>
      <c r="EI59" s="33" t="n">
        <v>0</v>
      </c>
      <c r="EJ59" s="33" t="n">
        <v>0</v>
      </c>
      <c r="EK59" s="33" t="n">
        <v>0</v>
      </c>
      <c r="EL59" s="33" t="n">
        <v>0</v>
      </c>
      <c r="EM59" s="33" t="n">
        <v>0</v>
      </c>
      <c r="EN59" s="33" t="n">
        <v>0</v>
      </c>
      <c r="EO59" s="33" t="n">
        <v>0</v>
      </c>
      <c r="EP59" s="33" t="n">
        <v>0</v>
      </c>
      <c r="EQ59" s="33" t="n">
        <v>0</v>
      </c>
      <c r="ER59" s="33" t="n">
        <v>0</v>
      </c>
      <c r="ES59" s="33" t="n">
        <v>0</v>
      </c>
      <c r="ET59" s="33" t="n">
        <v>0</v>
      </c>
      <c r="EU59" s="33" t="n">
        <v>0</v>
      </c>
      <c r="EV59" s="33" t="n">
        <v>0</v>
      </c>
      <c r="EW59" s="33" t="n">
        <v>0</v>
      </c>
      <c r="EX59" s="33" t="n">
        <v>0</v>
      </c>
      <c r="EY59" s="33" t="n">
        <v>0</v>
      </c>
      <c r="EZ59" s="33" t="n">
        <v>0</v>
      </c>
      <c r="FA59" s="33" t="n">
        <v>0</v>
      </c>
      <c r="FB59" s="33" t="n">
        <v>0</v>
      </c>
      <c r="FC59" s="33" t="n">
        <v>0</v>
      </c>
      <c r="FD59" s="33" t="n">
        <v>0</v>
      </c>
      <c r="FE59" s="33" t="n">
        <v>0</v>
      </c>
      <c r="FF59" s="33" t="n">
        <v>0</v>
      </c>
      <c r="FG59" s="33" t="n">
        <v>0</v>
      </c>
      <c r="FH59" s="33" t="n">
        <v>0</v>
      </c>
      <c r="FI59" s="33" t="n">
        <v>0</v>
      </c>
      <c r="FJ59" s="33" t="n">
        <v>0</v>
      </c>
      <c r="FK59" s="33" t="n">
        <v>0</v>
      </c>
      <c r="FL59" s="33" t="n">
        <v>0</v>
      </c>
      <c r="FM59" s="33" t="n">
        <v>0</v>
      </c>
      <c r="FN59" s="33" t="n">
        <v>0</v>
      </c>
      <c r="FO59" s="33" t="n">
        <v>0</v>
      </c>
      <c r="FP59" s="33" t="n">
        <v>0</v>
      </c>
      <c r="FQ59" s="33" t="n">
        <v>0</v>
      </c>
      <c r="FR59" s="33" t="n">
        <v>0</v>
      </c>
      <c r="FS59" s="33" t="n">
        <v>0</v>
      </c>
      <c r="FT59" s="33" t="n">
        <v>0</v>
      </c>
      <c r="FU59" s="33" t="n">
        <v>0</v>
      </c>
      <c r="FV59" s="33" t="n">
        <v>0</v>
      </c>
      <c r="FW59" s="33" t="n">
        <v>0</v>
      </c>
      <c r="FX59" s="33" t="n">
        <v>0</v>
      </c>
      <c r="FY59" s="33" t="n">
        <v>0</v>
      </c>
      <c r="FZ59" s="33" t="n">
        <v>0</v>
      </c>
      <c r="GA59" s="33" t="n">
        <v>0</v>
      </c>
      <c r="GB59" s="33" t="n">
        <v>0</v>
      </c>
      <c r="GC59" s="33" t="n">
        <v>0</v>
      </c>
      <c r="GD59" s="33" t="n">
        <v>0</v>
      </c>
      <c r="GE59" s="33" t="n">
        <v>0</v>
      </c>
      <c r="GF59" s="33" t="n">
        <v>0</v>
      </c>
      <c r="GG59" s="33" t="n">
        <v>0</v>
      </c>
      <c r="GH59" s="33" t="n">
        <v>0</v>
      </c>
      <c r="GI59" s="33" t="n">
        <v>0</v>
      </c>
      <c r="GJ59" s="33" t="n">
        <v>0</v>
      </c>
      <c r="GK59" s="33" t="n">
        <v>0</v>
      </c>
      <c r="GL59" s="33" t="n">
        <v>0</v>
      </c>
      <c r="GM59" s="33" t="n">
        <v>0</v>
      </c>
      <c r="GN59" s="33" t="n">
        <v>0</v>
      </c>
      <c r="GO59" s="33" t="n">
        <v>0</v>
      </c>
      <c r="GP59" s="33" t="n">
        <v>0</v>
      </c>
      <c r="GQ59" s="33" t="n">
        <v>0</v>
      </c>
      <c r="GR59" s="33" t="n">
        <v>0</v>
      </c>
      <c r="GS59" s="33" t="n">
        <v>0</v>
      </c>
      <c r="GT59" s="33" t="n">
        <v>0</v>
      </c>
      <c r="GU59" s="33" t="n">
        <v>0</v>
      </c>
      <c r="GV59" s="33" t="n">
        <v>0</v>
      </c>
      <c r="GW59" s="33" t="n">
        <v>0</v>
      </c>
      <c r="GX59" s="33" t="n">
        <v>0</v>
      </c>
      <c r="GY59" s="33" t="n">
        <v>0</v>
      </c>
      <c r="GZ59" s="33" t="n">
        <v>0</v>
      </c>
      <c r="HA59" s="33" t="n">
        <v>0</v>
      </c>
      <c r="HB59" s="33" t="n">
        <v>0</v>
      </c>
      <c r="HC59" s="33" t="n">
        <v>0</v>
      </c>
      <c r="HD59" s="33" t="n">
        <v>0</v>
      </c>
      <c r="HE59" s="33" t="n">
        <v>0</v>
      </c>
      <c r="HF59" s="33" t="n">
        <v>0</v>
      </c>
      <c r="HG59" s="33" t="n">
        <v>0</v>
      </c>
      <c r="HH59" s="33" t="n">
        <v>0</v>
      </c>
      <c r="HI59" s="33" t="n">
        <v>0</v>
      </c>
      <c r="HJ59" s="33" t="n">
        <v>0</v>
      </c>
      <c r="HK59" s="33" t="n">
        <v>0</v>
      </c>
      <c r="HL59" s="33" t="n">
        <v>0</v>
      </c>
      <c r="HM59" s="33" t="n">
        <v>0</v>
      </c>
      <c r="HN59" s="33" t="n">
        <v>0</v>
      </c>
      <c r="HO59" s="33" t="n">
        <v>0</v>
      </c>
      <c r="HP59" s="33" t="n">
        <v>0</v>
      </c>
      <c r="HQ59" s="33" t="n">
        <v>0</v>
      </c>
      <c r="HR59" s="33" t="n">
        <v>0</v>
      </c>
      <c r="HS59" s="33" t="n">
        <v>0</v>
      </c>
      <c r="HT59" s="33" t="n">
        <v>0</v>
      </c>
      <c r="HU59" s="33" t="n">
        <v>0</v>
      </c>
      <c r="HV59" s="33" t="n">
        <v>0</v>
      </c>
      <c r="HW59" s="33" t="n">
        <v>0</v>
      </c>
      <c r="HX59" s="33" t="n">
        <v>0</v>
      </c>
      <c r="HY59" s="33" t="n">
        <v>0</v>
      </c>
      <c r="HZ59" s="33" t="n">
        <v>0</v>
      </c>
      <c r="IA59" s="33" t="n">
        <v>0</v>
      </c>
      <c r="IB59" s="33" t="n">
        <v>0</v>
      </c>
      <c r="IC59" s="33" t="n">
        <v>0</v>
      </c>
      <c r="ID59" s="33" t="n">
        <v>0</v>
      </c>
      <c r="IE59" s="33" t="n">
        <v>0</v>
      </c>
      <c r="IF59" s="33" t="n">
        <v>0</v>
      </c>
      <c r="IG59" s="33" t="n">
        <v>0</v>
      </c>
      <c r="IH59" s="33" t="n">
        <v>0</v>
      </c>
      <c r="II59" s="33" t="n">
        <v>0</v>
      </c>
      <c r="IJ59" s="33" t="n">
        <v>0</v>
      </c>
      <c r="IK59" s="33" t="n">
        <v>0</v>
      </c>
      <c r="IL59" s="33" t="n">
        <v>0</v>
      </c>
      <c r="IM59" s="33" t="n">
        <v>0</v>
      </c>
      <c r="IN59" s="33" t="n">
        <v>0</v>
      </c>
      <c r="IO59" s="33" t="n">
        <v>0</v>
      </c>
      <c r="IP59" s="33" t="n">
        <v>0</v>
      </c>
      <c r="IQ59" s="33" t="n">
        <v>0</v>
      </c>
      <c r="IR59" s="33" t="n">
        <v>0</v>
      </c>
      <c r="IS59" s="33" t="n">
        <v>0</v>
      </c>
      <c r="IT59" s="33" t="n">
        <v>0</v>
      </c>
      <c r="IU59" s="33" t="n">
        <v>0</v>
      </c>
      <c r="IV59" s="33" t="n">
        <v>0</v>
      </c>
      <c r="IW59" s="33" t="n">
        <v>0</v>
      </c>
      <c r="IX59" s="33" t="n">
        <v>0</v>
      </c>
      <c r="IY59" s="33" t="n">
        <v>0</v>
      </c>
      <c r="IZ59" s="33" t="n">
        <v>0</v>
      </c>
      <c r="JA59" s="33" t="n">
        <v>0</v>
      </c>
      <c r="JB59" s="33" t="n">
        <v>0</v>
      </c>
      <c r="JC59" s="33" t="n">
        <v>0</v>
      </c>
      <c r="JD59" s="33" t="n">
        <v>0</v>
      </c>
      <c r="JE59" s="33" t="n">
        <v>0</v>
      </c>
      <c r="JF59" s="33" t="n">
        <v>0</v>
      </c>
      <c r="JG59" s="33" t="n">
        <v>0</v>
      </c>
      <c r="JH59" s="33" t="n">
        <v>0</v>
      </c>
      <c r="JI59" s="33" t="n">
        <v>0</v>
      </c>
      <c r="JJ59" s="33" t="n">
        <v>0</v>
      </c>
      <c r="JK59" s="33" t="n">
        <v>0</v>
      </c>
      <c r="JL59" s="33" t="n">
        <v>0</v>
      </c>
      <c r="JM59" s="33" t="n">
        <v>0</v>
      </c>
      <c r="JN59" s="33" t="n">
        <v>0</v>
      </c>
      <c r="JO59" s="33" t="n">
        <v>0</v>
      </c>
      <c r="JP59" s="33" t="n">
        <v>0</v>
      </c>
      <c r="JQ59" s="33" t="n">
        <v>0</v>
      </c>
      <c r="JR59" s="33" t="n">
        <v>0</v>
      </c>
      <c r="JS59" s="33" t="n">
        <v>0</v>
      </c>
      <c r="JT59" s="33" t="n">
        <v>0</v>
      </c>
      <c r="JU59" s="33" t="n">
        <v>0</v>
      </c>
      <c r="JV59" s="33" t="n">
        <v>0</v>
      </c>
      <c r="JW59" s="33" t="n">
        <v>0</v>
      </c>
      <c r="JX59" s="33" t="n">
        <v>0</v>
      </c>
      <c r="JY59" s="33" t="n">
        <v>0</v>
      </c>
      <c r="JZ59" s="33" t="n">
        <v>0</v>
      </c>
      <c r="KA59" s="33" t="n">
        <v>0</v>
      </c>
      <c r="KB59" s="33" t="n">
        <v>0</v>
      </c>
      <c r="KC59" s="33" t="n">
        <v>0</v>
      </c>
      <c r="KD59" s="33" t="n">
        <v>0</v>
      </c>
      <c r="KE59" s="33" t="n">
        <v>0</v>
      </c>
      <c r="KF59" s="33" t="n">
        <v>0</v>
      </c>
      <c r="KG59" s="33" t="n">
        <v>0</v>
      </c>
      <c r="KH59" s="33" t="n">
        <v>0</v>
      </c>
      <c r="KI59" s="33" t="n">
        <v>0</v>
      </c>
      <c r="KJ59" s="33" t="n">
        <v>0</v>
      </c>
      <c r="KK59" s="33" t="n">
        <v>0</v>
      </c>
      <c r="KL59" s="33" t="n">
        <v>0</v>
      </c>
      <c r="KM59" s="33" t="n">
        <v>0</v>
      </c>
      <c r="KN59" s="33" t="n">
        <v>0</v>
      </c>
      <c r="KO59" s="33" t="n">
        <v>0</v>
      </c>
      <c r="KP59" s="33" t="n">
        <v>0</v>
      </c>
      <c r="KQ59" s="33" t="n">
        <v>0</v>
      </c>
      <c r="KR59" s="33" t="n">
        <v>0</v>
      </c>
      <c r="KS59" s="33" t="n">
        <v>0</v>
      </c>
      <c r="KT59" s="33" t="n">
        <v>0</v>
      </c>
      <c r="KU59" s="33" t="n">
        <v>0</v>
      </c>
      <c r="KV59" s="33" t="n">
        <v>0</v>
      </c>
      <c r="KW59" s="33" t="n">
        <v>0</v>
      </c>
      <c r="KX59" s="33" t="n">
        <v>0</v>
      </c>
      <c r="KY59" s="33" t="n">
        <v>0</v>
      </c>
      <c r="KZ59" s="33" t="n">
        <v>0</v>
      </c>
      <c r="LA59" s="33" t="n">
        <v>0</v>
      </c>
      <c r="LB59" s="33" t="n">
        <v>0</v>
      </c>
      <c r="LC59" s="33" t="n">
        <v>0</v>
      </c>
      <c r="LD59" s="33" t="n">
        <v>0</v>
      </c>
      <c r="LE59" s="33" t="n">
        <v>0</v>
      </c>
      <c r="LF59" s="33" t="n">
        <v>0</v>
      </c>
      <c r="LG59" s="33" t="n">
        <v>0</v>
      </c>
      <c r="LH59" s="33" t="n">
        <v>0</v>
      </c>
      <c r="LI59" s="33" t="n">
        <v>0</v>
      </c>
      <c r="LJ59" s="33" t="n">
        <v>0</v>
      </c>
      <c r="LK59" s="33" t="n">
        <v>0</v>
      </c>
      <c r="LL59" s="33" t="n">
        <v>0</v>
      </c>
      <c r="LM59" s="33" t="n">
        <v>0</v>
      </c>
      <c r="LN59" s="33" t="n">
        <v>0</v>
      </c>
      <c r="LO59" s="33" t="n">
        <v>0</v>
      </c>
      <c r="LP59" s="33" t="n">
        <v>0</v>
      </c>
      <c r="LQ59" s="33" t="n">
        <v>0</v>
      </c>
      <c r="LR59" s="33" t="n">
        <v>0</v>
      </c>
      <c r="LS59" s="33" t="n">
        <v>0</v>
      </c>
      <c r="LT59" s="33" t="n">
        <v>0</v>
      </c>
      <c r="LU59" s="33" t="n">
        <v>0</v>
      </c>
      <c r="LV59" s="33" t="n">
        <v>0</v>
      </c>
      <c r="LW59" s="33" t="n">
        <v>0</v>
      </c>
      <c r="LX59" s="33" t="n">
        <v>0</v>
      </c>
      <c r="LY59" s="33" t="n">
        <v>0</v>
      </c>
      <c r="LZ59" s="33" t="n">
        <v>0</v>
      </c>
      <c r="MA59" s="33" t="n">
        <v>0</v>
      </c>
      <c r="MB59" s="33" t="n">
        <v>0</v>
      </c>
      <c r="MC59" s="33" t="n">
        <v>0</v>
      </c>
      <c r="MD59" s="33" t="n">
        <v>0</v>
      </c>
      <c r="ME59" s="33" t="n">
        <v>0</v>
      </c>
      <c r="MF59" s="33" t="n">
        <v>0</v>
      </c>
      <c r="MG59" s="33" t="n">
        <v>0</v>
      </c>
      <c r="MH59" s="33" t="n">
        <v>0</v>
      </c>
      <c r="MI59" s="33" t="n">
        <v>0</v>
      </c>
      <c r="MJ59" s="33" t="n">
        <v>0</v>
      </c>
      <c r="MK59" s="33" t="n">
        <v>0</v>
      </c>
      <c r="ML59" s="33" t="n">
        <v>0</v>
      </c>
      <c r="MM59" s="33" t="n">
        <v>0</v>
      </c>
      <c r="MN59" s="33" t="n">
        <v>0</v>
      </c>
      <c r="MO59" s="33" t="n">
        <v>0</v>
      </c>
      <c r="MP59" s="33" t="n">
        <v>0</v>
      </c>
      <c r="MQ59" s="33" t="n">
        <v>0</v>
      </c>
      <c r="MR59" s="33" t="n">
        <v>0</v>
      </c>
      <c r="MS59" s="33" t="n">
        <v>0</v>
      </c>
      <c r="MT59" s="33" t="n">
        <v>0</v>
      </c>
      <c r="MU59" s="33" t="n">
        <v>0</v>
      </c>
      <c r="MV59" s="33" t="n">
        <v>0</v>
      </c>
      <c r="MW59" s="33" t="n">
        <v>0</v>
      </c>
      <c r="MX59" s="33" t="n">
        <v>0</v>
      </c>
      <c r="MY59" s="33" t="n">
        <v>0</v>
      </c>
      <c r="MZ59" s="33" t="n">
        <v>0</v>
      </c>
      <c r="NA59" s="33" t="n">
        <v>0</v>
      </c>
      <c r="NB59" s="33" t="n">
        <v>0</v>
      </c>
      <c r="NC59" s="33" t="n">
        <v>0</v>
      </c>
      <c r="ND59" s="33" t="n">
        <v>0</v>
      </c>
      <c r="NE59" s="33" t="n">
        <v>0</v>
      </c>
      <c r="NF59" s="33" t="n">
        <v>0</v>
      </c>
      <c r="NG59" s="33" t="n">
        <v>0</v>
      </c>
      <c r="NH59" s="33" t="n">
        <v>0</v>
      </c>
      <c r="NI59" s="33" t="n">
        <v>0</v>
      </c>
      <c r="NJ59" s="33" t="n">
        <v>0</v>
      </c>
      <c r="NK59" s="33" t="n">
        <v>0</v>
      </c>
      <c r="NL59" s="33" t="n">
        <v>0</v>
      </c>
      <c r="NM59" s="33" t="n">
        <v>0</v>
      </c>
      <c r="NN59" s="33" t="n">
        <v>0</v>
      </c>
      <c r="NO59" s="33" t="n">
        <v>0</v>
      </c>
      <c r="NP59" s="33" t="n">
        <v>0</v>
      </c>
      <c r="NQ59" s="33" t="n">
        <v>0</v>
      </c>
      <c r="NR59" s="33" t="n">
        <v>0</v>
      </c>
      <c r="NS59" s="33" t="n">
        <v>0</v>
      </c>
      <c r="NT59" s="33" t="n">
        <v>0</v>
      </c>
      <c r="NU59" s="33" t="n">
        <v>0</v>
      </c>
      <c r="NV59" s="33" t="n">
        <v>0</v>
      </c>
      <c r="NW59" s="33" t="n">
        <v>0</v>
      </c>
      <c r="NX59" s="33" t="n">
        <v>0</v>
      </c>
      <c r="NY59" s="33" t="n">
        <v>0</v>
      </c>
      <c r="NZ59" s="33" t="n">
        <v>0</v>
      </c>
      <c r="OA59" s="33" t="n">
        <v>0</v>
      </c>
      <c r="OB59" s="33" t="n">
        <v>0</v>
      </c>
      <c r="OC59" s="33" t="n">
        <v>0</v>
      </c>
      <c r="OD59" s="33" t="n">
        <v>0</v>
      </c>
      <c r="OE59" s="33" t="n">
        <v>0</v>
      </c>
      <c r="OF59" s="33" t="n">
        <v>0</v>
      </c>
      <c r="OG59" s="33" t="n">
        <v>0</v>
      </c>
      <c r="OH59" s="33" t="n">
        <v>0</v>
      </c>
      <c r="OI59" s="33" t="n">
        <v>0</v>
      </c>
      <c r="OJ59" s="33" t="n">
        <v>0</v>
      </c>
      <c r="OK59" s="33" t="n">
        <v>0</v>
      </c>
      <c r="OL59" s="33" t="n">
        <v>0</v>
      </c>
      <c r="OM59" s="33" t="n">
        <v>0</v>
      </c>
      <c r="ON59" s="33" t="n">
        <v>0</v>
      </c>
      <c r="OO59" s="33" t="n">
        <v>0</v>
      </c>
      <c r="OP59" s="33" t="n">
        <v>0</v>
      </c>
      <c r="OQ59" s="33" t="n">
        <v>0</v>
      </c>
      <c r="OR59" s="33" t="n">
        <v>0</v>
      </c>
      <c r="OS59" s="33" t="n">
        <v>0</v>
      </c>
      <c r="OT59" s="33" t="n">
        <v>0</v>
      </c>
      <c r="OU59" s="33" t="n">
        <v>0</v>
      </c>
      <c r="OV59" s="33" t="n">
        <v>0</v>
      </c>
      <c r="OW59" s="33" t="n">
        <v>0</v>
      </c>
      <c r="OX59" s="33" t="n">
        <v>0</v>
      </c>
      <c r="OY59" s="33" t="n">
        <v>0</v>
      </c>
      <c r="OZ59" s="33" t="n">
        <v>0</v>
      </c>
      <c r="PA59" s="33" t="n">
        <v>0</v>
      </c>
      <c r="PB59" s="33" t="n">
        <v>0</v>
      </c>
      <c r="PC59" s="33" t="n">
        <v>0</v>
      </c>
      <c r="PD59" s="33" t="n">
        <v>0</v>
      </c>
      <c r="PE59" s="33" t="n">
        <v>0</v>
      </c>
      <c r="PF59" s="33" t="n">
        <v>0</v>
      </c>
      <c r="PG59" s="33" t="n">
        <v>0</v>
      </c>
      <c r="PH59" s="33" t="n">
        <v>0</v>
      </c>
      <c r="PI59" s="33" t="n">
        <v>0</v>
      </c>
      <c r="PJ59" s="33" t="n">
        <v>0</v>
      </c>
      <c r="PK59" s="33" t="n">
        <v>0</v>
      </c>
      <c r="PL59" s="33" t="n">
        <v>0</v>
      </c>
      <c r="PM59" s="33" t="n">
        <v>0</v>
      </c>
      <c r="PN59" s="33" t="n">
        <v>0</v>
      </c>
      <c r="PO59" s="33" t="n">
        <v>0</v>
      </c>
      <c r="PP59" s="33" t="n">
        <v>0</v>
      </c>
      <c r="PQ59" s="33" t="n">
        <v>0</v>
      </c>
      <c r="PR59" s="33" t="n">
        <v>0</v>
      </c>
      <c r="PS59" s="33" t="n">
        <v>0</v>
      </c>
      <c r="PT59" s="33" t="n">
        <v>0</v>
      </c>
      <c r="PU59" s="33" t="n">
        <v>0</v>
      </c>
      <c r="PV59" s="33" t="n">
        <v>0</v>
      </c>
      <c r="PW59" s="33" t="n">
        <v>0</v>
      </c>
      <c r="PX59" s="33" t="n">
        <v>0</v>
      </c>
      <c r="PY59" s="33" t="n">
        <v>0</v>
      </c>
      <c r="PZ59" s="33" t="n">
        <v>0</v>
      </c>
      <c r="QA59" s="33" t="n">
        <v>0</v>
      </c>
      <c r="QB59" s="33" t="n">
        <v>0</v>
      </c>
      <c r="QC59" s="33" t="n">
        <v>0</v>
      </c>
      <c r="QD59" s="33" t="n">
        <v>0</v>
      </c>
      <c r="QE59" s="33" t="n">
        <v>0</v>
      </c>
      <c r="QF59" s="33" t="n">
        <v>0</v>
      </c>
      <c r="QG59" s="33" t="n">
        <v>0</v>
      </c>
      <c r="QH59" s="33" t="n">
        <v>0</v>
      </c>
      <c r="QI59" s="33" t="n">
        <v>0</v>
      </c>
      <c r="QJ59" s="33" t="n">
        <v>0</v>
      </c>
      <c r="QK59" s="33" t="n">
        <v>0</v>
      </c>
      <c r="QL59" s="33" t="n">
        <v>0</v>
      </c>
      <c r="QM59" s="33" t="n">
        <v>0</v>
      </c>
      <c r="QN59" s="33" t="n">
        <v>0</v>
      </c>
      <c r="QO59" s="33" t="n">
        <v>0</v>
      </c>
      <c r="QP59" s="33" t="n">
        <v>0</v>
      </c>
      <c r="QQ59" s="33" t="n">
        <v>0</v>
      </c>
      <c r="QR59" s="33" t="n">
        <v>0</v>
      </c>
      <c r="QS59" s="33" t="n">
        <v>0</v>
      </c>
      <c r="QT59" s="33" t="n">
        <v>0</v>
      </c>
      <c r="QU59" s="33" t="n">
        <v>0</v>
      </c>
      <c r="QV59" s="33" t="n">
        <v>0</v>
      </c>
      <c r="QW59" s="33" t="n">
        <v>0</v>
      </c>
      <c r="QX59" s="33" t="n">
        <v>0</v>
      </c>
      <c r="QY59" s="33" t="n">
        <v>0</v>
      </c>
      <c r="QZ59" s="33" t="n">
        <v>0</v>
      </c>
      <c r="RA59" s="33" t="n">
        <v>0</v>
      </c>
      <c r="RB59" s="33" t="n">
        <v>0</v>
      </c>
      <c r="RC59" s="33" t="n">
        <v>0</v>
      </c>
      <c r="RD59" s="33" t="n">
        <v>0</v>
      </c>
      <c r="RE59" s="33" t="n">
        <v>0</v>
      </c>
      <c r="RF59" s="33" t="n">
        <v>0</v>
      </c>
      <c r="RG59" s="33" t="n">
        <v>0</v>
      </c>
      <c r="RH59" s="33" t="n">
        <v>0</v>
      </c>
      <c r="RI59" s="33" t="n">
        <v>0</v>
      </c>
      <c r="RJ59" s="33" t="n">
        <v>0</v>
      </c>
      <c r="RK59" s="33" t="n">
        <v>0</v>
      </c>
      <c r="RL59" s="33" t="n">
        <v>0</v>
      </c>
      <c r="RM59" s="33" t="n">
        <v>0</v>
      </c>
      <c r="RN59" s="33" t="n">
        <v>0</v>
      </c>
      <c r="RO59" s="33" t="n">
        <v>0</v>
      </c>
      <c r="RP59" s="33" t="n">
        <v>0</v>
      </c>
      <c r="RQ59" s="33" t="n">
        <v>0</v>
      </c>
      <c r="RR59" s="33" t="n">
        <v>0</v>
      </c>
      <c r="RS59" s="33" t="n">
        <v>0</v>
      </c>
      <c r="RT59" s="33" t="n">
        <v>0</v>
      </c>
      <c r="RU59" s="33" t="n">
        <v>0</v>
      </c>
      <c r="RV59" s="33" t="n">
        <v>0</v>
      </c>
      <c r="RW59" s="33" t="n">
        <v>0</v>
      </c>
    </row>
    <row r="60" hidden="1" outlineLevel="1" ht="13.05" customHeight="1">
      <c r="E60" s="21" t="inlineStr">
        <is>
          <t>VTA Capacity Shortfall Compensation</t>
        </is>
      </c>
      <c r="F60" s="29" t="n"/>
      <c r="G60" s="29" t="inlineStr">
        <is>
          <t>kEUR</t>
        </is>
      </c>
      <c r="H60" s="29" t="n"/>
      <c r="I60" s="29" t="n"/>
      <c r="J60" s="32" t="n">
        <v>0</v>
      </c>
      <c r="K60" s="29" t="n"/>
      <c r="L60" s="33" t="n">
        <v>0</v>
      </c>
      <c r="M60" s="33" t="n">
        <v>0</v>
      </c>
      <c r="N60" s="33" t="n">
        <v>0</v>
      </c>
      <c r="O60" s="33" t="n">
        <v>0</v>
      </c>
      <c r="P60" s="33" t="n">
        <v>0</v>
      </c>
      <c r="Q60" s="33" t="n">
        <v>0</v>
      </c>
      <c r="R60" s="33" t="n">
        <v>0</v>
      </c>
      <c r="S60" s="33" t="n">
        <v>0</v>
      </c>
      <c r="T60" s="33" t="n">
        <v>0</v>
      </c>
      <c r="U60" s="33" t="n">
        <v>0</v>
      </c>
      <c r="V60" s="33" t="n">
        <v>0</v>
      </c>
      <c r="W60" s="33" t="n">
        <v>0</v>
      </c>
      <c r="X60" s="33" t="n">
        <v>0</v>
      </c>
      <c r="Y60" s="33" t="n">
        <v>0</v>
      </c>
      <c r="Z60" s="33" t="n">
        <v>0</v>
      </c>
      <c r="AA60" s="33" t="n">
        <v>0</v>
      </c>
      <c r="AB60" s="33" t="n">
        <v>0</v>
      </c>
      <c r="AC60" s="33" t="n">
        <v>0</v>
      </c>
      <c r="AD60" s="33" t="n">
        <v>0</v>
      </c>
      <c r="AE60" s="33" t="n">
        <v>0</v>
      </c>
      <c r="AF60" s="33" t="n">
        <v>0</v>
      </c>
      <c r="AG60" s="33" t="n">
        <v>0</v>
      </c>
      <c r="AH60" s="33" t="n">
        <v>0</v>
      </c>
      <c r="AI60" s="33" t="n">
        <v>0</v>
      </c>
      <c r="AJ60" s="33" t="n">
        <v>0</v>
      </c>
      <c r="AK60" s="33" t="n">
        <v>0</v>
      </c>
      <c r="AL60" s="33" t="n">
        <v>0</v>
      </c>
      <c r="AM60" s="33" t="n">
        <v>0</v>
      </c>
      <c r="AN60" s="33" t="n">
        <v>0</v>
      </c>
      <c r="AO60" s="33" t="n">
        <v>0</v>
      </c>
      <c r="AP60" s="33" t="n">
        <v>0</v>
      </c>
      <c r="AQ60" s="33" t="n">
        <v>0</v>
      </c>
      <c r="AR60" s="33" t="n">
        <v>0</v>
      </c>
      <c r="AS60" s="33" t="n">
        <v>0</v>
      </c>
      <c r="AT60" s="33" t="n">
        <v>0</v>
      </c>
      <c r="AU60" s="33" t="n">
        <v>0</v>
      </c>
      <c r="AV60" s="33" t="n">
        <v>0</v>
      </c>
      <c r="AW60" s="33" t="n">
        <v>0</v>
      </c>
      <c r="AX60" s="33" t="n">
        <v>0</v>
      </c>
      <c r="AY60" s="33" t="n">
        <v>0</v>
      </c>
      <c r="AZ60" s="33" t="n">
        <v>0</v>
      </c>
      <c r="BA60" s="33" t="n">
        <v>0</v>
      </c>
      <c r="BB60" s="33" t="n">
        <v>0</v>
      </c>
      <c r="BC60" s="33" t="n">
        <v>0</v>
      </c>
      <c r="BD60" s="33" t="n">
        <v>0</v>
      </c>
      <c r="BE60" s="33" t="n">
        <v>0</v>
      </c>
      <c r="BF60" s="33" t="n">
        <v>0</v>
      </c>
      <c r="BG60" s="33" t="n">
        <v>0</v>
      </c>
      <c r="BH60" s="33" t="n">
        <v>0</v>
      </c>
      <c r="BI60" s="33" t="n">
        <v>0</v>
      </c>
      <c r="BJ60" s="33" t="n">
        <v>0</v>
      </c>
      <c r="BK60" s="33" t="n">
        <v>0</v>
      </c>
      <c r="BL60" s="33" t="n">
        <v>0</v>
      </c>
      <c r="BM60" s="33" t="n">
        <v>0</v>
      </c>
      <c r="BN60" s="33" t="n">
        <v>0</v>
      </c>
      <c r="BO60" s="33" t="n">
        <v>0</v>
      </c>
      <c r="BP60" s="33" t="n">
        <v>0</v>
      </c>
      <c r="BQ60" s="33" t="n">
        <v>0</v>
      </c>
      <c r="BR60" s="33" t="n">
        <v>0</v>
      </c>
      <c r="BS60" s="33" t="n">
        <v>0</v>
      </c>
      <c r="BT60" s="33" t="n">
        <v>0</v>
      </c>
      <c r="BU60" s="33" t="n">
        <v>0</v>
      </c>
      <c r="BV60" s="33" t="n">
        <v>0</v>
      </c>
      <c r="BW60" s="33" t="n">
        <v>0</v>
      </c>
      <c r="BX60" s="33" t="n">
        <v>0</v>
      </c>
      <c r="BY60" s="33" t="n">
        <v>0</v>
      </c>
      <c r="BZ60" s="33" t="n">
        <v>0</v>
      </c>
      <c r="CA60" s="33" t="n">
        <v>0</v>
      </c>
      <c r="CB60" s="33" t="n">
        <v>0</v>
      </c>
      <c r="CC60" s="33" t="n">
        <v>0</v>
      </c>
      <c r="CD60" s="33" t="n">
        <v>0</v>
      </c>
      <c r="CE60" s="33" t="n">
        <v>0</v>
      </c>
      <c r="CF60" s="33" t="n">
        <v>0</v>
      </c>
      <c r="CG60" s="33" t="n">
        <v>0</v>
      </c>
      <c r="CH60" s="33" t="n">
        <v>0</v>
      </c>
      <c r="CI60" s="33" t="n">
        <v>0</v>
      </c>
      <c r="CJ60" s="33" t="n">
        <v>0</v>
      </c>
      <c r="CK60" s="33" t="n">
        <v>0</v>
      </c>
      <c r="CL60" s="33" t="n">
        <v>0</v>
      </c>
      <c r="CM60" s="33" t="n">
        <v>0</v>
      </c>
      <c r="CN60" s="33" t="n">
        <v>0</v>
      </c>
      <c r="CO60" s="33" t="n">
        <v>0</v>
      </c>
      <c r="CP60" s="33" t="n">
        <v>0</v>
      </c>
      <c r="CQ60" s="33" t="n">
        <v>0</v>
      </c>
      <c r="CR60" s="33" t="n">
        <v>0</v>
      </c>
      <c r="CS60" s="33" t="n">
        <v>0</v>
      </c>
      <c r="CT60" s="33" t="n">
        <v>0</v>
      </c>
      <c r="CU60" s="33" t="n">
        <v>0</v>
      </c>
      <c r="CV60" s="33" t="n">
        <v>0</v>
      </c>
      <c r="CW60" s="33" t="n">
        <v>0</v>
      </c>
      <c r="CX60" s="33" t="n">
        <v>0</v>
      </c>
      <c r="CY60" s="33" t="n">
        <v>0</v>
      </c>
      <c r="CZ60" s="33" t="n">
        <v>0</v>
      </c>
      <c r="DA60" s="33" t="n">
        <v>0</v>
      </c>
      <c r="DB60" s="33" t="n">
        <v>0</v>
      </c>
      <c r="DC60" s="33" t="n">
        <v>0</v>
      </c>
      <c r="DD60" s="33" t="n">
        <v>0</v>
      </c>
      <c r="DE60" s="33" t="n">
        <v>0</v>
      </c>
      <c r="DF60" s="33" t="n">
        <v>0</v>
      </c>
      <c r="DG60" s="33" t="n">
        <v>0</v>
      </c>
      <c r="DH60" s="33" t="n">
        <v>0</v>
      </c>
      <c r="DI60" s="33" t="n">
        <v>0</v>
      </c>
      <c r="DJ60" s="33" t="n">
        <v>0</v>
      </c>
      <c r="DK60" s="33" t="n">
        <v>0</v>
      </c>
      <c r="DL60" s="33" t="n">
        <v>0</v>
      </c>
      <c r="DM60" s="33" t="n">
        <v>0</v>
      </c>
      <c r="DN60" s="33" t="n">
        <v>0</v>
      </c>
      <c r="DO60" s="33" t="n">
        <v>0</v>
      </c>
      <c r="DP60" s="33" t="n">
        <v>0</v>
      </c>
      <c r="DQ60" s="33" t="n">
        <v>0</v>
      </c>
      <c r="DR60" s="33" t="n">
        <v>0</v>
      </c>
      <c r="DS60" s="33" t="n">
        <v>0</v>
      </c>
      <c r="DT60" s="33" t="n">
        <v>0</v>
      </c>
      <c r="DU60" s="33" t="n">
        <v>0</v>
      </c>
      <c r="DV60" s="33" t="n">
        <v>0</v>
      </c>
      <c r="DW60" s="33" t="n">
        <v>0</v>
      </c>
      <c r="DX60" s="33" t="n">
        <v>0</v>
      </c>
      <c r="DY60" s="33" t="n">
        <v>0</v>
      </c>
      <c r="DZ60" s="33" t="n">
        <v>0</v>
      </c>
      <c r="EA60" s="33" t="n">
        <v>0</v>
      </c>
      <c r="EB60" s="33" t="n">
        <v>0</v>
      </c>
      <c r="EC60" s="33" t="n">
        <v>0</v>
      </c>
      <c r="ED60" s="33" t="n">
        <v>0</v>
      </c>
      <c r="EE60" s="33" t="n">
        <v>0</v>
      </c>
      <c r="EF60" s="33" t="n">
        <v>0</v>
      </c>
      <c r="EG60" s="33" t="n">
        <v>0</v>
      </c>
      <c r="EH60" s="33" t="n">
        <v>0</v>
      </c>
      <c r="EI60" s="33" t="n">
        <v>0</v>
      </c>
      <c r="EJ60" s="33" t="n">
        <v>0</v>
      </c>
      <c r="EK60" s="33" t="n">
        <v>0</v>
      </c>
      <c r="EL60" s="33" t="n">
        <v>0</v>
      </c>
      <c r="EM60" s="33" t="n">
        <v>0</v>
      </c>
      <c r="EN60" s="33" t="n">
        <v>0</v>
      </c>
      <c r="EO60" s="33" t="n">
        <v>0</v>
      </c>
      <c r="EP60" s="33" t="n">
        <v>0</v>
      </c>
      <c r="EQ60" s="33" t="n">
        <v>0</v>
      </c>
      <c r="ER60" s="33" t="n">
        <v>0</v>
      </c>
      <c r="ES60" s="33" t="n">
        <v>0</v>
      </c>
      <c r="ET60" s="33" t="n">
        <v>0</v>
      </c>
      <c r="EU60" s="33" t="n">
        <v>0</v>
      </c>
      <c r="EV60" s="33" t="n">
        <v>0</v>
      </c>
      <c r="EW60" s="33" t="n">
        <v>0</v>
      </c>
      <c r="EX60" s="33" t="n">
        <v>0</v>
      </c>
      <c r="EY60" s="33" t="n">
        <v>0</v>
      </c>
      <c r="EZ60" s="33" t="n">
        <v>0</v>
      </c>
      <c r="FA60" s="33" t="n">
        <v>0</v>
      </c>
      <c r="FB60" s="33" t="n">
        <v>0</v>
      </c>
      <c r="FC60" s="33" t="n">
        <v>0</v>
      </c>
      <c r="FD60" s="33" t="n">
        <v>0</v>
      </c>
      <c r="FE60" s="33" t="n">
        <v>0</v>
      </c>
      <c r="FF60" s="33" t="n">
        <v>0</v>
      </c>
      <c r="FG60" s="33" t="n">
        <v>0</v>
      </c>
      <c r="FH60" s="33" t="n">
        <v>0</v>
      </c>
      <c r="FI60" s="33" t="n">
        <v>0</v>
      </c>
      <c r="FJ60" s="33" t="n">
        <v>0</v>
      </c>
      <c r="FK60" s="33" t="n">
        <v>0</v>
      </c>
      <c r="FL60" s="33" t="n">
        <v>0</v>
      </c>
      <c r="FM60" s="33" t="n">
        <v>0</v>
      </c>
      <c r="FN60" s="33" t="n">
        <v>0</v>
      </c>
      <c r="FO60" s="33" t="n">
        <v>0</v>
      </c>
      <c r="FP60" s="33" t="n">
        <v>0</v>
      </c>
      <c r="FQ60" s="33" t="n">
        <v>0</v>
      </c>
      <c r="FR60" s="33" t="n">
        <v>0</v>
      </c>
      <c r="FS60" s="33" t="n">
        <v>0</v>
      </c>
      <c r="FT60" s="33" t="n">
        <v>0</v>
      </c>
      <c r="FU60" s="33" t="n">
        <v>0</v>
      </c>
      <c r="FV60" s="33" t="n">
        <v>0</v>
      </c>
      <c r="FW60" s="33" t="n">
        <v>0</v>
      </c>
      <c r="FX60" s="33" t="n">
        <v>0</v>
      </c>
      <c r="FY60" s="33" t="n">
        <v>0</v>
      </c>
      <c r="FZ60" s="33" t="n">
        <v>0</v>
      </c>
      <c r="GA60" s="33" t="n">
        <v>0</v>
      </c>
      <c r="GB60" s="33" t="n">
        <v>0</v>
      </c>
      <c r="GC60" s="33" t="n">
        <v>0</v>
      </c>
      <c r="GD60" s="33" t="n">
        <v>0</v>
      </c>
      <c r="GE60" s="33" t="n">
        <v>0</v>
      </c>
      <c r="GF60" s="33" t="n">
        <v>0</v>
      </c>
      <c r="GG60" s="33" t="n">
        <v>0</v>
      </c>
      <c r="GH60" s="33" t="n">
        <v>0</v>
      </c>
      <c r="GI60" s="33" t="n">
        <v>0</v>
      </c>
      <c r="GJ60" s="33" t="n">
        <v>0</v>
      </c>
      <c r="GK60" s="33" t="n">
        <v>0</v>
      </c>
      <c r="GL60" s="33" t="n">
        <v>0</v>
      </c>
      <c r="GM60" s="33" t="n">
        <v>0</v>
      </c>
      <c r="GN60" s="33" t="n">
        <v>0</v>
      </c>
      <c r="GO60" s="33" t="n">
        <v>0</v>
      </c>
      <c r="GP60" s="33" t="n">
        <v>0</v>
      </c>
      <c r="GQ60" s="33" t="n">
        <v>0</v>
      </c>
      <c r="GR60" s="33" t="n">
        <v>0</v>
      </c>
      <c r="GS60" s="33" t="n">
        <v>0</v>
      </c>
      <c r="GT60" s="33" t="n">
        <v>0</v>
      </c>
      <c r="GU60" s="33" t="n">
        <v>0</v>
      </c>
      <c r="GV60" s="33" t="n">
        <v>0</v>
      </c>
      <c r="GW60" s="33" t="n">
        <v>0</v>
      </c>
      <c r="GX60" s="33" t="n">
        <v>0</v>
      </c>
      <c r="GY60" s="33" t="n">
        <v>0</v>
      </c>
      <c r="GZ60" s="33" t="n">
        <v>0</v>
      </c>
      <c r="HA60" s="33" t="n">
        <v>0</v>
      </c>
      <c r="HB60" s="33" t="n">
        <v>0</v>
      </c>
      <c r="HC60" s="33" t="n">
        <v>0</v>
      </c>
      <c r="HD60" s="33" t="n">
        <v>0</v>
      </c>
      <c r="HE60" s="33" t="n">
        <v>0</v>
      </c>
      <c r="HF60" s="33" t="n">
        <v>0</v>
      </c>
      <c r="HG60" s="33" t="n">
        <v>0</v>
      </c>
      <c r="HH60" s="33" t="n">
        <v>0</v>
      </c>
      <c r="HI60" s="33" t="n">
        <v>0</v>
      </c>
      <c r="HJ60" s="33" t="n">
        <v>0</v>
      </c>
      <c r="HK60" s="33" t="n">
        <v>0</v>
      </c>
      <c r="HL60" s="33" t="n">
        <v>0</v>
      </c>
      <c r="HM60" s="33" t="n">
        <v>0</v>
      </c>
      <c r="HN60" s="33" t="n">
        <v>0</v>
      </c>
      <c r="HO60" s="33" t="n">
        <v>0</v>
      </c>
      <c r="HP60" s="33" t="n">
        <v>0</v>
      </c>
      <c r="HQ60" s="33" t="n">
        <v>0</v>
      </c>
      <c r="HR60" s="33" t="n">
        <v>0</v>
      </c>
      <c r="HS60" s="33" t="n">
        <v>0</v>
      </c>
      <c r="HT60" s="33" t="n">
        <v>0</v>
      </c>
      <c r="HU60" s="33" t="n">
        <v>0</v>
      </c>
      <c r="HV60" s="33" t="n">
        <v>0</v>
      </c>
      <c r="HW60" s="33" t="n">
        <v>0</v>
      </c>
      <c r="HX60" s="33" t="n">
        <v>0</v>
      </c>
      <c r="HY60" s="33" t="n">
        <v>0</v>
      </c>
      <c r="HZ60" s="33" t="n">
        <v>0</v>
      </c>
      <c r="IA60" s="33" t="n">
        <v>0</v>
      </c>
      <c r="IB60" s="33" t="n">
        <v>0</v>
      </c>
      <c r="IC60" s="33" t="n">
        <v>0</v>
      </c>
      <c r="ID60" s="33" t="n">
        <v>0</v>
      </c>
      <c r="IE60" s="33" t="n">
        <v>0</v>
      </c>
      <c r="IF60" s="33" t="n">
        <v>0</v>
      </c>
      <c r="IG60" s="33" t="n">
        <v>0</v>
      </c>
      <c r="IH60" s="33" t="n">
        <v>0</v>
      </c>
      <c r="II60" s="33" t="n">
        <v>0</v>
      </c>
      <c r="IJ60" s="33" t="n">
        <v>0</v>
      </c>
      <c r="IK60" s="33" t="n">
        <v>0</v>
      </c>
      <c r="IL60" s="33" t="n">
        <v>0</v>
      </c>
      <c r="IM60" s="33" t="n">
        <v>0</v>
      </c>
      <c r="IN60" s="33" t="n">
        <v>0</v>
      </c>
      <c r="IO60" s="33" t="n">
        <v>0</v>
      </c>
      <c r="IP60" s="33" t="n">
        <v>0</v>
      </c>
      <c r="IQ60" s="33" t="n">
        <v>0</v>
      </c>
      <c r="IR60" s="33" t="n">
        <v>0</v>
      </c>
      <c r="IS60" s="33" t="n">
        <v>0</v>
      </c>
      <c r="IT60" s="33" t="n">
        <v>0</v>
      </c>
      <c r="IU60" s="33" t="n">
        <v>0</v>
      </c>
      <c r="IV60" s="33" t="n">
        <v>0</v>
      </c>
      <c r="IW60" s="33" t="n">
        <v>0</v>
      </c>
      <c r="IX60" s="33" t="n">
        <v>0</v>
      </c>
      <c r="IY60" s="33" t="n">
        <v>0</v>
      </c>
      <c r="IZ60" s="33" t="n">
        <v>0</v>
      </c>
      <c r="JA60" s="33" t="n">
        <v>0</v>
      </c>
      <c r="JB60" s="33" t="n">
        <v>0</v>
      </c>
      <c r="JC60" s="33" t="n">
        <v>0</v>
      </c>
      <c r="JD60" s="33" t="n">
        <v>0</v>
      </c>
      <c r="JE60" s="33" t="n">
        <v>0</v>
      </c>
      <c r="JF60" s="33" t="n">
        <v>0</v>
      </c>
      <c r="JG60" s="33" t="n">
        <v>0</v>
      </c>
      <c r="JH60" s="33" t="n">
        <v>0</v>
      </c>
      <c r="JI60" s="33" t="n">
        <v>0</v>
      </c>
      <c r="JJ60" s="33" t="n">
        <v>0</v>
      </c>
      <c r="JK60" s="33" t="n">
        <v>0</v>
      </c>
      <c r="JL60" s="33" t="n">
        <v>0</v>
      </c>
      <c r="JM60" s="33" t="n">
        <v>0</v>
      </c>
      <c r="JN60" s="33" t="n">
        <v>0</v>
      </c>
      <c r="JO60" s="33" t="n">
        <v>0</v>
      </c>
      <c r="JP60" s="33" t="n">
        <v>0</v>
      </c>
      <c r="JQ60" s="33" t="n">
        <v>0</v>
      </c>
      <c r="JR60" s="33" t="n">
        <v>0</v>
      </c>
      <c r="JS60" s="33" t="n">
        <v>0</v>
      </c>
      <c r="JT60" s="33" t="n">
        <v>0</v>
      </c>
      <c r="JU60" s="33" t="n">
        <v>0</v>
      </c>
      <c r="JV60" s="33" t="n">
        <v>0</v>
      </c>
      <c r="JW60" s="33" t="n">
        <v>0</v>
      </c>
      <c r="JX60" s="33" t="n">
        <v>0</v>
      </c>
      <c r="JY60" s="33" t="n">
        <v>0</v>
      </c>
      <c r="JZ60" s="33" t="n">
        <v>0</v>
      </c>
      <c r="KA60" s="33" t="n">
        <v>0</v>
      </c>
      <c r="KB60" s="33" t="n">
        <v>0</v>
      </c>
      <c r="KC60" s="33" t="n">
        <v>0</v>
      </c>
      <c r="KD60" s="33" t="n">
        <v>0</v>
      </c>
      <c r="KE60" s="33" t="n">
        <v>0</v>
      </c>
      <c r="KF60" s="33" t="n">
        <v>0</v>
      </c>
      <c r="KG60" s="33" t="n">
        <v>0</v>
      </c>
      <c r="KH60" s="33" t="n">
        <v>0</v>
      </c>
      <c r="KI60" s="33" t="n">
        <v>0</v>
      </c>
      <c r="KJ60" s="33" t="n">
        <v>0</v>
      </c>
      <c r="KK60" s="33" t="n">
        <v>0</v>
      </c>
      <c r="KL60" s="33" t="n">
        <v>0</v>
      </c>
      <c r="KM60" s="33" t="n">
        <v>0</v>
      </c>
      <c r="KN60" s="33" t="n">
        <v>0</v>
      </c>
      <c r="KO60" s="33" t="n">
        <v>0</v>
      </c>
      <c r="KP60" s="33" t="n">
        <v>0</v>
      </c>
      <c r="KQ60" s="33" t="n">
        <v>0</v>
      </c>
      <c r="KR60" s="33" t="n">
        <v>0</v>
      </c>
      <c r="KS60" s="33" t="n">
        <v>0</v>
      </c>
      <c r="KT60" s="33" t="n">
        <v>0</v>
      </c>
      <c r="KU60" s="33" t="n">
        <v>0</v>
      </c>
      <c r="KV60" s="33" t="n">
        <v>0</v>
      </c>
      <c r="KW60" s="33" t="n">
        <v>0</v>
      </c>
      <c r="KX60" s="33" t="n">
        <v>0</v>
      </c>
      <c r="KY60" s="33" t="n">
        <v>0</v>
      </c>
      <c r="KZ60" s="33" t="n">
        <v>0</v>
      </c>
      <c r="LA60" s="33" t="n">
        <v>0</v>
      </c>
      <c r="LB60" s="33" t="n">
        <v>0</v>
      </c>
      <c r="LC60" s="33" t="n">
        <v>0</v>
      </c>
      <c r="LD60" s="33" t="n">
        <v>0</v>
      </c>
      <c r="LE60" s="33" t="n">
        <v>0</v>
      </c>
      <c r="LF60" s="33" t="n">
        <v>0</v>
      </c>
      <c r="LG60" s="33" t="n">
        <v>0</v>
      </c>
      <c r="LH60" s="33" t="n">
        <v>0</v>
      </c>
      <c r="LI60" s="33" t="n">
        <v>0</v>
      </c>
      <c r="LJ60" s="33" t="n">
        <v>0</v>
      </c>
      <c r="LK60" s="33" t="n">
        <v>0</v>
      </c>
      <c r="LL60" s="33" t="n">
        <v>0</v>
      </c>
      <c r="LM60" s="33" t="n">
        <v>0</v>
      </c>
      <c r="LN60" s="33" t="n">
        <v>0</v>
      </c>
      <c r="LO60" s="33" t="n">
        <v>0</v>
      </c>
      <c r="LP60" s="33" t="n">
        <v>0</v>
      </c>
      <c r="LQ60" s="33" t="n">
        <v>0</v>
      </c>
      <c r="LR60" s="33" t="n">
        <v>0</v>
      </c>
      <c r="LS60" s="33" t="n">
        <v>0</v>
      </c>
      <c r="LT60" s="33" t="n">
        <v>0</v>
      </c>
      <c r="LU60" s="33" t="n">
        <v>0</v>
      </c>
      <c r="LV60" s="33" t="n">
        <v>0</v>
      </c>
      <c r="LW60" s="33" t="n">
        <v>0</v>
      </c>
      <c r="LX60" s="33" t="n">
        <v>0</v>
      </c>
      <c r="LY60" s="33" t="n">
        <v>0</v>
      </c>
      <c r="LZ60" s="33" t="n">
        <v>0</v>
      </c>
      <c r="MA60" s="33" t="n">
        <v>0</v>
      </c>
      <c r="MB60" s="33" t="n">
        <v>0</v>
      </c>
      <c r="MC60" s="33" t="n">
        <v>0</v>
      </c>
      <c r="MD60" s="33" t="n">
        <v>0</v>
      </c>
      <c r="ME60" s="33" t="n">
        <v>0</v>
      </c>
      <c r="MF60" s="33" t="n">
        <v>0</v>
      </c>
      <c r="MG60" s="33" t="n">
        <v>0</v>
      </c>
      <c r="MH60" s="33" t="n">
        <v>0</v>
      </c>
      <c r="MI60" s="33" t="n">
        <v>0</v>
      </c>
      <c r="MJ60" s="33" t="n">
        <v>0</v>
      </c>
      <c r="MK60" s="33" t="n">
        <v>0</v>
      </c>
      <c r="ML60" s="33" t="n">
        <v>0</v>
      </c>
      <c r="MM60" s="33" t="n">
        <v>0</v>
      </c>
      <c r="MN60" s="33" t="n">
        <v>0</v>
      </c>
      <c r="MO60" s="33" t="n">
        <v>0</v>
      </c>
      <c r="MP60" s="33" t="n">
        <v>0</v>
      </c>
      <c r="MQ60" s="33" t="n">
        <v>0</v>
      </c>
      <c r="MR60" s="33" t="n">
        <v>0</v>
      </c>
      <c r="MS60" s="33" t="n">
        <v>0</v>
      </c>
      <c r="MT60" s="33" t="n">
        <v>0</v>
      </c>
      <c r="MU60" s="33" t="n">
        <v>0</v>
      </c>
      <c r="MV60" s="33" t="n">
        <v>0</v>
      </c>
      <c r="MW60" s="33" t="n">
        <v>0</v>
      </c>
      <c r="MX60" s="33" t="n">
        <v>0</v>
      </c>
      <c r="MY60" s="33" t="n">
        <v>0</v>
      </c>
      <c r="MZ60" s="33" t="n">
        <v>0</v>
      </c>
      <c r="NA60" s="33" t="n">
        <v>0</v>
      </c>
      <c r="NB60" s="33" t="n">
        <v>0</v>
      </c>
      <c r="NC60" s="33" t="n">
        <v>0</v>
      </c>
      <c r="ND60" s="33" t="n">
        <v>0</v>
      </c>
      <c r="NE60" s="33" t="n">
        <v>0</v>
      </c>
      <c r="NF60" s="33" t="n">
        <v>0</v>
      </c>
      <c r="NG60" s="33" t="n">
        <v>0</v>
      </c>
      <c r="NH60" s="33" t="n">
        <v>0</v>
      </c>
      <c r="NI60" s="33" t="n">
        <v>0</v>
      </c>
      <c r="NJ60" s="33" t="n">
        <v>0</v>
      </c>
      <c r="NK60" s="33" t="n">
        <v>0</v>
      </c>
      <c r="NL60" s="33" t="n">
        <v>0</v>
      </c>
      <c r="NM60" s="33" t="n">
        <v>0</v>
      </c>
      <c r="NN60" s="33" t="n">
        <v>0</v>
      </c>
      <c r="NO60" s="33" t="n">
        <v>0</v>
      </c>
      <c r="NP60" s="33" t="n">
        <v>0</v>
      </c>
      <c r="NQ60" s="33" t="n">
        <v>0</v>
      </c>
      <c r="NR60" s="33" t="n">
        <v>0</v>
      </c>
      <c r="NS60" s="33" t="n">
        <v>0</v>
      </c>
      <c r="NT60" s="33" t="n">
        <v>0</v>
      </c>
      <c r="NU60" s="33" t="n">
        <v>0</v>
      </c>
      <c r="NV60" s="33" t="n">
        <v>0</v>
      </c>
      <c r="NW60" s="33" t="n">
        <v>0</v>
      </c>
      <c r="NX60" s="33" t="n">
        <v>0</v>
      </c>
      <c r="NY60" s="33" t="n">
        <v>0</v>
      </c>
      <c r="NZ60" s="33" t="n">
        <v>0</v>
      </c>
      <c r="OA60" s="33" t="n">
        <v>0</v>
      </c>
      <c r="OB60" s="33" t="n">
        <v>0</v>
      </c>
      <c r="OC60" s="33" t="n">
        <v>0</v>
      </c>
      <c r="OD60" s="33" t="n">
        <v>0</v>
      </c>
      <c r="OE60" s="33" t="n">
        <v>0</v>
      </c>
      <c r="OF60" s="33" t="n">
        <v>0</v>
      </c>
      <c r="OG60" s="33" t="n">
        <v>0</v>
      </c>
      <c r="OH60" s="33" t="n">
        <v>0</v>
      </c>
      <c r="OI60" s="33" t="n">
        <v>0</v>
      </c>
      <c r="OJ60" s="33" t="n">
        <v>0</v>
      </c>
      <c r="OK60" s="33" t="n">
        <v>0</v>
      </c>
      <c r="OL60" s="33" t="n">
        <v>0</v>
      </c>
      <c r="OM60" s="33" t="n">
        <v>0</v>
      </c>
      <c r="ON60" s="33" t="n">
        <v>0</v>
      </c>
      <c r="OO60" s="33" t="n">
        <v>0</v>
      </c>
      <c r="OP60" s="33" t="n">
        <v>0</v>
      </c>
      <c r="OQ60" s="33" t="n">
        <v>0</v>
      </c>
      <c r="OR60" s="33" t="n">
        <v>0</v>
      </c>
      <c r="OS60" s="33" t="n">
        <v>0</v>
      </c>
      <c r="OT60" s="33" t="n">
        <v>0</v>
      </c>
      <c r="OU60" s="33" t="n">
        <v>0</v>
      </c>
      <c r="OV60" s="33" t="n">
        <v>0</v>
      </c>
      <c r="OW60" s="33" t="n">
        <v>0</v>
      </c>
      <c r="OX60" s="33" t="n">
        <v>0</v>
      </c>
      <c r="OY60" s="33" t="n">
        <v>0</v>
      </c>
      <c r="OZ60" s="33" t="n">
        <v>0</v>
      </c>
      <c r="PA60" s="33" t="n">
        <v>0</v>
      </c>
      <c r="PB60" s="33" t="n">
        <v>0</v>
      </c>
      <c r="PC60" s="33" t="n">
        <v>0</v>
      </c>
      <c r="PD60" s="33" t="n">
        <v>0</v>
      </c>
      <c r="PE60" s="33" t="n">
        <v>0</v>
      </c>
      <c r="PF60" s="33" t="n">
        <v>0</v>
      </c>
      <c r="PG60" s="33" t="n">
        <v>0</v>
      </c>
      <c r="PH60" s="33" t="n">
        <v>0</v>
      </c>
      <c r="PI60" s="33" t="n">
        <v>0</v>
      </c>
      <c r="PJ60" s="33" t="n">
        <v>0</v>
      </c>
      <c r="PK60" s="33" t="n">
        <v>0</v>
      </c>
      <c r="PL60" s="33" t="n">
        <v>0</v>
      </c>
      <c r="PM60" s="33" t="n">
        <v>0</v>
      </c>
      <c r="PN60" s="33" t="n">
        <v>0</v>
      </c>
      <c r="PO60" s="33" t="n">
        <v>0</v>
      </c>
      <c r="PP60" s="33" t="n">
        <v>0</v>
      </c>
      <c r="PQ60" s="33" t="n">
        <v>0</v>
      </c>
      <c r="PR60" s="33" t="n">
        <v>0</v>
      </c>
      <c r="PS60" s="33" t="n">
        <v>0</v>
      </c>
      <c r="PT60" s="33" t="n">
        <v>0</v>
      </c>
      <c r="PU60" s="33" t="n">
        <v>0</v>
      </c>
      <c r="PV60" s="33" t="n">
        <v>0</v>
      </c>
      <c r="PW60" s="33" t="n">
        <v>0</v>
      </c>
      <c r="PX60" s="33" t="n">
        <v>0</v>
      </c>
      <c r="PY60" s="33" t="n">
        <v>0</v>
      </c>
      <c r="PZ60" s="33" t="n">
        <v>0</v>
      </c>
      <c r="QA60" s="33" t="n">
        <v>0</v>
      </c>
      <c r="QB60" s="33" t="n">
        <v>0</v>
      </c>
      <c r="QC60" s="33" t="n">
        <v>0</v>
      </c>
      <c r="QD60" s="33" t="n">
        <v>0</v>
      </c>
      <c r="QE60" s="33" t="n">
        <v>0</v>
      </c>
      <c r="QF60" s="33" t="n">
        <v>0</v>
      </c>
      <c r="QG60" s="33" t="n">
        <v>0</v>
      </c>
      <c r="QH60" s="33" t="n">
        <v>0</v>
      </c>
      <c r="QI60" s="33" t="n">
        <v>0</v>
      </c>
      <c r="QJ60" s="33" t="n">
        <v>0</v>
      </c>
      <c r="QK60" s="33" t="n">
        <v>0</v>
      </c>
      <c r="QL60" s="33" t="n">
        <v>0</v>
      </c>
      <c r="QM60" s="33" t="n">
        <v>0</v>
      </c>
      <c r="QN60" s="33" t="n">
        <v>0</v>
      </c>
      <c r="QO60" s="33" t="n">
        <v>0</v>
      </c>
      <c r="QP60" s="33" t="n">
        <v>0</v>
      </c>
      <c r="QQ60" s="33" t="n">
        <v>0</v>
      </c>
      <c r="QR60" s="33" t="n">
        <v>0</v>
      </c>
      <c r="QS60" s="33" t="n">
        <v>0</v>
      </c>
      <c r="QT60" s="33" t="n">
        <v>0</v>
      </c>
      <c r="QU60" s="33" t="n">
        <v>0</v>
      </c>
      <c r="QV60" s="33" t="n">
        <v>0</v>
      </c>
      <c r="QW60" s="33" t="n">
        <v>0</v>
      </c>
      <c r="QX60" s="33" t="n">
        <v>0</v>
      </c>
      <c r="QY60" s="33" t="n">
        <v>0</v>
      </c>
      <c r="QZ60" s="33" t="n">
        <v>0</v>
      </c>
      <c r="RA60" s="33" t="n">
        <v>0</v>
      </c>
      <c r="RB60" s="33" t="n">
        <v>0</v>
      </c>
      <c r="RC60" s="33" t="n">
        <v>0</v>
      </c>
      <c r="RD60" s="33" t="n">
        <v>0</v>
      </c>
      <c r="RE60" s="33" t="n">
        <v>0</v>
      </c>
      <c r="RF60" s="33" t="n">
        <v>0</v>
      </c>
      <c r="RG60" s="33" t="n">
        <v>0</v>
      </c>
      <c r="RH60" s="33" t="n">
        <v>0</v>
      </c>
      <c r="RI60" s="33" t="n">
        <v>0</v>
      </c>
      <c r="RJ60" s="33" t="n">
        <v>0</v>
      </c>
      <c r="RK60" s="33" t="n">
        <v>0</v>
      </c>
      <c r="RL60" s="33" t="n">
        <v>0</v>
      </c>
      <c r="RM60" s="33" t="n">
        <v>0</v>
      </c>
      <c r="RN60" s="33" t="n">
        <v>0</v>
      </c>
      <c r="RO60" s="33" t="n">
        <v>0</v>
      </c>
      <c r="RP60" s="33" t="n">
        <v>0</v>
      </c>
      <c r="RQ60" s="33" t="n">
        <v>0</v>
      </c>
      <c r="RR60" s="33" t="n">
        <v>0</v>
      </c>
      <c r="RS60" s="33" t="n">
        <v>0</v>
      </c>
      <c r="RT60" s="33" t="n">
        <v>0</v>
      </c>
      <c r="RU60" s="33" t="n">
        <v>0</v>
      </c>
      <c r="RV60" s="33" t="n">
        <v>0</v>
      </c>
      <c r="RW60" s="33" t="n">
        <v>0</v>
      </c>
    </row>
    <row r="61" hidden="1" outlineLevel="1" ht="13.05" customHeight="1">
      <c r="E61" s="21" t="inlineStr">
        <is>
          <t>VTA Degradation Compensation</t>
        </is>
      </c>
      <c r="F61" s="29" t="n"/>
      <c r="G61" s="29" t="inlineStr">
        <is>
          <t>kEUR</t>
        </is>
      </c>
      <c r="H61" s="29" t="n"/>
      <c r="I61" s="29" t="n"/>
      <c r="J61" s="32" t="n">
        <v>0</v>
      </c>
      <c r="K61" s="29" t="n"/>
      <c r="L61" s="33" t="n">
        <v>0</v>
      </c>
      <c r="M61" s="33" t="n">
        <v>0</v>
      </c>
      <c r="N61" s="33" t="n">
        <v>0</v>
      </c>
      <c r="O61" s="33" t="n">
        <v>0</v>
      </c>
      <c r="P61" s="33" t="n">
        <v>0</v>
      </c>
      <c r="Q61" s="33" t="n">
        <v>0</v>
      </c>
      <c r="R61" s="33" t="n">
        <v>0</v>
      </c>
      <c r="S61" s="33" t="n">
        <v>0</v>
      </c>
      <c r="T61" s="33" t="n">
        <v>0</v>
      </c>
      <c r="U61" s="33" t="n">
        <v>0</v>
      </c>
      <c r="V61" s="33" t="n">
        <v>0</v>
      </c>
      <c r="W61" s="33" t="n">
        <v>0</v>
      </c>
      <c r="X61" s="33" t="n">
        <v>0</v>
      </c>
      <c r="Y61" s="33" t="n">
        <v>0</v>
      </c>
      <c r="Z61" s="33" t="n">
        <v>0</v>
      </c>
      <c r="AA61" s="33" t="n">
        <v>0</v>
      </c>
      <c r="AB61" s="33" t="n">
        <v>0</v>
      </c>
      <c r="AC61" s="33" t="n">
        <v>0</v>
      </c>
      <c r="AD61" s="33" t="n">
        <v>0</v>
      </c>
      <c r="AE61" s="33" t="n">
        <v>0</v>
      </c>
      <c r="AF61" s="33" t="n">
        <v>0</v>
      </c>
      <c r="AG61" s="33" t="n">
        <v>0</v>
      </c>
      <c r="AH61" s="33" t="n">
        <v>0</v>
      </c>
      <c r="AI61" s="33" t="n">
        <v>0</v>
      </c>
      <c r="AJ61" s="33" t="n">
        <v>0</v>
      </c>
      <c r="AK61" s="33" t="n">
        <v>0</v>
      </c>
      <c r="AL61" s="33" t="n">
        <v>0</v>
      </c>
      <c r="AM61" s="33" t="n">
        <v>0</v>
      </c>
      <c r="AN61" s="33" t="n">
        <v>0</v>
      </c>
      <c r="AO61" s="33" t="n">
        <v>0</v>
      </c>
      <c r="AP61" s="33" t="n">
        <v>0</v>
      </c>
      <c r="AQ61" s="33" t="n">
        <v>0</v>
      </c>
      <c r="AR61" s="33" t="n">
        <v>0</v>
      </c>
      <c r="AS61" s="33" t="n">
        <v>0</v>
      </c>
      <c r="AT61" s="33" t="n">
        <v>0</v>
      </c>
      <c r="AU61" s="33" t="n">
        <v>0</v>
      </c>
      <c r="AV61" s="33" t="n">
        <v>0</v>
      </c>
      <c r="AW61" s="33" t="n">
        <v>0</v>
      </c>
      <c r="AX61" s="33" t="n">
        <v>0</v>
      </c>
      <c r="AY61" s="33" t="n">
        <v>0</v>
      </c>
      <c r="AZ61" s="33" t="n">
        <v>0</v>
      </c>
      <c r="BA61" s="33" t="n">
        <v>0</v>
      </c>
      <c r="BB61" s="33" t="n">
        <v>0</v>
      </c>
      <c r="BC61" s="33" t="n">
        <v>0</v>
      </c>
      <c r="BD61" s="33" t="n">
        <v>0</v>
      </c>
      <c r="BE61" s="33" t="n">
        <v>0</v>
      </c>
      <c r="BF61" s="33" t="n">
        <v>0</v>
      </c>
      <c r="BG61" s="33" t="n">
        <v>0</v>
      </c>
      <c r="BH61" s="33" t="n">
        <v>0</v>
      </c>
      <c r="BI61" s="33" t="n">
        <v>0</v>
      </c>
      <c r="BJ61" s="33" t="n">
        <v>0</v>
      </c>
      <c r="BK61" s="33" t="n">
        <v>0</v>
      </c>
      <c r="BL61" s="33" t="n">
        <v>0</v>
      </c>
      <c r="BM61" s="33" t="n">
        <v>0</v>
      </c>
      <c r="BN61" s="33" t="n">
        <v>0</v>
      </c>
      <c r="BO61" s="33" t="n">
        <v>0</v>
      </c>
      <c r="BP61" s="33" t="n">
        <v>0</v>
      </c>
      <c r="BQ61" s="33" t="n">
        <v>0</v>
      </c>
      <c r="BR61" s="33" t="n">
        <v>0</v>
      </c>
      <c r="BS61" s="33" t="n">
        <v>0</v>
      </c>
      <c r="BT61" s="33" t="n">
        <v>0</v>
      </c>
      <c r="BU61" s="33" t="n">
        <v>0</v>
      </c>
      <c r="BV61" s="33" t="n">
        <v>0</v>
      </c>
      <c r="BW61" s="33" t="n">
        <v>0</v>
      </c>
      <c r="BX61" s="33" t="n">
        <v>0</v>
      </c>
      <c r="BY61" s="33" t="n">
        <v>0</v>
      </c>
      <c r="BZ61" s="33" t="n">
        <v>0</v>
      </c>
      <c r="CA61" s="33" t="n">
        <v>0</v>
      </c>
      <c r="CB61" s="33" t="n">
        <v>0</v>
      </c>
      <c r="CC61" s="33" t="n">
        <v>0</v>
      </c>
      <c r="CD61" s="33" t="n">
        <v>0</v>
      </c>
      <c r="CE61" s="33" t="n">
        <v>0</v>
      </c>
      <c r="CF61" s="33" t="n">
        <v>0</v>
      </c>
      <c r="CG61" s="33" t="n">
        <v>0</v>
      </c>
      <c r="CH61" s="33" t="n">
        <v>0</v>
      </c>
      <c r="CI61" s="33" t="n">
        <v>0</v>
      </c>
      <c r="CJ61" s="33" t="n">
        <v>0</v>
      </c>
      <c r="CK61" s="33" t="n">
        <v>0</v>
      </c>
      <c r="CL61" s="33" t="n">
        <v>0</v>
      </c>
      <c r="CM61" s="33" t="n">
        <v>0</v>
      </c>
      <c r="CN61" s="33" t="n">
        <v>0</v>
      </c>
      <c r="CO61" s="33" t="n">
        <v>0</v>
      </c>
      <c r="CP61" s="33" t="n">
        <v>0</v>
      </c>
      <c r="CQ61" s="33" t="n">
        <v>0</v>
      </c>
      <c r="CR61" s="33" t="n">
        <v>0</v>
      </c>
      <c r="CS61" s="33" t="n">
        <v>0</v>
      </c>
      <c r="CT61" s="33" t="n">
        <v>0</v>
      </c>
      <c r="CU61" s="33" t="n">
        <v>0</v>
      </c>
      <c r="CV61" s="33" t="n">
        <v>0</v>
      </c>
      <c r="CW61" s="33" t="n">
        <v>0</v>
      </c>
      <c r="CX61" s="33" t="n">
        <v>0</v>
      </c>
      <c r="CY61" s="33" t="n">
        <v>0</v>
      </c>
      <c r="CZ61" s="33" t="n">
        <v>0</v>
      </c>
      <c r="DA61" s="33" t="n">
        <v>0</v>
      </c>
      <c r="DB61" s="33" t="n">
        <v>0</v>
      </c>
      <c r="DC61" s="33" t="n">
        <v>0</v>
      </c>
      <c r="DD61" s="33" t="n">
        <v>0</v>
      </c>
      <c r="DE61" s="33" t="n">
        <v>0</v>
      </c>
      <c r="DF61" s="33" t="n">
        <v>0</v>
      </c>
      <c r="DG61" s="33" t="n">
        <v>0</v>
      </c>
      <c r="DH61" s="33" t="n">
        <v>0</v>
      </c>
      <c r="DI61" s="33" t="n">
        <v>0</v>
      </c>
      <c r="DJ61" s="33" t="n">
        <v>0</v>
      </c>
      <c r="DK61" s="33" t="n">
        <v>0</v>
      </c>
      <c r="DL61" s="33" t="n">
        <v>0</v>
      </c>
      <c r="DM61" s="33" t="n">
        <v>0</v>
      </c>
      <c r="DN61" s="33" t="n">
        <v>0</v>
      </c>
      <c r="DO61" s="33" t="n">
        <v>0</v>
      </c>
      <c r="DP61" s="33" t="n">
        <v>0</v>
      </c>
      <c r="DQ61" s="33" t="n">
        <v>0</v>
      </c>
      <c r="DR61" s="33" t="n">
        <v>0</v>
      </c>
      <c r="DS61" s="33" t="n">
        <v>0</v>
      </c>
      <c r="DT61" s="33" t="n">
        <v>0</v>
      </c>
      <c r="DU61" s="33" t="n">
        <v>0</v>
      </c>
      <c r="DV61" s="33" t="n">
        <v>0</v>
      </c>
      <c r="DW61" s="33" t="n">
        <v>0</v>
      </c>
      <c r="DX61" s="33" t="n">
        <v>0</v>
      </c>
      <c r="DY61" s="33" t="n">
        <v>0</v>
      </c>
      <c r="DZ61" s="33" t="n">
        <v>0</v>
      </c>
      <c r="EA61" s="33" t="n">
        <v>0</v>
      </c>
      <c r="EB61" s="33" t="n">
        <v>0</v>
      </c>
      <c r="EC61" s="33" t="n">
        <v>0</v>
      </c>
      <c r="ED61" s="33" t="n">
        <v>0</v>
      </c>
      <c r="EE61" s="33" t="n">
        <v>0</v>
      </c>
      <c r="EF61" s="33" t="n">
        <v>0</v>
      </c>
      <c r="EG61" s="33" t="n">
        <v>0</v>
      </c>
      <c r="EH61" s="33" t="n">
        <v>0</v>
      </c>
      <c r="EI61" s="33" t="n">
        <v>0</v>
      </c>
      <c r="EJ61" s="33" t="n">
        <v>0</v>
      </c>
      <c r="EK61" s="33" t="n">
        <v>0</v>
      </c>
      <c r="EL61" s="33" t="n">
        <v>0</v>
      </c>
      <c r="EM61" s="33" t="n">
        <v>0</v>
      </c>
      <c r="EN61" s="33" t="n">
        <v>0</v>
      </c>
      <c r="EO61" s="33" t="n">
        <v>0</v>
      </c>
      <c r="EP61" s="33" t="n">
        <v>0</v>
      </c>
      <c r="EQ61" s="33" t="n">
        <v>0</v>
      </c>
      <c r="ER61" s="33" t="n">
        <v>0</v>
      </c>
      <c r="ES61" s="33" t="n">
        <v>0</v>
      </c>
      <c r="ET61" s="33" t="n">
        <v>0</v>
      </c>
      <c r="EU61" s="33" t="n">
        <v>0</v>
      </c>
      <c r="EV61" s="33" t="n">
        <v>0</v>
      </c>
      <c r="EW61" s="33" t="n">
        <v>0</v>
      </c>
      <c r="EX61" s="33" t="n">
        <v>0</v>
      </c>
      <c r="EY61" s="33" t="n">
        <v>0</v>
      </c>
      <c r="EZ61" s="33" t="n">
        <v>0</v>
      </c>
      <c r="FA61" s="33" t="n">
        <v>0</v>
      </c>
      <c r="FB61" s="33" t="n">
        <v>0</v>
      </c>
      <c r="FC61" s="33" t="n">
        <v>0</v>
      </c>
      <c r="FD61" s="33" t="n">
        <v>0</v>
      </c>
      <c r="FE61" s="33" t="n">
        <v>0</v>
      </c>
      <c r="FF61" s="33" t="n">
        <v>0</v>
      </c>
      <c r="FG61" s="33" t="n">
        <v>0</v>
      </c>
      <c r="FH61" s="33" t="n">
        <v>0</v>
      </c>
      <c r="FI61" s="33" t="n">
        <v>0</v>
      </c>
      <c r="FJ61" s="33" t="n">
        <v>0</v>
      </c>
      <c r="FK61" s="33" t="n">
        <v>0</v>
      </c>
      <c r="FL61" s="33" t="n">
        <v>0</v>
      </c>
      <c r="FM61" s="33" t="n">
        <v>0</v>
      </c>
      <c r="FN61" s="33" t="n">
        <v>0</v>
      </c>
      <c r="FO61" s="33" t="n">
        <v>0</v>
      </c>
      <c r="FP61" s="33" t="n">
        <v>0</v>
      </c>
      <c r="FQ61" s="33" t="n">
        <v>0</v>
      </c>
      <c r="FR61" s="33" t="n">
        <v>0</v>
      </c>
      <c r="FS61" s="33" t="n">
        <v>0</v>
      </c>
      <c r="FT61" s="33" t="n">
        <v>0</v>
      </c>
      <c r="FU61" s="33" t="n">
        <v>0</v>
      </c>
      <c r="FV61" s="33" t="n">
        <v>0</v>
      </c>
      <c r="FW61" s="33" t="n">
        <v>0</v>
      </c>
      <c r="FX61" s="33" t="n">
        <v>0</v>
      </c>
      <c r="FY61" s="33" t="n">
        <v>0</v>
      </c>
      <c r="FZ61" s="33" t="n">
        <v>0</v>
      </c>
      <c r="GA61" s="33" t="n">
        <v>0</v>
      </c>
      <c r="GB61" s="33" t="n">
        <v>0</v>
      </c>
      <c r="GC61" s="33" t="n">
        <v>0</v>
      </c>
      <c r="GD61" s="33" t="n">
        <v>0</v>
      </c>
      <c r="GE61" s="33" t="n">
        <v>0</v>
      </c>
      <c r="GF61" s="33" t="n">
        <v>0</v>
      </c>
      <c r="GG61" s="33" t="n">
        <v>0</v>
      </c>
      <c r="GH61" s="33" t="n">
        <v>0</v>
      </c>
      <c r="GI61" s="33" t="n">
        <v>0</v>
      </c>
      <c r="GJ61" s="33" t="n">
        <v>0</v>
      </c>
      <c r="GK61" s="33" t="n">
        <v>0</v>
      </c>
      <c r="GL61" s="33" t="n">
        <v>0</v>
      </c>
      <c r="GM61" s="33" t="n">
        <v>0</v>
      </c>
      <c r="GN61" s="33" t="n">
        <v>0</v>
      </c>
      <c r="GO61" s="33" t="n">
        <v>0</v>
      </c>
      <c r="GP61" s="33" t="n">
        <v>0</v>
      </c>
      <c r="GQ61" s="33" t="n">
        <v>0</v>
      </c>
      <c r="GR61" s="33" t="n">
        <v>0</v>
      </c>
      <c r="GS61" s="33" t="n">
        <v>0</v>
      </c>
      <c r="GT61" s="33" t="n">
        <v>0</v>
      </c>
      <c r="GU61" s="33" t="n">
        <v>0</v>
      </c>
      <c r="GV61" s="33" t="n">
        <v>0</v>
      </c>
      <c r="GW61" s="33" t="n">
        <v>0</v>
      </c>
      <c r="GX61" s="33" t="n">
        <v>0</v>
      </c>
      <c r="GY61" s="33" t="n">
        <v>0</v>
      </c>
      <c r="GZ61" s="33" t="n">
        <v>0</v>
      </c>
      <c r="HA61" s="33" t="n">
        <v>0</v>
      </c>
      <c r="HB61" s="33" t="n">
        <v>0</v>
      </c>
      <c r="HC61" s="33" t="n">
        <v>0</v>
      </c>
      <c r="HD61" s="33" t="n">
        <v>0</v>
      </c>
      <c r="HE61" s="33" t="n">
        <v>0</v>
      </c>
      <c r="HF61" s="33" t="n">
        <v>0</v>
      </c>
      <c r="HG61" s="33" t="n">
        <v>0</v>
      </c>
      <c r="HH61" s="33" t="n">
        <v>0</v>
      </c>
      <c r="HI61" s="33" t="n">
        <v>0</v>
      </c>
      <c r="HJ61" s="33" t="n">
        <v>0</v>
      </c>
      <c r="HK61" s="33" t="n">
        <v>0</v>
      </c>
      <c r="HL61" s="33" t="n">
        <v>0</v>
      </c>
      <c r="HM61" s="33" t="n">
        <v>0</v>
      </c>
      <c r="HN61" s="33" t="n">
        <v>0</v>
      </c>
      <c r="HO61" s="33" t="n">
        <v>0</v>
      </c>
      <c r="HP61" s="33" t="n">
        <v>0</v>
      </c>
      <c r="HQ61" s="33" t="n">
        <v>0</v>
      </c>
      <c r="HR61" s="33" t="n">
        <v>0</v>
      </c>
      <c r="HS61" s="33" t="n">
        <v>0</v>
      </c>
      <c r="HT61" s="33" t="n">
        <v>0</v>
      </c>
      <c r="HU61" s="33" t="n">
        <v>0</v>
      </c>
      <c r="HV61" s="33" t="n">
        <v>0</v>
      </c>
      <c r="HW61" s="33" t="n">
        <v>0</v>
      </c>
      <c r="HX61" s="33" t="n">
        <v>0</v>
      </c>
      <c r="HY61" s="33" t="n">
        <v>0</v>
      </c>
      <c r="HZ61" s="33" t="n">
        <v>0</v>
      </c>
      <c r="IA61" s="33" t="n">
        <v>0</v>
      </c>
      <c r="IB61" s="33" t="n">
        <v>0</v>
      </c>
      <c r="IC61" s="33" t="n">
        <v>0</v>
      </c>
      <c r="ID61" s="33" t="n">
        <v>0</v>
      </c>
      <c r="IE61" s="33" t="n">
        <v>0</v>
      </c>
      <c r="IF61" s="33" t="n">
        <v>0</v>
      </c>
      <c r="IG61" s="33" t="n">
        <v>0</v>
      </c>
      <c r="IH61" s="33" t="n">
        <v>0</v>
      </c>
      <c r="II61" s="33" t="n">
        <v>0</v>
      </c>
      <c r="IJ61" s="33" t="n">
        <v>0</v>
      </c>
      <c r="IK61" s="33" t="n">
        <v>0</v>
      </c>
      <c r="IL61" s="33" t="n">
        <v>0</v>
      </c>
      <c r="IM61" s="33" t="n">
        <v>0</v>
      </c>
      <c r="IN61" s="33" t="n">
        <v>0</v>
      </c>
      <c r="IO61" s="33" t="n">
        <v>0</v>
      </c>
      <c r="IP61" s="33" t="n">
        <v>0</v>
      </c>
      <c r="IQ61" s="33" t="n">
        <v>0</v>
      </c>
      <c r="IR61" s="33" t="n">
        <v>0</v>
      </c>
      <c r="IS61" s="33" t="n">
        <v>0</v>
      </c>
      <c r="IT61" s="33" t="n">
        <v>0</v>
      </c>
      <c r="IU61" s="33" t="n">
        <v>0</v>
      </c>
      <c r="IV61" s="33" t="n">
        <v>0</v>
      </c>
      <c r="IW61" s="33" t="n">
        <v>0</v>
      </c>
      <c r="IX61" s="33" t="n">
        <v>0</v>
      </c>
      <c r="IY61" s="33" t="n">
        <v>0</v>
      </c>
      <c r="IZ61" s="33" t="n">
        <v>0</v>
      </c>
      <c r="JA61" s="33" t="n">
        <v>0</v>
      </c>
      <c r="JB61" s="33" t="n">
        <v>0</v>
      </c>
      <c r="JC61" s="33" t="n">
        <v>0</v>
      </c>
      <c r="JD61" s="33" t="n">
        <v>0</v>
      </c>
      <c r="JE61" s="33" t="n">
        <v>0</v>
      </c>
      <c r="JF61" s="33" t="n">
        <v>0</v>
      </c>
      <c r="JG61" s="33" t="n">
        <v>0</v>
      </c>
      <c r="JH61" s="33" t="n">
        <v>0</v>
      </c>
      <c r="JI61" s="33" t="n">
        <v>0</v>
      </c>
      <c r="JJ61" s="33" t="n">
        <v>0</v>
      </c>
      <c r="JK61" s="33" t="n">
        <v>0</v>
      </c>
      <c r="JL61" s="33" t="n">
        <v>0</v>
      </c>
      <c r="JM61" s="33" t="n">
        <v>0</v>
      </c>
      <c r="JN61" s="33" t="n">
        <v>0</v>
      </c>
      <c r="JO61" s="33" t="n">
        <v>0</v>
      </c>
      <c r="JP61" s="33" t="n">
        <v>0</v>
      </c>
      <c r="JQ61" s="33" t="n">
        <v>0</v>
      </c>
      <c r="JR61" s="33" t="n">
        <v>0</v>
      </c>
      <c r="JS61" s="33" t="n">
        <v>0</v>
      </c>
      <c r="JT61" s="33" t="n">
        <v>0</v>
      </c>
      <c r="JU61" s="33" t="n">
        <v>0</v>
      </c>
      <c r="JV61" s="33" t="n">
        <v>0</v>
      </c>
      <c r="JW61" s="33" t="n">
        <v>0</v>
      </c>
      <c r="JX61" s="33" t="n">
        <v>0</v>
      </c>
      <c r="JY61" s="33" t="n">
        <v>0</v>
      </c>
      <c r="JZ61" s="33" t="n">
        <v>0</v>
      </c>
      <c r="KA61" s="33" t="n">
        <v>0</v>
      </c>
      <c r="KB61" s="33" t="n">
        <v>0</v>
      </c>
      <c r="KC61" s="33" t="n">
        <v>0</v>
      </c>
      <c r="KD61" s="33" t="n">
        <v>0</v>
      </c>
      <c r="KE61" s="33" t="n">
        <v>0</v>
      </c>
      <c r="KF61" s="33" t="n">
        <v>0</v>
      </c>
      <c r="KG61" s="33" t="n">
        <v>0</v>
      </c>
      <c r="KH61" s="33" t="n">
        <v>0</v>
      </c>
      <c r="KI61" s="33" t="n">
        <v>0</v>
      </c>
      <c r="KJ61" s="33" t="n">
        <v>0</v>
      </c>
      <c r="KK61" s="33" t="n">
        <v>0</v>
      </c>
      <c r="KL61" s="33" t="n">
        <v>0</v>
      </c>
      <c r="KM61" s="33" t="n">
        <v>0</v>
      </c>
      <c r="KN61" s="33" t="n">
        <v>0</v>
      </c>
      <c r="KO61" s="33" t="n">
        <v>0</v>
      </c>
      <c r="KP61" s="33" t="n">
        <v>0</v>
      </c>
      <c r="KQ61" s="33" t="n">
        <v>0</v>
      </c>
      <c r="KR61" s="33" t="n">
        <v>0</v>
      </c>
      <c r="KS61" s="33" t="n">
        <v>0</v>
      </c>
      <c r="KT61" s="33" t="n">
        <v>0</v>
      </c>
      <c r="KU61" s="33" t="n">
        <v>0</v>
      </c>
      <c r="KV61" s="33" t="n">
        <v>0</v>
      </c>
      <c r="KW61" s="33" t="n">
        <v>0</v>
      </c>
      <c r="KX61" s="33" t="n">
        <v>0</v>
      </c>
      <c r="KY61" s="33" t="n">
        <v>0</v>
      </c>
      <c r="KZ61" s="33" t="n">
        <v>0</v>
      </c>
      <c r="LA61" s="33" t="n">
        <v>0</v>
      </c>
      <c r="LB61" s="33" t="n">
        <v>0</v>
      </c>
      <c r="LC61" s="33" t="n">
        <v>0</v>
      </c>
      <c r="LD61" s="33" t="n">
        <v>0</v>
      </c>
      <c r="LE61" s="33" t="n">
        <v>0</v>
      </c>
      <c r="LF61" s="33" t="n">
        <v>0</v>
      </c>
      <c r="LG61" s="33" t="n">
        <v>0</v>
      </c>
      <c r="LH61" s="33" t="n">
        <v>0</v>
      </c>
      <c r="LI61" s="33" t="n">
        <v>0</v>
      </c>
      <c r="LJ61" s="33" t="n">
        <v>0</v>
      </c>
      <c r="LK61" s="33" t="n">
        <v>0</v>
      </c>
      <c r="LL61" s="33" t="n">
        <v>0</v>
      </c>
      <c r="LM61" s="33" t="n">
        <v>0</v>
      </c>
      <c r="LN61" s="33" t="n">
        <v>0</v>
      </c>
      <c r="LO61" s="33" t="n">
        <v>0</v>
      </c>
      <c r="LP61" s="33" t="n">
        <v>0</v>
      </c>
      <c r="LQ61" s="33" t="n">
        <v>0</v>
      </c>
      <c r="LR61" s="33" t="n">
        <v>0</v>
      </c>
      <c r="LS61" s="33" t="n">
        <v>0</v>
      </c>
      <c r="LT61" s="33" t="n">
        <v>0</v>
      </c>
      <c r="LU61" s="33" t="n">
        <v>0</v>
      </c>
      <c r="LV61" s="33" t="n">
        <v>0</v>
      </c>
      <c r="LW61" s="33" t="n">
        <v>0</v>
      </c>
      <c r="LX61" s="33" t="n">
        <v>0</v>
      </c>
      <c r="LY61" s="33" t="n">
        <v>0</v>
      </c>
      <c r="LZ61" s="33" t="n">
        <v>0</v>
      </c>
      <c r="MA61" s="33" t="n">
        <v>0</v>
      </c>
      <c r="MB61" s="33" t="n">
        <v>0</v>
      </c>
      <c r="MC61" s="33" t="n">
        <v>0</v>
      </c>
      <c r="MD61" s="33" t="n">
        <v>0</v>
      </c>
      <c r="ME61" s="33" t="n">
        <v>0</v>
      </c>
      <c r="MF61" s="33" t="n">
        <v>0</v>
      </c>
      <c r="MG61" s="33" t="n">
        <v>0</v>
      </c>
      <c r="MH61" s="33" t="n">
        <v>0</v>
      </c>
      <c r="MI61" s="33" t="n">
        <v>0</v>
      </c>
      <c r="MJ61" s="33" t="n">
        <v>0</v>
      </c>
      <c r="MK61" s="33" t="n">
        <v>0</v>
      </c>
      <c r="ML61" s="33" t="n">
        <v>0</v>
      </c>
      <c r="MM61" s="33" t="n">
        <v>0</v>
      </c>
      <c r="MN61" s="33" t="n">
        <v>0</v>
      </c>
      <c r="MO61" s="33" t="n">
        <v>0</v>
      </c>
      <c r="MP61" s="33" t="n">
        <v>0</v>
      </c>
      <c r="MQ61" s="33" t="n">
        <v>0</v>
      </c>
      <c r="MR61" s="33" t="n">
        <v>0</v>
      </c>
      <c r="MS61" s="33" t="n">
        <v>0</v>
      </c>
      <c r="MT61" s="33" t="n">
        <v>0</v>
      </c>
      <c r="MU61" s="33" t="n">
        <v>0</v>
      </c>
      <c r="MV61" s="33" t="n">
        <v>0</v>
      </c>
      <c r="MW61" s="33" t="n">
        <v>0</v>
      </c>
      <c r="MX61" s="33" t="n">
        <v>0</v>
      </c>
      <c r="MY61" s="33" t="n">
        <v>0</v>
      </c>
      <c r="MZ61" s="33" t="n">
        <v>0</v>
      </c>
      <c r="NA61" s="33" t="n">
        <v>0</v>
      </c>
      <c r="NB61" s="33" t="n">
        <v>0</v>
      </c>
      <c r="NC61" s="33" t="n">
        <v>0</v>
      </c>
      <c r="ND61" s="33" t="n">
        <v>0</v>
      </c>
      <c r="NE61" s="33" t="n">
        <v>0</v>
      </c>
      <c r="NF61" s="33" t="n">
        <v>0</v>
      </c>
      <c r="NG61" s="33" t="n">
        <v>0</v>
      </c>
      <c r="NH61" s="33" t="n">
        <v>0</v>
      </c>
      <c r="NI61" s="33" t="n">
        <v>0</v>
      </c>
      <c r="NJ61" s="33" t="n">
        <v>0</v>
      </c>
      <c r="NK61" s="33" t="n">
        <v>0</v>
      </c>
      <c r="NL61" s="33" t="n">
        <v>0</v>
      </c>
      <c r="NM61" s="33" t="n">
        <v>0</v>
      </c>
      <c r="NN61" s="33" t="n">
        <v>0</v>
      </c>
      <c r="NO61" s="33" t="n">
        <v>0</v>
      </c>
      <c r="NP61" s="33" t="n">
        <v>0</v>
      </c>
      <c r="NQ61" s="33" t="n">
        <v>0</v>
      </c>
      <c r="NR61" s="33" t="n">
        <v>0</v>
      </c>
      <c r="NS61" s="33" t="n">
        <v>0</v>
      </c>
      <c r="NT61" s="33" t="n">
        <v>0</v>
      </c>
      <c r="NU61" s="33" t="n">
        <v>0</v>
      </c>
      <c r="NV61" s="33" t="n">
        <v>0</v>
      </c>
      <c r="NW61" s="33" t="n">
        <v>0</v>
      </c>
      <c r="NX61" s="33" t="n">
        <v>0</v>
      </c>
      <c r="NY61" s="33" t="n">
        <v>0</v>
      </c>
      <c r="NZ61" s="33" t="n">
        <v>0</v>
      </c>
      <c r="OA61" s="33" t="n">
        <v>0</v>
      </c>
      <c r="OB61" s="33" t="n">
        <v>0</v>
      </c>
      <c r="OC61" s="33" t="n">
        <v>0</v>
      </c>
      <c r="OD61" s="33" t="n">
        <v>0</v>
      </c>
      <c r="OE61" s="33" t="n">
        <v>0</v>
      </c>
      <c r="OF61" s="33" t="n">
        <v>0</v>
      </c>
      <c r="OG61" s="33" t="n">
        <v>0</v>
      </c>
      <c r="OH61" s="33" t="n">
        <v>0</v>
      </c>
      <c r="OI61" s="33" t="n">
        <v>0</v>
      </c>
      <c r="OJ61" s="33" t="n">
        <v>0</v>
      </c>
      <c r="OK61" s="33" t="n">
        <v>0</v>
      </c>
      <c r="OL61" s="33" t="n">
        <v>0</v>
      </c>
      <c r="OM61" s="33" t="n">
        <v>0</v>
      </c>
      <c r="ON61" s="33" t="n">
        <v>0</v>
      </c>
      <c r="OO61" s="33" t="n">
        <v>0</v>
      </c>
      <c r="OP61" s="33" t="n">
        <v>0</v>
      </c>
      <c r="OQ61" s="33" t="n">
        <v>0</v>
      </c>
      <c r="OR61" s="33" t="n">
        <v>0</v>
      </c>
      <c r="OS61" s="33" t="n">
        <v>0</v>
      </c>
      <c r="OT61" s="33" t="n">
        <v>0</v>
      </c>
      <c r="OU61" s="33" t="n">
        <v>0</v>
      </c>
      <c r="OV61" s="33" t="n">
        <v>0</v>
      </c>
      <c r="OW61" s="33" t="n">
        <v>0</v>
      </c>
      <c r="OX61" s="33" t="n">
        <v>0</v>
      </c>
      <c r="OY61" s="33" t="n">
        <v>0</v>
      </c>
      <c r="OZ61" s="33" t="n">
        <v>0</v>
      </c>
      <c r="PA61" s="33" t="n">
        <v>0</v>
      </c>
      <c r="PB61" s="33" t="n">
        <v>0</v>
      </c>
      <c r="PC61" s="33" t="n">
        <v>0</v>
      </c>
      <c r="PD61" s="33" t="n">
        <v>0</v>
      </c>
      <c r="PE61" s="33" t="n">
        <v>0</v>
      </c>
      <c r="PF61" s="33" t="n">
        <v>0</v>
      </c>
      <c r="PG61" s="33" t="n">
        <v>0</v>
      </c>
      <c r="PH61" s="33" t="n">
        <v>0</v>
      </c>
      <c r="PI61" s="33" t="n">
        <v>0</v>
      </c>
      <c r="PJ61" s="33" t="n">
        <v>0</v>
      </c>
      <c r="PK61" s="33" t="n">
        <v>0</v>
      </c>
      <c r="PL61" s="33" t="n">
        <v>0</v>
      </c>
      <c r="PM61" s="33" t="n">
        <v>0</v>
      </c>
      <c r="PN61" s="33" t="n">
        <v>0</v>
      </c>
      <c r="PO61" s="33" t="n">
        <v>0</v>
      </c>
      <c r="PP61" s="33" t="n">
        <v>0</v>
      </c>
      <c r="PQ61" s="33" t="n">
        <v>0</v>
      </c>
      <c r="PR61" s="33" t="n">
        <v>0</v>
      </c>
      <c r="PS61" s="33" t="n">
        <v>0</v>
      </c>
      <c r="PT61" s="33" t="n">
        <v>0</v>
      </c>
      <c r="PU61" s="33" t="n">
        <v>0</v>
      </c>
      <c r="PV61" s="33" t="n">
        <v>0</v>
      </c>
      <c r="PW61" s="33" t="n">
        <v>0</v>
      </c>
      <c r="PX61" s="33" t="n">
        <v>0</v>
      </c>
      <c r="PY61" s="33" t="n">
        <v>0</v>
      </c>
      <c r="PZ61" s="33" t="n">
        <v>0</v>
      </c>
      <c r="QA61" s="33" t="n">
        <v>0</v>
      </c>
      <c r="QB61" s="33" t="n">
        <v>0</v>
      </c>
      <c r="QC61" s="33" t="n">
        <v>0</v>
      </c>
      <c r="QD61" s="33" t="n">
        <v>0</v>
      </c>
      <c r="QE61" s="33" t="n">
        <v>0</v>
      </c>
      <c r="QF61" s="33" t="n">
        <v>0</v>
      </c>
      <c r="QG61" s="33" t="n">
        <v>0</v>
      </c>
      <c r="QH61" s="33" t="n">
        <v>0</v>
      </c>
      <c r="QI61" s="33" t="n">
        <v>0</v>
      </c>
      <c r="QJ61" s="33" t="n">
        <v>0</v>
      </c>
      <c r="QK61" s="33" t="n">
        <v>0</v>
      </c>
      <c r="QL61" s="33" t="n">
        <v>0</v>
      </c>
      <c r="QM61" s="33" t="n">
        <v>0</v>
      </c>
      <c r="QN61" s="33" t="n">
        <v>0</v>
      </c>
      <c r="QO61" s="33" t="n">
        <v>0</v>
      </c>
      <c r="QP61" s="33" t="n">
        <v>0</v>
      </c>
      <c r="QQ61" s="33" t="n">
        <v>0</v>
      </c>
      <c r="QR61" s="33" t="n">
        <v>0</v>
      </c>
      <c r="QS61" s="33" t="n">
        <v>0</v>
      </c>
      <c r="QT61" s="33" t="n">
        <v>0</v>
      </c>
      <c r="QU61" s="33" t="n">
        <v>0</v>
      </c>
      <c r="QV61" s="33" t="n">
        <v>0</v>
      </c>
      <c r="QW61" s="33" t="n">
        <v>0</v>
      </c>
      <c r="QX61" s="33" t="n">
        <v>0</v>
      </c>
      <c r="QY61" s="33" t="n">
        <v>0</v>
      </c>
      <c r="QZ61" s="33" t="n">
        <v>0</v>
      </c>
      <c r="RA61" s="33" t="n">
        <v>0</v>
      </c>
      <c r="RB61" s="33" t="n">
        <v>0</v>
      </c>
      <c r="RC61" s="33" t="n">
        <v>0</v>
      </c>
      <c r="RD61" s="33" t="n">
        <v>0</v>
      </c>
      <c r="RE61" s="33" t="n">
        <v>0</v>
      </c>
      <c r="RF61" s="33" t="n">
        <v>0</v>
      </c>
      <c r="RG61" s="33" t="n">
        <v>0</v>
      </c>
      <c r="RH61" s="33" t="n">
        <v>0</v>
      </c>
      <c r="RI61" s="33" t="n">
        <v>0</v>
      </c>
      <c r="RJ61" s="33" t="n">
        <v>0</v>
      </c>
      <c r="RK61" s="33" t="n">
        <v>0</v>
      </c>
      <c r="RL61" s="33" t="n">
        <v>0</v>
      </c>
      <c r="RM61" s="33" t="n">
        <v>0</v>
      </c>
      <c r="RN61" s="33" t="n">
        <v>0</v>
      </c>
      <c r="RO61" s="33" t="n">
        <v>0</v>
      </c>
      <c r="RP61" s="33" t="n">
        <v>0</v>
      </c>
      <c r="RQ61" s="33" t="n">
        <v>0</v>
      </c>
      <c r="RR61" s="33" t="n">
        <v>0</v>
      </c>
      <c r="RS61" s="33" t="n">
        <v>0</v>
      </c>
      <c r="RT61" s="33" t="n">
        <v>0</v>
      </c>
      <c r="RU61" s="33" t="n">
        <v>0</v>
      </c>
      <c r="RV61" s="33" t="n">
        <v>0</v>
      </c>
      <c r="RW61" s="33" t="n">
        <v>0</v>
      </c>
    </row>
    <row r="62" hidden="1" outlineLevel="1" ht="13.05" customHeight="1">
      <c r="E62" s="21" t="inlineStr">
        <is>
          <t>VTA Transmission Loss Compensation</t>
        </is>
      </c>
      <c r="F62" s="29" t="n"/>
      <c r="G62" s="29" t="inlineStr">
        <is>
          <t>kEUR</t>
        </is>
      </c>
      <c r="H62" s="29" t="n"/>
      <c r="I62" s="29" t="n"/>
      <c r="J62" s="32" t="n">
        <v>0</v>
      </c>
      <c r="K62" s="29" t="n"/>
      <c r="L62" s="33" t="n">
        <v>0</v>
      </c>
      <c r="M62" s="33" t="n">
        <v>0</v>
      </c>
      <c r="N62" s="33" t="n">
        <v>0</v>
      </c>
      <c r="O62" s="33" t="n">
        <v>0</v>
      </c>
      <c r="P62" s="33" t="n">
        <v>0</v>
      </c>
      <c r="Q62" s="33" t="n">
        <v>0</v>
      </c>
      <c r="R62" s="33" t="n">
        <v>0</v>
      </c>
      <c r="S62" s="33" t="n">
        <v>0</v>
      </c>
      <c r="T62" s="33" t="n">
        <v>0</v>
      </c>
      <c r="U62" s="33" t="n">
        <v>0</v>
      </c>
      <c r="V62" s="33" t="n">
        <v>0</v>
      </c>
      <c r="W62" s="33" t="n">
        <v>0</v>
      </c>
      <c r="X62" s="33" t="n">
        <v>0</v>
      </c>
      <c r="Y62" s="33" t="n">
        <v>0</v>
      </c>
      <c r="Z62" s="33" t="n">
        <v>0</v>
      </c>
      <c r="AA62" s="33" t="n">
        <v>0</v>
      </c>
      <c r="AB62" s="33" t="n">
        <v>0</v>
      </c>
      <c r="AC62" s="33" t="n">
        <v>0</v>
      </c>
      <c r="AD62" s="33" t="n">
        <v>0</v>
      </c>
      <c r="AE62" s="33" t="n">
        <v>0</v>
      </c>
      <c r="AF62" s="33" t="n">
        <v>0</v>
      </c>
      <c r="AG62" s="33" t="n">
        <v>0</v>
      </c>
      <c r="AH62" s="33" t="n">
        <v>0</v>
      </c>
      <c r="AI62" s="33" t="n">
        <v>0</v>
      </c>
      <c r="AJ62" s="33" t="n">
        <v>0</v>
      </c>
      <c r="AK62" s="33" t="n">
        <v>0</v>
      </c>
      <c r="AL62" s="33" t="n">
        <v>0</v>
      </c>
      <c r="AM62" s="33" t="n">
        <v>0</v>
      </c>
      <c r="AN62" s="33" t="n">
        <v>0</v>
      </c>
      <c r="AO62" s="33" t="n">
        <v>0</v>
      </c>
      <c r="AP62" s="33" t="n">
        <v>0</v>
      </c>
      <c r="AQ62" s="33" t="n">
        <v>0</v>
      </c>
      <c r="AR62" s="33" t="n">
        <v>0</v>
      </c>
      <c r="AS62" s="33" t="n">
        <v>0</v>
      </c>
      <c r="AT62" s="33" t="n">
        <v>0</v>
      </c>
      <c r="AU62" s="33" t="n">
        <v>0</v>
      </c>
      <c r="AV62" s="33" t="n">
        <v>0</v>
      </c>
      <c r="AW62" s="33" t="n">
        <v>0</v>
      </c>
      <c r="AX62" s="33" t="n">
        <v>0</v>
      </c>
      <c r="AY62" s="33" t="n">
        <v>0</v>
      </c>
      <c r="AZ62" s="33" t="n">
        <v>0</v>
      </c>
      <c r="BA62" s="33" t="n">
        <v>0</v>
      </c>
      <c r="BB62" s="33" t="n">
        <v>0</v>
      </c>
      <c r="BC62" s="33" t="n">
        <v>0</v>
      </c>
      <c r="BD62" s="33" t="n">
        <v>0</v>
      </c>
      <c r="BE62" s="33" t="n">
        <v>0</v>
      </c>
      <c r="BF62" s="33" t="n">
        <v>0</v>
      </c>
      <c r="BG62" s="33" t="n">
        <v>0</v>
      </c>
      <c r="BH62" s="33" t="n">
        <v>0</v>
      </c>
      <c r="BI62" s="33" t="n">
        <v>0</v>
      </c>
      <c r="BJ62" s="33" t="n">
        <v>0</v>
      </c>
      <c r="BK62" s="33" t="n">
        <v>0</v>
      </c>
      <c r="BL62" s="33" t="n">
        <v>0</v>
      </c>
      <c r="BM62" s="33" t="n">
        <v>0</v>
      </c>
      <c r="BN62" s="33" t="n">
        <v>0</v>
      </c>
      <c r="BO62" s="33" t="n">
        <v>0</v>
      </c>
      <c r="BP62" s="33" t="n">
        <v>0</v>
      </c>
      <c r="BQ62" s="33" t="n">
        <v>0</v>
      </c>
      <c r="BR62" s="33" t="n">
        <v>0</v>
      </c>
      <c r="BS62" s="33" t="n">
        <v>0</v>
      </c>
      <c r="BT62" s="33" t="n">
        <v>0</v>
      </c>
      <c r="BU62" s="33" t="n">
        <v>0</v>
      </c>
      <c r="BV62" s="33" t="n">
        <v>0</v>
      </c>
      <c r="BW62" s="33" t="n">
        <v>0</v>
      </c>
      <c r="BX62" s="33" t="n">
        <v>0</v>
      </c>
      <c r="BY62" s="33" t="n">
        <v>0</v>
      </c>
      <c r="BZ62" s="33" t="n">
        <v>0</v>
      </c>
      <c r="CA62" s="33" t="n">
        <v>0</v>
      </c>
      <c r="CB62" s="33" t="n">
        <v>0</v>
      </c>
      <c r="CC62" s="33" t="n">
        <v>0</v>
      </c>
      <c r="CD62" s="33" t="n">
        <v>0</v>
      </c>
      <c r="CE62" s="33" t="n">
        <v>0</v>
      </c>
      <c r="CF62" s="33" t="n">
        <v>0</v>
      </c>
      <c r="CG62" s="33" t="n">
        <v>0</v>
      </c>
      <c r="CH62" s="33" t="n">
        <v>0</v>
      </c>
      <c r="CI62" s="33" t="n">
        <v>0</v>
      </c>
      <c r="CJ62" s="33" t="n">
        <v>0</v>
      </c>
      <c r="CK62" s="33" t="n">
        <v>0</v>
      </c>
      <c r="CL62" s="33" t="n">
        <v>0</v>
      </c>
      <c r="CM62" s="33" t="n">
        <v>0</v>
      </c>
      <c r="CN62" s="33" t="n">
        <v>0</v>
      </c>
      <c r="CO62" s="33" t="n">
        <v>0</v>
      </c>
      <c r="CP62" s="33" t="n">
        <v>0</v>
      </c>
      <c r="CQ62" s="33" t="n">
        <v>0</v>
      </c>
      <c r="CR62" s="33" t="n">
        <v>0</v>
      </c>
      <c r="CS62" s="33" t="n">
        <v>0</v>
      </c>
      <c r="CT62" s="33" t="n">
        <v>0</v>
      </c>
      <c r="CU62" s="33" t="n">
        <v>0</v>
      </c>
      <c r="CV62" s="33" t="n">
        <v>0</v>
      </c>
      <c r="CW62" s="33" t="n">
        <v>0</v>
      </c>
      <c r="CX62" s="33" t="n">
        <v>0</v>
      </c>
      <c r="CY62" s="33" t="n">
        <v>0</v>
      </c>
      <c r="CZ62" s="33" t="n">
        <v>0</v>
      </c>
      <c r="DA62" s="33" t="n">
        <v>0</v>
      </c>
      <c r="DB62" s="33" t="n">
        <v>0</v>
      </c>
      <c r="DC62" s="33" t="n">
        <v>0</v>
      </c>
      <c r="DD62" s="33" t="n">
        <v>0</v>
      </c>
      <c r="DE62" s="33" t="n">
        <v>0</v>
      </c>
      <c r="DF62" s="33" t="n">
        <v>0</v>
      </c>
      <c r="DG62" s="33" t="n">
        <v>0</v>
      </c>
      <c r="DH62" s="33" t="n">
        <v>0</v>
      </c>
      <c r="DI62" s="33" t="n">
        <v>0</v>
      </c>
      <c r="DJ62" s="33" t="n">
        <v>0</v>
      </c>
      <c r="DK62" s="33" t="n">
        <v>0</v>
      </c>
      <c r="DL62" s="33" t="n">
        <v>0</v>
      </c>
      <c r="DM62" s="33" t="n">
        <v>0</v>
      </c>
      <c r="DN62" s="33" t="n">
        <v>0</v>
      </c>
      <c r="DO62" s="33" t="n">
        <v>0</v>
      </c>
      <c r="DP62" s="33" t="n">
        <v>0</v>
      </c>
      <c r="DQ62" s="33" t="n">
        <v>0</v>
      </c>
      <c r="DR62" s="33" t="n">
        <v>0</v>
      </c>
      <c r="DS62" s="33" t="n">
        <v>0</v>
      </c>
      <c r="DT62" s="33" t="n">
        <v>0</v>
      </c>
      <c r="DU62" s="33" t="n">
        <v>0</v>
      </c>
      <c r="DV62" s="33" t="n">
        <v>0</v>
      </c>
      <c r="DW62" s="33" t="n">
        <v>0</v>
      </c>
      <c r="DX62" s="33" t="n">
        <v>0</v>
      </c>
      <c r="DY62" s="33" t="n">
        <v>0</v>
      </c>
      <c r="DZ62" s="33" t="n">
        <v>0</v>
      </c>
      <c r="EA62" s="33" t="n">
        <v>0</v>
      </c>
      <c r="EB62" s="33" t="n">
        <v>0</v>
      </c>
      <c r="EC62" s="33" t="n">
        <v>0</v>
      </c>
      <c r="ED62" s="33" t="n">
        <v>0</v>
      </c>
      <c r="EE62" s="33" t="n">
        <v>0</v>
      </c>
      <c r="EF62" s="33" t="n">
        <v>0</v>
      </c>
      <c r="EG62" s="33" t="n">
        <v>0</v>
      </c>
      <c r="EH62" s="33" t="n">
        <v>0</v>
      </c>
      <c r="EI62" s="33" t="n">
        <v>0</v>
      </c>
      <c r="EJ62" s="33" t="n">
        <v>0</v>
      </c>
      <c r="EK62" s="33" t="n">
        <v>0</v>
      </c>
      <c r="EL62" s="33" t="n">
        <v>0</v>
      </c>
      <c r="EM62" s="33" t="n">
        <v>0</v>
      </c>
      <c r="EN62" s="33" t="n">
        <v>0</v>
      </c>
      <c r="EO62" s="33" t="n">
        <v>0</v>
      </c>
      <c r="EP62" s="33" t="n">
        <v>0</v>
      </c>
      <c r="EQ62" s="33" t="n">
        <v>0</v>
      </c>
      <c r="ER62" s="33" t="n">
        <v>0</v>
      </c>
      <c r="ES62" s="33" t="n">
        <v>0</v>
      </c>
      <c r="ET62" s="33" t="n">
        <v>0</v>
      </c>
      <c r="EU62" s="33" t="n">
        <v>0</v>
      </c>
      <c r="EV62" s="33" t="n">
        <v>0</v>
      </c>
      <c r="EW62" s="33" t="n">
        <v>0</v>
      </c>
      <c r="EX62" s="33" t="n">
        <v>0</v>
      </c>
      <c r="EY62" s="33" t="n">
        <v>0</v>
      </c>
      <c r="EZ62" s="33" t="n">
        <v>0</v>
      </c>
      <c r="FA62" s="33" t="n">
        <v>0</v>
      </c>
      <c r="FB62" s="33" t="n">
        <v>0</v>
      </c>
      <c r="FC62" s="33" t="n">
        <v>0</v>
      </c>
      <c r="FD62" s="33" t="n">
        <v>0</v>
      </c>
      <c r="FE62" s="33" t="n">
        <v>0</v>
      </c>
      <c r="FF62" s="33" t="n">
        <v>0</v>
      </c>
      <c r="FG62" s="33" t="n">
        <v>0</v>
      </c>
      <c r="FH62" s="33" t="n">
        <v>0</v>
      </c>
      <c r="FI62" s="33" t="n">
        <v>0</v>
      </c>
      <c r="FJ62" s="33" t="n">
        <v>0</v>
      </c>
      <c r="FK62" s="33" t="n">
        <v>0</v>
      </c>
      <c r="FL62" s="33" t="n">
        <v>0</v>
      </c>
      <c r="FM62" s="33" t="n">
        <v>0</v>
      </c>
      <c r="FN62" s="33" t="n">
        <v>0</v>
      </c>
      <c r="FO62" s="33" t="n">
        <v>0</v>
      </c>
      <c r="FP62" s="33" t="n">
        <v>0</v>
      </c>
      <c r="FQ62" s="33" t="n">
        <v>0</v>
      </c>
      <c r="FR62" s="33" t="n">
        <v>0</v>
      </c>
      <c r="FS62" s="33" t="n">
        <v>0</v>
      </c>
      <c r="FT62" s="33" t="n">
        <v>0</v>
      </c>
      <c r="FU62" s="33" t="n">
        <v>0</v>
      </c>
      <c r="FV62" s="33" t="n">
        <v>0</v>
      </c>
      <c r="FW62" s="33" t="n">
        <v>0</v>
      </c>
      <c r="FX62" s="33" t="n">
        <v>0</v>
      </c>
      <c r="FY62" s="33" t="n">
        <v>0</v>
      </c>
      <c r="FZ62" s="33" t="n">
        <v>0</v>
      </c>
      <c r="GA62" s="33" t="n">
        <v>0</v>
      </c>
      <c r="GB62" s="33" t="n">
        <v>0</v>
      </c>
      <c r="GC62" s="33" t="n">
        <v>0</v>
      </c>
      <c r="GD62" s="33" t="n">
        <v>0</v>
      </c>
      <c r="GE62" s="33" t="n">
        <v>0</v>
      </c>
      <c r="GF62" s="33" t="n">
        <v>0</v>
      </c>
      <c r="GG62" s="33" t="n">
        <v>0</v>
      </c>
      <c r="GH62" s="33" t="n">
        <v>0</v>
      </c>
      <c r="GI62" s="33" t="n">
        <v>0</v>
      </c>
      <c r="GJ62" s="33" t="n">
        <v>0</v>
      </c>
      <c r="GK62" s="33" t="n">
        <v>0</v>
      </c>
      <c r="GL62" s="33" t="n">
        <v>0</v>
      </c>
      <c r="GM62" s="33" t="n">
        <v>0</v>
      </c>
      <c r="GN62" s="33" t="n">
        <v>0</v>
      </c>
      <c r="GO62" s="33" t="n">
        <v>0</v>
      </c>
      <c r="GP62" s="33" t="n">
        <v>0</v>
      </c>
      <c r="GQ62" s="33" t="n">
        <v>0</v>
      </c>
      <c r="GR62" s="33" t="n">
        <v>0</v>
      </c>
      <c r="GS62" s="33" t="n">
        <v>0</v>
      </c>
      <c r="GT62" s="33" t="n">
        <v>0</v>
      </c>
      <c r="GU62" s="33" t="n">
        <v>0</v>
      </c>
      <c r="GV62" s="33" t="n">
        <v>0</v>
      </c>
      <c r="GW62" s="33" t="n">
        <v>0</v>
      </c>
      <c r="GX62" s="33" t="n">
        <v>0</v>
      </c>
      <c r="GY62" s="33" t="n">
        <v>0</v>
      </c>
      <c r="GZ62" s="33" t="n">
        <v>0</v>
      </c>
      <c r="HA62" s="33" t="n">
        <v>0</v>
      </c>
      <c r="HB62" s="33" t="n">
        <v>0</v>
      </c>
      <c r="HC62" s="33" t="n">
        <v>0</v>
      </c>
      <c r="HD62" s="33" t="n">
        <v>0</v>
      </c>
      <c r="HE62" s="33" t="n">
        <v>0</v>
      </c>
      <c r="HF62" s="33" t="n">
        <v>0</v>
      </c>
      <c r="HG62" s="33" t="n">
        <v>0</v>
      </c>
      <c r="HH62" s="33" t="n">
        <v>0</v>
      </c>
      <c r="HI62" s="33" t="n">
        <v>0</v>
      </c>
      <c r="HJ62" s="33" t="n">
        <v>0</v>
      </c>
      <c r="HK62" s="33" t="n">
        <v>0</v>
      </c>
      <c r="HL62" s="33" t="n">
        <v>0</v>
      </c>
      <c r="HM62" s="33" t="n">
        <v>0</v>
      </c>
      <c r="HN62" s="33" t="n">
        <v>0</v>
      </c>
      <c r="HO62" s="33" t="n">
        <v>0</v>
      </c>
      <c r="HP62" s="33" t="n">
        <v>0</v>
      </c>
      <c r="HQ62" s="33" t="n">
        <v>0</v>
      </c>
      <c r="HR62" s="33" t="n">
        <v>0</v>
      </c>
      <c r="HS62" s="33" t="n">
        <v>0</v>
      </c>
      <c r="HT62" s="33" t="n">
        <v>0</v>
      </c>
      <c r="HU62" s="33" t="n">
        <v>0</v>
      </c>
      <c r="HV62" s="33" t="n">
        <v>0</v>
      </c>
      <c r="HW62" s="33" t="n">
        <v>0</v>
      </c>
      <c r="HX62" s="33" t="n">
        <v>0</v>
      </c>
      <c r="HY62" s="33" t="n">
        <v>0</v>
      </c>
      <c r="HZ62" s="33" t="n">
        <v>0</v>
      </c>
      <c r="IA62" s="33" t="n">
        <v>0</v>
      </c>
      <c r="IB62" s="33" t="n">
        <v>0</v>
      </c>
      <c r="IC62" s="33" t="n">
        <v>0</v>
      </c>
      <c r="ID62" s="33" t="n">
        <v>0</v>
      </c>
      <c r="IE62" s="33" t="n">
        <v>0</v>
      </c>
      <c r="IF62" s="33" t="n">
        <v>0</v>
      </c>
      <c r="IG62" s="33" t="n">
        <v>0</v>
      </c>
      <c r="IH62" s="33" t="n">
        <v>0</v>
      </c>
      <c r="II62" s="33" t="n">
        <v>0</v>
      </c>
      <c r="IJ62" s="33" t="n">
        <v>0</v>
      </c>
      <c r="IK62" s="33" t="n">
        <v>0</v>
      </c>
      <c r="IL62" s="33" t="n">
        <v>0</v>
      </c>
      <c r="IM62" s="33" t="n">
        <v>0</v>
      </c>
      <c r="IN62" s="33" t="n">
        <v>0</v>
      </c>
      <c r="IO62" s="33" t="n">
        <v>0</v>
      </c>
      <c r="IP62" s="33" t="n">
        <v>0</v>
      </c>
      <c r="IQ62" s="33" t="n">
        <v>0</v>
      </c>
      <c r="IR62" s="33" t="n">
        <v>0</v>
      </c>
      <c r="IS62" s="33" t="n">
        <v>0</v>
      </c>
      <c r="IT62" s="33" t="n">
        <v>0</v>
      </c>
      <c r="IU62" s="33" t="n">
        <v>0</v>
      </c>
      <c r="IV62" s="33" t="n">
        <v>0</v>
      </c>
      <c r="IW62" s="33" t="n">
        <v>0</v>
      </c>
      <c r="IX62" s="33" t="n">
        <v>0</v>
      </c>
      <c r="IY62" s="33" t="n">
        <v>0</v>
      </c>
      <c r="IZ62" s="33" t="n">
        <v>0</v>
      </c>
      <c r="JA62" s="33" t="n">
        <v>0</v>
      </c>
      <c r="JB62" s="33" t="n">
        <v>0</v>
      </c>
      <c r="JC62" s="33" t="n">
        <v>0</v>
      </c>
      <c r="JD62" s="33" t="n">
        <v>0</v>
      </c>
      <c r="JE62" s="33" t="n">
        <v>0</v>
      </c>
      <c r="JF62" s="33" t="n">
        <v>0</v>
      </c>
      <c r="JG62" s="33" t="n">
        <v>0</v>
      </c>
      <c r="JH62" s="33" t="n">
        <v>0</v>
      </c>
      <c r="JI62" s="33" t="n">
        <v>0</v>
      </c>
      <c r="JJ62" s="33" t="n">
        <v>0</v>
      </c>
      <c r="JK62" s="33" t="n">
        <v>0</v>
      </c>
      <c r="JL62" s="33" t="n">
        <v>0</v>
      </c>
      <c r="JM62" s="33" t="n">
        <v>0</v>
      </c>
      <c r="JN62" s="33" t="n">
        <v>0</v>
      </c>
      <c r="JO62" s="33" t="n">
        <v>0</v>
      </c>
      <c r="JP62" s="33" t="n">
        <v>0</v>
      </c>
      <c r="JQ62" s="33" t="n">
        <v>0</v>
      </c>
      <c r="JR62" s="33" t="n">
        <v>0</v>
      </c>
      <c r="JS62" s="33" t="n">
        <v>0</v>
      </c>
      <c r="JT62" s="33" t="n">
        <v>0</v>
      </c>
      <c r="JU62" s="33" t="n">
        <v>0</v>
      </c>
      <c r="JV62" s="33" t="n">
        <v>0</v>
      </c>
      <c r="JW62" s="33" t="n">
        <v>0</v>
      </c>
      <c r="JX62" s="33" t="n">
        <v>0</v>
      </c>
      <c r="JY62" s="33" t="n">
        <v>0</v>
      </c>
      <c r="JZ62" s="33" t="n">
        <v>0</v>
      </c>
      <c r="KA62" s="33" t="n">
        <v>0</v>
      </c>
      <c r="KB62" s="33" t="n">
        <v>0</v>
      </c>
      <c r="KC62" s="33" t="n">
        <v>0</v>
      </c>
      <c r="KD62" s="33" t="n">
        <v>0</v>
      </c>
      <c r="KE62" s="33" t="n">
        <v>0</v>
      </c>
      <c r="KF62" s="33" t="n">
        <v>0</v>
      </c>
      <c r="KG62" s="33" t="n">
        <v>0</v>
      </c>
      <c r="KH62" s="33" t="n">
        <v>0</v>
      </c>
      <c r="KI62" s="33" t="n">
        <v>0</v>
      </c>
      <c r="KJ62" s="33" t="n">
        <v>0</v>
      </c>
      <c r="KK62" s="33" t="n">
        <v>0</v>
      </c>
      <c r="KL62" s="33" t="n">
        <v>0</v>
      </c>
      <c r="KM62" s="33" t="n">
        <v>0</v>
      </c>
      <c r="KN62" s="33" t="n">
        <v>0</v>
      </c>
      <c r="KO62" s="33" t="n">
        <v>0</v>
      </c>
      <c r="KP62" s="33" t="n">
        <v>0</v>
      </c>
      <c r="KQ62" s="33" t="n">
        <v>0</v>
      </c>
      <c r="KR62" s="33" t="n">
        <v>0</v>
      </c>
      <c r="KS62" s="33" t="n">
        <v>0</v>
      </c>
      <c r="KT62" s="33" t="n">
        <v>0</v>
      </c>
      <c r="KU62" s="33" t="n">
        <v>0</v>
      </c>
      <c r="KV62" s="33" t="n">
        <v>0</v>
      </c>
      <c r="KW62" s="33" t="n">
        <v>0</v>
      </c>
      <c r="KX62" s="33" t="n">
        <v>0</v>
      </c>
      <c r="KY62" s="33" t="n">
        <v>0</v>
      </c>
      <c r="KZ62" s="33" t="n">
        <v>0</v>
      </c>
      <c r="LA62" s="33" t="n">
        <v>0</v>
      </c>
      <c r="LB62" s="33" t="n">
        <v>0</v>
      </c>
      <c r="LC62" s="33" t="n">
        <v>0</v>
      </c>
      <c r="LD62" s="33" t="n">
        <v>0</v>
      </c>
      <c r="LE62" s="33" t="n">
        <v>0</v>
      </c>
      <c r="LF62" s="33" t="n">
        <v>0</v>
      </c>
      <c r="LG62" s="33" t="n">
        <v>0</v>
      </c>
      <c r="LH62" s="33" t="n">
        <v>0</v>
      </c>
      <c r="LI62" s="33" t="n">
        <v>0</v>
      </c>
      <c r="LJ62" s="33" t="n">
        <v>0</v>
      </c>
      <c r="LK62" s="33" t="n">
        <v>0</v>
      </c>
      <c r="LL62" s="33" t="n">
        <v>0</v>
      </c>
      <c r="LM62" s="33" t="n">
        <v>0</v>
      </c>
      <c r="LN62" s="33" t="n">
        <v>0</v>
      </c>
      <c r="LO62" s="33" t="n">
        <v>0</v>
      </c>
      <c r="LP62" s="33" t="n">
        <v>0</v>
      </c>
      <c r="LQ62" s="33" t="n">
        <v>0</v>
      </c>
      <c r="LR62" s="33" t="n">
        <v>0</v>
      </c>
      <c r="LS62" s="33" t="n">
        <v>0</v>
      </c>
      <c r="LT62" s="33" t="n">
        <v>0</v>
      </c>
      <c r="LU62" s="33" t="n">
        <v>0</v>
      </c>
      <c r="LV62" s="33" t="n">
        <v>0</v>
      </c>
      <c r="LW62" s="33" t="n">
        <v>0</v>
      </c>
      <c r="LX62" s="33" t="n">
        <v>0</v>
      </c>
      <c r="LY62" s="33" t="n">
        <v>0</v>
      </c>
      <c r="LZ62" s="33" t="n">
        <v>0</v>
      </c>
      <c r="MA62" s="33" t="n">
        <v>0</v>
      </c>
      <c r="MB62" s="33" t="n">
        <v>0</v>
      </c>
      <c r="MC62" s="33" t="n">
        <v>0</v>
      </c>
      <c r="MD62" s="33" t="n">
        <v>0</v>
      </c>
      <c r="ME62" s="33" t="n">
        <v>0</v>
      </c>
      <c r="MF62" s="33" t="n">
        <v>0</v>
      </c>
      <c r="MG62" s="33" t="n">
        <v>0</v>
      </c>
      <c r="MH62" s="33" t="n">
        <v>0</v>
      </c>
      <c r="MI62" s="33" t="n">
        <v>0</v>
      </c>
      <c r="MJ62" s="33" t="n">
        <v>0</v>
      </c>
      <c r="MK62" s="33" t="n">
        <v>0</v>
      </c>
      <c r="ML62" s="33" t="n">
        <v>0</v>
      </c>
      <c r="MM62" s="33" t="n">
        <v>0</v>
      </c>
      <c r="MN62" s="33" t="n">
        <v>0</v>
      </c>
      <c r="MO62" s="33" t="n">
        <v>0</v>
      </c>
      <c r="MP62" s="33" t="n">
        <v>0</v>
      </c>
      <c r="MQ62" s="33" t="n">
        <v>0</v>
      </c>
      <c r="MR62" s="33" t="n">
        <v>0</v>
      </c>
      <c r="MS62" s="33" t="n">
        <v>0</v>
      </c>
      <c r="MT62" s="33" t="n">
        <v>0</v>
      </c>
      <c r="MU62" s="33" t="n">
        <v>0</v>
      </c>
      <c r="MV62" s="33" t="n">
        <v>0</v>
      </c>
      <c r="MW62" s="33" t="n">
        <v>0</v>
      </c>
      <c r="MX62" s="33" t="n">
        <v>0</v>
      </c>
      <c r="MY62" s="33" t="n">
        <v>0</v>
      </c>
      <c r="MZ62" s="33" t="n">
        <v>0</v>
      </c>
      <c r="NA62" s="33" t="n">
        <v>0</v>
      </c>
      <c r="NB62" s="33" t="n">
        <v>0</v>
      </c>
      <c r="NC62" s="33" t="n">
        <v>0</v>
      </c>
      <c r="ND62" s="33" t="n">
        <v>0</v>
      </c>
      <c r="NE62" s="33" t="n">
        <v>0</v>
      </c>
      <c r="NF62" s="33" t="n">
        <v>0</v>
      </c>
      <c r="NG62" s="33" t="n">
        <v>0</v>
      </c>
      <c r="NH62" s="33" t="n">
        <v>0</v>
      </c>
      <c r="NI62" s="33" t="n">
        <v>0</v>
      </c>
      <c r="NJ62" s="33" t="n">
        <v>0</v>
      </c>
      <c r="NK62" s="33" t="n">
        <v>0</v>
      </c>
      <c r="NL62" s="33" t="n">
        <v>0</v>
      </c>
      <c r="NM62" s="33" t="n">
        <v>0</v>
      </c>
      <c r="NN62" s="33" t="n">
        <v>0</v>
      </c>
      <c r="NO62" s="33" t="n">
        <v>0</v>
      </c>
      <c r="NP62" s="33" t="n">
        <v>0</v>
      </c>
      <c r="NQ62" s="33" t="n">
        <v>0</v>
      </c>
      <c r="NR62" s="33" t="n">
        <v>0</v>
      </c>
      <c r="NS62" s="33" t="n">
        <v>0</v>
      </c>
      <c r="NT62" s="33" t="n">
        <v>0</v>
      </c>
      <c r="NU62" s="33" t="n">
        <v>0</v>
      </c>
      <c r="NV62" s="33" t="n">
        <v>0</v>
      </c>
      <c r="NW62" s="33" t="n">
        <v>0</v>
      </c>
      <c r="NX62" s="33" t="n">
        <v>0</v>
      </c>
      <c r="NY62" s="33" t="n">
        <v>0</v>
      </c>
      <c r="NZ62" s="33" t="n">
        <v>0</v>
      </c>
      <c r="OA62" s="33" t="n">
        <v>0</v>
      </c>
      <c r="OB62" s="33" t="n">
        <v>0</v>
      </c>
      <c r="OC62" s="33" t="n">
        <v>0</v>
      </c>
      <c r="OD62" s="33" t="n">
        <v>0</v>
      </c>
      <c r="OE62" s="33" t="n">
        <v>0</v>
      </c>
      <c r="OF62" s="33" t="n">
        <v>0</v>
      </c>
      <c r="OG62" s="33" t="n">
        <v>0</v>
      </c>
      <c r="OH62" s="33" t="n">
        <v>0</v>
      </c>
      <c r="OI62" s="33" t="n">
        <v>0</v>
      </c>
      <c r="OJ62" s="33" t="n">
        <v>0</v>
      </c>
      <c r="OK62" s="33" t="n">
        <v>0</v>
      </c>
      <c r="OL62" s="33" t="n">
        <v>0</v>
      </c>
      <c r="OM62" s="33" t="n">
        <v>0</v>
      </c>
      <c r="ON62" s="33" t="n">
        <v>0</v>
      </c>
      <c r="OO62" s="33" t="n">
        <v>0</v>
      </c>
      <c r="OP62" s="33" t="n">
        <v>0</v>
      </c>
      <c r="OQ62" s="33" t="n">
        <v>0</v>
      </c>
      <c r="OR62" s="33" t="n">
        <v>0</v>
      </c>
      <c r="OS62" s="33" t="n">
        <v>0</v>
      </c>
      <c r="OT62" s="33" t="n">
        <v>0</v>
      </c>
      <c r="OU62" s="33" t="n">
        <v>0</v>
      </c>
      <c r="OV62" s="33" t="n">
        <v>0</v>
      </c>
      <c r="OW62" s="33" t="n">
        <v>0</v>
      </c>
      <c r="OX62" s="33" t="n">
        <v>0</v>
      </c>
      <c r="OY62" s="33" t="n">
        <v>0</v>
      </c>
      <c r="OZ62" s="33" t="n">
        <v>0</v>
      </c>
      <c r="PA62" s="33" t="n">
        <v>0</v>
      </c>
      <c r="PB62" s="33" t="n">
        <v>0</v>
      </c>
      <c r="PC62" s="33" t="n">
        <v>0</v>
      </c>
      <c r="PD62" s="33" t="n">
        <v>0</v>
      </c>
      <c r="PE62" s="33" t="n">
        <v>0</v>
      </c>
      <c r="PF62" s="33" t="n">
        <v>0</v>
      </c>
      <c r="PG62" s="33" t="n">
        <v>0</v>
      </c>
      <c r="PH62" s="33" t="n">
        <v>0</v>
      </c>
      <c r="PI62" s="33" t="n">
        <v>0</v>
      </c>
      <c r="PJ62" s="33" t="n">
        <v>0</v>
      </c>
      <c r="PK62" s="33" t="n">
        <v>0</v>
      </c>
      <c r="PL62" s="33" t="n">
        <v>0</v>
      </c>
      <c r="PM62" s="33" t="n">
        <v>0</v>
      </c>
      <c r="PN62" s="33" t="n">
        <v>0</v>
      </c>
      <c r="PO62" s="33" t="n">
        <v>0</v>
      </c>
      <c r="PP62" s="33" t="n">
        <v>0</v>
      </c>
      <c r="PQ62" s="33" t="n">
        <v>0</v>
      </c>
      <c r="PR62" s="33" t="n">
        <v>0</v>
      </c>
      <c r="PS62" s="33" t="n">
        <v>0</v>
      </c>
      <c r="PT62" s="33" t="n">
        <v>0</v>
      </c>
      <c r="PU62" s="33" t="n">
        <v>0</v>
      </c>
      <c r="PV62" s="33" t="n">
        <v>0</v>
      </c>
      <c r="PW62" s="33" t="n">
        <v>0</v>
      </c>
      <c r="PX62" s="33" t="n">
        <v>0</v>
      </c>
      <c r="PY62" s="33" t="n">
        <v>0</v>
      </c>
      <c r="PZ62" s="33" t="n">
        <v>0</v>
      </c>
      <c r="QA62" s="33" t="n">
        <v>0</v>
      </c>
      <c r="QB62" s="33" t="n">
        <v>0</v>
      </c>
      <c r="QC62" s="33" t="n">
        <v>0</v>
      </c>
      <c r="QD62" s="33" t="n">
        <v>0</v>
      </c>
      <c r="QE62" s="33" t="n">
        <v>0</v>
      </c>
      <c r="QF62" s="33" t="n">
        <v>0</v>
      </c>
      <c r="QG62" s="33" t="n">
        <v>0</v>
      </c>
      <c r="QH62" s="33" t="n">
        <v>0</v>
      </c>
      <c r="QI62" s="33" t="n">
        <v>0</v>
      </c>
      <c r="QJ62" s="33" t="n">
        <v>0</v>
      </c>
      <c r="QK62" s="33" t="n">
        <v>0</v>
      </c>
      <c r="QL62" s="33" t="n">
        <v>0</v>
      </c>
      <c r="QM62" s="33" t="n">
        <v>0</v>
      </c>
      <c r="QN62" s="33" t="n">
        <v>0</v>
      </c>
      <c r="QO62" s="33" t="n">
        <v>0</v>
      </c>
      <c r="QP62" s="33" t="n">
        <v>0</v>
      </c>
      <c r="QQ62" s="33" t="n">
        <v>0</v>
      </c>
      <c r="QR62" s="33" t="n">
        <v>0</v>
      </c>
      <c r="QS62" s="33" t="n">
        <v>0</v>
      </c>
      <c r="QT62" s="33" t="n">
        <v>0</v>
      </c>
      <c r="QU62" s="33" t="n">
        <v>0</v>
      </c>
      <c r="QV62" s="33" t="n">
        <v>0</v>
      </c>
      <c r="QW62" s="33" t="n">
        <v>0</v>
      </c>
      <c r="QX62" s="33" t="n">
        <v>0</v>
      </c>
      <c r="QY62" s="33" t="n">
        <v>0</v>
      </c>
      <c r="QZ62" s="33" t="n">
        <v>0</v>
      </c>
      <c r="RA62" s="33" t="n">
        <v>0</v>
      </c>
      <c r="RB62" s="33" t="n">
        <v>0</v>
      </c>
      <c r="RC62" s="33" t="n">
        <v>0</v>
      </c>
      <c r="RD62" s="33" t="n">
        <v>0</v>
      </c>
      <c r="RE62" s="33" t="n">
        <v>0</v>
      </c>
      <c r="RF62" s="33" t="n">
        <v>0</v>
      </c>
      <c r="RG62" s="33" t="n">
        <v>0</v>
      </c>
      <c r="RH62" s="33" t="n">
        <v>0</v>
      </c>
      <c r="RI62" s="33" t="n">
        <v>0</v>
      </c>
      <c r="RJ62" s="33" t="n">
        <v>0</v>
      </c>
      <c r="RK62" s="33" t="n">
        <v>0</v>
      </c>
      <c r="RL62" s="33" t="n">
        <v>0</v>
      </c>
      <c r="RM62" s="33" t="n">
        <v>0</v>
      </c>
      <c r="RN62" s="33" t="n">
        <v>0</v>
      </c>
      <c r="RO62" s="33" t="n">
        <v>0</v>
      </c>
      <c r="RP62" s="33" t="n">
        <v>0</v>
      </c>
      <c r="RQ62" s="33" t="n">
        <v>0</v>
      </c>
      <c r="RR62" s="33" t="n">
        <v>0</v>
      </c>
      <c r="RS62" s="33" t="n">
        <v>0</v>
      </c>
      <c r="RT62" s="33" t="n">
        <v>0</v>
      </c>
      <c r="RU62" s="33" t="n">
        <v>0</v>
      </c>
      <c r="RV62" s="33" t="n">
        <v>0</v>
      </c>
      <c r="RW62" s="33" t="n">
        <v>0</v>
      </c>
    </row>
    <row r="63" hidden="1" outlineLevel="1" ht="13.05" customHeight="1">
      <c r="E63" s="21" t="inlineStr">
        <is>
          <t>VTA Total Compensation</t>
        </is>
      </c>
      <c r="F63" s="29" t="n"/>
      <c r="G63" s="29" t="inlineStr">
        <is>
          <t>kEUR</t>
        </is>
      </c>
      <c r="H63" s="29" t="n"/>
      <c r="I63" s="29" t="n"/>
      <c r="J63" s="32" t="n">
        <v>0</v>
      </c>
      <c r="K63" s="29" t="n"/>
      <c r="L63" s="33" t="n">
        <v>0</v>
      </c>
      <c r="M63" s="33" t="n">
        <v>0</v>
      </c>
      <c r="N63" s="33" t="n">
        <v>0</v>
      </c>
      <c r="O63" s="33" t="n">
        <v>0</v>
      </c>
      <c r="P63" s="33" t="n">
        <v>0</v>
      </c>
      <c r="Q63" s="33" t="n">
        <v>0</v>
      </c>
      <c r="R63" s="33" t="n">
        <v>0</v>
      </c>
      <c r="S63" s="33" t="n">
        <v>0</v>
      </c>
      <c r="T63" s="33" t="n">
        <v>0</v>
      </c>
      <c r="U63" s="33" t="n">
        <v>0</v>
      </c>
      <c r="V63" s="33" t="n">
        <v>0</v>
      </c>
      <c r="W63" s="33" t="n">
        <v>0</v>
      </c>
      <c r="X63" s="33" t="n">
        <v>0</v>
      </c>
      <c r="Y63" s="33" t="n">
        <v>0</v>
      </c>
      <c r="Z63" s="33" t="n">
        <v>0</v>
      </c>
      <c r="AA63" s="33" t="n">
        <v>0</v>
      </c>
      <c r="AB63" s="33" t="n">
        <v>0</v>
      </c>
      <c r="AC63" s="33" t="n">
        <v>0</v>
      </c>
      <c r="AD63" s="33" t="n">
        <v>0</v>
      </c>
      <c r="AE63" s="33" t="n">
        <v>0</v>
      </c>
      <c r="AF63" s="33" t="n">
        <v>0</v>
      </c>
      <c r="AG63" s="33" t="n">
        <v>0</v>
      </c>
      <c r="AH63" s="33" t="n">
        <v>0</v>
      </c>
      <c r="AI63" s="33" t="n">
        <v>0</v>
      </c>
      <c r="AJ63" s="33" t="n">
        <v>0</v>
      </c>
      <c r="AK63" s="33" t="n">
        <v>0</v>
      </c>
      <c r="AL63" s="33" t="n">
        <v>0</v>
      </c>
      <c r="AM63" s="33" t="n">
        <v>0</v>
      </c>
      <c r="AN63" s="33" t="n">
        <v>0</v>
      </c>
      <c r="AO63" s="33" t="n">
        <v>0</v>
      </c>
      <c r="AP63" s="33" t="n">
        <v>0</v>
      </c>
      <c r="AQ63" s="33" t="n">
        <v>0</v>
      </c>
      <c r="AR63" s="33" t="n">
        <v>0</v>
      </c>
      <c r="AS63" s="33" t="n">
        <v>0</v>
      </c>
      <c r="AT63" s="33" t="n">
        <v>0</v>
      </c>
      <c r="AU63" s="33" t="n">
        <v>0</v>
      </c>
      <c r="AV63" s="33" t="n">
        <v>0</v>
      </c>
      <c r="AW63" s="33" t="n">
        <v>0</v>
      </c>
      <c r="AX63" s="33" t="n">
        <v>0</v>
      </c>
      <c r="AY63" s="33" t="n">
        <v>0</v>
      </c>
      <c r="AZ63" s="33" t="n">
        <v>0</v>
      </c>
      <c r="BA63" s="33" t="n">
        <v>0</v>
      </c>
      <c r="BB63" s="33" t="n">
        <v>0</v>
      </c>
      <c r="BC63" s="33" t="n">
        <v>0</v>
      </c>
      <c r="BD63" s="33" t="n">
        <v>0</v>
      </c>
      <c r="BE63" s="33" t="n">
        <v>0</v>
      </c>
      <c r="BF63" s="33" t="n">
        <v>0</v>
      </c>
      <c r="BG63" s="33" t="n">
        <v>0</v>
      </c>
      <c r="BH63" s="33" t="n">
        <v>0</v>
      </c>
      <c r="BI63" s="33" t="n">
        <v>0</v>
      </c>
      <c r="BJ63" s="33" t="n">
        <v>0</v>
      </c>
      <c r="BK63" s="33" t="n">
        <v>0</v>
      </c>
      <c r="BL63" s="33" t="n">
        <v>0</v>
      </c>
      <c r="BM63" s="33" t="n">
        <v>0</v>
      </c>
      <c r="BN63" s="33" t="n">
        <v>0</v>
      </c>
      <c r="BO63" s="33" t="n">
        <v>0</v>
      </c>
      <c r="BP63" s="33" t="n">
        <v>0</v>
      </c>
      <c r="BQ63" s="33" t="n">
        <v>0</v>
      </c>
      <c r="BR63" s="33" t="n">
        <v>0</v>
      </c>
      <c r="BS63" s="33" t="n">
        <v>0</v>
      </c>
      <c r="BT63" s="33" t="n">
        <v>0</v>
      </c>
      <c r="BU63" s="33" t="n">
        <v>0</v>
      </c>
      <c r="BV63" s="33" t="n">
        <v>0</v>
      </c>
      <c r="BW63" s="33" t="n">
        <v>0</v>
      </c>
      <c r="BX63" s="33" t="n">
        <v>0</v>
      </c>
      <c r="BY63" s="33" t="n">
        <v>0</v>
      </c>
      <c r="BZ63" s="33" t="n">
        <v>0</v>
      </c>
      <c r="CA63" s="33" t="n">
        <v>0</v>
      </c>
      <c r="CB63" s="33" t="n">
        <v>0</v>
      </c>
      <c r="CC63" s="33" t="n">
        <v>0</v>
      </c>
      <c r="CD63" s="33" t="n">
        <v>0</v>
      </c>
      <c r="CE63" s="33" t="n">
        <v>0</v>
      </c>
      <c r="CF63" s="33" t="n">
        <v>0</v>
      </c>
      <c r="CG63" s="33" t="n">
        <v>0</v>
      </c>
      <c r="CH63" s="33" t="n">
        <v>0</v>
      </c>
      <c r="CI63" s="33" t="n">
        <v>0</v>
      </c>
      <c r="CJ63" s="33" t="n">
        <v>0</v>
      </c>
      <c r="CK63" s="33" t="n">
        <v>0</v>
      </c>
      <c r="CL63" s="33" t="n">
        <v>0</v>
      </c>
      <c r="CM63" s="33" t="n">
        <v>0</v>
      </c>
      <c r="CN63" s="33" t="n">
        <v>0</v>
      </c>
      <c r="CO63" s="33" t="n">
        <v>0</v>
      </c>
      <c r="CP63" s="33" t="n">
        <v>0</v>
      </c>
      <c r="CQ63" s="33" t="n">
        <v>0</v>
      </c>
      <c r="CR63" s="33" t="n">
        <v>0</v>
      </c>
      <c r="CS63" s="33" t="n">
        <v>0</v>
      </c>
      <c r="CT63" s="33" t="n">
        <v>0</v>
      </c>
      <c r="CU63" s="33" t="n">
        <v>0</v>
      </c>
      <c r="CV63" s="33" t="n">
        <v>0</v>
      </c>
      <c r="CW63" s="33" t="n">
        <v>0</v>
      </c>
      <c r="CX63" s="33" t="n">
        <v>0</v>
      </c>
      <c r="CY63" s="33" t="n">
        <v>0</v>
      </c>
      <c r="CZ63" s="33" t="n">
        <v>0</v>
      </c>
      <c r="DA63" s="33" t="n">
        <v>0</v>
      </c>
      <c r="DB63" s="33" t="n">
        <v>0</v>
      </c>
      <c r="DC63" s="33" t="n">
        <v>0</v>
      </c>
      <c r="DD63" s="33" t="n">
        <v>0</v>
      </c>
      <c r="DE63" s="33" t="n">
        <v>0</v>
      </c>
      <c r="DF63" s="33" t="n">
        <v>0</v>
      </c>
      <c r="DG63" s="33" t="n">
        <v>0</v>
      </c>
      <c r="DH63" s="33" t="n">
        <v>0</v>
      </c>
      <c r="DI63" s="33" t="n">
        <v>0</v>
      </c>
      <c r="DJ63" s="33" t="n">
        <v>0</v>
      </c>
      <c r="DK63" s="33" t="n">
        <v>0</v>
      </c>
      <c r="DL63" s="33" t="n">
        <v>0</v>
      </c>
      <c r="DM63" s="33" t="n">
        <v>0</v>
      </c>
      <c r="DN63" s="33" t="n">
        <v>0</v>
      </c>
      <c r="DO63" s="33" t="n">
        <v>0</v>
      </c>
      <c r="DP63" s="33" t="n">
        <v>0</v>
      </c>
      <c r="DQ63" s="33" t="n">
        <v>0</v>
      </c>
      <c r="DR63" s="33" t="n">
        <v>0</v>
      </c>
      <c r="DS63" s="33" t="n">
        <v>0</v>
      </c>
      <c r="DT63" s="33" t="n">
        <v>0</v>
      </c>
      <c r="DU63" s="33" t="n">
        <v>0</v>
      </c>
      <c r="DV63" s="33" t="n">
        <v>0</v>
      </c>
      <c r="DW63" s="33" t="n">
        <v>0</v>
      </c>
      <c r="DX63" s="33" t="n">
        <v>0</v>
      </c>
      <c r="DY63" s="33" t="n">
        <v>0</v>
      </c>
      <c r="DZ63" s="33" t="n">
        <v>0</v>
      </c>
      <c r="EA63" s="33" t="n">
        <v>0</v>
      </c>
      <c r="EB63" s="33" t="n">
        <v>0</v>
      </c>
      <c r="EC63" s="33" t="n">
        <v>0</v>
      </c>
      <c r="ED63" s="33" t="n">
        <v>0</v>
      </c>
      <c r="EE63" s="33" t="n">
        <v>0</v>
      </c>
      <c r="EF63" s="33" t="n">
        <v>0</v>
      </c>
      <c r="EG63" s="33" t="n">
        <v>0</v>
      </c>
      <c r="EH63" s="33" t="n">
        <v>0</v>
      </c>
      <c r="EI63" s="33" t="n">
        <v>0</v>
      </c>
      <c r="EJ63" s="33" t="n">
        <v>0</v>
      </c>
      <c r="EK63" s="33" t="n">
        <v>0</v>
      </c>
      <c r="EL63" s="33" t="n">
        <v>0</v>
      </c>
      <c r="EM63" s="33" t="n">
        <v>0</v>
      </c>
      <c r="EN63" s="33" t="n">
        <v>0</v>
      </c>
      <c r="EO63" s="33" t="n">
        <v>0</v>
      </c>
      <c r="EP63" s="33" t="n">
        <v>0</v>
      </c>
      <c r="EQ63" s="33" t="n">
        <v>0</v>
      </c>
      <c r="ER63" s="33" t="n">
        <v>0</v>
      </c>
      <c r="ES63" s="33" t="n">
        <v>0</v>
      </c>
      <c r="ET63" s="33" t="n">
        <v>0</v>
      </c>
      <c r="EU63" s="33" t="n">
        <v>0</v>
      </c>
      <c r="EV63" s="33" t="n">
        <v>0</v>
      </c>
      <c r="EW63" s="33" t="n">
        <v>0</v>
      </c>
      <c r="EX63" s="33" t="n">
        <v>0</v>
      </c>
      <c r="EY63" s="33" t="n">
        <v>0</v>
      </c>
      <c r="EZ63" s="33" t="n">
        <v>0</v>
      </c>
      <c r="FA63" s="33" t="n">
        <v>0</v>
      </c>
      <c r="FB63" s="33" t="n">
        <v>0</v>
      </c>
      <c r="FC63" s="33" t="n">
        <v>0</v>
      </c>
      <c r="FD63" s="33" t="n">
        <v>0</v>
      </c>
      <c r="FE63" s="33" t="n">
        <v>0</v>
      </c>
      <c r="FF63" s="33" t="n">
        <v>0</v>
      </c>
      <c r="FG63" s="33" t="n">
        <v>0</v>
      </c>
      <c r="FH63" s="33" t="n">
        <v>0</v>
      </c>
      <c r="FI63" s="33" t="n">
        <v>0</v>
      </c>
      <c r="FJ63" s="33" t="n">
        <v>0</v>
      </c>
      <c r="FK63" s="33" t="n">
        <v>0</v>
      </c>
      <c r="FL63" s="33" t="n">
        <v>0</v>
      </c>
      <c r="FM63" s="33" t="n">
        <v>0</v>
      </c>
      <c r="FN63" s="33" t="n">
        <v>0</v>
      </c>
      <c r="FO63" s="33" t="n">
        <v>0</v>
      </c>
      <c r="FP63" s="33" t="n">
        <v>0</v>
      </c>
      <c r="FQ63" s="33" t="n">
        <v>0</v>
      </c>
      <c r="FR63" s="33" t="n">
        <v>0</v>
      </c>
      <c r="FS63" s="33" t="n">
        <v>0</v>
      </c>
      <c r="FT63" s="33" t="n">
        <v>0</v>
      </c>
      <c r="FU63" s="33" t="n">
        <v>0</v>
      </c>
      <c r="FV63" s="33" t="n">
        <v>0</v>
      </c>
      <c r="FW63" s="33" t="n">
        <v>0</v>
      </c>
      <c r="FX63" s="33" t="n">
        <v>0</v>
      </c>
      <c r="FY63" s="33" t="n">
        <v>0</v>
      </c>
      <c r="FZ63" s="33" t="n">
        <v>0</v>
      </c>
      <c r="GA63" s="33" t="n">
        <v>0</v>
      </c>
      <c r="GB63" s="33" t="n">
        <v>0</v>
      </c>
      <c r="GC63" s="33" t="n">
        <v>0</v>
      </c>
      <c r="GD63" s="33" t="n">
        <v>0</v>
      </c>
      <c r="GE63" s="33" t="n">
        <v>0</v>
      </c>
      <c r="GF63" s="33" t="n">
        <v>0</v>
      </c>
      <c r="GG63" s="33" t="n">
        <v>0</v>
      </c>
      <c r="GH63" s="33" t="n">
        <v>0</v>
      </c>
      <c r="GI63" s="33" t="n">
        <v>0</v>
      </c>
      <c r="GJ63" s="33" t="n">
        <v>0</v>
      </c>
      <c r="GK63" s="33" t="n">
        <v>0</v>
      </c>
      <c r="GL63" s="33" t="n">
        <v>0</v>
      </c>
      <c r="GM63" s="33" t="n">
        <v>0</v>
      </c>
      <c r="GN63" s="33" t="n">
        <v>0</v>
      </c>
      <c r="GO63" s="33" t="n">
        <v>0</v>
      </c>
      <c r="GP63" s="33" t="n">
        <v>0</v>
      </c>
      <c r="GQ63" s="33" t="n">
        <v>0</v>
      </c>
      <c r="GR63" s="33" t="n">
        <v>0</v>
      </c>
      <c r="GS63" s="33" t="n">
        <v>0</v>
      </c>
      <c r="GT63" s="33" t="n">
        <v>0</v>
      </c>
      <c r="GU63" s="33" t="n">
        <v>0</v>
      </c>
      <c r="GV63" s="33" t="n">
        <v>0</v>
      </c>
      <c r="GW63" s="33" t="n">
        <v>0</v>
      </c>
      <c r="GX63" s="33" t="n">
        <v>0</v>
      </c>
      <c r="GY63" s="33" t="n">
        <v>0</v>
      </c>
      <c r="GZ63" s="33" t="n">
        <v>0</v>
      </c>
      <c r="HA63" s="33" t="n">
        <v>0</v>
      </c>
      <c r="HB63" s="33" t="n">
        <v>0</v>
      </c>
      <c r="HC63" s="33" t="n">
        <v>0</v>
      </c>
      <c r="HD63" s="33" t="n">
        <v>0</v>
      </c>
      <c r="HE63" s="33" t="n">
        <v>0</v>
      </c>
      <c r="HF63" s="33" t="n">
        <v>0</v>
      </c>
      <c r="HG63" s="33" t="n">
        <v>0</v>
      </c>
      <c r="HH63" s="33" t="n">
        <v>0</v>
      </c>
      <c r="HI63" s="33" t="n">
        <v>0</v>
      </c>
      <c r="HJ63" s="33" t="n">
        <v>0</v>
      </c>
      <c r="HK63" s="33" t="n">
        <v>0</v>
      </c>
      <c r="HL63" s="33" t="n">
        <v>0</v>
      </c>
      <c r="HM63" s="33" t="n">
        <v>0</v>
      </c>
      <c r="HN63" s="33" t="n">
        <v>0</v>
      </c>
      <c r="HO63" s="33" t="n">
        <v>0</v>
      </c>
      <c r="HP63" s="33" t="n">
        <v>0</v>
      </c>
      <c r="HQ63" s="33" t="n">
        <v>0</v>
      </c>
      <c r="HR63" s="33" t="n">
        <v>0</v>
      </c>
      <c r="HS63" s="33" t="n">
        <v>0</v>
      </c>
      <c r="HT63" s="33" t="n">
        <v>0</v>
      </c>
      <c r="HU63" s="33" t="n">
        <v>0</v>
      </c>
      <c r="HV63" s="33" t="n">
        <v>0</v>
      </c>
      <c r="HW63" s="33" t="n">
        <v>0</v>
      </c>
      <c r="HX63" s="33" t="n">
        <v>0</v>
      </c>
      <c r="HY63" s="33" t="n">
        <v>0</v>
      </c>
      <c r="HZ63" s="33" t="n">
        <v>0</v>
      </c>
      <c r="IA63" s="33" t="n">
        <v>0</v>
      </c>
      <c r="IB63" s="33" t="n">
        <v>0</v>
      </c>
      <c r="IC63" s="33" t="n">
        <v>0</v>
      </c>
      <c r="ID63" s="33" t="n">
        <v>0</v>
      </c>
      <c r="IE63" s="33" t="n">
        <v>0</v>
      </c>
      <c r="IF63" s="33" t="n">
        <v>0</v>
      </c>
      <c r="IG63" s="33" t="n">
        <v>0</v>
      </c>
      <c r="IH63" s="33" t="n">
        <v>0</v>
      </c>
      <c r="II63" s="33" t="n">
        <v>0</v>
      </c>
      <c r="IJ63" s="33" t="n">
        <v>0</v>
      </c>
      <c r="IK63" s="33" t="n">
        <v>0</v>
      </c>
      <c r="IL63" s="33" t="n">
        <v>0</v>
      </c>
      <c r="IM63" s="33" t="n">
        <v>0</v>
      </c>
      <c r="IN63" s="33" t="n">
        <v>0</v>
      </c>
      <c r="IO63" s="33" t="n">
        <v>0</v>
      </c>
      <c r="IP63" s="33" t="n">
        <v>0</v>
      </c>
      <c r="IQ63" s="33" t="n">
        <v>0</v>
      </c>
      <c r="IR63" s="33" t="n">
        <v>0</v>
      </c>
      <c r="IS63" s="33" t="n">
        <v>0</v>
      </c>
      <c r="IT63" s="33" t="n">
        <v>0</v>
      </c>
      <c r="IU63" s="33" t="n">
        <v>0</v>
      </c>
      <c r="IV63" s="33" t="n">
        <v>0</v>
      </c>
      <c r="IW63" s="33" t="n">
        <v>0</v>
      </c>
      <c r="IX63" s="33" t="n">
        <v>0</v>
      </c>
      <c r="IY63" s="33" t="n">
        <v>0</v>
      </c>
      <c r="IZ63" s="33" t="n">
        <v>0</v>
      </c>
      <c r="JA63" s="33" t="n">
        <v>0</v>
      </c>
      <c r="JB63" s="33" t="n">
        <v>0</v>
      </c>
      <c r="JC63" s="33" t="n">
        <v>0</v>
      </c>
      <c r="JD63" s="33" t="n">
        <v>0</v>
      </c>
      <c r="JE63" s="33" t="n">
        <v>0</v>
      </c>
      <c r="JF63" s="33" t="n">
        <v>0</v>
      </c>
      <c r="JG63" s="33" t="n">
        <v>0</v>
      </c>
      <c r="JH63" s="33" t="n">
        <v>0</v>
      </c>
      <c r="JI63" s="33" t="n">
        <v>0</v>
      </c>
      <c r="JJ63" s="33" t="n">
        <v>0</v>
      </c>
      <c r="JK63" s="33" t="n">
        <v>0</v>
      </c>
      <c r="JL63" s="33" t="n">
        <v>0</v>
      </c>
      <c r="JM63" s="33" t="n">
        <v>0</v>
      </c>
      <c r="JN63" s="33" t="n">
        <v>0</v>
      </c>
      <c r="JO63" s="33" t="n">
        <v>0</v>
      </c>
      <c r="JP63" s="33" t="n">
        <v>0</v>
      </c>
      <c r="JQ63" s="33" t="n">
        <v>0</v>
      </c>
      <c r="JR63" s="33" t="n">
        <v>0</v>
      </c>
      <c r="JS63" s="33" t="n">
        <v>0</v>
      </c>
      <c r="JT63" s="33" t="n">
        <v>0</v>
      </c>
      <c r="JU63" s="33" t="n">
        <v>0</v>
      </c>
      <c r="JV63" s="33" t="n">
        <v>0</v>
      </c>
      <c r="JW63" s="33" t="n">
        <v>0</v>
      </c>
      <c r="JX63" s="33" t="n">
        <v>0</v>
      </c>
      <c r="JY63" s="33" t="n">
        <v>0</v>
      </c>
      <c r="JZ63" s="33" t="n">
        <v>0</v>
      </c>
      <c r="KA63" s="33" t="n">
        <v>0</v>
      </c>
      <c r="KB63" s="33" t="n">
        <v>0</v>
      </c>
      <c r="KC63" s="33" t="n">
        <v>0</v>
      </c>
      <c r="KD63" s="33" t="n">
        <v>0</v>
      </c>
      <c r="KE63" s="33" t="n">
        <v>0</v>
      </c>
      <c r="KF63" s="33" t="n">
        <v>0</v>
      </c>
      <c r="KG63" s="33" t="n">
        <v>0</v>
      </c>
      <c r="KH63" s="33" t="n">
        <v>0</v>
      </c>
      <c r="KI63" s="33" t="n">
        <v>0</v>
      </c>
      <c r="KJ63" s="33" t="n">
        <v>0</v>
      </c>
      <c r="KK63" s="33" t="n">
        <v>0</v>
      </c>
      <c r="KL63" s="33" t="n">
        <v>0</v>
      </c>
      <c r="KM63" s="33" t="n">
        <v>0</v>
      </c>
      <c r="KN63" s="33" t="n">
        <v>0</v>
      </c>
      <c r="KO63" s="33" t="n">
        <v>0</v>
      </c>
      <c r="KP63" s="33" t="n">
        <v>0</v>
      </c>
      <c r="KQ63" s="33" t="n">
        <v>0</v>
      </c>
      <c r="KR63" s="33" t="n">
        <v>0</v>
      </c>
      <c r="KS63" s="33" t="n">
        <v>0</v>
      </c>
      <c r="KT63" s="33" t="n">
        <v>0</v>
      </c>
      <c r="KU63" s="33" t="n">
        <v>0</v>
      </c>
      <c r="KV63" s="33" t="n">
        <v>0</v>
      </c>
      <c r="KW63" s="33" t="n">
        <v>0</v>
      </c>
      <c r="KX63" s="33" t="n">
        <v>0</v>
      </c>
      <c r="KY63" s="33" t="n">
        <v>0</v>
      </c>
      <c r="KZ63" s="33" t="n">
        <v>0</v>
      </c>
      <c r="LA63" s="33" t="n">
        <v>0</v>
      </c>
      <c r="LB63" s="33" t="n">
        <v>0</v>
      </c>
      <c r="LC63" s="33" t="n">
        <v>0</v>
      </c>
      <c r="LD63" s="33" t="n">
        <v>0</v>
      </c>
      <c r="LE63" s="33" t="n">
        <v>0</v>
      </c>
      <c r="LF63" s="33" t="n">
        <v>0</v>
      </c>
      <c r="LG63" s="33" t="n">
        <v>0</v>
      </c>
      <c r="LH63" s="33" t="n">
        <v>0</v>
      </c>
      <c r="LI63" s="33" t="n">
        <v>0</v>
      </c>
      <c r="LJ63" s="33" t="n">
        <v>0</v>
      </c>
      <c r="LK63" s="33" t="n">
        <v>0</v>
      </c>
      <c r="LL63" s="33" t="n">
        <v>0</v>
      </c>
      <c r="LM63" s="33" t="n">
        <v>0</v>
      </c>
      <c r="LN63" s="33" t="n">
        <v>0</v>
      </c>
      <c r="LO63" s="33" t="n">
        <v>0</v>
      </c>
      <c r="LP63" s="33" t="n">
        <v>0</v>
      </c>
      <c r="LQ63" s="33" t="n">
        <v>0</v>
      </c>
      <c r="LR63" s="33" t="n">
        <v>0</v>
      </c>
      <c r="LS63" s="33" t="n">
        <v>0</v>
      </c>
      <c r="LT63" s="33" t="n">
        <v>0</v>
      </c>
      <c r="LU63" s="33" t="n">
        <v>0</v>
      </c>
      <c r="LV63" s="33" t="n">
        <v>0</v>
      </c>
      <c r="LW63" s="33" t="n">
        <v>0</v>
      </c>
      <c r="LX63" s="33" t="n">
        <v>0</v>
      </c>
      <c r="LY63" s="33" t="n">
        <v>0</v>
      </c>
      <c r="LZ63" s="33" t="n">
        <v>0</v>
      </c>
      <c r="MA63" s="33" t="n">
        <v>0</v>
      </c>
      <c r="MB63" s="33" t="n">
        <v>0</v>
      </c>
      <c r="MC63" s="33" t="n">
        <v>0</v>
      </c>
      <c r="MD63" s="33" t="n">
        <v>0</v>
      </c>
      <c r="ME63" s="33" t="n">
        <v>0</v>
      </c>
      <c r="MF63" s="33" t="n">
        <v>0</v>
      </c>
      <c r="MG63" s="33" t="n">
        <v>0</v>
      </c>
      <c r="MH63" s="33" t="n">
        <v>0</v>
      </c>
      <c r="MI63" s="33" t="n">
        <v>0</v>
      </c>
      <c r="MJ63" s="33" t="n">
        <v>0</v>
      </c>
      <c r="MK63" s="33" t="n">
        <v>0</v>
      </c>
      <c r="ML63" s="33" t="n">
        <v>0</v>
      </c>
      <c r="MM63" s="33" t="n">
        <v>0</v>
      </c>
      <c r="MN63" s="33" t="n">
        <v>0</v>
      </c>
      <c r="MO63" s="33" t="n">
        <v>0</v>
      </c>
      <c r="MP63" s="33" t="n">
        <v>0</v>
      </c>
      <c r="MQ63" s="33" t="n">
        <v>0</v>
      </c>
      <c r="MR63" s="33" t="n">
        <v>0</v>
      </c>
      <c r="MS63" s="33" t="n">
        <v>0</v>
      </c>
      <c r="MT63" s="33" t="n">
        <v>0</v>
      </c>
      <c r="MU63" s="33" t="n">
        <v>0</v>
      </c>
      <c r="MV63" s="33" t="n">
        <v>0</v>
      </c>
      <c r="MW63" s="33" t="n">
        <v>0</v>
      </c>
      <c r="MX63" s="33" t="n">
        <v>0</v>
      </c>
      <c r="MY63" s="33" t="n">
        <v>0</v>
      </c>
      <c r="MZ63" s="33" t="n">
        <v>0</v>
      </c>
      <c r="NA63" s="33" t="n">
        <v>0</v>
      </c>
      <c r="NB63" s="33" t="n">
        <v>0</v>
      </c>
      <c r="NC63" s="33" t="n">
        <v>0</v>
      </c>
      <c r="ND63" s="33" t="n">
        <v>0</v>
      </c>
      <c r="NE63" s="33" t="n">
        <v>0</v>
      </c>
      <c r="NF63" s="33" t="n">
        <v>0</v>
      </c>
      <c r="NG63" s="33" t="n">
        <v>0</v>
      </c>
      <c r="NH63" s="33" t="n">
        <v>0</v>
      </c>
      <c r="NI63" s="33" t="n">
        <v>0</v>
      </c>
      <c r="NJ63" s="33" t="n">
        <v>0</v>
      </c>
      <c r="NK63" s="33" t="n">
        <v>0</v>
      </c>
      <c r="NL63" s="33" t="n">
        <v>0</v>
      </c>
      <c r="NM63" s="33" t="n">
        <v>0</v>
      </c>
      <c r="NN63" s="33" t="n">
        <v>0</v>
      </c>
      <c r="NO63" s="33" t="n">
        <v>0</v>
      </c>
      <c r="NP63" s="33" t="n">
        <v>0</v>
      </c>
      <c r="NQ63" s="33" t="n">
        <v>0</v>
      </c>
      <c r="NR63" s="33" t="n">
        <v>0</v>
      </c>
      <c r="NS63" s="33" t="n">
        <v>0</v>
      </c>
      <c r="NT63" s="33" t="n">
        <v>0</v>
      </c>
      <c r="NU63" s="33" t="n">
        <v>0</v>
      </c>
      <c r="NV63" s="33" t="n">
        <v>0</v>
      </c>
      <c r="NW63" s="33" t="n">
        <v>0</v>
      </c>
      <c r="NX63" s="33" t="n">
        <v>0</v>
      </c>
      <c r="NY63" s="33" t="n">
        <v>0</v>
      </c>
      <c r="NZ63" s="33" t="n">
        <v>0</v>
      </c>
      <c r="OA63" s="33" t="n">
        <v>0</v>
      </c>
      <c r="OB63" s="33" t="n">
        <v>0</v>
      </c>
      <c r="OC63" s="33" t="n">
        <v>0</v>
      </c>
      <c r="OD63" s="33" t="n">
        <v>0</v>
      </c>
      <c r="OE63" s="33" t="n">
        <v>0</v>
      </c>
      <c r="OF63" s="33" t="n">
        <v>0</v>
      </c>
      <c r="OG63" s="33" t="n">
        <v>0</v>
      </c>
      <c r="OH63" s="33" t="n">
        <v>0</v>
      </c>
      <c r="OI63" s="33" t="n">
        <v>0</v>
      </c>
      <c r="OJ63" s="33" t="n">
        <v>0</v>
      </c>
      <c r="OK63" s="33" t="n">
        <v>0</v>
      </c>
      <c r="OL63" s="33" t="n">
        <v>0</v>
      </c>
      <c r="OM63" s="33" t="n">
        <v>0</v>
      </c>
      <c r="ON63" s="33" t="n">
        <v>0</v>
      </c>
      <c r="OO63" s="33" t="n">
        <v>0</v>
      </c>
      <c r="OP63" s="33" t="n">
        <v>0</v>
      </c>
      <c r="OQ63" s="33" t="n">
        <v>0</v>
      </c>
      <c r="OR63" s="33" t="n">
        <v>0</v>
      </c>
      <c r="OS63" s="33" t="n">
        <v>0</v>
      </c>
      <c r="OT63" s="33" t="n">
        <v>0</v>
      </c>
      <c r="OU63" s="33" t="n">
        <v>0</v>
      </c>
      <c r="OV63" s="33" t="n">
        <v>0</v>
      </c>
      <c r="OW63" s="33" t="n">
        <v>0</v>
      </c>
      <c r="OX63" s="33" t="n">
        <v>0</v>
      </c>
      <c r="OY63" s="33" t="n">
        <v>0</v>
      </c>
      <c r="OZ63" s="33" t="n">
        <v>0</v>
      </c>
      <c r="PA63" s="33" t="n">
        <v>0</v>
      </c>
      <c r="PB63" s="33" t="n">
        <v>0</v>
      </c>
      <c r="PC63" s="33" t="n">
        <v>0</v>
      </c>
      <c r="PD63" s="33" t="n">
        <v>0</v>
      </c>
      <c r="PE63" s="33" t="n">
        <v>0</v>
      </c>
      <c r="PF63" s="33" t="n">
        <v>0</v>
      </c>
      <c r="PG63" s="33" t="n">
        <v>0</v>
      </c>
      <c r="PH63" s="33" t="n">
        <v>0</v>
      </c>
      <c r="PI63" s="33" t="n">
        <v>0</v>
      </c>
      <c r="PJ63" s="33" t="n">
        <v>0</v>
      </c>
      <c r="PK63" s="33" t="n">
        <v>0</v>
      </c>
      <c r="PL63" s="33" t="n">
        <v>0</v>
      </c>
      <c r="PM63" s="33" t="n">
        <v>0</v>
      </c>
      <c r="PN63" s="33" t="n">
        <v>0</v>
      </c>
      <c r="PO63" s="33" t="n">
        <v>0</v>
      </c>
      <c r="PP63" s="33" t="n">
        <v>0</v>
      </c>
      <c r="PQ63" s="33" t="n">
        <v>0</v>
      </c>
      <c r="PR63" s="33" t="n">
        <v>0</v>
      </c>
      <c r="PS63" s="33" t="n">
        <v>0</v>
      </c>
      <c r="PT63" s="33" t="n">
        <v>0</v>
      </c>
      <c r="PU63" s="33" t="n">
        <v>0</v>
      </c>
      <c r="PV63" s="33" t="n">
        <v>0</v>
      </c>
      <c r="PW63" s="33" t="n">
        <v>0</v>
      </c>
      <c r="PX63" s="33" t="n">
        <v>0</v>
      </c>
      <c r="PY63" s="33" t="n">
        <v>0</v>
      </c>
      <c r="PZ63" s="33" t="n">
        <v>0</v>
      </c>
      <c r="QA63" s="33" t="n">
        <v>0</v>
      </c>
      <c r="QB63" s="33" t="n">
        <v>0</v>
      </c>
      <c r="QC63" s="33" t="n">
        <v>0</v>
      </c>
      <c r="QD63" s="33" t="n">
        <v>0</v>
      </c>
      <c r="QE63" s="33" t="n">
        <v>0</v>
      </c>
      <c r="QF63" s="33" t="n">
        <v>0</v>
      </c>
      <c r="QG63" s="33" t="n">
        <v>0</v>
      </c>
      <c r="QH63" s="33" t="n">
        <v>0</v>
      </c>
      <c r="QI63" s="33" t="n">
        <v>0</v>
      </c>
      <c r="QJ63" s="33" t="n">
        <v>0</v>
      </c>
      <c r="QK63" s="33" t="n">
        <v>0</v>
      </c>
      <c r="QL63" s="33" t="n">
        <v>0</v>
      </c>
      <c r="QM63" s="33" t="n">
        <v>0</v>
      </c>
      <c r="QN63" s="33" t="n">
        <v>0</v>
      </c>
      <c r="QO63" s="33" t="n">
        <v>0</v>
      </c>
      <c r="QP63" s="33" t="n">
        <v>0</v>
      </c>
      <c r="QQ63" s="33" t="n">
        <v>0</v>
      </c>
      <c r="QR63" s="33" t="n">
        <v>0</v>
      </c>
      <c r="QS63" s="33" t="n">
        <v>0</v>
      </c>
      <c r="QT63" s="33" t="n">
        <v>0</v>
      </c>
      <c r="QU63" s="33" t="n">
        <v>0</v>
      </c>
      <c r="QV63" s="33" t="n">
        <v>0</v>
      </c>
      <c r="QW63" s="33" t="n">
        <v>0</v>
      </c>
      <c r="QX63" s="33" t="n">
        <v>0</v>
      </c>
      <c r="QY63" s="33" t="n">
        <v>0</v>
      </c>
      <c r="QZ63" s="33" t="n">
        <v>0</v>
      </c>
      <c r="RA63" s="33" t="n">
        <v>0</v>
      </c>
      <c r="RB63" s="33" t="n">
        <v>0</v>
      </c>
      <c r="RC63" s="33" t="n">
        <v>0</v>
      </c>
      <c r="RD63" s="33" t="n">
        <v>0</v>
      </c>
      <c r="RE63" s="33" t="n">
        <v>0</v>
      </c>
      <c r="RF63" s="33" t="n">
        <v>0</v>
      </c>
      <c r="RG63" s="33" t="n">
        <v>0</v>
      </c>
      <c r="RH63" s="33" t="n">
        <v>0</v>
      </c>
      <c r="RI63" s="33" t="n">
        <v>0</v>
      </c>
      <c r="RJ63" s="33" t="n">
        <v>0</v>
      </c>
      <c r="RK63" s="33" t="n">
        <v>0</v>
      </c>
      <c r="RL63" s="33" t="n">
        <v>0</v>
      </c>
      <c r="RM63" s="33" t="n">
        <v>0</v>
      </c>
      <c r="RN63" s="33" t="n">
        <v>0</v>
      </c>
      <c r="RO63" s="33" t="n">
        <v>0</v>
      </c>
      <c r="RP63" s="33" t="n">
        <v>0</v>
      </c>
      <c r="RQ63" s="33" t="n">
        <v>0</v>
      </c>
      <c r="RR63" s="33" t="n">
        <v>0</v>
      </c>
      <c r="RS63" s="33" t="n">
        <v>0</v>
      </c>
      <c r="RT63" s="33" t="n">
        <v>0</v>
      </c>
      <c r="RU63" s="33" t="n">
        <v>0</v>
      </c>
      <c r="RV63" s="33" t="n">
        <v>0</v>
      </c>
      <c r="RW63" s="33" t="n">
        <v>0</v>
      </c>
    </row>
    <row r="64" hidden="1" outlineLevel="1" ht="13.05" customHeight="1">
      <c r="E64" s="25" t="inlineStr">
        <is>
          <t>Gross Revenue</t>
        </is>
      </c>
      <c r="F64" s="26" t="n"/>
      <c r="G64" s="26" t="inlineStr">
        <is>
          <t>kEUR</t>
        </is>
      </c>
      <c r="H64" s="26" t="n"/>
      <c r="I64" s="26" t="n"/>
      <c r="J64" s="27" t="n">
        <v>1638982</v>
      </c>
      <c r="K64" s="26" t="n"/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14573.16666666667</v>
      </c>
      <c r="CS64" s="28" t="n">
        <v>14573.16666666667</v>
      </c>
      <c r="CT64" s="28" t="n">
        <v>14573.16666666667</v>
      </c>
      <c r="CU64" s="28" t="n">
        <v>14573.16666666667</v>
      </c>
      <c r="CV64" s="28" t="n">
        <v>14573.16666666667</v>
      </c>
      <c r="CW64" s="28" t="n">
        <v>14573.16666666667</v>
      </c>
      <c r="CX64" s="28" t="n">
        <v>14573.16666666667</v>
      </c>
      <c r="CY64" s="28" t="n">
        <v>14573.16666666667</v>
      </c>
      <c r="CZ64" s="28" t="n">
        <v>14573.16666666667</v>
      </c>
      <c r="DA64" s="28" t="n">
        <v>14573.16666666667</v>
      </c>
      <c r="DB64" s="28" t="n">
        <v>14573.16666666667</v>
      </c>
      <c r="DC64" s="28" t="n">
        <v>14573.16666666667</v>
      </c>
      <c r="DD64" s="28" t="n">
        <v>5843.666666666667</v>
      </c>
      <c r="DE64" s="28" t="n">
        <v>5843.666666666667</v>
      </c>
      <c r="DF64" s="28" t="n">
        <v>5843.666666666667</v>
      </c>
      <c r="DG64" s="28" t="n">
        <v>5843.666666666667</v>
      </c>
      <c r="DH64" s="28" t="n">
        <v>5843.666666666667</v>
      </c>
      <c r="DI64" s="28" t="n">
        <v>5843.666666666667</v>
      </c>
      <c r="DJ64" s="28" t="n">
        <v>5843.666666666667</v>
      </c>
      <c r="DK64" s="28" t="n">
        <v>5843.666666666667</v>
      </c>
      <c r="DL64" s="28" t="n">
        <v>5843.666666666667</v>
      </c>
      <c r="DM64" s="28" t="n">
        <v>5843.666666666667</v>
      </c>
      <c r="DN64" s="28" t="n">
        <v>5843.666666666667</v>
      </c>
      <c r="DO64" s="28" t="n">
        <v>5843.666666666667</v>
      </c>
      <c r="DP64" s="28" t="n">
        <v>6092.25</v>
      </c>
      <c r="DQ64" s="28" t="n">
        <v>6092.25</v>
      </c>
      <c r="DR64" s="28" t="n">
        <v>6092.25</v>
      </c>
      <c r="DS64" s="28" t="n">
        <v>6092.25</v>
      </c>
      <c r="DT64" s="28" t="n">
        <v>6092.25</v>
      </c>
      <c r="DU64" s="28" t="n">
        <v>6092.25</v>
      </c>
      <c r="DV64" s="28" t="n">
        <v>6092.25</v>
      </c>
      <c r="DW64" s="28" t="n">
        <v>6092.25</v>
      </c>
      <c r="DX64" s="28" t="n">
        <v>6092.25</v>
      </c>
      <c r="DY64" s="28" t="n">
        <v>6092.25</v>
      </c>
      <c r="DZ64" s="28" t="n">
        <v>6092.25</v>
      </c>
      <c r="EA64" s="28" t="n">
        <v>6092.25</v>
      </c>
      <c r="EB64" s="28" t="n">
        <v>7547.75</v>
      </c>
      <c r="EC64" s="28" t="n">
        <v>7547.75</v>
      </c>
      <c r="ED64" s="28" t="n">
        <v>7547.75</v>
      </c>
      <c r="EE64" s="28" t="n">
        <v>7547.75</v>
      </c>
      <c r="EF64" s="28" t="n">
        <v>7547.75</v>
      </c>
      <c r="EG64" s="28" t="n">
        <v>7547.75</v>
      </c>
      <c r="EH64" s="28" t="n">
        <v>7547.75</v>
      </c>
      <c r="EI64" s="28" t="n">
        <v>7547.75</v>
      </c>
      <c r="EJ64" s="28" t="n">
        <v>7547.75</v>
      </c>
      <c r="EK64" s="28" t="n">
        <v>7547.75</v>
      </c>
      <c r="EL64" s="28" t="n">
        <v>7547.75</v>
      </c>
      <c r="EM64" s="28" t="n">
        <v>7547.75</v>
      </c>
      <c r="EN64" s="28" t="n">
        <v>5439.333333333333</v>
      </c>
      <c r="EO64" s="28" t="n">
        <v>5439.333333333333</v>
      </c>
      <c r="EP64" s="28" t="n">
        <v>5439.333333333333</v>
      </c>
      <c r="EQ64" s="28" t="n">
        <v>5439.333333333333</v>
      </c>
      <c r="ER64" s="28" t="n">
        <v>5439.333333333333</v>
      </c>
      <c r="ES64" s="28" t="n">
        <v>5439.333333333333</v>
      </c>
      <c r="ET64" s="28" t="n">
        <v>5439.333333333333</v>
      </c>
      <c r="EU64" s="28" t="n">
        <v>5439.333333333333</v>
      </c>
      <c r="EV64" s="28" t="n">
        <v>5439.333333333333</v>
      </c>
      <c r="EW64" s="28" t="n">
        <v>5439.333333333333</v>
      </c>
      <c r="EX64" s="28" t="n">
        <v>5439.333333333333</v>
      </c>
      <c r="EY64" s="28" t="n">
        <v>5439.333333333333</v>
      </c>
      <c r="EZ64" s="28" t="n">
        <v>6333.25</v>
      </c>
      <c r="FA64" s="28" t="n">
        <v>6333.25</v>
      </c>
      <c r="FB64" s="28" t="n">
        <v>6333.25</v>
      </c>
      <c r="FC64" s="28" t="n">
        <v>6333.25</v>
      </c>
      <c r="FD64" s="28" t="n">
        <v>6333.25</v>
      </c>
      <c r="FE64" s="28" t="n">
        <v>6333.25</v>
      </c>
      <c r="FF64" s="28" t="n">
        <v>6333.25</v>
      </c>
      <c r="FG64" s="28" t="n">
        <v>6333.25</v>
      </c>
      <c r="FH64" s="28" t="n">
        <v>6333.25</v>
      </c>
      <c r="FI64" s="28" t="n">
        <v>6333.25</v>
      </c>
      <c r="FJ64" s="28" t="n">
        <v>6333.25</v>
      </c>
      <c r="FK64" s="28" t="n">
        <v>6333.25</v>
      </c>
      <c r="FL64" s="28" t="n">
        <v>8570.416666666666</v>
      </c>
      <c r="FM64" s="28" t="n">
        <v>8570.416666666666</v>
      </c>
      <c r="FN64" s="28" t="n">
        <v>8570.416666666666</v>
      </c>
      <c r="FO64" s="28" t="n">
        <v>8570.416666666666</v>
      </c>
      <c r="FP64" s="28" t="n">
        <v>8570.416666666666</v>
      </c>
      <c r="FQ64" s="28" t="n">
        <v>8570.416666666666</v>
      </c>
      <c r="FR64" s="28" t="n">
        <v>8570.416666666666</v>
      </c>
      <c r="FS64" s="28" t="n">
        <v>8570.416666666666</v>
      </c>
      <c r="FT64" s="28" t="n">
        <v>8570.416666666666</v>
      </c>
      <c r="FU64" s="28" t="n">
        <v>8570.416666666666</v>
      </c>
      <c r="FV64" s="28" t="n">
        <v>8570.416666666666</v>
      </c>
      <c r="FW64" s="28" t="n">
        <v>8570.416666666666</v>
      </c>
      <c r="FX64" s="28" t="n">
        <v>5819.25</v>
      </c>
      <c r="FY64" s="28" t="n">
        <v>5819.25</v>
      </c>
      <c r="FZ64" s="28" t="n">
        <v>5819.25</v>
      </c>
      <c r="GA64" s="28" t="n">
        <v>5819.25</v>
      </c>
      <c r="GB64" s="28" t="n">
        <v>5819.25</v>
      </c>
      <c r="GC64" s="28" t="n">
        <v>5819.25</v>
      </c>
      <c r="GD64" s="28" t="n">
        <v>5819.25</v>
      </c>
      <c r="GE64" s="28" t="n">
        <v>5819.25</v>
      </c>
      <c r="GF64" s="28" t="n">
        <v>5819.25</v>
      </c>
      <c r="GG64" s="28" t="n">
        <v>5819.25</v>
      </c>
      <c r="GH64" s="28" t="n">
        <v>5819.25</v>
      </c>
      <c r="GI64" s="28" t="n">
        <v>5819.25</v>
      </c>
      <c r="GJ64" s="28" t="n">
        <v>5581.583333333333</v>
      </c>
      <c r="GK64" s="28" t="n">
        <v>5581.583333333333</v>
      </c>
      <c r="GL64" s="28" t="n">
        <v>5581.583333333333</v>
      </c>
      <c r="GM64" s="28" t="n">
        <v>5581.583333333333</v>
      </c>
      <c r="GN64" s="28" t="n">
        <v>5581.583333333333</v>
      </c>
      <c r="GO64" s="28" t="n">
        <v>5581.583333333333</v>
      </c>
      <c r="GP64" s="28" t="n">
        <v>5581.583333333333</v>
      </c>
      <c r="GQ64" s="28" t="n">
        <v>5581.583333333333</v>
      </c>
      <c r="GR64" s="28" t="n">
        <v>5581.583333333333</v>
      </c>
      <c r="GS64" s="28" t="n">
        <v>5581.583333333333</v>
      </c>
      <c r="GT64" s="28" t="n">
        <v>5581.583333333333</v>
      </c>
      <c r="GU64" s="28" t="n">
        <v>5581.583333333333</v>
      </c>
      <c r="GV64" s="28" t="n">
        <v>8526.833333333334</v>
      </c>
      <c r="GW64" s="28" t="n">
        <v>8526.833333333334</v>
      </c>
      <c r="GX64" s="28" t="n">
        <v>8526.833333333334</v>
      </c>
      <c r="GY64" s="28" t="n">
        <v>8526.833333333334</v>
      </c>
      <c r="GZ64" s="28" t="n">
        <v>8526.833333333334</v>
      </c>
      <c r="HA64" s="28" t="n">
        <v>8526.833333333334</v>
      </c>
      <c r="HB64" s="28" t="n">
        <v>8526.833333333334</v>
      </c>
      <c r="HC64" s="28" t="n">
        <v>8526.833333333334</v>
      </c>
      <c r="HD64" s="28" t="n">
        <v>8526.833333333334</v>
      </c>
      <c r="HE64" s="28" t="n">
        <v>8526.833333333334</v>
      </c>
      <c r="HF64" s="28" t="n">
        <v>8526.833333333334</v>
      </c>
      <c r="HG64" s="28" t="n">
        <v>8526.833333333334</v>
      </c>
      <c r="HH64" s="28" t="n">
        <v>5934.083333333333</v>
      </c>
      <c r="HI64" s="28" t="n">
        <v>5934.083333333333</v>
      </c>
      <c r="HJ64" s="28" t="n">
        <v>5934.083333333333</v>
      </c>
      <c r="HK64" s="28" t="n">
        <v>5934.083333333333</v>
      </c>
      <c r="HL64" s="28" t="n">
        <v>5934.083333333333</v>
      </c>
      <c r="HM64" s="28" t="n">
        <v>5934.083333333333</v>
      </c>
      <c r="HN64" s="28" t="n">
        <v>5934.083333333333</v>
      </c>
      <c r="HO64" s="28" t="n">
        <v>5934.083333333333</v>
      </c>
      <c r="HP64" s="28" t="n">
        <v>5934.083333333333</v>
      </c>
      <c r="HQ64" s="28" t="n">
        <v>5934.083333333333</v>
      </c>
      <c r="HR64" s="28" t="n">
        <v>5934.083333333333</v>
      </c>
      <c r="HS64" s="28" t="n">
        <v>5934.083333333333</v>
      </c>
      <c r="HT64" s="28" t="n">
        <v>5902.75</v>
      </c>
      <c r="HU64" s="28" t="n">
        <v>5902.75</v>
      </c>
      <c r="HV64" s="28" t="n">
        <v>5902.75</v>
      </c>
      <c r="HW64" s="28" t="n">
        <v>5902.75</v>
      </c>
      <c r="HX64" s="28" t="n">
        <v>5902.75</v>
      </c>
      <c r="HY64" s="28" t="n">
        <v>5902.75</v>
      </c>
      <c r="HZ64" s="28" t="n">
        <v>5902.75</v>
      </c>
      <c r="IA64" s="28" t="n">
        <v>5902.75</v>
      </c>
      <c r="IB64" s="28" t="n">
        <v>5902.75</v>
      </c>
      <c r="IC64" s="28" t="n">
        <v>5902.75</v>
      </c>
      <c r="ID64" s="28" t="n">
        <v>5902.75</v>
      </c>
      <c r="IE64" s="28" t="n">
        <v>5902.75</v>
      </c>
      <c r="IF64" s="28" t="n">
        <v>8060.333333333333</v>
      </c>
      <c r="IG64" s="28" t="n">
        <v>8060.333333333333</v>
      </c>
      <c r="IH64" s="28" t="n">
        <v>8060.333333333333</v>
      </c>
      <c r="II64" s="28" t="n">
        <v>8060.333333333333</v>
      </c>
      <c r="IJ64" s="28" t="n">
        <v>8060.333333333333</v>
      </c>
      <c r="IK64" s="28" t="n">
        <v>8060.333333333333</v>
      </c>
      <c r="IL64" s="28" t="n">
        <v>8060.333333333333</v>
      </c>
      <c r="IM64" s="28" t="n">
        <v>8060.333333333333</v>
      </c>
      <c r="IN64" s="28" t="n">
        <v>8060.333333333333</v>
      </c>
      <c r="IO64" s="28" t="n">
        <v>8060.333333333333</v>
      </c>
      <c r="IP64" s="28" t="n">
        <v>8060.333333333333</v>
      </c>
      <c r="IQ64" s="28" t="n">
        <v>8060.333333333333</v>
      </c>
      <c r="IR64" s="28" t="n">
        <v>5454.083333333333</v>
      </c>
      <c r="IS64" s="28" t="n">
        <v>5454.083333333333</v>
      </c>
      <c r="IT64" s="28" t="n">
        <v>5454.083333333333</v>
      </c>
      <c r="IU64" s="28" t="n">
        <v>5454.083333333333</v>
      </c>
      <c r="IV64" s="28" t="n">
        <v>5454.083333333333</v>
      </c>
      <c r="IW64" s="28" t="n">
        <v>5454.083333333333</v>
      </c>
      <c r="IX64" s="28" t="n">
        <v>5454.083333333333</v>
      </c>
      <c r="IY64" s="28" t="n">
        <v>5454.083333333333</v>
      </c>
      <c r="IZ64" s="28" t="n">
        <v>5454.083333333333</v>
      </c>
      <c r="JA64" s="28" t="n">
        <v>5454.083333333333</v>
      </c>
      <c r="JB64" s="28" t="n">
        <v>5454.083333333333</v>
      </c>
      <c r="JC64" s="28" t="n">
        <v>5454.083333333333</v>
      </c>
      <c r="JD64" s="28" t="n">
        <v>5862.5</v>
      </c>
      <c r="JE64" s="28" t="n">
        <v>5862.5</v>
      </c>
      <c r="JF64" s="28" t="n">
        <v>5862.5</v>
      </c>
      <c r="JG64" s="28" t="n">
        <v>5862.5</v>
      </c>
      <c r="JH64" s="28" t="n">
        <v>5862.5</v>
      </c>
      <c r="JI64" s="28" t="n">
        <v>5862.5</v>
      </c>
      <c r="JJ64" s="28" t="n">
        <v>5862.5</v>
      </c>
      <c r="JK64" s="28" t="n">
        <v>5862.5</v>
      </c>
      <c r="JL64" s="28" t="n">
        <v>5862.5</v>
      </c>
      <c r="JM64" s="28" t="n">
        <v>5862.5</v>
      </c>
      <c r="JN64" s="28" t="n">
        <v>5862.5</v>
      </c>
      <c r="JO64" s="28" t="n">
        <v>5862.5</v>
      </c>
      <c r="JP64" s="28" t="n">
        <v>8309.916666666666</v>
      </c>
      <c r="JQ64" s="28" t="n">
        <v>8309.916666666666</v>
      </c>
      <c r="JR64" s="28" t="n">
        <v>8309.916666666666</v>
      </c>
      <c r="JS64" s="28" t="n">
        <v>8309.916666666666</v>
      </c>
      <c r="JT64" s="28" t="n">
        <v>8309.916666666666</v>
      </c>
      <c r="JU64" s="28" t="n">
        <v>8309.916666666666</v>
      </c>
      <c r="JV64" s="28" t="n">
        <v>8309.916666666666</v>
      </c>
      <c r="JW64" s="28" t="n">
        <v>8309.916666666666</v>
      </c>
      <c r="JX64" s="28" t="n">
        <v>8309.916666666666</v>
      </c>
      <c r="JY64" s="28" t="n">
        <v>8309.916666666666</v>
      </c>
      <c r="JZ64" s="28" t="n">
        <v>8309.916666666666</v>
      </c>
      <c r="KA64" s="28" t="n">
        <v>8309.916666666666</v>
      </c>
      <c r="KB64" s="28" t="n">
        <v>5143.583333333333</v>
      </c>
      <c r="KC64" s="28" t="n">
        <v>5143.583333333333</v>
      </c>
      <c r="KD64" s="28" t="n">
        <v>5143.583333333333</v>
      </c>
      <c r="KE64" s="28" t="n">
        <v>5143.583333333333</v>
      </c>
      <c r="KF64" s="28" t="n">
        <v>5143.583333333333</v>
      </c>
      <c r="KG64" s="28" t="n">
        <v>5143.583333333333</v>
      </c>
      <c r="KH64" s="28" t="n">
        <v>5143.583333333333</v>
      </c>
      <c r="KI64" s="28" t="n">
        <v>5143.583333333333</v>
      </c>
      <c r="KJ64" s="28" t="n">
        <v>5143.583333333333</v>
      </c>
      <c r="KK64" s="28" t="n">
        <v>5143.583333333333</v>
      </c>
      <c r="KL64" s="28" t="n">
        <v>5143.583333333333</v>
      </c>
      <c r="KM64" s="28" t="n">
        <v>5143.583333333333</v>
      </c>
      <c r="KN64" s="28" t="n">
        <v>5062.166666666667</v>
      </c>
      <c r="KO64" s="28" t="n">
        <v>5062.166666666667</v>
      </c>
      <c r="KP64" s="28" t="n">
        <v>5062.166666666667</v>
      </c>
      <c r="KQ64" s="28" t="n">
        <v>5062.166666666667</v>
      </c>
      <c r="KR64" s="28" t="n">
        <v>5062.166666666667</v>
      </c>
      <c r="KS64" s="28" t="n">
        <v>5062.166666666667</v>
      </c>
      <c r="KT64" s="28" t="n">
        <v>5062.166666666667</v>
      </c>
      <c r="KU64" s="28" t="n">
        <v>5062.166666666667</v>
      </c>
      <c r="KV64" s="28" t="n">
        <v>5062.166666666667</v>
      </c>
      <c r="KW64" s="28" t="n">
        <v>5062.166666666667</v>
      </c>
      <c r="KX64" s="28" t="n">
        <v>5062.166666666667</v>
      </c>
      <c r="KY64" s="28" t="n">
        <v>5062.166666666667</v>
      </c>
      <c r="KZ64" s="28" t="n">
        <v>8152.416666666667</v>
      </c>
      <c r="LA64" s="28" t="n">
        <v>8152.416666666667</v>
      </c>
      <c r="LB64" s="28" t="n">
        <v>8152.416666666667</v>
      </c>
      <c r="LC64" s="28" t="n">
        <v>8152.416666666667</v>
      </c>
      <c r="LD64" s="28" t="n">
        <v>8152.416666666667</v>
      </c>
      <c r="LE64" s="28" t="n">
        <v>8152.416666666667</v>
      </c>
      <c r="LF64" s="28" t="n">
        <v>8152.416666666667</v>
      </c>
      <c r="LG64" s="28" t="n">
        <v>8152.416666666667</v>
      </c>
      <c r="LH64" s="28" t="n">
        <v>8152.416666666667</v>
      </c>
      <c r="LI64" s="28" t="n">
        <v>8152.416666666667</v>
      </c>
      <c r="LJ64" s="28" t="n">
        <v>8152.416666666667</v>
      </c>
      <c r="LK64" s="28" t="n">
        <v>8152.416666666667</v>
      </c>
      <c r="LL64" s="28" t="n">
        <v>4770</v>
      </c>
      <c r="LM64" s="28" t="n">
        <v>4770</v>
      </c>
      <c r="LN64" s="28" t="n">
        <v>4770</v>
      </c>
      <c r="LO64" s="28" t="n">
        <v>4770</v>
      </c>
      <c r="LP64" s="28" t="n">
        <v>4770</v>
      </c>
      <c r="LQ64" s="28" t="n">
        <v>4770</v>
      </c>
      <c r="LR64" s="28" t="n">
        <v>4770</v>
      </c>
      <c r="LS64" s="28" t="n">
        <v>4770</v>
      </c>
      <c r="LT64" s="28" t="n">
        <v>4770</v>
      </c>
      <c r="LU64" s="28" t="n">
        <v>4770</v>
      </c>
      <c r="LV64" s="28" t="n">
        <v>4770</v>
      </c>
      <c r="LW64" s="28" t="n">
        <v>0</v>
      </c>
      <c r="LX64" s="28" t="n">
        <v>0</v>
      </c>
      <c r="LY64" s="28" t="n">
        <v>0</v>
      </c>
      <c r="LZ64" s="28" t="n">
        <v>0</v>
      </c>
      <c r="MA64" s="28" t="n">
        <v>0</v>
      </c>
      <c r="MB64" s="28" t="n">
        <v>0</v>
      </c>
      <c r="MC64" s="28" t="n">
        <v>0</v>
      </c>
      <c r="MD64" s="28" t="n">
        <v>0</v>
      </c>
      <c r="ME64" s="28" t="n">
        <v>0</v>
      </c>
      <c r="MF64" s="28" t="n">
        <v>0</v>
      </c>
      <c r="MG64" s="28" t="n">
        <v>0</v>
      </c>
      <c r="MH64" s="28" t="n">
        <v>0</v>
      </c>
      <c r="MI64" s="28" t="n">
        <v>0</v>
      </c>
      <c r="MJ64" s="28" t="n">
        <v>0</v>
      </c>
      <c r="MK64" s="28" t="n">
        <v>0</v>
      </c>
      <c r="ML64" s="28" t="n">
        <v>0</v>
      </c>
      <c r="MM64" s="28" t="n">
        <v>0</v>
      </c>
      <c r="MN64" s="28" t="n">
        <v>0</v>
      </c>
      <c r="MO64" s="28" t="n">
        <v>0</v>
      </c>
      <c r="MP64" s="28" t="n">
        <v>0</v>
      </c>
      <c r="MQ64" s="28" t="n">
        <v>0</v>
      </c>
      <c r="MR64" s="28" t="n">
        <v>0</v>
      </c>
      <c r="MS64" s="28" t="n">
        <v>0</v>
      </c>
      <c r="MT64" s="28" t="n">
        <v>0</v>
      </c>
      <c r="MU64" s="28" t="n">
        <v>0</v>
      </c>
      <c r="MV64" s="28" t="n">
        <v>0</v>
      </c>
      <c r="MW64" s="28" t="n">
        <v>0</v>
      </c>
      <c r="MX64" s="28" t="n">
        <v>0</v>
      </c>
      <c r="MY64" s="28" t="n">
        <v>0</v>
      </c>
      <c r="MZ64" s="28" t="n">
        <v>0</v>
      </c>
      <c r="NA64" s="28" t="n">
        <v>0</v>
      </c>
      <c r="NB64" s="28" t="n">
        <v>0</v>
      </c>
      <c r="NC64" s="28" t="n">
        <v>0</v>
      </c>
      <c r="ND64" s="28" t="n">
        <v>0</v>
      </c>
      <c r="NE64" s="28" t="n">
        <v>0</v>
      </c>
      <c r="NF64" s="28" t="n">
        <v>0</v>
      </c>
      <c r="NG64" s="28" t="n">
        <v>0</v>
      </c>
      <c r="NH64" s="28" t="n">
        <v>0</v>
      </c>
      <c r="NI64" s="28" t="n">
        <v>0</v>
      </c>
      <c r="NJ64" s="28" t="n">
        <v>0</v>
      </c>
      <c r="NK64" s="28" t="n">
        <v>0</v>
      </c>
      <c r="NL64" s="28" t="n">
        <v>0</v>
      </c>
      <c r="NM64" s="28" t="n">
        <v>0</v>
      </c>
      <c r="NN64" s="28" t="n">
        <v>0</v>
      </c>
      <c r="NO64" s="28" t="n">
        <v>0</v>
      </c>
      <c r="NP64" s="28" t="n">
        <v>0</v>
      </c>
      <c r="NQ64" s="28" t="n">
        <v>0</v>
      </c>
      <c r="NR64" s="28" t="n">
        <v>0</v>
      </c>
      <c r="NS64" s="28" t="n">
        <v>0</v>
      </c>
      <c r="NT64" s="28" t="n">
        <v>0</v>
      </c>
      <c r="NU64" s="28" t="n">
        <v>0</v>
      </c>
      <c r="NV64" s="28" t="n">
        <v>0</v>
      </c>
      <c r="NW64" s="28" t="n">
        <v>0</v>
      </c>
      <c r="NX64" s="28" t="n">
        <v>0</v>
      </c>
      <c r="NY64" s="28" t="n">
        <v>0</v>
      </c>
      <c r="NZ64" s="28" t="n">
        <v>0</v>
      </c>
      <c r="OA64" s="28" t="n">
        <v>0</v>
      </c>
      <c r="OB64" s="28" t="n">
        <v>0</v>
      </c>
      <c r="OC64" s="28" t="n">
        <v>0</v>
      </c>
      <c r="OD64" s="28" t="n">
        <v>0</v>
      </c>
      <c r="OE64" s="28" t="n">
        <v>0</v>
      </c>
      <c r="OF64" s="28" t="n">
        <v>0</v>
      </c>
      <c r="OG64" s="28" t="n">
        <v>0</v>
      </c>
      <c r="OH64" s="28" t="n">
        <v>0</v>
      </c>
      <c r="OI64" s="28" t="n">
        <v>0</v>
      </c>
      <c r="OJ64" s="28" t="n">
        <v>0</v>
      </c>
      <c r="OK64" s="28" t="n">
        <v>0</v>
      </c>
      <c r="OL64" s="28" t="n">
        <v>0</v>
      </c>
      <c r="OM64" s="28" t="n">
        <v>0</v>
      </c>
      <c r="ON64" s="28" t="n">
        <v>0</v>
      </c>
      <c r="OO64" s="28" t="n">
        <v>0</v>
      </c>
      <c r="OP64" s="28" t="n">
        <v>0</v>
      </c>
      <c r="OQ64" s="28" t="n">
        <v>0</v>
      </c>
      <c r="OR64" s="28" t="n">
        <v>0</v>
      </c>
      <c r="OS64" s="28" t="n">
        <v>0</v>
      </c>
      <c r="OT64" s="28" t="n">
        <v>0</v>
      </c>
      <c r="OU64" s="28" t="n">
        <v>0</v>
      </c>
      <c r="OV64" s="28" t="n">
        <v>0</v>
      </c>
      <c r="OW64" s="28" t="n">
        <v>0</v>
      </c>
      <c r="OX64" s="28" t="n">
        <v>0</v>
      </c>
      <c r="OY64" s="28" t="n">
        <v>0</v>
      </c>
      <c r="OZ64" s="28" t="n">
        <v>0</v>
      </c>
      <c r="PA64" s="28" t="n">
        <v>0</v>
      </c>
      <c r="PB64" s="28" t="n">
        <v>0</v>
      </c>
      <c r="PC64" s="28" t="n">
        <v>0</v>
      </c>
      <c r="PD64" s="28" t="n">
        <v>0</v>
      </c>
      <c r="PE64" s="28" t="n">
        <v>0</v>
      </c>
      <c r="PF64" s="28" t="n">
        <v>0</v>
      </c>
      <c r="PG64" s="28" t="n">
        <v>0</v>
      </c>
      <c r="PH64" s="28" t="n">
        <v>0</v>
      </c>
      <c r="PI64" s="28" t="n">
        <v>0</v>
      </c>
      <c r="PJ64" s="28" t="n">
        <v>0</v>
      </c>
      <c r="PK64" s="28" t="n">
        <v>0</v>
      </c>
      <c r="PL64" s="28" t="n">
        <v>0</v>
      </c>
      <c r="PM64" s="28" t="n">
        <v>0</v>
      </c>
      <c r="PN64" s="28" t="n">
        <v>0</v>
      </c>
      <c r="PO64" s="28" t="n">
        <v>0</v>
      </c>
      <c r="PP64" s="28" t="n">
        <v>0</v>
      </c>
      <c r="PQ64" s="28" t="n">
        <v>0</v>
      </c>
      <c r="PR64" s="28" t="n">
        <v>0</v>
      </c>
      <c r="PS64" s="28" t="n">
        <v>0</v>
      </c>
      <c r="PT64" s="28" t="n">
        <v>0</v>
      </c>
      <c r="PU64" s="28" t="n">
        <v>0</v>
      </c>
      <c r="PV64" s="28" t="n">
        <v>0</v>
      </c>
      <c r="PW64" s="28" t="n">
        <v>0</v>
      </c>
      <c r="PX64" s="28" t="n">
        <v>0</v>
      </c>
      <c r="PY64" s="28" t="n">
        <v>0</v>
      </c>
      <c r="PZ64" s="28" t="n">
        <v>0</v>
      </c>
      <c r="QA64" s="28" t="n">
        <v>0</v>
      </c>
      <c r="QB64" s="28" t="n">
        <v>0</v>
      </c>
      <c r="QC64" s="28" t="n">
        <v>0</v>
      </c>
      <c r="QD64" s="28" t="n">
        <v>0</v>
      </c>
      <c r="QE64" s="28" t="n">
        <v>0</v>
      </c>
      <c r="QF64" s="28" t="n">
        <v>0</v>
      </c>
      <c r="QG64" s="28" t="n">
        <v>0</v>
      </c>
      <c r="QH64" s="28" t="n">
        <v>0</v>
      </c>
      <c r="QI64" s="28" t="n">
        <v>0</v>
      </c>
      <c r="QJ64" s="28" t="n">
        <v>0</v>
      </c>
      <c r="QK64" s="28" t="n">
        <v>0</v>
      </c>
      <c r="QL64" s="28" t="n">
        <v>0</v>
      </c>
      <c r="QM64" s="28" t="n">
        <v>0</v>
      </c>
      <c r="QN64" s="28" t="n">
        <v>0</v>
      </c>
      <c r="QO64" s="28" t="n">
        <v>0</v>
      </c>
      <c r="QP64" s="28" t="n">
        <v>0</v>
      </c>
      <c r="QQ64" s="28" t="n">
        <v>0</v>
      </c>
      <c r="QR64" s="28" t="n">
        <v>0</v>
      </c>
      <c r="QS64" s="28" t="n">
        <v>0</v>
      </c>
      <c r="QT64" s="28" t="n">
        <v>0</v>
      </c>
      <c r="QU64" s="28" t="n">
        <v>0</v>
      </c>
      <c r="QV64" s="28" t="n">
        <v>0</v>
      </c>
      <c r="QW64" s="28" t="n">
        <v>0</v>
      </c>
      <c r="QX64" s="28" t="n">
        <v>0</v>
      </c>
      <c r="QY64" s="28" t="n">
        <v>0</v>
      </c>
      <c r="QZ64" s="28" t="n">
        <v>0</v>
      </c>
      <c r="RA64" s="28" t="n">
        <v>0</v>
      </c>
      <c r="RB64" s="28" t="n">
        <v>0</v>
      </c>
      <c r="RC64" s="28" t="n">
        <v>0</v>
      </c>
      <c r="RD64" s="28" t="n">
        <v>0</v>
      </c>
      <c r="RE64" s="28" t="n">
        <v>0</v>
      </c>
      <c r="RF64" s="28" t="n">
        <v>0</v>
      </c>
      <c r="RG64" s="28" t="n">
        <v>0</v>
      </c>
      <c r="RH64" s="28" t="n">
        <v>0</v>
      </c>
      <c r="RI64" s="28" t="n">
        <v>0</v>
      </c>
      <c r="RJ64" s="28" t="n">
        <v>0</v>
      </c>
      <c r="RK64" s="28" t="n">
        <v>0</v>
      </c>
      <c r="RL64" s="28" t="n">
        <v>0</v>
      </c>
      <c r="RM64" s="28" t="n">
        <v>0</v>
      </c>
      <c r="RN64" s="28" t="n">
        <v>0</v>
      </c>
      <c r="RO64" s="28" t="n">
        <v>0</v>
      </c>
      <c r="RP64" s="28" t="n">
        <v>0</v>
      </c>
      <c r="RQ64" s="28" t="n">
        <v>0</v>
      </c>
      <c r="RR64" s="28" t="n">
        <v>0</v>
      </c>
      <c r="RS64" s="28" t="n">
        <v>0</v>
      </c>
      <c r="RT64" s="28" t="n">
        <v>0</v>
      </c>
      <c r="RU64" s="28" t="n">
        <v>0</v>
      </c>
      <c r="RV64" s="28" t="n">
        <v>0</v>
      </c>
      <c r="RW64" s="28" t="n">
        <v>0</v>
      </c>
    </row>
    <row r="65" hidden="1" outlineLevel="1" ht="13.05" customHeight="1">
      <c r="E65" s="21" t="inlineStr">
        <is>
          <t>Total Costs</t>
        </is>
      </c>
      <c r="F65" s="29" t="n"/>
      <c r="G65" s="29" t="inlineStr">
        <is>
          <t>kEUR</t>
        </is>
      </c>
      <c r="H65" s="29" t="n"/>
      <c r="I65" s="29" t="n"/>
      <c r="J65" s="32" t="n">
        <v>0</v>
      </c>
      <c r="K65" s="29" t="n"/>
      <c r="L65" s="33" t="n">
        <v>0</v>
      </c>
      <c r="M65" s="33" t="n">
        <v>0</v>
      </c>
      <c r="N65" s="33" t="n">
        <v>0</v>
      </c>
      <c r="O65" s="33" t="n">
        <v>0</v>
      </c>
      <c r="P65" s="33" t="n">
        <v>0</v>
      </c>
      <c r="Q65" s="33" t="n">
        <v>0</v>
      </c>
      <c r="R65" s="33" t="n">
        <v>0</v>
      </c>
      <c r="S65" s="33" t="n">
        <v>0</v>
      </c>
      <c r="T65" s="33" t="n">
        <v>0</v>
      </c>
      <c r="U65" s="33" t="n">
        <v>0</v>
      </c>
      <c r="V65" s="33" t="n">
        <v>0</v>
      </c>
      <c r="W65" s="33" t="n">
        <v>0</v>
      </c>
      <c r="X65" s="33" t="n">
        <v>0</v>
      </c>
      <c r="Y65" s="33" t="n">
        <v>0</v>
      </c>
      <c r="Z65" s="33" t="n">
        <v>0</v>
      </c>
      <c r="AA65" s="33" t="n">
        <v>0</v>
      </c>
      <c r="AB65" s="33" t="n">
        <v>0</v>
      </c>
      <c r="AC65" s="33" t="n">
        <v>0</v>
      </c>
      <c r="AD65" s="33" t="n">
        <v>0</v>
      </c>
      <c r="AE65" s="33" t="n">
        <v>0</v>
      </c>
      <c r="AF65" s="33" t="n">
        <v>0</v>
      </c>
      <c r="AG65" s="33" t="n">
        <v>0</v>
      </c>
      <c r="AH65" s="33" t="n">
        <v>0</v>
      </c>
      <c r="AI65" s="33" t="n">
        <v>0</v>
      </c>
      <c r="AJ65" s="33" t="n">
        <v>0</v>
      </c>
      <c r="AK65" s="33" t="n">
        <v>0</v>
      </c>
      <c r="AL65" s="33" t="n">
        <v>0</v>
      </c>
      <c r="AM65" s="33" t="n">
        <v>0</v>
      </c>
      <c r="AN65" s="33" t="n">
        <v>0</v>
      </c>
      <c r="AO65" s="33" t="n">
        <v>0</v>
      </c>
      <c r="AP65" s="33" t="n">
        <v>0</v>
      </c>
      <c r="AQ65" s="33" t="n">
        <v>0</v>
      </c>
      <c r="AR65" s="33" t="n">
        <v>0</v>
      </c>
      <c r="AS65" s="33" t="n">
        <v>0</v>
      </c>
      <c r="AT65" s="33" t="n">
        <v>0</v>
      </c>
      <c r="AU65" s="33" t="n">
        <v>0</v>
      </c>
      <c r="AV65" s="33" t="n">
        <v>0</v>
      </c>
      <c r="AW65" s="33" t="n">
        <v>0</v>
      </c>
      <c r="AX65" s="33" t="n">
        <v>0</v>
      </c>
      <c r="AY65" s="33" t="n">
        <v>0</v>
      </c>
      <c r="AZ65" s="33" t="n">
        <v>0</v>
      </c>
      <c r="BA65" s="33" t="n">
        <v>0</v>
      </c>
      <c r="BB65" s="33" t="n">
        <v>0</v>
      </c>
      <c r="BC65" s="33" t="n">
        <v>0</v>
      </c>
      <c r="BD65" s="33" t="n">
        <v>0</v>
      </c>
      <c r="BE65" s="33" t="n">
        <v>0</v>
      </c>
      <c r="BF65" s="33" t="n">
        <v>0</v>
      </c>
      <c r="BG65" s="33" t="n">
        <v>0</v>
      </c>
      <c r="BH65" s="33" t="n">
        <v>0</v>
      </c>
      <c r="BI65" s="33" t="n">
        <v>0</v>
      </c>
      <c r="BJ65" s="33" t="n">
        <v>0</v>
      </c>
      <c r="BK65" s="33" t="n">
        <v>0</v>
      </c>
      <c r="BL65" s="33" t="n">
        <v>0</v>
      </c>
      <c r="BM65" s="33" t="n">
        <v>0</v>
      </c>
      <c r="BN65" s="33" t="n">
        <v>0</v>
      </c>
      <c r="BO65" s="33" t="n">
        <v>0</v>
      </c>
      <c r="BP65" s="33" t="n">
        <v>0</v>
      </c>
      <c r="BQ65" s="33" t="n">
        <v>0</v>
      </c>
      <c r="BR65" s="33" t="n">
        <v>0</v>
      </c>
      <c r="BS65" s="33" t="n">
        <v>0</v>
      </c>
      <c r="BT65" s="33" t="n">
        <v>0</v>
      </c>
      <c r="BU65" s="33" t="n">
        <v>0</v>
      </c>
      <c r="BV65" s="33" t="n">
        <v>0</v>
      </c>
      <c r="BW65" s="33" t="n">
        <v>0</v>
      </c>
      <c r="BX65" s="33" t="n">
        <v>0</v>
      </c>
      <c r="BY65" s="33" t="n">
        <v>0</v>
      </c>
      <c r="BZ65" s="33" t="n">
        <v>0</v>
      </c>
      <c r="CA65" s="33" t="n">
        <v>0</v>
      </c>
      <c r="CB65" s="33" t="n">
        <v>0</v>
      </c>
      <c r="CC65" s="33" t="n">
        <v>0</v>
      </c>
      <c r="CD65" s="33" t="n">
        <v>0</v>
      </c>
      <c r="CE65" s="33" t="n">
        <v>0</v>
      </c>
      <c r="CF65" s="33" t="n">
        <v>0</v>
      </c>
      <c r="CG65" s="33" t="n">
        <v>0</v>
      </c>
      <c r="CH65" s="33" t="n">
        <v>0</v>
      </c>
      <c r="CI65" s="33" t="n">
        <v>0</v>
      </c>
      <c r="CJ65" s="33" t="n">
        <v>0</v>
      </c>
      <c r="CK65" s="33" t="n">
        <v>0</v>
      </c>
      <c r="CL65" s="33" t="n">
        <v>0</v>
      </c>
      <c r="CM65" s="33" t="n">
        <v>0</v>
      </c>
      <c r="CN65" s="33" t="n">
        <v>0</v>
      </c>
      <c r="CO65" s="33" t="n">
        <v>0</v>
      </c>
      <c r="CP65" s="33" t="n">
        <v>0</v>
      </c>
      <c r="CQ65" s="33" t="n">
        <v>0</v>
      </c>
      <c r="CR65" s="33" t="n">
        <v>0</v>
      </c>
      <c r="CS65" s="33" t="n">
        <v>0</v>
      </c>
      <c r="CT65" s="33" t="n">
        <v>0</v>
      </c>
      <c r="CU65" s="33" t="n">
        <v>0</v>
      </c>
      <c r="CV65" s="33" t="n">
        <v>0</v>
      </c>
      <c r="CW65" s="33" t="n">
        <v>0</v>
      </c>
      <c r="CX65" s="33" t="n">
        <v>0</v>
      </c>
      <c r="CY65" s="33" t="n">
        <v>0</v>
      </c>
      <c r="CZ65" s="33" t="n">
        <v>0</v>
      </c>
      <c r="DA65" s="33" t="n">
        <v>0</v>
      </c>
      <c r="DB65" s="33" t="n">
        <v>0</v>
      </c>
      <c r="DC65" s="33" t="n">
        <v>0</v>
      </c>
      <c r="DD65" s="33" t="n">
        <v>0</v>
      </c>
      <c r="DE65" s="33" t="n">
        <v>0</v>
      </c>
      <c r="DF65" s="33" t="n">
        <v>0</v>
      </c>
      <c r="DG65" s="33" t="n">
        <v>0</v>
      </c>
      <c r="DH65" s="33" t="n">
        <v>0</v>
      </c>
      <c r="DI65" s="33" t="n">
        <v>0</v>
      </c>
      <c r="DJ65" s="33" t="n">
        <v>0</v>
      </c>
      <c r="DK65" s="33" t="n">
        <v>0</v>
      </c>
      <c r="DL65" s="33" t="n">
        <v>0</v>
      </c>
      <c r="DM65" s="33" t="n">
        <v>0</v>
      </c>
      <c r="DN65" s="33" t="n">
        <v>0</v>
      </c>
      <c r="DO65" s="33" t="n">
        <v>0</v>
      </c>
      <c r="DP65" s="33" t="n">
        <v>0</v>
      </c>
      <c r="DQ65" s="33" t="n">
        <v>0</v>
      </c>
      <c r="DR65" s="33" t="n">
        <v>0</v>
      </c>
      <c r="DS65" s="33" t="n">
        <v>0</v>
      </c>
      <c r="DT65" s="33" t="n">
        <v>0</v>
      </c>
      <c r="DU65" s="33" t="n">
        <v>0</v>
      </c>
      <c r="DV65" s="33" t="n">
        <v>0</v>
      </c>
      <c r="DW65" s="33" t="n">
        <v>0</v>
      </c>
      <c r="DX65" s="33" t="n">
        <v>0</v>
      </c>
      <c r="DY65" s="33" t="n">
        <v>0</v>
      </c>
      <c r="DZ65" s="33" t="n">
        <v>0</v>
      </c>
      <c r="EA65" s="33" t="n">
        <v>0</v>
      </c>
      <c r="EB65" s="33" t="n">
        <v>0</v>
      </c>
      <c r="EC65" s="33" t="n">
        <v>0</v>
      </c>
      <c r="ED65" s="33" t="n">
        <v>0</v>
      </c>
      <c r="EE65" s="33" t="n">
        <v>0</v>
      </c>
      <c r="EF65" s="33" t="n">
        <v>0</v>
      </c>
      <c r="EG65" s="33" t="n">
        <v>0</v>
      </c>
      <c r="EH65" s="33" t="n">
        <v>0</v>
      </c>
      <c r="EI65" s="33" t="n">
        <v>0</v>
      </c>
      <c r="EJ65" s="33" t="n">
        <v>0</v>
      </c>
      <c r="EK65" s="33" t="n">
        <v>0</v>
      </c>
      <c r="EL65" s="33" t="n">
        <v>0</v>
      </c>
      <c r="EM65" s="33" t="n">
        <v>0</v>
      </c>
      <c r="EN65" s="33" t="n">
        <v>0</v>
      </c>
      <c r="EO65" s="33" t="n">
        <v>0</v>
      </c>
      <c r="EP65" s="33" t="n">
        <v>0</v>
      </c>
      <c r="EQ65" s="33" t="n">
        <v>0</v>
      </c>
      <c r="ER65" s="33" t="n">
        <v>0</v>
      </c>
      <c r="ES65" s="33" t="n">
        <v>0</v>
      </c>
      <c r="ET65" s="33" t="n">
        <v>0</v>
      </c>
      <c r="EU65" s="33" t="n">
        <v>0</v>
      </c>
      <c r="EV65" s="33" t="n">
        <v>0</v>
      </c>
      <c r="EW65" s="33" t="n">
        <v>0</v>
      </c>
      <c r="EX65" s="33" t="n">
        <v>0</v>
      </c>
      <c r="EY65" s="33" t="n">
        <v>0</v>
      </c>
      <c r="EZ65" s="33" t="n">
        <v>0</v>
      </c>
      <c r="FA65" s="33" t="n">
        <v>0</v>
      </c>
      <c r="FB65" s="33" t="n">
        <v>0</v>
      </c>
      <c r="FC65" s="33" t="n">
        <v>0</v>
      </c>
      <c r="FD65" s="33" t="n">
        <v>0</v>
      </c>
      <c r="FE65" s="33" t="n">
        <v>0</v>
      </c>
      <c r="FF65" s="33" t="n">
        <v>0</v>
      </c>
      <c r="FG65" s="33" t="n">
        <v>0</v>
      </c>
      <c r="FH65" s="33" t="n">
        <v>0</v>
      </c>
      <c r="FI65" s="33" t="n">
        <v>0</v>
      </c>
      <c r="FJ65" s="33" t="n">
        <v>0</v>
      </c>
      <c r="FK65" s="33" t="n">
        <v>0</v>
      </c>
      <c r="FL65" s="33" t="n">
        <v>0</v>
      </c>
      <c r="FM65" s="33" t="n">
        <v>0</v>
      </c>
      <c r="FN65" s="33" t="n">
        <v>0</v>
      </c>
      <c r="FO65" s="33" t="n">
        <v>0</v>
      </c>
      <c r="FP65" s="33" t="n">
        <v>0</v>
      </c>
      <c r="FQ65" s="33" t="n">
        <v>0</v>
      </c>
      <c r="FR65" s="33" t="n">
        <v>0</v>
      </c>
      <c r="FS65" s="33" t="n">
        <v>0</v>
      </c>
      <c r="FT65" s="33" t="n">
        <v>0</v>
      </c>
      <c r="FU65" s="33" t="n">
        <v>0</v>
      </c>
      <c r="FV65" s="33" t="n">
        <v>0</v>
      </c>
      <c r="FW65" s="33" t="n">
        <v>0</v>
      </c>
      <c r="FX65" s="33" t="n">
        <v>0</v>
      </c>
      <c r="FY65" s="33" t="n">
        <v>0</v>
      </c>
      <c r="FZ65" s="33" t="n">
        <v>0</v>
      </c>
      <c r="GA65" s="33" t="n">
        <v>0</v>
      </c>
      <c r="GB65" s="33" t="n">
        <v>0</v>
      </c>
      <c r="GC65" s="33" t="n">
        <v>0</v>
      </c>
      <c r="GD65" s="33" t="n">
        <v>0</v>
      </c>
      <c r="GE65" s="33" t="n">
        <v>0</v>
      </c>
      <c r="GF65" s="33" t="n">
        <v>0</v>
      </c>
      <c r="GG65" s="33" t="n">
        <v>0</v>
      </c>
      <c r="GH65" s="33" t="n">
        <v>0</v>
      </c>
      <c r="GI65" s="33" t="n">
        <v>0</v>
      </c>
      <c r="GJ65" s="33" t="n">
        <v>0</v>
      </c>
      <c r="GK65" s="33" t="n">
        <v>0</v>
      </c>
      <c r="GL65" s="33" t="n">
        <v>0</v>
      </c>
      <c r="GM65" s="33" t="n">
        <v>0</v>
      </c>
      <c r="GN65" s="33" t="n">
        <v>0</v>
      </c>
      <c r="GO65" s="33" t="n">
        <v>0</v>
      </c>
      <c r="GP65" s="33" t="n">
        <v>0</v>
      </c>
      <c r="GQ65" s="33" t="n">
        <v>0</v>
      </c>
      <c r="GR65" s="33" t="n">
        <v>0</v>
      </c>
      <c r="GS65" s="33" t="n">
        <v>0</v>
      </c>
      <c r="GT65" s="33" t="n">
        <v>0</v>
      </c>
      <c r="GU65" s="33" t="n">
        <v>0</v>
      </c>
      <c r="GV65" s="33" t="n">
        <v>0</v>
      </c>
      <c r="GW65" s="33" t="n">
        <v>0</v>
      </c>
      <c r="GX65" s="33" t="n">
        <v>0</v>
      </c>
      <c r="GY65" s="33" t="n">
        <v>0</v>
      </c>
      <c r="GZ65" s="33" t="n">
        <v>0</v>
      </c>
      <c r="HA65" s="33" t="n">
        <v>0</v>
      </c>
      <c r="HB65" s="33" t="n">
        <v>0</v>
      </c>
      <c r="HC65" s="33" t="n">
        <v>0</v>
      </c>
      <c r="HD65" s="33" t="n">
        <v>0</v>
      </c>
      <c r="HE65" s="33" t="n">
        <v>0</v>
      </c>
      <c r="HF65" s="33" t="n">
        <v>0</v>
      </c>
      <c r="HG65" s="33" t="n">
        <v>0</v>
      </c>
      <c r="HH65" s="33" t="n">
        <v>0</v>
      </c>
      <c r="HI65" s="33" t="n">
        <v>0</v>
      </c>
      <c r="HJ65" s="33" t="n">
        <v>0</v>
      </c>
      <c r="HK65" s="33" t="n">
        <v>0</v>
      </c>
      <c r="HL65" s="33" t="n">
        <v>0</v>
      </c>
      <c r="HM65" s="33" t="n">
        <v>0</v>
      </c>
      <c r="HN65" s="33" t="n">
        <v>0</v>
      </c>
      <c r="HO65" s="33" t="n">
        <v>0</v>
      </c>
      <c r="HP65" s="33" t="n">
        <v>0</v>
      </c>
      <c r="HQ65" s="33" t="n">
        <v>0</v>
      </c>
      <c r="HR65" s="33" t="n">
        <v>0</v>
      </c>
      <c r="HS65" s="33" t="n">
        <v>0</v>
      </c>
      <c r="HT65" s="33" t="n">
        <v>0</v>
      </c>
      <c r="HU65" s="33" t="n">
        <v>0</v>
      </c>
      <c r="HV65" s="33" t="n">
        <v>0</v>
      </c>
      <c r="HW65" s="33" t="n">
        <v>0</v>
      </c>
      <c r="HX65" s="33" t="n">
        <v>0</v>
      </c>
      <c r="HY65" s="33" t="n">
        <v>0</v>
      </c>
      <c r="HZ65" s="33" t="n">
        <v>0</v>
      </c>
      <c r="IA65" s="33" t="n">
        <v>0</v>
      </c>
      <c r="IB65" s="33" t="n">
        <v>0</v>
      </c>
      <c r="IC65" s="33" t="n">
        <v>0</v>
      </c>
      <c r="ID65" s="33" t="n">
        <v>0</v>
      </c>
      <c r="IE65" s="33" t="n">
        <v>0</v>
      </c>
      <c r="IF65" s="33" t="n">
        <v>0</v>
      </c>
      <c r="IG65" s="33" t="n">
        <v>0</v>
      </c>
      <c r="IH65" s="33" t="n">
        <v>0</v>
      </c>
      <c r="II65" s="33" t="n">
        <v>0</v>
      </c>
      <c r="IJ65" s="33" t="n">
        <v>0</v>
      </c>
      <c r="IK65" s="33" t="n">
        <v>0</v>
      </c>
      <c r="IL65" s="33" t="n">
        <v>0</v>
      </c>
      <c r="IM65" s="33" t="n">
        <v>0</v>
      </c>
      <c r="IN65" s="33" t="n">
        <v>0</v>
      </c>
      <c r="IO65" s="33" t="n">
        <v>0</v>
      </c>
      <c r="IP65" s="33" t="n">
        <v>0</v>
      </c>
      <c r="IQ65" s="33" t="n">
        <v>0</v>
      </c>
      <c r="IR65" s="33" t="n">
        <v>0</v>
      </c>
      <c r="IS65" s="33" t="n">
        <v>0</v>
      </c>
      <c r="IT65" s="33" t="n">
        <v>0</v>
      </c>
      <c r="IU65" s="33" t="n">
        <v>0</v>
      </c>
      <c r="IV65" s="33" t="n">
        <v>0</v>
      </c>
      <c r="IW65" s="33" t="n">
        <v>0</v>
      </c>
      <c r="IX65" s="33" t="n">
        <v>0</v>
      </c>
      <c r="IY65" s="33" t="n">
        <v>0</v>
      </c>
      <c r="IZ65" s="33" t="n">
        <v>0</v>
      </c>
      <c r="JA65" s="33" t="n">
        <v>0</v>
      </c>
      <c r="JB65" s="33" t="n">
        <v>0</v>
      </c>
      <c r="JC65" s="33" t="n">
        <v>0</v>
      </c>
      <c r="JD65" s="33" t="n">
        <v>0</v>
      </c>
      <c r="JE65" s="33" t="n">
        <v>0</v>
      </c>
      <c r="JF65" s="33" t="n">
        <v>0</v>
      </c>
      <c r="JG65" s="33" t="n">
        <v>0</v>
      </c>
      <c r="JH65" s="33" t="n">
        <v>0</v>
      </c>
      <c r="JI65" s="33" t="n">
        <v>0</v>
      </c>
      <c r="JJ65" s="33" t="n">
        <v>0</v>
      </c>
      <c r="JK65" s="33" t="n">
        <v>0</v>
      </c>
      <c r="JL65" s="33" t="n">
        <v>0</v>
      </c>
      <c r="JM65" s="33" t="n">
        <v>0</v>
      </c>
      <c r="JN65" s="33" t="n">
        <v>0</v>
      </c>
      <c r="JO65" s="33" t="n">
        <v>0</v>
      </c>
      <c r="JP65" s="33" t="n">
        <v>0</v>
      </c>
      <c r="JQ65" s="33" t="n">
        <v>0</v>
      </c>
      <c r="JR65" s="33" t="n">
        <v>0</v>
      </c>
      <c r="JS65" s="33" t="n">
        <v>0</v>
      </c>
      <c r="JT65" s="33" t="n">
        <v>0</v>
      </c>
      <c r="JU65" s="33" t="n">
        <v>0</v>
      </c>
      <c r="JV65" s="33" t="n">
        <v>0</v>
      </c>
      <c r="JW65" s="33" t="n">
        <v>0</v>
      </c>
      <c r="JX65" s="33" t="n">
        <v>0</v>
      </c>
      <c r="JY65" s="33" t="n">
        <v>0</v>
      </c>
      <c r="JZ65" s="33" t="n">
        <v>0</v>
      </c>
      <c r="KA65" s="33" t="n">
        <v>0</v>
      </c>
      <c r="KB65" s="33" t="n">
        <v>0</v>
      </c>
      <c r="KC65" s="33" t="n">
        <v>0</v>
      </c>
      <c r="KD65" s="33" t="n">
        <v>0</v>
      </c>
      <c r="KE65" s="33" t="n">
        <v>0</v>
      </c>
      <c r="KF65" s="33" t="n">
        <v>0</v>
      </c>
      <c r="KG65" s="33" t="n">
        <v>0</v>
      </c>
      <c r="KH65" s="33" t="n">
        <v>0</v>
      </c>
      <c r="KI65" s="33" t="n">
        <v>0</v>
      </c>
      <c r="KJ65" s="33" t="n">
        <v>0</v>
      </c>
      <c r="KK65" s="33" t="n">
        <v>0</v>
      </c>
      <c r="KL65" s="33" t="n">
        <v>0</v>
      </c>
      <c r="KM65" s="33" t="n">
        <v>0</v>
      </c>
      <c r="KN65" s="33" t="n">
        <v>0</v>
      </c>
      <c r="KO65" s="33" t="n">
        <v>0</v>
      </c>
      <c r="KP65" s="33" t="n">
        <v>0</v>
      </c>
      <c r="KQ65" s="33" t="n">
        <v>0</v>
      </c>
      <c r="KR65" s="33" t="n">
        <v>0</v>
      </c>
      <c r="KS65" s="33" t="n">
        <v>0</v>
      </c>
      <c r="KT65" s="33" t="n">
        <v>0</v>
      </c>
      <c r="KU65" s="33" t="n">
        <v>0</v>
      </c>
      <c r="KV65" s="33" t="n">
        <v>0</v>
      </c>
      <c r="KW65" s="33" t="n">
        <v>0</v>
      </c>
      <c r="KX65" s="33" t="n">
        <v>0</v>
      </c>
      <c r="KY65" s="33" t="n">
        <v>0</v>
      </c>
      <c r="KZ65" s="33" t="n">
        <v>0</v>
      </c>
      <c r="LA65" s="33" t="n">
        <v>0</v>
      </c>
      <c r="LB65" s="33" t="n">
        <v>0</v>
      </c>
      <c r="LC65" s="33" t="n">
        <v>0</v>
      </c>
      <c r="LD65" s="33" t="n">
        <v>0</v>
      </c>
      <c r="LE65" s="33" t="n">
        <v>0</v>
      </c>
      <c r="LF65" s="33" t="n">
        <v>0</v>
      </c>
      <c r="LG65" s="33" t="n">
        <v>0</v>
      </c>
      <c r="LH65" s="33" t="n">
        <v>0</v>
      </c>
      <c r="LI65" s="33" t="n">
        <v>0</v>
      </c>
      <c r="LJ65" s="33" t="n">
        <v>0</v>
      </c>
      <c r="LK65" s="33" t="n">
        <v>0</v>
      </c>
      <c r="LL65" s="33" t="n">
        <v>0</v>
      </c>
      <c r="LM65" s="33" t="n">
        <v>0</v>
      </c>
      <c r="LN65" s="33" t="n">
        <v>0</v>
      </c>
      <c r="LO65" s="33" t="n">
        <v>0</v>
      </c>
      <c r="LP65" s="33" t="n">
        <v>0</v>
      </c>
      <c r="LQ65" s="33" t="n">
        <v>0</v>
      </c>
      <c r="LR65" s="33" t="n">
        <v>0</v>
      </c>
      <c r="LS65" s="33" t="n">
        <v>0</v>
      </c>
      <c r="LT65" s="33" t="n">
        <v>0</v>
      </c>
      <c r="LU65" s="33" t="n">
        <v>0</v>
      </c>
      <c r="LV65" s="33" t="n">
        <v>0</v>
      </c>
      <c r="LW65" s="33" t="n">
        <v>0</v>
      </c>
      <c r="LX65" s="33" t="n">
        <v>0</v>
      </c>
      <c r="LY65" s="33" t="n">
        <v>0</v>
      </c>
      <c r="LZ65" s="33" t="n">
        <v>0</v>
      </c>
      <c r="MA65" s="33" t="n">
        <v>0</v>
      </c>
      <c r="MB65" s="33" t="n">
        <v>0</v>
      </c>
      <c r="MC65" s="33" t="n">
        <v>0</v>
      </c>
      <c r="MD65" s="33" t="n">
        <v>0</v>
      </c>
      <c r="ME65" s="33" t="n">
        <v>0</v>
      </c>
      <c r="MF65" s="33" t="n">
        <v>0</v>
      </c>
      <c r="MG65" s="33" t="n">
        <v>0</v>
      </c>
      <c r="MH65" s="33" t="n">
        <v>0</v>
      </c>
      <c r="MI65" s="33" t="n">
        <v>0</v>
      </c>
      <c r="MJ65" s="33" t="n">
        <v>0</v>
      </c>
      <c r="MK65" s="33" t="n">
        <v>0</v>
      </c>
      <c r="ML65" s="33" t="n">
        <v>0</v>
      </c>
      <c r="MM65" s="33" t="n">
        <v>0</v>
      </c>
      <c r="MN65" s="33" t="n">
        <v>0</v>
      </c>
      <c r="MO65" s="33" t="n">
        <v>0</v>
      </c>
      <c r="MP65" s="33" t="n">
        <v>0</v>
      </c>
      <c r="MQ65" s="33" t="n">
        <v>0</v>
      </c>
      <c r="MR65" s="33" t="n">
        <v>0</v>
      </c>
      <c r="MS65" s="33" t="n">
        <v>0</v>
      </c>
      <c r="MT65" s="33" t="n">
        <v>0</v>
      </c>
      <c r="MU65" s="33" t="n">
        <v>0</v>
      </c>
      <c r="MV65" s="33" t="n">
        <v>0</v>
      </c>
      <c r="MW65" s="33" t="n">
        <v>0</v>
      </c>
      <c r="MX65" s="33" t="n">
        <v>0</v>
      </c>
      <c r="MY65" s="33" t="n">
        <v>0</v>
      </c>
      <c r="MZ65" s="33" t="n">
        <v>0</v>
      </c>
      <c r="NA65" s="33" t="n">
        <v>0</v>
      </c>
      <c r="NB65" s="33" t="n">
        <v>0</v>
      </c>
      <c r="NC65" s="33" t="n">
        <v>0</v>
      </c>
      <c r="ND65" s="33" t="n">
        <v>0</v>
      </c>
      <c r="NE65" s="33" t="n">
        <v>0</v>
      </c>
      <c r="NF65" s="33" t="n">
        <v>0</v>
      </c>
      <c r="NG65" s="33" t="n">
        <v>0</v>
      </c>
      <c r="NH65" s="33" t="n">
        <v>0</v>
      </c>
      <c r="NI65" s="33" t="n">
        <v>0</v>
      </c>
      <c r="NJ65" s="33" t="n">
        <v>0</v>
      </c>
      <c r="NK65" s="33" t="n">
        <v>0</v>
      </c>
      <c r="NL65" s="33" t="n">
        <v>0</v>
      </c>
      <c r="NM65" s="33" t="n">
        <v>0</v>
      </c>
      <c r="NN65" s="33" t="n">
        <v>0</v>
      </c>
      <c r="NO65" s="33" t="n">
        <v>0</v>
      </c>
      <c r="NP65" s="33" t="n">
        <v>0</v>
      </c>
      <c r="NQ65" s="33" t="n">
        <v>0</v>
      </c>
      <c r="NR65" s="33" t="n">
        <v>0</v>
      </c>
      <c r="NS65" s="33" t="n">
        <v>0</v>
      </c>
      <c r="NT65" s="33" t="n">
        <v>0</v>
      </c>
      <c r="NU65" s="33" t="n">
        <v>0</v>
      </c>
      <c r="NV65" s="33" t="n">
        <v>0</v>
      </c>
      <c r="NW65" s="33" t="n">
        <v>0</v>
      </c>
      <c r="NX65" s="33" t="n">
        <v>0</v>
      </c>
      <c r="NY65" s="33" t="n">
        <v>0</v>
      </c>
      <c r="NZ65" s="33" t="n">
        <v>0</v>
      </c>
      <c r="OA65" s="33" t="n">
        <v>0</v>
      </c>
      <c r="OB65" s="33" t="n">
        <v>0</v>
      </c>
      <c r="OC65" s="33" t="n">
        <v>0</v>
      </c>
      <c r="OD65" s="33" t="n">
        <v>0</v>
      </c>
      <c r="OE65" s="33" t="n">
        <v>0</v>
      </c>
      <c r="OF65" s="33" t="n">
        <v>0</v>
      </c>
      <c r="OG65" s="33" t="n">
        <v>0</v>
      </c>
      <c r="OH65" s="33" t="n">
        <v>0</v>
      </c>
      <c r="OI65" s="33" t="n">
        <v>0</v>
      </c>
      <c r="OJ65" s="33" t="n">
        <v>0</v>
      </c>
      <c r="OK65" s="33" t="n">
        <v>0</v>
      </c>
      <c r="OL65" s="33" t="n">
        <v>0</v>
      </c>
      <c r="OM65" s="33" t="n">
        <v>0</v>
      </c>
      <c r="ON65" s="33" t="n">
        <v>0</v>
      </c>
      <c r="OO65" s="33" t="n">
        <v>0</v>
      </c>
      <c r="OP65" s="33" t="n">
        <v>0</v>
      </c>
      <c r="OQ65" s="33" t="n">
        <v>0</v>
      </c>
      <c r="OR65" s="33" t="n">
        <v>0</v>
      </c>
      <c r="OS65" s="33" t="n">
        <v>0</v>
      </c>
      <c r="OT65" s="33" t="n">
        <v>0</v>
      </c>
      <c r="OU65" s="33" t="n">
        <v>0</v>
      </c>
      <c r="OV65" s="33" t="n">
        <v>0</v>
      </c>
      <c r="OW65" s="33" t="n">
        <v>0</v>
      </c>
      <c r="OX65" s="33" t="n">
        <v>0</v>
      </c>
      <c r="OY65" s="33" t="n">
        <v>0</v>
      </c>
      <c r="OZ65" s="33" t="n">
        <v>0</v>
      </c>
      <c r="PA65" s="33" t="n">
        <v>0</v>
      </c>
      <c r="PB65" s="33" t="n">
        <v>0</v>
      </c>
      <c r="PC65" s="33" t="n">
        <v>0</v>
      </c>
      <c r="PD65" s="33" t="n">
        <v>0</v>
      </c>
      <c r="PE65" s="33" t="n">
        <v>0</v>
      </c>
      <c r="PF65" s="33" t="n">
        <v>0</v>
      </c>
      <c r="PG65" s="33" t="n">
        <v>0</v>
      </c>
      <c r="PH65" s="33" t="n">
        <v>0</v>
      </c>
      <c r="PI65" s="33" t="n">
        <v>0</v>
      </c>
      <c r="PJ65" s="33" t="n">
        <v>0</v>
      </c>
      <c r="PK65" s="33" t="n">
        <v>0</v>
      </c>
      <c r="PL65" s="33" t="n">
        <v>0</v>
      </c>
      <c r="PM65" s="33" t="n">
        <v>0</v>
      </c>
      <c r="PN65" s="33" t="n">
        <v>0</v>
      </c>
      <c r="PO65" s="33" t="n">
        <v>0</v>
      </c>
      <c r="PP65" s="33" t="n">
        <v>0</v>
      </c>
      <c r="PQ65" s="33" t="n">
        <v>0</v>
      </c>
      <c r="PR65" s="33" t="n">
        <v>0</v>
      </c>
      <c r="PS65" s="33" t="n">
        <v>0</v>
      </c>
      <c r="PT65" s="33" t="n">
        <v>0</v>
      </c>
      <c r="PU65" s="33" t="n">
        <v>0</v>
      </c>
      <c r="PV65" s="33" t="n">
        <v>0</v>
      </c>
      <c r="PW65" s="33" t="n">
        <v>0</v>
      </c>
      <c r="PX65" s="33" t="n">
        <v>0</v>
      </c>
      <c r="PY65" s="33" t="n">
        <v>0</v>
      </c>
      <c r="PZ65" s="33" t="n">
        <v>0</v>
      </c>
      <c r="QA65" s="33" t="n">
        <v>0</v>
      </c>
      <c r="QB65" s="33" t="n">
        <v>0</v>
      </c>
      <c r="QC65" s="33" t="n">
        <v>0</v>
      </c>
      <c r="QD65" s="33" t="n">
        <v>0</v>
      </c>
      <c r="QE65" s="33" t="n">
        <v>0</v>
      </c>
      <c r="QF65" s="33" t="n">
        <v>0</v>
      </c>
      <c r="QG65" s="33" t="n">
        <v>0</v>
      </c>
      <c r="QH65" s="33" t="n">
        <v>0</v>
      </c>
      <c r="QI65" s="33" t="n">
        <v>0</v>
      </c>
      <c r="QJ65" s="33" t="n">
        <v>0</v>
      </c>
      <c r="QK65" s="33" t="n">
        <v>0</v>
      </c>
      <c r="QL65" s="33" t="n">
        <v>0</v>
      </c>
      <c r="QM65" s="33" t="n">
        <v>0</v>
      </c>
      <c r="QN65" s="33" t="n">
        <v>0</v>
      </c>
      <c r="QO65" s="33" t="n">
        <v>0</v>
      </c>
      <c r="QP65" s="33" t="n">
        <v>0</v>
      </c>
      <c r="QQ65" s="33" t="n">
        <v>0</v>
      </c>
      <c r="QR65" s="33" t="n">
        <v>0</v>
      </c>
      <c r="QS65" s="33" t="n">
        <v>0</v>
      </c>
      <c r="QT65" s="33" t="n">
        <v>0</v>
      </c>
      <c r="QU65" s="33" t="n">
        <v>0</v>
      </c>
      <c r="QV65" s="33" t="n">
        <v>0</v>
      </c>
      <c r="QW65" s="33" t="n">
        <v>0</v>
      </c>
      <c r="QX65" s="33" t="n">
        <v>0</v>
      </c>
      <c r="QY65" s="33" t="n">
        <v>0</v>
      </c>
      <c r="QZ65" s="33" t="n">
        <v>0</v>
      </c>
      <c r="RA65" s="33" t="n">
        <v>0</v>
      </c>
      <c r="RB65" s="33" t="n">
        <v>0</v>
      </c>
      <c r="RC65" s="33" t="n">
        <v>0</v>
      </c>
      <c r="RD65" s="33" t="n">
        <v>0</v>
      </c>
      <c r="RE65" s="33" t="n">
        <v>0</v>
      </c>
      <c r="RF65" s="33" t="n">
        <v>0</v>
      </c>
      <c r="RG65" s="33" t="n">
        <v>0</v>
      </c>
      <c r="RH65" s="33" t="n">
        <v>0</v>
      </c>
      <c r="RI65" s="33" t="n">
        <v>0</v>
      </c>
      <c r="RJ65" s="33" t="n">
        <v>0</v>
      </c>
      <c r="RK65" s="33" t="n">
        <v>0</v>
      </c>
      <c r="RL65" s="33" t="n">
        <v>0</v>
      </c>
      <c r="RM65" s="33" t="n">
        <v>0</v>
      </c>
      <c r="RN65" s="33" t="n">
        <v>0</v>
      </c>
      <c r="RO65" s="33" t="n">
        <v>0</v>
      </c>
      <c r="RP65" s="33" t="n">
        <v>0</v>
      </c>
      <c r="RQ65" s="33" t="n">
        <v>0</v>
      </c>
      <c r="RR65" s="33" t="n">
        <v>0</v>
      </c>
      <c r="RS65" s="33" t="n">
        <v>0</v>
      </c>
      <c r="RT65" s="33" t="n">
        <v>0</v>
      </c>
      <c r="RU65" s="33" t="n">
        <v>0</v>
      </c>
      <c r="RV65" s="33" t="n">
        <v>0</v>
      </c>
      <c r="RW65" s="33" t="n">
        <v>0</v>
      </c>
    </row>
    <row r="66" ht="13.05" customHeight="1">
      <c r="E66" s="34" t="inlineStr">
        <is>
          <t>Net Revenue</t>
        </is>
      </c>
      <c r="F66" s="35" t="n"/>
      <c r="G66" s="35" t="inlineStr">
        <is>
          <t>kEUR</t>
        </is>
      </c>
      <c r="H66" s="35" t="n"/>
      <c r="I66" s="35" t="n"/>
      <c r="J66" s="36" t="n">
        <v>1638982</v>
      </c>
      <c r="K66" s="35" t="n"/>
      <c r="L66" s="37" t="n">
        <v>0</v>
      </c>
      <c r="M66" s="37" t="n">
        <v>0</v>
      </c>
      <c r="N66" s="37" t="n">
        <v>0</v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7" t="n">
        <v>0</v>
      </c>
      <c r="AB66" s="37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37" t="n">
        <v>0</v>
      </c>
      <c r="AJ66" s="37" t="n">
        <v>0</v>
      </c>
      <c r="AK66" s="37" t="n">
        <v>0</v>
      </c>
      <c r="AL66" s="37" t="n">
        <v>0</v>
      </c>
      <c r="AM66" s="37" t="n">
        <v>0</v>
      </c>
      <c r="AN66" s="37" t="n">
        <v>0</v>
      </c>
      <c r="AO66" s="37" t="n">
        <v>0</v>
      </c>
      <c r="AP66" s="37" t="n">
        <v>0</v>
      </c>
      <c r="AQ66" s="37" t="n">
        <v>0</v>
      </c>
      <c r="AR66" s="37" t="n">
        <v>0</v>
      </c>
      <c r="AS66" s="37" t="n">
        <v>0</v>
      </c>
      <c r="AT66" s="37" t="n">
        <v>0</v>
      </c>
      <c r="AU66" s="37" t="n">
        <v>0</v>
      </c>
      <c r="AV66" s="37" t="n">
        <v>0</v>
      </c>
      <c r="AW66" s="37" t="n">
        <v>0</v>
      </c>
      <c r="AX66" s="37" t="n">
        <v>0</v>
      </c>
      <c r="AY66" s="37" t="n">
        <v>0</v>
      </c>
      <c r="AZ66" s="37" t="n">
        <v>0</v>
      </c>
      <c r="BA66" s="37" t="n">
        <v>0</v>
      </c>
      <c r="BB66" s="37" t="n">
        <v>0</v>
      </c>
      <c r="BC66" s="37" t="n">
        <v>0</v>
      </c>
      <c r="BD66" s="37" t="n">
        <v>0</v>
      </c>
      <c r="BE66" s="37" t="n">
        <v>0</v>
      </c>
      <c r="BF66" s="37" t="n">
        <v>0</v>
      </c>
      <c r="BG66" s="37" t="n">
        <v>0</v>
      </c>
      <c r="BH66" s="37" t="n">
        <v>0</v>
      </c>
      <c r="BI66" s="37" t="n">
        <v>0</v>
      </c>
      <c r="BJ66" s="37" t="n">
        <v>0</v>
      </c>
      <c r="BK66" s="37" t="n">
        <v>0</v>
      </c>
      <c r="BL66" s="37" t="n">
        <v>0</v>
      </c>
      <c r="BM66" s="37" t="n">
        <v>0</v>
      </c>
      <c r="BN66" s="37" t="n">
        <v>0</v>
      </c>
      <c r="BO66" s="37" t="n">
        <v>0</v>
      </c>
      <c r="BP66" s="37" t="n">
        <v>0</v>
      </c>
      <c r="BQ66" s="37" t="n">
        <v>0</v>
      </c>
      <c r="BR66" s="37" t="n">
        <v>0</v>
      </c>
      <c r="BS66" s="37" t="n">
        <v>0</v>
      </c>
      <c r="BT66" s="37" t="n">
        <v>0</v>
      </c>
      <c r="BU66" s="37" t="n">
        <v>0</v>
      </c>
      <c r="BV66" s="37" t="n">
        <v>0</v>
      </c>
      <c r="BW66" s="37" t="n">
        <v>0</v>
      </c>
      <c r="BX66" s="37" t="n">
        <v>0</v>
      </c>
      <c r="BY66" s="37" t="n">
        <v>0</v>
      </c>
      <c r="BZ66" s="37" t="n">
        <v>0</v>
      </c>
      <c r="CA66" s="37" t="n">
        <v>0</v>
      </c>
      <c r="CB66" s="37" t="n">
        <v>0</v>
      </c>
      <c r="CC66" s="37" t="n">
        <v>0</v>
      </c>
      <c r="CD66" s="37" t="n">
        <v>0</v>
      </c>
      <c r="CE66" s="37" t="n">
        <v>0</v>
      </c>
      <c r="CF66" s="37" t="n">
        <v>0</v>
      </c>
      <c r="CG66" s="37" t="n">
        <v>0</v>
      </c>
      <c r="CH66" s="37" t="n">
        <v>0</v>
      </c>
      <c r="CI66" s="37" t="n">
        <v>0</v>
      </c>
      <c r="CJ66" s="37" t="n">
        <v>0</v>
      </c>
      <c r="CK66" s="37" t="n">
        <v>0</v>
      </c>
      <c r="CL66" s="37" t="n">
        <v>0</v>
      </c>
      <c r="CM66" s="37" t="n">
        <v>0</v>
      </c>
      <c r="CN66" s="37" t="n">
        <v>0</v>
      </c>
      <c r="CO66" s="37" t="n">
        <v>0</v>
      </c>
      <c r="CP66" s="37" t="n">
        <v>0</v>
      </c>
      <c r="CQ66" s="37" t="n">
        <v>0</v>
      </c>
      <c r="CR66" s="37" t="n">
        <v>14573.16666666667</v>
      </c>
      <c r="CS66" s="37" t="n">
        <v>14573.16666666667</v>
      </c>
      <c r="CT66" s="37" t="n">
        <v>14573.16666666667</v>
      </c>
      <c r="CU66" s="37" t="n">
        <v>14573.16666666667</v>
      </c>
      <c r="CV66" s="37" t="n">
        <v>14573.16666666667</v>
      </c>
      <c r="CW66" s="37" t="n">
        <v>14573.16666666667</v>
      </c>
      <c r="CX66" s="37" t="n">
        <v>14573.16666666667</v>
      </c>
      <c r="CY66" s="37" t="n">
        <v>14573.16666666667</v>
      </c>
      <c r="CZ66" s="37" t="n">
        <v>14573.16666666667</v>
      </c>
      <c r="DA66" s="37" t="n">
        <v>14573.16666666667</v>
      </c>
      <c r="DB66" s="37" t="n">
        <v>14573.16666666667</v>
      </c>
      <c r="DC66" s="37" t="n">
        <v>14573.16666666667</v>
      </c>
      <c r="DD66" s="37" t="n">
        <v>5843.666666666667</v>
      </c>
      <c r="DE66" s="37" t="n">
        <v>5843.666666666667</v>
      </c>
      <c r="DF66" s="37" t="n">
        <v>5843.666666666667</v>
      </c>
      <c r="DG66" s="37" t="n">
        <v>5843.666666666667</v>
      </c>
      <c r="DH66" s="37" t="n">
        <v>5843.666666666667</v>
      </c>
      <c r="DI66" s="37" t="n">
        <v>5843.666666666667</v>
      </c>
      <c r="DJ66" s="37" t="n">
        <v>5843.666666666667</v>
      </c>
      <c r="DK66" s="37" t="n">
        <v>5843.666666666667</v>
      </c>
      <c r="DL66" s="37" t="n">
        <v>5843.666666666667</v>
      </c>
      <c r="DM66" s="37" t="n">
        <v>5843.666666666667</v>
      </c>
      <c r="DN66" s="37" t="n">
        <v>5843.666666666667</v>
      </c>
      <c r="DO66" s="37" t="n">
        <v>5843.666666666667</v>
      </c>
      <c r="DP66" s="37" t="n">
        <v>6092.25</v>
      </c>
      <c r="DQ66" s="37" t="n">
        <v>6092.25</v>
      </c>
      <c r="DR66" s="37" t="n">
        <v>6092.25</v>
      </c>
      <c r="DS66" s="37" t="n">
        <v>6092.25</v>
      </c>
      <c r="DT66" s="37" t="n">
        <v>6092.25</v>
      </c>
      <c r="DU66" s="37" t="n">
        <v>6092.25</v>
      </c>
      <c r="DV66" s="37" t="n">
        <v>6092.25</v>
      </c>
      <c r="DW66" s="37" t="n">
        <v>6092.25</v>
      </c>
      <c r="DX66" s="37" t="n">
        <v>6092.25</v>
      </c>
      <c r="DY66" s="37" t="n">
        <v>6092.25</v>
      </c>
      <c r="DZ66" s="37" t="n">
        <v>6092.25</v>
      </c>
      <c r="EA66" s="37" t="n">
        <v>6092.25</v>
      </c>
      <c r="EB66" s="37" t="n">
        <v>7547.75</v>
      </c>
      <c r="EC66" s="37" t="n">
        <v>7547.75</v>
      </c>
      <c r="ED66" s="37" t="n">
        <v>7547.75</v>
      </c>
      <c r="EE66" s="37" t="n">
        <v>7547.75</v>
      </c>
      <c r="EF66" s="37" t="n">
        <v>7547.75</v>
      </c>
      <c r="EG66" s="37" t="n">
        <v>7547.75</v>
      </c>
      <c r="EH66" s="37" t="n">
        <v>7547.75</v>
      </c>
      <c r="EI66" s="37" t="n">
        <v>7547.75</v>
      </c>
      <c r="EJ66" s="37" t="n">
        <v>7547.75</v>
      </c>
      <c r="EK66" s="37" t="n">
        <v>7547.75</v>
      </c>
      <c r="EL66" s="37" t="n">
        <v>7547.75</v>
      </c>
      <c r="EM66" s="37" t="n">
        <v>7547.75</v>
      </c>
      <c r="EN66" s="37" t="n">
        <v>5439.333333333333</v>
      </c>
      <c r="EO66" s="37" t="n">
        <v>5439.333333333333</v>
      </c>
      <c r="EP66" s="37" t="n">
        <v>5439.333333333333</v>
      </c>
      <c r="EQ66" s="37" t="n">
        <v>5439.333333333333</v>
      </c>
      <c r="ER66" s="37" t="n">
        <v>5439.333333333333</v>
      </c>
      <c r="ES66" s="37" t="n">
        <v>5439.333333333333</v>
      </c>
      <c r="ET66" s="37" t="n">
        <v>5439.333333333333</v>
      </c>
      <c r="EU66" s="37" t="n">
        <v>5439.333333333333</v>
      </c>
      <c r="EV66" s="37" t="n">
        <v>5439.333333333333</v>
      </c>
      <c r="EW66" s="37" t="n">
        <v>5439.333333333333</v>
      </c>
      <c r="EX66" s="37" t="n">
        <v>5439.333333333333</v>
      </c>
      <c r="EY66" s="37" t="n">
        <v>5439.333333333333</v>
      </c>
      <c r="EZ66" s="37" t="n">
        <v>6333.25</v>
      </c>
      <c r="FA66" s="37" t="n">
        <v>6333.25</v>
      </c>
      <c r="FB66" s="37" t="n">
        <v>6333.25</v>
      </c>
      <c r="FC66" s="37" t="n">
        <v>6333.25</v>
      </c>
      <c r="FD66" s="37" t="n">
        <v>6333.25</v>
      </c>
      <c r="FE66" s="37" t="n">
        <v>6333.25</v>
      </c>
      <c r="FF66" s="37" t="n">
        <v>6333.25</v>
      </c>
      <c r="FG66" s="37" t="n">
        <v>6333.25</v>
      </c>
      <c r="FH66" s="37" t="n">
        <v>6333.25</v>
      </c>
      <c r="FI66" s="37" t="n">
        <v>6333.25</v>
      </c>
      <c r="FJ66" s="37" t="n">
        <v>6333.25</v>
      </c>
      <c r="FK66" s="37" t="n">
        <v>6333.25</v>
      </c>
      <c r="FL66" s="37" t="n">
        <v>8570.416666666666</v>
      </c>
      <c r="FM66" s="37" t="n">
        <v>8570.416666666666</v>
      </c>
      <c r="FN66" s="37" t="n">
        <v>8570.416666666666</v>
      </c>
      <c r="FO66" s="37" t="n">
        <v>8570.416666666666</v>
      </c>
      <c r="FP66" s="37" t="n">
        <v>8570.416666666666</v>
      </c>
      <c r="FQ66" s="37" t="n">
        <v>8570.416666666666</v>
      </c>
      <c r="FR66" s="37" t="n">
        <v>8570.416666666666</v>
      </c>
      <c r="FS66" s="37" t="n">
        <v>8570.416666666666</v>
      </c>
      <c r="FT66" s="37" t="n">
        <v>8570.416666666666</v>
      </c>
      <c r="FU66" s="37" t="n">
        <v>8570.416666666666</v>
      </c>
      <c r="FV66" s="37" t="n">
        <v>8570.416666666666</v>
      </c>
      <c r="FW66" s="37" t="n">
        <v>8570.416666666666</v>
      </c>
      <c r="FX66" s="37" t="n">
        <v>5819.25</v>
      </c>
      <c r="FY66" s="37" t="n">
        <v>5819.25</v>
      </c>
      <c r="FZ66" s="37" t="n">
        <v>5819.25</v>
      </c>
      <c r="GA66" s="37" t="n">
        <v>5819.25</v>
      </c>
      <c r="GB66" s="37" t="n">
        <v>5819.25</v>
      </c>
      <c r="GC66" s="37" t="n">
        <v>5819.25</v>
      </c>
      <c r="GD66" s="37" t="n">
        <v>5819.25</v>
      </c>
      <c r="GE66" s="37" t="n">
        <v>5819.25</v>
      </c>
      <c r="GF66" s="37" t="n">
        <v>5819.25</v>
      </c>
      <c r="GG66" s="37" t="n">
        <v>5819.25</v>
      </c>
      <c r="GH66" s="37" t="n">
        <v>5819.25</v>
      </c>
      <c r="GI66" s="37" t="n">
        <v>5819.25</v>
      </c>
      <c r="GJ66" s="37" t="n">
        <v>5581.583333333333</v>
      </c>
      <c r="GK66" s="37" t="n">
        <v>5581.583333333333</v>
      </c>
      <c r="GL66" s="37" t="n">
        <v>5581.583333333333</v>
      </c>
      <c r="GM66" s="37" t="n">
        <v>5581.583333333333</v>
      </c>
      <c r="GN66" s="37" t="n">
        <v>5581.583333333333</v>
      </c>
      <c r="GO66" s="37" t="n">
        <v>5581.583333333333</v>
      </c>
      <c r="GP66" s="37" t="n">
        <v>5581.583333333333</v>
      </c>
      <c r="GQ66" s="37" t="n">
        <v>5581.583333333333</v>
      </c>
      <c r="GR66" s="37" t="n">
        <v>5581.583333333333</v>
      </c>
      <c r="GS66" s="37" t="n">
        <v>5581.583333333333</v>
      </c>
      <c r="GT66" s="37" t="n">
        <v>5581.583333333333</v>
      </c>
      <c r="GU66" s="37" t="n">
        <v>5581.583333333333</v>
      </c>
      <c r="GV66" s="37" t="n">
        <v>8526.833333333334</v>
      </c>
      <c r="GW66" s="37" t="n">
        <v>8526.833333333334</v>
      </c>
      <c r="GX66" s="37" t="n">
        <v>8526.833333333334</v>
      </c>
      <c r="GY66" s="37" t="n">
        <v>8526.833333333334</v>
      </c>
      <c r="GZ66" s="37" t="n">
        <v>8526.833333333334</v>
      </c>
      <c r="HA66" s="37" t="n">
        <v>8526.833333333334</v>
      </c>
      <c r="HB66" s="37" t="n">
        <v>8526.833333333334</v>
      </c>
      <c r="HC66" s="37" t="n">
        <v>8526.833333333334</v>
      </c>
      <c r="HD66" s="37" t="n">
        <v>8526.833333333334</v>
      </c>
      <c r="HE66" s="37" t="n">
        <v>8526.833333333334</v>
      </c>
      <c r="HF66" s="37" t="n">
        <v>8526.833333333334</v>
      </c>
      <c r="HG66" s="37" t="n">
        <v>8526.833333333334</v>
      </c>
      <c r="HH66" s="37" t="n">
        <v>5934.083333333333</v>
      </c>
      <c r="HI66" s="37" t="n">
        <v>5934.083333333333</v>
      </c>
      <c r="HJ66" s="37" t="n">
        <v>5934.083333333333</v>
      </c>
      <c r="HK66" s="37" t="n">
        <v>5934.083333333333</v>
      </c>
      <c r="HL66" s="37" t="n">
        <v>5934.083333333333</v>
      </c>
      <c r="HM66" s="37" t="n">
        <v>5934.083333333333</v>
      </c>
      <c r="HN66" s="37" t="n">
        <v>5934.083333333333</v>
      </c>
      <c r="HO66" s="37" t="n">
        <v>5934.083333333333</v>
      </c>
      <c r="HP66" s="37" t="n">
        <v>5934.083333333333</v>
      </c>
      <c r="HQ66" s="37" t="n">
        <v>5934.083333333333</v>
      </c>
      <c r="HR66" s="37" t="n">
        <v>5934.083333333333</v>
      </c>
      <c r="HS66" s="37" t="n">
        <v>5934.083333333333</v>
      </c>
      <c r="HT66" s="37" t="n">
        <v>5902.75</v>
      </c>
      <c r="HU66" s="37" t="n">
        <v>5902.75</v>
      </c>
      <c r="HV66" s="37" t="n">
        <v>5902.75</v>
      </c>
      <c r="HW66" s="37" t="n">
        <v>5902.75</v>
      </c>
      <c r="HX66" s="37" t="n">
        <v>5902.75</v>
      </c>
      <c r="HY66" s="37" t="n">
        <v>5902.75</v>
      </c>
      <c r="HZ66" s="37" t="n">
        <v>5902.75</v>
      </c>
      <c r="IA66" s="37" t="n">
        <v>5902.75</v>
      </c>
      <c r="IB66" s="37" t="n">
        <v>5902.75</v>
      </c>
      <c r="IC66" s="37" t="n">
        <v>5902.75</v>
      </c>
      <c r="ID66" s="37" t="n">
        <v>5902.75</v>
      </c>
      <c r="IE66" s="37" t="n">
        <v>5902.75</v>
      </c>
      <c r="IF66" s="37" t="n">
        <v>8060.333333333333</v>
      </c>
      <c r="IG66" s="37" t="n">
        <v>8060.333333333333</v>
      </c>
      <c r="IH66" s="37" t="n">
        <v>8060.333333333333</v>
      </c>
      <c r="II66" s="37" t="n">
        <v>8060.333333333333</v>
      </c>
      <c r="IJ66" s="37" t="n">
        <v>8060.333333333333</v>
      </c>
      <c r="IK66" s="37" t="n">
        <v>8060.333333333333</v>
      </c>
      <c r="IL66" s="37" t="n">
        <v>8060.333333333333</v>
      </c>
      <c r="IM66" s="37" t="n">
        <v>8060.333333333333</v>
      </c>
      <c r="IN66" s="37" t="n">
        <v>8060.333333333333</v>
      </c>
      <c r="IO66" s="37" t="n">
        <v>8060.333333333333</v>
      </c>
      <c r="IP66" s="37" t="n">
        <v>8060.333333333333</v>
      </c>
      <c r="IQ66" s="37" t="n">
        <v>8060.333333333333</v>
      </c>
      <c r="IR66" s="37" t="n">
        <v>5454.083333333333</v>
      </c>
      <c r="IS66" s="37" t="n">
        <v>5454.083333333333</v>
      </c>
      <c r="IT66" s="37" t="n">
        <v>5454.083333333333</v>
      </c>
      <c r="IU66" s="37" t="n">
        <v>5454.083333333333</v>
      </c>
      <c r="IV66" s="37" t="n">
        <v>5454.083333333333</v>
      </c>
      <c r="IW66" s="37" t="n">
        <v>5454.083333333333</v>
      </c>
      <c r="IX66" s="37" t="n">
        <v>5454.083333333333</v>
      </c>
      <c r="IY66" s="37" t="n">
        <v>5454.083333333333</v>
      </c>
      <c r="IZ66" s="37" t="n">
        <v>5454.083333333333</v>
      </c>
      <c r="JA66" s="37" t="n">
        <v>5454.083333333333</v>
      </c>
      <c r="JB66" s="37" t="n">
        <v>5454.083333333333</v>
      </c>
      <c r="JC66" s="37" t="n">
        <v>5454.083333333333</v>
      </c>
      <c r="JD66" s="37" t="n">
        <v>5862.5</v>
      </c>
      <c r="JE66" s="37" t="n">
        <v>5862.5</v>
      </c>
      <c r="JF66" s="37" t="n">
        <v>5862.5</v>
      </c>
      <c r="JG66" s="37" t="n">
        <v>5862.5</v>
      </c>
      <c r="JH66" s="37" t="n">
        <v>5862.5</v>
      </c>
      <c r="JI66" s="37" t="n">
        <v>5862.5</v>
      </c>
      <c r="JJ66" s="37" t="n">
        <v>5862.5</v>
      </c>
      <c r="JK66" s="37" t="n">
        <v>5862.5</v>
      </c>
      <c r="JL66" s="37" t="n">
        <v>5862.5</v>
      </c>
      <c r="JM66" s="37" t="n">
        <v>5862.5</v>
      </c>
      <c r="JN66" s="37" t="n">
        <v>5862.5</v>
      </c>
      <c r="JO66" s="37" t="n">
        <v>5862.5</v>
      </c>
      <c r="JP66" s="37" t="n">
        <v>8309.916666666666</v>
      </c>
      <c r="JQ66" s="37" t="n">
        <v>8309.916666666666</v>
      </c>
      <c r="JR66" s="37" t="n">
        <v>8309.916666666666</v>
      </c>
      <c r="JS66" s="37" t="n">
        <v>8309.916666666666</v>
      </c>
      <c r="JT66" s="37" t="n">
        <v>8309.916666666666</v>
      </c>
      <c r="JU66" s="37" t="n">
        <v>8309.916666666666</v>
      </c>
      <c r="JV66" s="37" t="n">
        <v>8309.916666666666</v>
      </c>
      <c r="JW66" s="37" t="n">
        <v>8309.916666666666</v>
      </c>
      <c r="JX66" s="37" t="n">
        <v>8309.916666666666</v>
      </c>
      <c r="JY66" s="37" t="n">
        <v>8309.916666666666</v>
      </c>
      <c r="JZ66" s="37" t="n">
        <v>8309.916666666666</v>
      </c>
      <c r="KA66" s="37" t="n">
        <v>8309.916666666666</v>
      </c>
      <c r="KB66" s="37" t="n">
        <v>5143.583333333333</v>
      </c>
      <c r="KC66" s="37" t="n">
        <v>5143.583333333333</v>
      </c>
      <c r="KD66" s="37" t="n">
        <v>5143.583333333333</v>
      </c>
      <c r="KE66" s="37" t="n">
        <v>5143.583333333333</v>
      </c>
      <c r="KF66" s="37" t="n">
        <v>5143.583333333333</v>
      </c>
      <c r="KG66" s="37" t="n">
        <v>5143.583333333333</v>
      </c>
      <c r="KH66" s="37" t="n">
        <v>5143.583333333333</v>
      </c>
      <c r="KI66" s="37" t="n">
        <v>5143.583333333333</v>
      </c>
      <c r="KJ66" s="37" t="n">
        <v>5143.583333333333</v>
      </c>
      <c r="KK66" s="37" t="n">
        <v>5143.583333333333</v>
      </c>
      <c r="KL66" s="37" t="n">
        <v>5143.583333333333</v>
      </c>
      <c r="KM66" s="37" t="n">
        <v>5143.583333333333</v>
      </c>
      <c r="KN66" s="37" t="n">
        <v>5062.166666666667</v>
      </c>
      <c r="KO66" s="37" t="n">
        <v>5062.166666666667</v>
      </c>
      <c r="KP66" s="37" t="n">
        <v>5062.166666666667</v>
      </c>
      <c r="KQ66" s="37" t="n">
        <v>5062.166666666667</v>
      </c>
      <c r="KR66" s="37" t="n">
        <v>5062.166666666667</v>
      </c>
      <c r="KS66" s="37" t="n">
        <v>5062.166666666667</v>
      </c>
      <c r="KT66" s="37" t="n">
        <v>5062.166666666667</v>
      </c>
      <c r="KU66" s="37" t="n">
        <v>5062.166666666667</v>
      </c>
      <c r="KV66" s="37" t="n">
        <v>5062.166666666667</v>
      </c>
      <c r="KW66" s="37" t="n">
        <v>5062.166666666667</v>
      </c>
      <c r="KX66" s="37" t="n">
        <v>5062.166666666667</v>
      </c>
      <c r="KY66" s="37" t="n">
        <v>5062.166666666667</v>
      </c>
      <c r="KZ66" s="37" t="n">
        <v>8152.416666666667</v>
      </c>
      <c r="LA66" s="37" t="n">
        <v>8152.416666666667</v>
      </c>
      <c r="LB66" s="37" t="n">
        <v>8152.416666666667</v>
      </c>
      <c r="LC66" s="37" t="n">
        <v>8152.416666666667</v>
      </c>
      <c r="LD66" s="37" t="n">
        <v>8152.416666666667</v>
      </c>
      <c r="LE66" s="37" t="n">
        <v>8152.416666666667</v>
      </c>
      <c r="LF66" s="37" t="n">
        <v>8152.416666666667</v>
      </c>
      <c r="LG66" s="37" t="n">
        <v>8152.416666666667</v>
      </c>
      <c r="LH66" s="37" t="n">
        <v>8152.416666666667</v>
      </c>
      <c r="LI66" s="37" t="n">
        <v>8152.416666666667</v>
      </c>
      <c r="LJ66" s="37" t="n">
        <v>8152.416666666667</v>
      </c>
      <c r="LK66" s="37" t="n">
        <v>8152.416666666667</v>
      </c>
      <c r="LL66" s="37" t="n">
        <v>4770</v>
      </c>
      <c r="LM66" s="37" t="n">
        <v>4770</v>
      </c>
      <c r="LN66" s="37" t="n">
        <v>4770</v>
      </c>
      <c r="LO66" s="37" t="n">
        <v>4770</v>
      </c>
      <c r="LP66" s="37" t="n">
        <v>4770</v>
      </c>
      <c r="LQ66" s="37" t="n">
        <v>4770</v>
      </c>
      <c r="LR66" s="37" t="n">
        <v>4770</v>
      </c>
      <c r="LS66" s="37" t="n">
        <v>4770</v>
      </c>
      <c r="LT66" s="37" t="n">
        <v>4770</v>
      </c>
      <c r="LU66" s="37" t="n">
        <v>4770</v>
      </c>
      <c r="LV66" s="37" t="n">
        <v>4770</v>
      </c>
      <c r="LW66" s="37" t="n">
        <v>0</v>
      </c>
      <c r="LX66" s="37" t="n">
        <v>0</v>
      </c>
      <c r="LY66" s="37" t="n">
        <v>0</v>
      </c>
      <c r="LZ66" s="37" t="n">
        <v>0</v>
      </c>
      <c r="MA66" s="37" t="n">
        <v>0</v>
      </c>
      <c r="MB66" s="37" t="n">
        <v>0</v>
      </c>
      <c r="MC66" s="37" t="n">
        <v>0</v>
      </c>
      <c r="MD66" s="37" t="n">
        <v>0</v>
      </c>
      <c r="ME66" s="37" t="n">
        <v>0</v>
      </c>
      <c r="MF66" s="37" t="n">
        <v>0</v>
      </c>
      <c r="MG66" s="37" t="n">
        <v>0</v>
      </c>
      <c r="MH66" s="37" t="n">
        <v>0</v>
      </c>
      <c r="MI66" s="37" t="n">
        <v>0</v>
      </c>
      <c r="MJ66" s="37" t="n">
        <v>0</v>
      </c>
      <c r="MK66" s="37" t="n">
        <v>0</v>
      </c>
      <c r="ML66" s="37" t="n">
        <v>0</v>
      </c>
      <c r="MM66" s="37" t="n">
        <v>0</v>
      </c>
      <c r="MN66" s="37" t="n">
        <v>0</v>
      </c>
      <c r="MO66" s="37" t="n">
        <v>0</v>
      </c>
      <c r="MP66" s="37" t="n">
        <v>0</v>
      </c>
      <c r="MQ66" s="37" t="n">
        <v>0</v>
      </c>
      <c r="MR66" s="37" t="n">
        <v>0</v>
      </c>
      <c r="MS66" s="37" t="n">
        <v>0</v>
      </c>
      <c r="MT66" s="37" t="n">
        <v>0</v>
      </c>
      <c r="MU66" s="37" t="n">
        <v>0</v>
      </c>
      <c r="MV66" s="37" t="n">
        <v>0</v>
      </c>
      <c r="MW66" s="37" t="n">
        <v>0</v>
      </c>
      <c r="MX66" s="37" t="n">
        <v>0</v>
      </c>
      <c r="MY66" s="37" t="n">
        <v>0</v>
      </c>
      <c r="MZ66" s="37" t="n">
        <v>0</v>
      </c>
      <c r="NA66" s="37" t="n">
        <v>0</v>
      </c>
      <c r="NB66" s="37" t="n">
        <v>0</v>
      </c>
      <c r="NC66" s="37" t="n">
        <v>0</v>
      </c>
      <c r="ND66" s="37" t="n">
        <v>0</v>
      </c>
      <c r="NE66" s="37" t="n">
        <v>0</v>
      </c>
      <c r="NF66" s="37" t="n">
        <v>0</v>
      </c>
      <c r="NG66" s="37" t="n">
        <v>0</v>
      </c>
      <c r="NH66" s="37" t="n">
        <v>0</v>
      </c>
      <c r="NI66" s="37" t="n">
        <v>0</v>
      </c>
      <c r="NJ66" s="37" t="n">
        <v>0</v>
      </c>
      <c r="NK66" s="37" t="n">
        <v>0</v>
      </c>
      <c r="NL66" s="37" t="n">
        <v>0</v>
      </c>
      <c r="NM66" s="37" t="n">
        <v>0</v>
      </c>
      <c r="NN66" s="37" t="n">
        <v>0</v>
      </c>
      <c r="NO66" s="37" t="n">
        <v>0</v>
      </c>
      <c r="NP66" s="37" t="n">
        <v>0</v>
      </c>
      <c r="NQ66" s="37" t="n">
        <v>0</v>
      </c>
      <c r="NR66" s="37" t="n">
        <v>0</v>
      </c>
      <c r="NS66" s="37" t="n">
        <v>0</v>
      </c>
      <c r="NT66" s="37" t="n">
        <v>0</v>
      </c>
      <c r="NU66" s="37" t="n">
        <v>0</v>
      </c>
      <c r="NV66" s="37" t="n">
        <v>0</v>
      </c>
      <c r="NW66" s="37" t="n">
        <v>0</v>
      </c>
      <c r="NX66" s="37" t="n">
        <v>0</v>
      </c>
      <c r="NY66" s="37" t="n">
        <v>0</v>
      </c>
      <c r="NZ66" s="37" t="n">
        <v>0</v>
      </c>
      <c r="OA66" s="37" t="n">
        <v>0</v>
      </c>
      <c r="OB66" s="37" t="n">
        <v>0</v>
      </c>
      <c r="OC66" s="37" t="n">
        <v>0</v>
      </c>
      <c r="OD66" s="37" t="n">
        <v>0</v>
      </c>
      <c r="OE66" s="37" t="n">
        <v>0</v>
      </c>
      <c r="OF66" s="37" t="n">
        <v>0</v>
      </c>
      <c r="OG66" s="37" t="n">
        <v>0</v>
      </c>
      <c r="OH66" s="37" t="n">
        <v>0</v>
      </c>
      <c r="OI66" s="37" t="n">
        <v>0</v>
      </c>
      <c r="OJ66" s="37" t="n">
        <v>0</v>
      </c>
      <c r="OK66" s="37" t="n">
        <v>0</v>
      </c>
      <c r="OL66" s="37" t="n">
        <v>0</v>
      </c>
      <c r="OM66" s="37" t="n">
        <v>0</v>
      </c>
      <c r="ON66" s="37" t="n">
        <v>0</v>
      </c>
      <c r="OO66" s="37" t="n">
        <v>0</v>
      </c>
      <c r="OP66" s="37" t="n">
        <v>0</v>
      </c>
      <c r="OQ66" s="37" t="n">
        <v>0</v>
      </c>
      <c r="OR66" s="37" t="n">
        <v>0</v>
      </c>
      <c r="OS66" s="37" t="n">
        <v>0</v>
      </c>
      <c r="OT66" s="37" t="n">
        <v>0</v>
      </c>
      <c r="OU66" s="37" t="n">
        <v>0</v>
      </c>
      <c r="OV66" s="37" t="n">
        <v>0</v>
      </c>
      <c r="OW66" s="37" t="n">
        <v>0</v>
      </c>
      <c r="OX66" s="37" t="n">
        <v>0</v>
      </c>
      <c r="OY66" s="37" t="n">
        <v>0</v>
      </c>
      <c r="OZ66" s="37" t="n">
        <v>0</v>
      </c>
      <c r="PA66" s="37" t="n">
        <v>0</v>
      </c>
      <c r="PB66" s="37" t="n">
        <v>0</v>
      </c>
      <c r="PC66" s="37" t="n">
        <v>0</v>
      </c>
      <c r="PD66" s="37" t="n">
        <v>0</v>
      </c>
      <c r="PE66" s="37" t="n">
        <v>0</v>
      </c>
      <c r="PF66" s="37" t="n">
        <v>0</v>
      </c>
      <c r="PG66" s="37" t="n">
        <v>0</v>
      </c>
      <c r="PH66" s="37" t="n">
        <v>0</v>
      </c>
      <c r="PI66" s="37" t="n">
        <v>0</v>
      </c>
      <c r="PJ66" s="37" t="n">
        <v>0</v>
      </c>
      <c r="PK66" s="37" t="n">
        <v>0</v>
      </c>
      <c r="PL66" s="37" t="n">
        <v>0</v>
      </c>
      <c r="PM66" s="37" t="n">
        <v>0</v>
      </c>
      <c r="PN66" s="37" t="n">
        <v>0</v>
      </c>
      <c r="PO66" s="37" t="n">
        <v>0</v>
      </c>
      <c r="PP66" s="37" t="n">
        <v>0</v>
      </c>
      <c r="PQ66" s="37" t="n">
        <v>0</v>
      </c>
      <c r="PR66" s="37" t="n">
        <v>0</v>
      </c>
      <c r="PS66" s="37" t="n">
        <v>0</v>
      </c>
      <c r="PT66" s="37" t="n">
        <v>0</v>
      </c>
      <c r="PU66" s="37" t="n">
        <v>0</v>
      </c>
      <c r="PV66" s="37" t="n">
        <v>0</v>
      </c>
      <c r="PW66" s="37" t="n">
        <v>0</v>
      </c>
      <c r="PX66" s="37" t="n">
        <v>0</v>
      </c>
      <c r="PY66" s="37" t="n">
        <v>0</v>
      </c>
      <c r="PZ66" s="37" t="n">
        <v>0</v>
      </c>
      <c r="QA66" s="37" t="n">
        <v>0</v>
      </c>
      <c r="QB66" s="37" t="n">
        <v>0</v>
      </c>
      <c r="QC66" s="37" t="n">
        <v>0</v>
      </c>
      <c r="QD66" s="37" t="n">
        <v>0</v>
      </c>
      <c r="QE66" s="37" t="n">
        <v>0</v>
      </c>
      <c r="QF66" s="37" t="n">
        <v>0</v>
      </c>
      <c r="QG66" s="37" t="n">
        <v>0</v>
      </c>
      <c r="QH66" s="37" t="n">
        <v>0</v>
      </c>
      <c r="QI66" s="37" t="n">
        <v>0</v>
      </c>
      <c r="QJ66" s="37" t="n">
        <v>0</v>
      </c>
      <c r="QK66" s="37" t="n">
        <v>0</v>
      </c>
      <c r="QL66" s="37" t="n">
        <v>0</v>
      </c>
      <c r="QM66" s="37" t="n">
        <v>0</v>
      </c>
      <c r="QN66" s="37" t="n">
        <v>0</v>
      </c>
      <c r="QO66" s="37" t="n">
        <v>0</v>
      </c>
      <c r="QP66" s="37" t="n">
        <v>0</v>
      </c>
      <c r="QQ66" s="37" t="n">
        <v>0</v>
      </c>
      <c r="QR66" s="37" t="n">
        <v>0</v>
      </c>
      <c r="QS66" s="37" t="n">
        <v>0</v>
      </c>
      <c r="QT66" s="37" t="n">
        <v>0</v>
      </c>
      <c r="QU66" s="37" t="n">
        <v>0</v>
      </c>
      <c r="QV66" s="37" t="n">
        <v>0</v>
      </c>
      <c r="QW66" s="37" t="n">
        <v>0</v>
      </c>
      <c r="QX66" s="37" t="n">
        <v>0</v>
      </c>
      <c r="QY66" s="37" t="n">
        <v>0</v>
      </c>
      <c r="QZ66" s="37" t="n">
        <v>0</v>
      </c>
      <c r="RA66" s="37" t="n">
        <v>0</v>
      </c>
      <c r="RB66" s="37" t="n">
        <v>0</v>
      </c>
      <c r="RC66" s="37" t="n">
        <v>0</v>
      </c>
      <c r="RD66" s="37" t="n">
        <v>0</v>
      </c>
      <c r="RE66" s="37" t="n">
        <v>0</v>
      </c>
      <c r="RF66" s="37" t="n">
        <v>0</v>
      </c>
      <c r="RG66" s="37" t="n">
        <v>0</v>
      </c>
      <c r="RH66" s="37" t="n">
        <v>0</v>
      </c>
      <c r="RI66" s="37" t="n">
        <v>0</v>
      </c>
      <c r="RJ66" s="37" t="n">
        <v>0</v>
      </c>
      <c r="RK66" s="37" t="n">
        <v>0</v>
      </c>
      <c r="RL66" s="37" t="n">
        <v>0</v>
      </c>
      <c r="RM66" s="37" t="n">
        <v>0</v>
      </c>
      <c r="RN66" s="37" t="n">
        <v>0</v>
      </c>
      <c r="RO66" s="37" t="n">
        <v>0</v>
      </c>
      <c r="RP66" s="37" t="n">
        <v>0</v>
      </c>
      <c r="RQ66" s="37" t="n">
        <v>0</v>
      </c>
      <c r="RR66" s="37" t="n">
        <v>0</v>
      </c>
      <c r="RS66" s="37" t="n">
        <v>0</v>
      </c>
      <c r="RT66" s="37" t="n">
        <v>0</v>
      </c>
      <c r="RU66" s="37" t="n">
        <v>0</v>
      </c>
      <c r="RV66" s="37" t="n">
        <v>0</v>
      </c>
      <c r="RW66" s="37" t="n">
        <v>0</v>
      </c>
    </row>
    <row r="67" ht="5.25" customHeight="1"/>
    <row r="68" ht="5.25" customHeight="1"/>
    <row r="69" ht="13.05" customHeight="1">
      <c r="E69" s="25" t="inlineStr">
        <is>
          <t>Net Production</t>
        </is>
      </c>
      <c r="F69" s="26" t="n"/>
      <c r="G69" s="26" t="inlineStr">
        <is>
          <t>MWh</t>
        </is>
      </c>
      <c r="H69" s="26" t="n"/>
      <c r="I69" s="26" t="n"/>
      <c r="J69" s="27" t="n"/>
      <c r="K69" s="26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  <c r="AS69" s="28" t="n"/>
      <c r="AT69" s="28" t="n"/>
      <c r="AU69" s="28" t="n"/>
      <c r="AV69" s="28" t="n"/>
      <c r="AW69" s="28" t="n"/>
      <c r="AX69" s="28" t="n"/>
      <c r="AY69" s="28" t="n"/>
      <c r="AZ69" s="28" t="n"/>
      <c r="BA69" s="28" t="n"/>
      <c r="BB69" s="28" t="n"/>
      <c r="BC69" s="28" t="n"/>
      <c r="BD69" s="28" t="n"/>
      <c r="BE69" s="28" t="n"/>
      <c r="BF69" s="28" t="n"/>
      <c r="BG69" s="28" t="n"/>
      <c r="BH69" s="28" t="n"/>
      <c r="BI69" s="28" t="n"/>
      <c r="BJ69" s="28" t="n"/>
      <c r="BK69" s="28" t="n"/>
      <c r="BL69" s="28" t="n"/>
      <c r="BM69" s="28" t="n"/>
      <c r="BN69" s="28" t="n"/>
      <c r="BO69" s="28" t="n"/>
      <c r="BP69" s="28" t="n"/>
      <c r="BQ69" s="28" t="n"/>
      <c r="BR69" s="28" t="n"/>
      <c r="BS69" s="28" t="n"/>
      <c r="BT69" s="28" t="n"/>
      <c r="BU69" s="28" t="n"/>
      <c r="BV69" s="28" t="n"/>
      <c r="BW69" s="28" t="n"/>
      <c r="BX69" s="28" t="n"/>
      <c r="BY69" s="28" t="n"/>
      <c r="BZ69" s="28" t="n"/>
      <c r="CA69" s="28" t="n"/>
      <c r="CB69" s="28" t="n"/>
      <c r="CC69" s="28" t="n"/>
      <c r="CD69" s="28" t="n"/>
      <c r="CE69" s="28" t="n"/>
      <c r="CF69" s="28" t="n"/>
      <c r="CG69" s="28" t="n"/>
      <c r="CH69" s="28" t="n"/>
      <c r="CI69" s="28" t="n"/>
      <c r="CJ69" s="28" t="n"/>
      <c r="CK69" s="28" t="n"/>
      <c r="CL69" s="28" t="n"/>
      <c r="CM69" s="28" t="n"/>
      <c r="CN69" s="28" t="n"/>
      <c r="CO69" s="28" t="n"/>
      <c r="CP69" s="28" t="n"/>
      <c r="CQ69" s="28" t="n"/>
      <c r="CR69" s="28" t="n"/>
      <c r="CS69" s="28" t="n"/>
      <c r="CT69" s="28" t="n"/>
      <c r="CU69" s="28" t="n"/>
      <c r="CV69" s="28" t="n"/>
      <c r="CW69" s="28" t="n"/>
      <c r="CX69" s="28" t="n"/>
      <c r="CY69" s="28" t="n"/>
      <c r="CZ69" s="28" t="n"/>
      <c r="DA69" s="28" t="n"/>
      <c r="DB69" s="28" t="n"/>
      <c r="DC69" s="28" t="n"/>
      <c r="DD69" s="28" t="n"/>
      <c r="DE69" s="28" t="n"/>
      <c r="DF69" s="28" t="n"/>
      <c r="DG69" s="28" t="n"/>
      <c r="DH69" s="28" t="n"/>
      <c r="DI69" s="28" t="n"/>
      <c r="DJ69" s="28" t="n"/>
      <c r="DK69" s="28" t="n"/>
      <c r="DL69" s="28" t="n"/>
      <c r="DM69" s="28" t="n"/>
      <c r="DN69" s="28" t="n"/>
      <c r="DO69" s="28" t="n"/>
      <c r="DP69" s="28" t="n"/>
      <c r="DQ69" s="28" t="n"/>
      <c r="DR69" s="28" t="n"/>
      <c r="DS69" s="28" t="n"/>
      <c r="DT69" s="28" t="n"/>
      <c r="DU69" s="28" t="n"/>
      <c r="DV69" s="28" t="n"/>
      <c r="DW69" s="28" t="n"/>
      <c r="DX69" s="28" t="n"/>
      <c r="DY69" s="28" t="n"/>
      <c r="DZ69" s="28" t="n"/>
      <c r="EA69" s="28" t="n"/>
      <c r="EB69" s="28" t="n"/>
      <c r="EC69" s="28" t="n"/>
      <c r="ED69" s="28" t="n"/>
      <c r="EE69" s="28" t="n"/>
      <c r="EF69" s="28" t="n"/>
      <c r="EG69" s="28" t="n"/>
      <c r="EH69" s="28" t="n"/>
      <c r="EI69" s="28" t="n"/>
      <c r="EJ69" s="28" t="n"/>
      <c r="EK69" s="28" t="n"/>
      <c r="EL69" s="28" t="n"/>
      <c r="EM69" s="28" t="n"/>
      <c r="EN69" s="28" t="n"/>
      <c r="EO69" s="28" t="n"/>
      <c r="EP69" s="28" t="n"/>
      <c r="EQ69" s="28" t="n"/>
      <c r="ER69" s="28" t="n"/>
      <c r="ES69" s="28" t="n"/>
      <c r="ET69" s="28" t="n"/>
      <c r="EU69" s="28" t="n"/>
      <c r="EV69" s="28" t="n"/>
      <c r="EW69" s="28" t="n"/>
      <c r="EX69" s="28" t="n"/>
      <c r="EY69" s="28" t="n"/>
      <c r="EZ69" s="28" t="n"/>
      <c r="FA69" s="28" t="n"/>
      <c r="FB69" s="28" t="n"/>
      <c r="FC69" s="28" t="n"/>
      <c r="FD69" s="28" t="n"/>
      <c r="FE69" s="28" t="n"/>
      <c r="FF69" s="28" t="n"/>
      <c r="FG69" s="28" t="n"/>
      <c r="FH69" s="28" t="n"/>
      <c r="FI69" s="28" t="n"/>
      <c r="FJ69" s="28" t="n"/>
      <c r="FK69" s="28" t="n"/>
      <c r="FL69" s="28" t="n"/>
      <c r="FM69" s="28" t="n"/>
      <c r="FN69" s="28" t="n"/>
      <c r="FO69" s="28" t="n"/>
      <c r="FP69" s="28" t="n"/>
      <c r="FQ69" s="28" t="n"/>
      <c r="FR69" s="28" t="n"/>
      <c r="FS69" s="28" t="n"/>
      <c r="FT69" s="28" t="n"/>
      <c r="FU69" s="28" t="n"/>
      <c r="FV69" s="28" t="n"/>
      <c r="FW69" s="28" t="n"/>
      <c r="FX69" s="28" t="n"/>
      <c r="FY69" s="28" t="n"/>
      <c r="FZ69" s="28" t="n"/>
      <c r="GA69" s="28" t="n"/>
      <c r="GB69" s="28" t="n"/>
      <c r="GC69" s="28" t="n"/>
      <c r="GD69" s="28" t="n"/>
      <c r="GE69" s="28" t="n"/>
      <c r="GF69" s="28" t="n"/>
      <c r="GG69" s="28" t="n"/>
      <c r="GH69" s="28" t="n"/>
      <c r="GI69" s="28" t="n"/>
      <c r="GJ69" s="28" t="n"/>
      <c r="GK69" s="28" t="n"/>
      <c r="GL69" s="28" t="n"/>
      <c r="GM69" s="28" t="n"/>
      <c r="GN69" s="28" t="n"/>
      <c r="GO69" s="28" t="n"/>
      <c r="GP69" s="28" t="n"/>
      <c r="GQ69" s="28" t="n"/>
      <c r="GR69" s="28" t="n"/>
      <c r="GS69" s="28" t="n"/>
      <c r="GT69" s="28" t="n"/>
      <c r="GU69" s="28" t="n"/>
      <c r="GV69" s="28" t="n"/>
      <c r="GW69" s="28" t="n"/>
      <c r="GX69" s="28" t="n"/>
      <c r="GY69" s="28" t="n"/>
      <c r="GZ69" s="28" t="n"/>
      <c r="HA69" s="28" t="n"/>
      <c r="HB69" s="28" t="n"/>
      <c r="HC69" s="28" t="n"/>
      <c r="HD69" s="28" t="n"/>
      <c r="HE69" s="28" t="n"/>
      <c r="HF69" s="28" t="n"/>
      <c r="HG69" s="28" t="n"/>
      <c r="HH69" s="28" t="n"/>
      <c r="HI69" s="28" t="n"/>
      <c r="HJ69" s="28" t="n"/>
      <c r="HK69" s="28" t="n"/>
      <c r="HL69" s="28" t="n"/>
      <c r="HM69" s="28" t="n"/>
      <c r="HN69" s="28" t="n"/>
      <c r="HO69" s="28" t="n"/>
      <c r="HP69" s="28" t="n"/>
      <c r="HQ69" s="28" t="n"/>
      <c r="HR69" s="28" t="n"/>
      <c r="HS69" s="28" t="n"/>
      <c r="HT69" s="28" t="n"/>
      <c r="HU69" s="28" t="n"/>
      <c r="HV69" s="28" t="n"/>
      <c r="HW69" s="28" t="n"/>
      <c r="HX69" s="28" t="n"/>
      <c r="HY69" s="28" t="n"/>
      <c r="HZ69" s="28" t="n"/>
      <c r="IA69" s="28" t="n"/>
      <c r="IB69" s="28" t="n"/>
      <c r="IC69" s="28" t="n"/>
      <c r="ID69" s="28" t="n"/>
      <c r="IE69" s="28" t="n"/>
      <c r="IF69" s="28" t="n"/>
      <c r="IG69" s="28" t="n"/>
      <c r="IH69" s="28" t="n"/>
      <c r="II69" s="28" t="n"/>
      <c r="IJ69" s="28" t="n"/>
      <c r="IK69" s="28" t="n"/>
      <c r="IL69" s="28" t="n"/>
      <c r="IM69" s="28" t="n"/>
      <c r="IN69" s="28" t="n"/>
      <c r="IO69" s="28" t="n"/>
      <c r="IP69" s="28" t="n"/>
      <c r="IQ69" s="28" t="n"/>
      <c r="IR69" s="28" t="n"/>
      <c r="IS69" s="28" t="n"/>
      <c r="IT69" s="28" t="n"/>
      <c r="IU69" s="28" t="n"/>
      <c r="IV69" s="28" t="n"/>
      <c r="IW69" s="28" t="n"/>
      <c r="IX69" s="28" t="n"/>
      <c r="IY69" s="28" t="n"/>
      <c r="IZ69" s="28" t="n"/>
      <c r="JA69" s="28" t="n"/>
      <c r="JB69" s="28" t="n"/>
      <c r="JC69" s="28" t="n"/>
      <c r="JD69" s="28" t="n"/>
      <c r="JE69" s="28" t="n"/>
      <c r="JF69" s="28" t="n"/>
      <c r="JG69" s="28" t="n"/>
      <c r="JH69" s="28" t="n"/>
      <c r="JI69" s="28" t="n"/>
      <c r="JJ69" s="28" t="n"/>
      <c r="JK69" s="28" t="n"/>
      <c r="JL69" s="28" t="n"/>
      <c r="JM69" s="28" t="n"/>
      <c r="JN69" s="28" t="n"/>
      <c r="JO69" s="28" t="n"/>
      <c r="JP69" s="28" t="n"/>
      <c r="JQ69" s="28" t="n"/>
      <c r="JR69" s="28" t="n"/>
      <c r="JS69" s="28" t="n"/>
      <c r="JT69" s="28" t="n"/>
      <c r="JU69" s="28" t="n"/>
      <c r="JV69" s="28" t="n"/>
      <c r="JW69" s="28" t="n"/>
      <c r="JX69" s="28" t="n"/>
      <c r="JY69" s="28" t="n"/>
      <c r="JZ69" s="28" t="n"/>
      <c r="KA69" s="28" t="n"/>
      <c r="KB69" s="28" t="n"/>
      <c r="KC69" s="28" t="n"/>
      <c r="KD69" s="28" t="n"/>
      <c r="KE69" s="28" t="n"/>
      <c r="KF69" s="28" t="n"/>
      <c r="KG69" s="28" t="n"/>
      <c r="KH69" s="28" t="n"/>
      <c r="KI69" s="28" t="n"/>
      <c r="KJ69" s="28" t="n"/>
      <c r="KK69" s="28" t="n"/>
      <c r="KL69" s="28" t="n"/>
      <c r="KM69" s="28" t="n"/>
      <c r="KN69" s="28" t="n"/>
      <c r="KO69" s="28" t="n"/>
      <c r="KP69" s="28" t="n"/>
      <c r="KQ69" s="28" t="n"/>
      <c r="KR69" s="28" t="n"/>
      <c r="KS69" s="28" t="n"/>
      <c r="KT69" s="28" t="n"/>
      <c r="KU69" s="28" t="n"/>
      <c r="KV69" s="28" t="n"/>
      <c r="KW69" s="28" t="n"/>
      <c r="KX69" s="28" t="n"/>
      <c r="KY69" s="28" t="n"/>
      <c r="KZ69" s="28" t="n"/>
      <c r="LA69" s="28" t="n"/>
      <c r="LB69" s="28" t="n"/>
      <c r="LC69" s="28" t="n"/>
      <c r="LD69" s="28" t="n"/>
      <c r="LE69" s="28" t="n"/>
      <c r="LF69" s="28" t="n"/>
      <c r="LG69" s="28" t="n"/>
      <c r="LH69" s="28" t="n"/>
      <c r="LI69" s="28" t="n"/>
      <c r="LJ69" s="28" t="n"/>
      <c r="LK69" s="28" t="n"/>
      <c r="LL69" s="28" t="n"/>
      <c r="LM69" s="28" t="n"/>
      <c r="LN69" s="28" t="n"/>
      <c r="LO69" s="28" t="n"/>
      <c r="LP69" s="28" t="n"/>
      <c r="LQ69" s="28" t="n"/>
      <c r="LR69" s="28" t="n"/>
      <c r="LS69" s="28" t="n"/>
      <c r="LT69" s="28" t="n"/>
      <c r="LU69" s="28" t="n"/>
      <c r="LV69" s="28" t="n"/>
      <c r="LW69" s="28" t="n"/>
      <c r="LX69" s="28" t="n"/>
      <c r="LY69" s="28" t="n"/>
      <c r="LZ69" s="28" t="n"/>
      <c r="MA69" s="28" t="n"/>
      <c r="MB69" s="28" t="n"/>
      <c r="MC69" s="28" t="n"/>
      <c r="MD69" s="28" t="n"/>
      <c r="ME69" s="28" t="n"/>
      <c r="MF69" s="28" t="n"/>
      <c r="MG69" s="28" t="n"/>
      <c r="MH69" s="28" t="n"/>
      <c r="MI69" s="28" t="n"/>
      <c r="MJ69" s="28" t="n"/>
      <c r="MK69" s="28" t="n"/>
      <c r="ML69" s="28" t="n"/>
      <c r="MM69" s="28" t="n"/>
      <c r="MN69" s="28" t="n"/>
      <c r="MO69" s="28" t="n"/>
      <c r="MP69" s="28" t="n"/>
      <c r="MQ69" s="28" t="n"/>
      <c r="MR69" s="28" t="n"/>
      <c r="MS69" s="28" t="n"/>
      <c r="MT69" s="28" t="n"/>
      <c r="MU69" s="28" t="n"/>
      <c r="MV69" s="28" t="n"/>
      <c r="MW69" s="28" t="n"/>
      <c r="MX69" s="28" t="n"/>
      <c r="MY69" s="28" t="n"/>
      <c r="MZ69" s="28" t="n"/>
      <c r="NA69" s="28" t="n"/>
      <c r="NB69" s="28" t="n"/>
      <c r="NC69" s="28" t="n"/>
      <c r="ND69" s="28" t="n"/>
      <c r="NE69" s="28" t="n"/>
      <c r="NF69" s="28" t="n"/>
      <c r="NG69" s="28" t="n"/>
      <c r="NH69" s="28" t="n"/>
      <c r="NI69" s="28" t="n"/>
      <c r="NJ69" s="28" t="n"/>
      <c r="NK69" s="28" t="n"/>
      <c r="NL69" s="28" t="n"/>
      <c r="NM69" s="28" t="n"/>
      <c r="NN69" s="28" t="n"/>
      <c r="NO69" s="28" t="n"/>
      <c r="NP69" s="28" t="n"/>
      <c r="NQ69" s="28" t="n"/>
      <c r="NR69" s="28" t="n"/>
      <c r="NS69" s="28" t="n"/>
      <c r="NT69" s="28" t="n"/>
      <c r="NU69" s="28" t="n"/>
      <c r="NV69" s="28" t="n"/>
      <c r="NW69" s="28" t="n"/>
      <c r="NX69" s="28" t="n"/>
      <c r="NY69" s="28" t="n"/>
      <c r="NZ69" s="28" t="n"/>
      <c r="OA69" s="28" t="n"/>
      <c r="OB69" s="28" t="n"/>
      <c r="OC69" s="28" t="n"/>
      <c r="OD69" s="28" t="n"/>
      <c r="OE69" s="28" t="n"/>
      <c r="OF69" s="28" t="n"/>
      <c r="OG69" s="28" t="n"/>
      <c r="OH69" s="28" t="n"/>
      <c r="OI69" s="28" t="n"/>
      <c r="OJ69" s="28" t="n"/>
      <c r="OK69" s="28" t="n"/>
      <c r="OL69" s="28" t="n"/>
      <c r="OM69" s="28" t="n"/>
      <c r="ON69" s="28" t="n"/>
      <c r="OO69" s="28" t="n"/>
      <c r="OP69" s="28" t="n"/>
      <c r="OQ69" s="28" t="n"/>
      <c r="OR69" s="28" t="n"/>
      <c r="OS69" s="28" t="n"/>
      <c r="OT69" s="28" t="n"/>
      <c r="OU69" s="28" t="n"/>
      <c r="OV69" s="28" t="n"/>
      <c r="OW69" s="28" t="n"/>
      <c r="OX69" s="28" t="n"/>
      <c r="OY69" s="28" t="n"/>
      <c r="OZ69" s="28" t="n"/>
      <c r="PA69" s="28" t="n"/>
      <c r="PB69" s="28" t="n"/>
      <c r="PC69" s="28" t="n"/>
      <c r="PD69" s="28" t="n"/>
      <c r="PE69" s="28" t="n"/>
      <c r="PF69" s="28" t="n"/>
      <c r="PG69" s="28" t="n"/>
      <c r="PH69" s="28" t="n"/>
      <c r="PI69" s="28" t="n"/>
      <c r="PJ69" s="28" t="n"/>
      <c r="PK69" s="28" t="n"/>
      <c r="PL69" s="28" t="n"/>
      <c r="PM69" s="28" t="n"/>
      <c r="PN69" s="28" t="n"/>
      <c r="PO69" s="28" t="n"/>
      <c r="PP69" s="28" t="n"/>
      <c r="PQ69" s="28" t="n"/>
      <c r="PR69" s="28" t="n"/>
      <c r="PS69" s="28" t="n"/>
      <c r="PT69" s="28" t="n"/>
      <c r="PU69" s="28" t="n"/>
      <c r="PV69" s="28" t="n"/>
      <c r="PW69" s="28" t="n"/>
      <c r="PX69" s="28" t="n"/>
      <c r="PY69" s="28" t="n"/>
      <c r="PZ69" s="28" t="n"/>
      <c r="QA69" s="28" t="n"/>
      <c r="QB69" s="28" t="n"/>
      <c r="QC69" s="28" t="n"/>
      <c r="QD69" s="28" t="n"/>
      <c r="QE69" s="28" t="n"/>
      <c r="QF69" s="28" t="n"/>
      <c r="QG69" s="28" t="n"/>
      <c r="QH69" s="28" t="n"/>
      <c r="QI69" s="28" t="n"/>
      <c r="QJ69" s="28" t="n"/>
      <c r="QK69" s="28" t="n"/>
      <c r="QL69" s="28" t="n"/>
      <c r="QM69" s="28" t="n"/>
      <c r="QN69" s="28" t="n"/>
      <c r="QO69" s="28" t="n"/>
      <c r="QP69" s="28" t="n"/>
      <c r="QQ69" s="28" t="n"/>
      <c r="QR69" s="28" t="n"/>
      <c r="QS69" s="28" t="n"/>
      <c r="QT69" s="28" t="n"/>
      <c r="QU69" s="28" t="n"/>
      <c r="QV69" s="28" t="n"/>
      <c r="QW69" s="28" t="n"/>
      <c r="QX69" s="28" t="n"/>
      <c r="QY69" s="28" t="n"/>
      <c r="QZ69" s="28" t="n"/>
      <c r="RA69" s="28" t="n"/>
      <c r="RB69" s="28" t="n"/>
      <c r="RC69" s="28" t="n"/>
      <c r="RD69" s="28" t="n"/>
      <c r="RE69" s="28" t="n"/>
      <c r="RF69" s="28" t="n"/>
      <c r="RG69" s="28" t="n"/>
      <c r="RH69" s="28" t="n"/>
      <c r="RI69" s="28" t="n"/>
      <c r="RJ69" s="28" t="n"/>
      <c r="RK69" s="28" t="n"/>
      <c r="RL69" s="28" t="n"/>
      <c r="RM69" s="28" t="n"/>
      <c r="RN69" s="28" t="n"/>
      <c r="RO69" s="28" t="n"/>
      <c r="RP69" s="28" t="n"/>
      <c r="RQ69" s="28" t="n"/>
      <c r="RR69" s="28" t="n"/>
      <c r="RS69" s="28" t="n"/>
      <c r="RT69" s="28" t="n"/>
      <c r="RU69" s="28" t="n"/>
      <c r="RV69" s="28" t="n"/>
      <c r="RW69" s="28" t="n"/>
    </row>
    <row r="70" hidden="1" outlineLevel="1" ht="13.05" customHeight="1">
      <c r="E70" s="21" t="inlineStr">
        <is>
          <t>Price Indexation Factor</t>
        </is>
      </c>
      <c r="F70" s="29" t="n"/>
      <c r="G70" s="29" t="inlineStr">
        <is>
          <t>x</t>
        </is>
      </c>
      <c r="H70" s="29" t="n"/>
      <c r="I70" s="29" t="n"/>
      <c r="J70" s="30" t="n"/>
      <c r="K70" s="29" t="n"/>
      <c r="L70" s="31" t="n"/>
      <c r="M70" s="31" t="n"/>
      <c r="N70" s="31" t="n"/>
      <c r="O70" s="31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  <c r="AP70" s="31" t="n"/>
      <c r="AQ70" s="31" t="n"/>
      <c r="AR70" s="31" t="n"/>
      <c r="AS70" s="31" t="n"/>
      <c r="AT70" s="31" t="n"/>
      <c r="AU70" s="31" t="n"/>
      <c r="AV70" s="31" t="n"/>
      <c r="AW70" s="31" t="n"/>
      <c r="AX70" s="31" t="n"/>
      <c r="AY70" s="31" t="n"/>
      <c r="AZ70" s="31" t="n"/>
      <c r="BA70" s="31" t="n"/>
      <c r="BB70" s="31" t="n"/>
      <c r="BC70" s="31" t="n"/>
      <c r="BD70" s="31" t="n"/>
      <c r="BE70" s="31" t="n"/>
      <c r="BF70" s="31" t="n"/>
      <c r="BG70" s="31" t="n"/>
      <c r="BH70" s="31" t="n"/>
      <c r="BI70" s="31" t="n"/>
      <c r="BJ70" s="31" t="n"/>
      <c r="BK70" s="31" t="n"/>
      <c r="BL70" s="31" t="n"/>
      <c r="BM70" s="31" t="n"/>
      <c r="BN70" s="31" t="n"/>
      <c r="BO70" s="31" t="n"/>
      <c r="BP70" s="31" t="n"/>
      <c r="BQ70" s="31" t="n"/>
      <c r="BR70" s="31" t="n"/>
      <c r="BS70" s="31" t="n"/>
      <c r="BT70" s="31" t="n"/>
      <c r="BU70" s="31" t="n"/>
      <c r="BV70" s="31" t="n"/>
      <c r="BW70" s="31" t="n"/>
      <c r="BX70" s="31" t="n"/>
      <c r="BY70" s="31" t="n"/>
      <c r="BZ70" s="31" t="n"/>
      <c r="CA70" s="31" t="n"/>
      <c r="CB70" s="31" t="n"/>
      <c r="CC70" s="31" t="n"/>
      <c r="CD70" s="31" t="n"/>
      <c r="CE70" s="31" t="n"/>
      <c r="CF70" s="31" t="n"/>
      <c r="CG70" s="31" t="n"/>
      <c r="CH70" s="31" t="n"/>
      <c r="CI70" s="31" t="n"/>
      <c r="CJ70" s="31" t="n"/>
      <c r="CK70" s="31" t="n"/>
      <c r="CL70" s="31" t="n"/>
      <c r="CM70" s="31" t="n"/>
      <c r="CN70" s="31" t="n"/>
      <c r="CO70" s="31" t="n"/>
      <c r="CP70" s="31" t="n"/>
      <c r="CQ70" s="31" t="n"/>
      <c r="CR70" s="31" t="n"/>
      <c r="CS70" s="31" t="n"/>
      <c r="CT70" s="31" t="n"/>
      <c r="CU70" s="31" t="n"/>
      <c r="CV70" s="31" t="n"/>
      <c r="CW70" s="31" t="n"/>
      <c r="CX70" s="31" t="n"/>
      <c r="CY70" s="31" t="n"/>
      <c r="CZ70" s="31" t="n"/>
      <c r="DA70" s="31" t="n"/>
      <c r="DB70" s="31" t="n"/>
      <c r="DC70" s="31" t="n"/>
      <c r="DD70" s="31" t="n"/>
      <c r="DE70" s="31" t="n"/>
      <c r="DF70" s="31" t="n"/>
      <c r="DG70" s="31" t="n"/>
      <c r="DH70" s="31" t="n"/>
      <c r="DI70" s="31" t="n"/>
      <c r="DJ70" s="31" t="n"/>
      <c r="DK70" s="31" t="n"/>
      <c r="DL70" s="31" t="n"/>
      <c r="DM70" s="31" t="n"/>
      <c r="DN70" s="31" t="n"/>
      <c r="DO70" s="31" t="n"/>
      <c r="DP70" s="31" t="n"/>
      <c r="DQ70" s="31" t="n"/>
      <c r="DR70" s="31" t="n"/>
      <c r="DS70" s="31" t="n"/>
      <c r="DT70" s="31" t="n"/>
      <c r="DU70" s="31" t="n"/>
      <c r="DV70" s="31" t="n"/>
      <c r="DW70" s="31" t="n"/>
      <c r="DX70" s="31" t="n"/>
      <c r="DY70" s="31" t="n"/>
      <c r="DZ70" s="31" t="n"/>
      <c r="EA70" s="31" t="n"/>
      <c r="EB70" s="31" t="n"/>
      <c r="EC70" s="31" t="n"/>
      <c r="ED70" s="31" t="n"/>
      <c r="EE70" s="31" t="n"/>
      <c r="EF70" s="31" t="n"/>
      <c r="EG70" s="31" t="n"/>
      <c r="EH70" s="31" t="n"/>
      <c r="EI70" s="31" t="n"/>
      <c r="EJ70" s="31" t="n"/>
      <c r="EK70" s="31" t="n"/>
      <c r="EL70" s="31" t="n"/>
      <c r="EM70" s="31" t="n"/>
      <c r="EN70" s="31" t="n"/>
      <c r="EO70" s="31" t="n"/>
      <c r="EP70" s="31" t="n"/>
      <c r="EQ70" s="31" t="n"/>
      <c r="ER70" s="31" t="n"/>
      <c r="ES70" s="31" t="n"/>
      <c r="ET70" s="31" t="n"/>
      <c r="EU70" s="31" t="n"/>
      <c r="EV70" s="31" t="n"/>
      <c r="EW70" s="31" t="n"/>
      <c r="EX70" s="31" t="n"/>
      <c r="EY70" s="31" t="n"/>
      <c r="EZ70" s="31" t="n"/>
      <c r="FA70" s="31" t="n"/>
      <c r="FB70" s="31" t="n"/>
      <c r="FC70" s="31" t="n"/>
      <c r="FD70" s="31" t="n"/>
      <c r="FE70" s="31" t="n"/>
      <c r="FF70" s="31" t="n"/>
      <c r="FG70" s="31" t="n"/>
      <c r="FH70" s="31" t="n"/>
      <c r="FI70" s="31" t="n"/>
      <c r="FJ70" s="31" t="n"/>
      <c r="FK70" s="31" t="n"/>
      <c r="FL70" s="31" t="n"/>
      <c r="FM70" s="31" t="n"/>
      <c r="FN70" s="31" t="n"/>
      <c r="FO70" s="31" t="n"/>
      <c r="FP70" s="31" t="n"/>
      <c r="FQ70" s="31" t="n"/>
      <c r="FR70" s="31" t="n"/>
      <c r="FS70" s="31" t="n"/>
      <c r="FT70" s="31" t="n"/>
      <c r="FU70" s="31" t="n"/>
      <c r="FV70" s="31" t="n"/>
      <c r="FW70" s="31" t="n"/>
      <c r="FX70" s="31" t="n"/>
      <c r="FY70" s="31" t="n"/>
      <c r="FZ70" s="31" t="n"/>
      <c r="GA70" s="31" t="n"/>
      <c r="GB70" s="31" t="n"/>
      <c r="GC70" s="31" t="n"/>
      <c r="GD70" s="31" t="n"/>
      <c r="GE70" s="31" t="n"/>
      <c r="GF70" s="31" t="n"/>
      <c r="GG70" s="31" t="n"/>
      <c r="GH70" s="31" t="n"/>
      <c r="GI70" s="31" t="n"/>
      <c r="GJ70" s="31" t="n"/>
      <c r="GK70" s="31" t="n"/>
      <c r="GL70" s="31" t="n"/>
      <c r="GM70" s="31" t="n"/>
      <c r="GN70" s="31" t="n"/>
      <c r="GO70" s="31" t="n"/>
      <c r="GP70" s="31" t="n"/>
      <c r="GQ70" s="31" t="n"/>
      <c r="GR70" s="31" t="n"/>
      <c r="GS70" s="31" t="n"/>
      <c r="GT70" s="31" t="n"/>
      <c r="GU70" s="31" t="n"/>
      <c r="GV70" s="31" t="n"/>
      <c r="GW70" s="31" t="n"/>
      <c r="GX70" s="31" t="n"/>
      <c r="GY70" s="31" t="n"/>
      <c r="GZ70" s="31" t="n"/>
      <c r="HA70" s="31" t="n"/>
      <c r="HB70" s="31" t="n"/>
      <c r="HC70" s="31" t="n"/>
      <c r="HD70" s="31" t="n"/>
      <c r="HE70" s="31" t="n"/>
      <c r="HF70" s="31" t="n"/>
      <c r="HG70" s="31" t="n"/>
      <c r="HH70" s="31" t="n"/>
      <c r="HI70" s="31" t="n"/>
      <c r="HJ70" s="31" t="n"/>
      <c r="HK70" s="31" t="n"/>
      <c r="HL70" s="31" t="n"/>
      <c r="HM70" s="31" t="n"/>
      <c r="HN70" s="31" t="n"/>
      <c r="HO70" s="31" t="n"/>
      <c r="HP70" s="31" t="n"/>
      <c r="HQ70" s="31" t="n"/>
      <c r="HR70" s="31" t="n"/>
      <c r="HS70" s="31" t="n"/>
      <c r="HT70" s="31" t="n"/>
      <c r="HU70" s="31" t="n"/>
      <c r="HV70" s="31" t="n"/>
      <c r="HW70" s="31" t="n"/>
      <c r="HX70" s="31" t="n"/>
      <c r="HY70" s="31" t="n"/>
      <c r="HZ70" s="31" t="n"/>
      <c r="IA70" s="31" t="n"/>
      <c r="IB70" s="31" t="n"/>
      <c r="IC70" s="31" t="n"/>
      <c r="ID70" s="31" t="n"/>
      <c r="IE70" s="31" t="n"/>
      <c r="IF70" s="31" t="n"/>
      <c r="IG70" s="31" t="n"/>
      <c r="IH70" s="31" t="n"/>
      <c r="II70" s="31" t="n"/>
      <c r="IJ70" s="31" t="n"/>
      <c r="IK70" s="31" t="n"/>
      <c r="IL70" s="31" t="n"/>
      <c r="IM70" s="31" t="n"/>
      <c r="IN70" s="31" t="n"/>
      <c r="IO70" s="31" t="n"/>
      <c r="IP70" s="31" t="n"/>
      <c r="IQ70" s="31" t="n"/>
      <c r="IR70" s="31" t="n"/>
      <c r="IS70" s="31" t="n"/>
      <c r="IT70" s="31" t="n"/>
      <c r="IU70" s="31" t="n"/>
      <c r="IV70" s="31" t="n"/>
      <c r="IW70" s="31" t="n"/>
      <c r="IX70" s="31" t="n"/>
      <c r="IY70" s="31" t="n"/>
      <c r="IZ70" s="31" t="n"/>
      <c r="JA70" s="31" t="n"/>
      <c r="JB70" s="31" t="n"/>
      <c r="JC70" s="31" t="n"/>
      <c r="JD70" s="31" t="n"/>
      <c r="JE70" s="31" t="n"/>
      <c r="JF70" s="31" t="n"/>
      <c r="JG70" s="31" t="n"/>
      <c r="JH70" s="31" t="n"/>
      <c r="JI70" s="31" t="n"/>
      <c r="JJ70" s="31" t="n"/>
      <c r="JK70" s="31" t="n"/>
      <c r="JL70" s="31" t="n"/>
      <c r="JM70" s="31" t="n"/>
      <c r="JN70" s="31" t="n"/>
      <c r="JO70" s="31" t="n"/>
      <c r="JP70" s="31" t="n"/>
      <c r="JQ70" s="31" t="n"/>
      <c r="JR70" s="31" t="n"/>
      <c r="JS70" s="31" t="n"/>
      <c r="JT70" s="31" t="n"/>
      <c r="JU70" s="31" t="n"/>
      <c r="JV70" s="31" t="n"/>
      <c r="JW70" s="31" t="n"/>
      <c r="JX70" s="31" t="n"/>
      <c r="JY70" s="31" t="n"/>
      <c r="JZ70" s="31" t="n"/>
      <c r="KA70" s="31" t="n"/>
      <c r="KB70" s="31" t="n"/>
      <c r="KC70" s="31" t="n"/>
      <c r="KD70" s="31" t="n"/>
      <c r="KE70" s="31" t="n"/>
      <c r="KF70" s="31" t="n"/>
      <c r="KG70" s="31" t="n"/>
      <c r="KH70" s="31" t="n"/>
      <c r="KI70" s="31" t="n"/>
      <c r="KJ70" s="31" t="n"/>
      <c r="KK70" s="31" t="n"/>
      <c r="KL70" s="31" t="n"/>
      <c r="KM70" s="31" t="n"/>
      <c r="KN70" s="31" t="n"/>
      <c r="KO70" s="31" t="n"/>
      <c r="KP70" s="31" t="n"/>
      <c r="KQ70" s="31" t="n"/>
      <c r="KR70" s="31" t="n"/>
      <c r="KS70" s="31" t="n"/>
      <c r="KT70" s="31" t="n"/>
      <c r="KU70" s="31" t="n"/>
      <c r="KV70" s="31" t="n"/>
      <c r="KW70" s="31" t="n"/>
      <c r="KX70" s="31" t="n"/>
      <c r="KY70" s="31" t="n"/>
      <c r="KZ70" s="31" t="n"/>
      <c r="LA70" s="31" t="n"/>
      <c r="LB70" s="31" t="n"/>
      <c r="LC70" s="31" t="n"/>
      <c r="LD70" s="31" t="n"/>
      <c r="LE70" s="31" t="n"/>
      <c r="LF70" s="31" t="n"/>
      <c r="LG70" s="31" t="n"/>
      <c r="LH70" s="31" t="n"/>
      <c r="LI70" s="31" t="n"/>
      <c r="LJ70" s="31" t="n"/>
      <c r="LK70" s="31" t="n"/>
      <c r="LL70" s="31" t="n"/>
      <c r="LM70" s="31" t="n"/>
      <c r="LN70" s="31" t="n"/>
      <c r="LO70" s="31" t="n"/>
      <c r="LP70" s="31" t="n"/>
      <c r="LQ70" s="31" t="n"/>
      <c r="LR70" s="31" t="n"/>
      <c r="LS70" s="31" t="n"/>
      <c r="LT70" s="31" t="n"/>
      <c r="LU70" s="31" t="n"/>
      <c r="LV70" s="31" t="n"/>
      <c r="LW70" s="31" t="n"/>
      <c r="LX70" s="31" t="n"/>
      <c r="LY70" s="31" t="n"/>
      <c r="LZ70" s="31" t="n"/>
      <c r="MA70" s="31" t="n"/>
      <c r="MB70" s="31" t="n"/>
      <c r="MC70" s="31" t="n"/>
      <c r="MD70" s="31" t="n"/>
      <c r="ME70" s="31" t="n"/>
      <c r="MF70" s="31" t="n"/>
      <c r="MG70" s="31" t="n"/>
      <c r="MH70" s="31" t="n"/>
      <c r="MI70" s="31" t="n"/>
      <c r="MJ70" s="31" t="n"/>
      <c r="MK70" s="31" t="n"/>
      <c r="ML70" s="31" t="n"/>
      <c r="MM70" s="31" t="n"/>
      <c r="MN70" s="31" t="n"/>
      <c r="MO70" s="31" t="n"/>
      <c r="MP70" s="31" t="n"/>
      <c r="MQ70" s="31" t="n"/>
      <c r="MR70" s="31" t="n"/>
      <c r="MS70" s="31" t="n"/>
      <c r="MT70" s="31" t="n"/>
      <c r="MU70" s="31" t="n"/>
      <c r="MV70" s="31" t="n"/>
      <c r="MW70" s="31" t="n"/>
      <c r="MX70" s="31" t="n"/>
      <c r="MY70" s="31" t="n"/>
      <c r="MZ70" s="31" t="n"/>
      <c r="NA70" s="31" t="n"/>
      <c r="NB70" s="31" t="n"/>
      <c r="NC70" s="31" t="n"/>
      <c r="ND70" s="31" t="n"/>
      <c r="NE70" s="31" t="n"/>
      <c r="NF70" s="31" t="n"/>
      <c r="NG70" s="31" t="n"/>
      <c r="NH70" s="31" t="n"/>
      <c r="NI70" s="31" t="n"/>
      <c r="NJ70" s="31" t="n"/>
      <c r="NK70" s="31" t="n"/>
      <c r="NL70" s="31" t="n"/>
      <c r="NM70" s="31" t="n"/>
      <c r="NN70" s="31" t="n"/>
      <c r="NO70" s="31" t="n"/>
      <c r="NP70" s="31" t="n"/>
      <c r="NQ70" s="31" t="n"/>
      <c r="NR70" s="31" t="n"/>
      <c r="NS70" s="31" t="n"/>
      <c r="NT70" s="31" t="n"/>
      <c r="NU70" s="31" t="n"/>
      <c r="NV70" s="31" t="n"/>
      <c r="NW70" s="31" t="n"/>
      <c r="NX70" s="31" t="n"/>
      <c r="NY70" s="31" t="n"/>
      <c r="NZ70" s="31" t="n"/>
      <c r="OA70" s="31" t="n"/>
      <c r="OB70" s="31" t="n"/>
      <c r="OC70" s="31" t="n"/>
      <c r="OD70" s="31" t="n"/>
      <c r="OE70" s="31" t="n"/>
      <c r="OF70" s="31" t="n"/>
      <c r="OG70" s="31" t="n"/>
      <c r="OH70" s="31" t="n"/>
      <c r="OI70" s="31" t="n"/>
      <c r="OJ70" s="31" t="n"/>
      <c r="OK70" s="31" t="n"/>
      <c r="OL70" s="31" t="n"/>
      <c r="OM70" s="31" t="n"/>
      <c r="ON70" s="31" t="n"/>
      <c r="OO70" s="31" t="n"/>
      <c r="OP70" s="31" t="n"/>
      <c r="OQ70" s="31" t="n"/>
      <c r="OR70" s="31" t="n"/>
      <c r="OS70" s="31" t="n"/>
      <c r="OT70" s="31" t="n"/>
      <c r="OU70" s="31" t="n"/>
      <c r="OV70" s="31" t="n"/>
      <c r="OW70" s="31" t="n"/>
      <c r="OX70" s="31" t="n"/>
      <c r="OY70" s="31" t="n"/>
      <c r="OZ70" s="31" t="n"/>
      <c r="PA70" s="31" t="n"/>
      <c r="PB70" s="31" t="n"/>
      <c r="PC70" s="31" t="n"/>
      <c r="PD70" s="31" t="n"/>
      <c r="PE70" s="31" t="n"/>
      <c r="PF70" s="31" t="n"/>
      <c r="PG70" s="31" t="n"/>
      <c r="PH70" s="31" t="n"/>
      <c r="PI70" s="31" t="n"/>
      <c r="PJ70" s="31" t="n"/>
      <c r="PK70" s="31" t="n"/>
      <c r="PL70" s="31" t="n"/>
      <c r="PM70" s="31" t="n"/>
      <c r="PN70" s="31" t="n"/>
      <c r="PO70" s="31" t="n"/>
      <c r="PP70" s="31" t="n"/>
      <c r="PQ70" s="31" t="n"/>
      <c r="PR70" s="31" t="n"/>
      <c r="PS70" s="31" t="n"/>
      <c r="PT70" s="31" t="n"/>
      <c r="PU70" s="31" t="n"/>
      <c r="PV70" s="31" t="n"/>
      <c r="PW70" s="31" t="n"/>
      <c r="PX70" s="31" t="n"/>
      <c r="PY70" s="31" t="n"/>
      <c r="PZ70" s="31" t="n"/>
      <c r="QA70" s="31" t="n"/>
      <c r="QB70" s="31" t="n"/>
      <c r="QC70" s="31" t="n"/>
      <c r="QD70" s="31" t="n"/>
      <c r="QE70" s="31" t="n"/>
      <c r="QF70" s="31" t="n"/>
      <c r="QG70" s="31" t="n"/>
      <c r="QH70" s="31" t="n"/>
      <c r="QI70" s="31" t="n"/>
      <c r="QJ70" s="31" t="n"/>
      <c r="QK70" s="31" t="n"/>
      <c r="QL70" s="31" t="n"/>
      <c r="QM70" s="31" t="n"/>
      <c r="QN70" s="31" t="n"/>
      <c r="QO70" s="31" t="n"/>
      <c r="QP70" s="31" t="n"/>
      <c r="QQ70" s="31" t="n"/>
      <c r="QR70" s="31" t="n"/>
      <c r="QS70" s="31" t="n"/>
      <c r="QT70" s="31" t="n"/>
      <c r="QU70" s="31" t="n"/>
      <c r="QV70" s="31" t="n"/>
      <c r="QW70" s="31" t="n"/>
      <c r="QX70" s="31" t="n"/>
      <c r="QY70" s="31" t="n"/>
      <c r="QZ70" s="31" t="n"/>
      <c r="RA70" s="31" t="n"/>
      <c r="RB70" s="31" t="n"/>
      <c r="RC70" s="31" t="n"/>
      <c r="RD70" s="31" t="n"/>
      <c r="RE70" s="31" t="n"/>
      <c r="RF70" s="31" t="n"/>
      <c r="RG70" s="31" t="n"/>
      <c r="RH70" s="31" t="n"/>
      <c r="RI70" s="31" t="n"/>
      <c r="RJ70" s="31" t="n"/>
      <c r="RK70" s="31" t="n"/>
      <c r="RL70" s="31" t="n"/>
      <c r="RM70" s="31" t="n"/>
      <c r="RN70" s="31" t="n"/>
      <c r="RO70" s="31" t="n"/>
      <c r="RP70" s="31" t="n"/>
      <c r="RQ70" s="31" t="n"/>
      <c r="RR70" s="31" t="n"/>
      <c r="RS70" s="31" t="n"/>
      <c r="RT70" s="31" t="n"/>
      <c r="RU70" s="31" t="n"/>
      <c r="RV70" s="31" t="n"/>
      <c r="RW70" s="31" t="n"/>
    </row>
    <row r="71" hidden="1" outlineLevel="1" ht="13.05" customHeight="1">
      <c r="E71" s="21" t="inlineStr">
        <is>
          <t>Wholesale Price (inflated)</t>
        </is>
      </c>
      <c r="F71" s="29" t="n"/>
      <c r="G71" s="29" t="inlineStr">
        <is>
          <t>DKK/MWh</t>
        </is>
      </c>
      <c r="H71" s="29" t="n"/>
      <c r="I71" s="29" t="n"/>
      <c r="J71" s="32" t="n"/>
      <c r="K71" s="29" t="n"/>
      <c r="L71" s="33" t="n"/>
      <c r="M71" s="33" t="n"/>
      <c r="N71" s="33" t="n"/>
      <c r="O71" s="33" t="n"/>
      <c r="P71" s="33" t="n"/>
      <c r="Q71" s="33" t="n"/>
      <c r="R71" s="33" t="n"/>
      <c r="S71" s="33" t="n"/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  <c r="AE71" s="33" t="n"/>
      <c r="AF71" s="33" t="n"/>
      <c r="AG71" s="33" t="n"/>
      <c r="AH71" s="33" t="n"/>
      <c r="AI71" s="33" t="n"/>
      <c r="AJ71" s="33" t="n"/>
      <c r="AK71" s="33" t="n"/>
      <c r="AL71" s="33" t="n"/>
      <c r="AM71" s="33" t="n"/>
      <c r="AN71" s="33" t="n"/>
      <c r="AO71" s="33" t="n"/>
      <c r="AP71" s="33" t="n"/>
      <c r="AQ71" s="33" t="n"/>
      <c r="AR71" s="33" t="n"/>
      <c r="AS71" s="33" t="n"/>
      <c r="AT71" s="33" t="n"/>
      <c r="AU71" s="33" t="n"/>
      <c r="AV71" s="33" t="n"/>
      <c r="AW71" s="33" t="n"/>
      <c r="AX71" s="33" t="n"/>
      <c r="AY71" s="33" t="n"/>
      <c r="AZ71" s="33" t="n"/>
      <c r="BA71" s="33" t="n"/>
      <c r="BB71" s="33" t="n"/>
      <c r="BC71" s="33" t="n"/>
      <c r="BD71" s="33" t="n"/>
      <c r="BE71" s="33" t="n"/>
      <c r="BF71" s="33" t="n"/>
      <c r="BG71" s="33" t="n"/>
      <c r="BH71" s="33" t="n"/>
      <c r="BI71" s="33" t="n"/>
      <c r="BJ71" s="33" t="n"/>
      <c r="BK71" s="33" t="n"/>
      <c r="BL71" s="33" t="n"/>
      <c r="BM71" s="33" t="n"/>
      <c r="BN71" s="33" t="n"/>
      <c r="BO71" s="33" t="n"/>
      <c r="BP71" s="33" t="n"/>
      <c r="BQ71" s="33" t="n"/>
      <c r="BR71" s="33" t="n"/>
      <c r="BS71" s="33" t="n"/>
      <c r="BT71" s="33" t="n"/>
      <c r="BU71" s="33" t="n"/>
      <c r="BV71" s="33" t="n"/>
      <c r="BW71" s="33" t="n"/>
      <c r="BX71" s="33" t="n"/>
      <c r="BY71" s="33" t="n"/>
      <c r="BZ71" s="33" t="n"/>
      <c r="CA71" s="33" t="n"/>
      <c r="CB71" s="33" t="n"/>
      <c r="CC71" s="33" t="n"/>
      <c r="CD71" s="33" t="n"/>
      <c r="CE71" s="33" t="n"/>
      <c r="CF71" s="33" t="n"/>
      <c r="CG71" s="33" t="n"/>
      <c r="CH71" s="33" t="n"/>
      <c r="CI71" s="33" t="n"/>
      <c r="CJ71" s="33" t="n"/>
      <c r="CK71" s="33" t="n"/>
      <c r="CL71" s="33" t="n"/>
      <c r="CM71" s="33" t="n"/>
      <c r="CN71" s="33" t="n"/>
      <c r="CO71" s="33" t="n"/>
      <c r="CP71" s="33" t="n"/>
      <c r="CQ71" s="33" t="n"/>
      <c r="CR71" s="33" t="n"/>
      <c r="CS71" s="33" t="n"/>
      <c r="CT71" s="33" t="n"/>
      <c r="CU71" s="33" t="n"/>
      <c r="CV71" s="33" t="n"/>
      <c r="CW71" s="33" t="n"/>
      <c r="CX71" s="33" t="n"/>
      <c r="CY71" s="33" t="n"/>
      <c r="CZ71" s="33" t="n"/>
      <c r="DA71" s="33" t="n"/>
      <c r="DB71" s="33" t="n"/>
      <c r="DC71" s="33" t="n"/>
      <c r="DD71" s="33" t="n"/>
      <c r="DE71" s="33" t="n"/>
      <c r="DF71" s="33" t="n"/>
      <c r="DG71" s="33" t="n"/>
      <c r="DH71" s="33" t="n"/>
      <c r="DI71" s="33" t="n"/>
      <c r="DJ71" s="33" t="n"/>
      <c r="DK71" s="33" t="n"/>
      <c r="DL71" s="33" t="n"/>
      <c r="DM71" s="33" t="n"/>
      <c r="DN71" s="33" t="n"/>
      <c r="DO71" s="33" t="n"/>
      <c r="DP71" s="33" t="n"/>
      <c r="DQ71" s="33" t="n"/>
      <c r="DR71" s="33" t="n"/>
      <c r="DS71" s="33" t="n"/>
      <c r="DT71" s="33" t="n"/>
      <c r="DU71" s="33" t="n"/>
      <c r="DV71" s="33" t="n"/>
      <c r="DW71" s="33" t="n"/>
      <c r="DX71" s="33" t="n"/>
      <c r="DY71" s="33" t="n"/>
      <c r="DZ71" s="33" t="n"/>
      <c r="EA71" s="33" t="n"/>
      <c r="EB71" s="33" t="n"/>
      <c r="EC71" s="33" t="n"/>
      <c r="ED71" s="33" t="n"/>
      <c r="EE71" s="33" t="n"/>
      <c r="EF71" s="33" t="n"/>
      <c r="EG71" s="33" t="n"/>
      <c r="EH71" s="33" t="n"/>
      <c r="EI71" s="33" t="n"/>
      <c r="EJ71" s="33" t="n"/>
      <c r="EK71" s="33" t="n"/>
      <c r="EL71" s="33" t="n"/>
      <c r="EM71" s="33" t="n"/>
      <c r="EN71" s="33" t="n"/>
      <c r="EO71" s="33" t="n"/>
      <c r="EP71" s="33" t="n"/>
      <c r="EQ71" s="33" t="n"/>
      <c r="ER71" s="33" t="n"/>
      <c r="ES71" s="33" t="n"/>
      <c r="ET71" s="33" t="n"/>
      <c r="EU71" s="33" t="n"/>
      <c r="EV71" s="33" t="n"/>
      <c r="EW71" s="33" t="n"/>
      <c r="EX71" s="33" t="n"/>
      <c r="EY71" s="33" t="n"/>
      <c r="EZ71" s="33" t="n"/>
      <c r="FA71" s="33" t="n"/>
      <c r="FB71" s="33" t="n"/>
      <c r="FC71" s="33" t="n"/>
      <c r="FD71" s="33" t="n"/>
      <c r="FE71" s="33" t="n"/>
      <c r="FF71" s="33" t="n"/>
      <c r="FG71" s="33" t="n"/>
      <c r="FH71" s="33" t="n"/>
      <c r="FI71" s="33" t="n"/>
      <c r="FJ71" s="33" t="n"/>
      <c r="FK71" s="33" t="n"/>
      <c r="FL71" s="33" t="n"/>
      <c r="FM71" s="33" t="n"/>
      <c r="FN71" s="33" t="n"/>
      <c r="FO71" s="33" t="n"/>
      <c r="FP71" s="33" t="n"/>
      <c r="FQ71" s="33" t="n"/>
      <c r="FR71" s="33" t="n"/>
      <c r="FS71" s="33" t="n"/>
      <c r="FT71" s="33" t="n"/>
      <c r="FU71" s="33" t="n"/>
      <c r="FV71" s="33" t="n"/>
      <c r="FW71" s="33" t="n"/>
      <c r="FX71" s="33" t="n"/>
      <c r="FY71" s="33" t="n"/>
      <c r="FZ71" s="33" t="n"/>
      <c r="GA71" s="33" t="n"/>
      <c r="GB71" s="33" t="n"/>
      <c r="GC71" s="33" t="n"/>
      <c r="GD71" s="33" t="n"/>
      <c r="GE71" s="33" t="n"/>
      <c r="GF71" s="33" t="n"/>
      <c r="GG71" s="33" t="n"/>
      <c r="GH71" s="33" t="n"/>
      <c r="GI71" s="33" t="n"/>
      <c r="GJ71" s="33" t="n"/>
      <c r="GK71" s="33" t="n"/>
      <c r="GL71" s="33" t="n"/>
      <c r="GM71" s="33" t="n"/>
      <c r="GN71" s="33" t="n"/>
      <c r="GO71" s="33" t="n"/>
      <c r="GP71" s="33" t="n"/>
      <c r="GQ71" s="33" t="n"/>
      <c r="GR71" s="33" t="n"/>
      <c r="GS71" s="33" t="n"/>
      <c r="GT71" s="33" t="n"/>
      <c r="GU71" s="33" t="n"/>
      <c r="GV71" s="33" t="n"/>
      <c r="GW71" s="33" t="n"/>
      <c r="GX71" s="33" t="n"/>
      <c r="GY71" s="33" t="n"/>
      <c r="GZ71" s="33" t="n"/>
      <c r="HA71" s="33" t="n"/>
      <c r="HB71" s="33" t="n"/>
      <c r="HC71" s="33" t="n"/>
      <c r="HD71" s="33" t="n"/>
      <c r="HE71" s="33" t="n"/>
      <c r="HF71" s="33" t="n"/>
      <c r="HG71" s="33" t="n"/>
      <c r="HH71" s="33" t="n"/>
      <c r="HI71" s="33" t="n"/>
      <c r="HJ71" s="33" t="n"/>
      <c r="HK71" s="33" t="n"/>
      <c r="HL71" s="33" t="n"/>
      <c r="HM71" s="33" t="n"/>
      <c r="HN71" s="33" t="n"/>
      <c r="HO71" s="33" t="n"/>
      <c r="HP71" s="33" t="n"/>
      <c r="HQ71" s="33" t="n"/>
      <c r="HR71" s="33" t="n"/>
      <c r="HS71" s="33" t="n"/>
      <c r="HT71" s="33" t="n"/>
      <c r="HU71" s="33" t="n"/>
      <c r="HV71" s="33" t="n"/>
      <c r="HW71" s="33" t="n"/>
      <c r="HX71" s="33" t="n"/>
      <c r="HY71" s="33" t="n"/>
      <c r="HZ71" s="33" t="n"/>
      <c r="IA71" s="33" t="n"/>
      <c r="IB71" s="33" t="n"/>
      <c r="IC71" s="33" t="n"/>
      <c r="ID71" s="33" t="n"/>
      <c r="IE71" s="33" t="n"/>
      <c r="IF71" s="33" t="n"/>
      <c r="IG71" s="33" t="n"/>
      <c r="IH71" s="33" t="n"/>
      <c r="II71" s="33" t="n"/>
      <c r="IJ71" s="33" t="n"/>
      <c r="IK71" s="33" t="n"/>
      <c r="IL71" s="33" t="n"/>
      <c r="IM71" s="33" t="n"/>
      <c r="IN71" s="33" t="n"/>
      <c r="IO71" s="33" t="n"/>
      <c r="IP71" s="33" t="n"/>
      <c r="IQ71" s="33" t="n"/>
      <c r="IR71" s="33" t="n"/>
      <c r="IS71" s="33" t="n"/>
      <c r="IT71" s="33" t="n"/>
      <c r="IU71" s="33" t="n"/>
      <c r="IV71" s="33" t="n"/>
      <c r="IW71" s="33" t="n"/>
      <c r="IX71" s="33" t="n"/>
      <c r="IY71" s="33" t="n"/>
      <c r="IZ71" s="33" t="n"/>
      <c r="JA71" s="33" t="n"/>
      <c r="JB71" s="33" t="n"/>
      <c r="JC71" s="33" t="n"/>
      <c r="JD71" s="33" t="n"/>
      <c r="JE71" s="33" t="n"/>
      <c r="JF71" s="33" t="n"/>
      <c r="JG71" s="33" t="n"/>
      <c r="JH71" s="33" t="n"/>
      <c r="JI71" s="33" t="n"/>
      <c r="JJ71" s="33" t="n"/>
      <c r="JK71" s="33" t="n"/>
      <c r="JL71" s="33" t="n"/>
      <c r="JM71" s="33" t="n"/>
      <c r="JN71" s="33" t="n"/>
      <c r="JO71" s="33" t="n"/>
      <c r="JP71" s="33" t="n"/>
      <c r="JQ71" s="33" t="n"/>
      <c r="JR71" s="33" t="n"/>
      <c r="JS71" s="33" t="n"/>
      <c r="JT71" s="33" t="n"/>
      <c r="JU71" s="33" t="n"/>
      <c r="JV71" s="33" t="n"/>
      <c r="JW71" s="33" t="n"/>
      <c r="JX71" s="33" t="n"/>
      <c r="JY71" s="33" t="n"/>
      <c r="JZ71" s="33" t="n"/>
      <c r="KA71" s="33" t="n"/>
      <c r="KB71" s="33" t="n"/>
      <c r="KC71" s="33" t="n"/>
      <c r="KD71" s="33" t="n"/>
      <c r="KE71" s="33" t="n"/>
      <c r="KF71" s="33" t="n"/>
      <c r="KG71" s="33" t="n"/>
      <c r="KH71" s="33" t="n"/>
      <c r="KI71" s="33" t="n"/>
      <c r="KJ71" s="33" t="n"/>
      <c r="KK71" s="33" t="n"/>
      <c r="KL71" s="33" t="n"/>
      <c r="KM71" s="33" t="n"/>
      <c r="KN71" s="33" t="n"/>
      <c r="KO71" s="33" t="n"/>
      <c r="KP71" s="33" t="n"/>
      <c r="KQ71" s="33" t="n"/>
      <c r="KR71" s="33" t="n"/>
      <c r="KS71" s="33" t="n"/>
      <c r="KT71" s="33" t="n"/>
      <c r="KU71" s="33" t="n"/>
      <c r="KV71" s="33" t="n"/>
      <c r="KW71" s="33" t="n"/>
      <c r="KX71" s="33" t="n"/>
      <c r="KY71" s="33" t="n"/>
      <c r="KZ71" s="33" t="n"/>
      <c r="LA71" s="33" t="n"/>
      <c r="LB71" s="33" t="n"/>
      <c r="LC71" s="33" t="n"/>
      <c r="LD71" s="33" t="n"/>
      <c r="LE71" s="33" t="n"/>
      <c r="LF71" s="33" t="n"/>
      <c r="LG71" s="33" t="n"/>
      <c r="LH71" s="33" t="n"/>
      <c r="LI71" s="33" t="n"/>
      <c r="LJ71" s="33" t="n"/>
      <c r="LK71" s="33" t="n"/>
      <c r="LL71" s="33" t="n"/>
      <c r="LM71" s="33" t="n"/>
      <c r="LN71" s="33" t="n"/>
      <c r="LO71" s="33" t="n"/>
      <c r="LP71" s="33" t="n"/>
      <c r="LQ71" s="33" t="n"/>
      <c r="LR71" s="33" t="n"/>
      <c r="LS71" s="33" t="n"/>
      <c r="LT71" s="33" t="n"/>
      <c r="LU71" s="33" t="n"/>
      <c r="LV71" s="33" t="n"/>
      <c r="LW71" s="33" t="n"/>
      <c r="LX71" s="33" t="n"/>
      <c r="LY71" s="33" t="n"/>
      <c r="LZ71" s="33" t="n"/>
      <c r="MA71" s="33" t="n"/>
      <c r="MB71" s="33" t="n"/>
      <c r="MC71" s="33" t="n"/>
      <c r="MD71" s="33" t="n"/>
      <c r="ME71" s="33" t="n"/>
      <c r="MF71" s="33" t="n"/>
      <c r="MG71" s="33" t="n"/>
      <c r="MH71" s="33" t="n"/>
      <c r="MI71" s="33" t="n"/>
      <c r="MJ71" s="33" t="n"/>
      <c r="MK71" s="33" t="n"/>
      <c r="ML71" s="33" t="n"/>
      <c r="MM71" s="33" t="n"/>
      <c r="MN71" s="33" t="n"/>
      <c r="MO71" s="33" t="n"/>
      <c r="MP71" s="33" t="n"/>
      <c r="MQ71" s="33" t="n"/>
      <c r="MR71" s="33" t="n"/>
      <c r="MS71" s="33" t="n"/>
      <c r="MT71" s="33" t="n"/>
      <c r="MU71" s="33" t="n"/>
      <c r="MV71" s="33" t="n"/>
      <c r="MW71" s="33" t="n"/>
      <c r="MX71" s="33" t="n"/>
      <c r="MY71" s="33" t="n"/>
      <c r="MZ71" s="33" t="n"/>
      <c r="NA71" s="33" t="n"/>
      <c r="NB71" s="33" t="n"/>
      <c r="NC71" s="33" t="n"/>
      <c r="ND71" s="33" t="n"/>
      <c r="NE71" s="33" t="n"/>
      <c r="NF71" s="33" t="n"/>
      <c r="NG71" s="33" t="n"/>
      <c r="NH71" s="33" t="n"/>
      <c r="NI71" s="33" t="n"/>
      <c r="NJ71" s="33" t="n"/>
      <c r="NK71" s="33" t="n"/>
      <c r="NL71" s="33" t="n"/>
      <c r="NM71" s="33" t="n"/>
      <c r="NN71" s="33" t="n"/>
      <c r="NO71" s="33" t="n"/>
      <c r="NP71" s="33" t="n"/>
      <c r="NQ71" s="33" t="n"/>
      <c r="NR71" s="33" t="n"/>
      <c r="NS71" s="33" t="n"/>
      <c r="NT71" s="33" t="n"/>
      <c r="NU71" s="33" t="n"/>
      <c r="NV71" s="33" t="n"/>
      <c r="NW71" s="33" t="n"/>
      <c r="NX71" s="33" t="n"/>
      <c r="NY71" s="33" t="n"/>
      <c r="NZ71" s="33" t="n"/>
      <c r="OA71" s="33" t="n"/>
      <c r="OB71" s="33" t="n"/>
      <c r="OC71" s="33" t="n"/>
      <c r="OD71" s="33" t="n"/>
      <c r="OE71" s="33" t="n"/>
      <c r="OF71" s="33" t="n"/>
      <c r="OG71" s="33" t="n"/>
      <c r="OH71" s="33" t="n"/>
      <c r="OI71" s="33" t="n"/>
      <c r="OJ71" s="33" t="n"/>
      <c r="OK71" s="33" t="n"/>
      <c r="OL71" s="33" t="n"/>
      <c r="OM71" s="33" t="n"/>
      <c r="ON71" s="33" t="n"/>
      <c r="OO71" s="33" t="n"/>
      <c r="OP71" s="33" t="n"/>
      <c r="OQ71" s="33" t="n"/>
      <c r="OR71" s="33" t="n"/>
      <c r="OS71" s="33" t="n"/>
      <c r="OT71" s="33" t="n"/>
      <c r="OU71" s="33" t="n"/>
      <c r="OV71" s="33" t="n"/>
      <c r="OW71" s="33" t="n"/>
      <c r="OX71" s="33" t="n"/>
      <c r="OY71" s="33" t="n"/>
      <c r="OZ71" s="33" t="n"/>
      <c r="PA71" s="33" t="n"/>
      <c r="PB71" s="33" t="n"/>
      <c r="PC71" s="33" t="n"/>
      <c r="PD71" s="33" t="n"/>
      <c r="PE71" s="33" t="n"/>
      <c r="PF71" s="33" t="n"/>
      <c r="PG71" s="33" t="n"/>
      <c r="PH71" s="33" t="n"/>
      <c r="PI71" s="33" t="n"/>
      <c r="PJ71" s="33" t="n"/>
      <c r="PK71" s="33" t="n"/>
      <c r="PL71" s="33" t="n"/>
      <c r="PM71" s="33" t="n"/>
      <c r="PN71" s="33" t="n"/>
      <c r="PO71" s="33" t="n"/>
      <c r="PP71" s="33" t="n"/>
      <c r="PQ71" s="33" t="n"/>
      <c r="PR71" s="33" t="n"/>
      <c r="PS71" s="33" t="n"/>
      <c r="PT71" s="33" t="n"/>
      <c r="PU71" s="33" t="n"/>
      <c r="PV71" s="33" t="n"/>
      <c r="PW71" s="33" t="n"/>
      <c r="PX71" s="33" t="n"/>
      <c r="PY71" s="33" t="n"/>
      <c r="PZ71" s="33" t="n"/>
      <c r="QA71" s="33" t="n"/>
      <c r="QB71" s="33" t="n"/>
      <c r="QC71" s="33" t="n"/>
      <c r="QD71" s="33" t="n"/>
      <c r="QE71" s="33" t="n"/>
      <c r="QF71" s="33" t="n"/>
      <c r="QG71" s="33" t="n"/>
      <c r="QH71" s="33" t="n"/>
      <c r="QI71" s="33" t="n"/>
      <c r="QJ71" s="33" t="n"/>
      <c r="QK71" s="33" t="n"/>
      <c r="QL71" s="33" t="n"/>
      <c r="QM71" s="33" t="n"/>
      <c r="QN71" s="33" t="n"/>
      <c r="QO71" s="33" t="n"/>
      <c r="QP71" s="33" t="n"/>
      <c r="QQ71" s="33" t="n"/>
      <c r="QR71" s="33" t="n"/>
      <c r="QS71" s="33" t="n"/>
      <c r="QT71" s="33" t="n"/>
      <c r="QU71" s="33" t="n"/>
      <c r="QV71" s="33" t="n"/>
      <c r="QW71" s="33" t="n"/>
      <c r="QX71" s="33" t="n"/>
      <c r="QY71" s="33" t="n"/>
      <c r="QZ71" s="33" t="n"/>
      <c r="RA71" s="33" t="n"/>
      <c r="RB71" s="33" t="n"/>
      <c r="RC71" s="33" t="n"/>
      <c r="RD71" s="33" t="n"/>
      <c r="RE71" s="33" t="n"/>
      <c r="RF71" s="33" t="n"/>
      <c r="RG71" s="33" t="n"/>
      <c r="RH71" s="33" t="n"/>
      <c r="RI71" s="33" t="n"/>
      <c r="RJ71" s="33" t="n"/>
      <c r="RK71" s="33" t="n"/>
      <c r="RL71" s="33" t="n"/>
      <c r="RM71" s="33" t="n"/>
      <c r="RN71" s="33" t="n"/>
      <c r="RO71" s="33" t="n"/>
      <c r="RP71" s="33" t="n"/>
      <c r="RQ71" s="33" t="n"/>
      <c r="RR71" s="33" t="n"/>
      <c r="RS71" s="33" t="n"/>
      <c r="RT71" s="33" t="n"/>
      <c r="RU71" s="33" t="n"/>
      <c r="RV71" s="33" t="n"/>
      <c r="RW71" s="33" t="n"/>
    </row>
    <row r="72" hidden="1" outlineLevel="1" ht="13.05" customHeight="1">
      <c r="E72" s="21" t="inlineStr">
        <is>
          <t>Capture Price (inflated)</t>
        </is>
      </c>
      <c r="F72" s="29" t="n"/>
      <c r="G72" s="29" t="inlineStr">
        <is>
          <t>DKK/MWh</t>
        </is>
      </c>
      <c r="H72" s="29" t="n"/>
      <c r="I72" s="29" t="n"/>
      <c r="J72" s="32" t="n"/>
      <c r="K72" s="29" t="n"/>
      <c r="L72" s="33" t="n"/>
      <c r="M72" s="33" t="n"/>
      <c r="N72" s="33" t="n"/>
      <c r="O72" s="33" t="n"/>
      <c r="P72" s="33" t="n"/>
      <c r="Q72" s="33" t="n"/>
      <c r="R72" s="33" t="n"/>
      <c r="S72" s="33" t="n"/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  <c r="AE72" s="33" t="n"/>
      <c r="AF72" s="33" t="n"/>
      <c r="AG72" s="33" t="n"/>
      <c r="AH72" s="33" t="n"/>
      <c r="AI72" s="33" t="n"/>
      <c r="AJ72" s="33" t="n"/>
      <c r="AK72" s="33" t="n"/>
      <c r="AL72" s="33" t="n"/>
      <c r="AM72" s="33" t="n"/>
      <c r="AN72" s="33" t="n"/>
      <c r="AO72" s="33" t="n"/>
      <c r="AP72" s="33" t="n"/>
      <c r="AQ72" s="33" t="n"/>
      <c r="AR72" s="33" t="n"/>
      <c r="AS72" s="33" t="n"/>
      <c r="AT72" s="33" t="n"/>
      <c r="AU72" s="33" t="n"/>
      <c r="AV72" s="33" t="n"/>
      <c r="AW72" s="33" t="n"/>
      <c r="AX72" s="33" t="n"/>
      <c r="AY72" s="33" t="n"/>
      <c r="AZ72" s="33" t="n"/>
      <c r="BA72" s="33" t="n"/>
      <c r="BB72" s="33" t="n"/>
      <c r="BC72" s="33" t="n"/>
      <c r="BD72" s="33" t="n"/>
      <c r="BE72" s="33" t="n"/>
      <c r="BF72" s="33" t="n"/>
      <c r="BG72" s="33" t="n"/>
      <c r="BH72" s="33" t="n"/>
      <c r="BI72" s="33" t="n"/>
      <c r="BJ72" s="33" t="n"/>
      <c r="BK72" s="33" t="n"/>
      <c r="BL72" s="33" t="n"/>
      <c r="BM72" s="33" t="n"/>
      <c r="BN72" s="33" t="n"/>
      <c r="BO72" s="33" t="n"/>
      <c r="BP72" s="33" t="n"/>
      <c r="BQ72" s="33" t="n"/>
      <c r="BR72" s="33" t="n"/>
      <c r="BS72" s="33" t="n"/>
      <c r="BT72" s="33" t="n"/>
      <c r="BU72" s="33" t="n"/>
      <c r="BV72" s="33" t="n"/>
      <c r="BW72" s="33" t="n"/>
      <c r="BX72" s="33" t="n"/>
      <c r="BY72" s="33" t="n"/>
      <c r="BZ72" s="33" t="n"/>
      <c r="CA72" s="33" t="n"/>
      <c r="CB72" s="33" t="n"/>
      <c r="CC72" s="33" t="n"/>
      <c r="CD72" s="33" t="n"/>
      <c r="CE72" s="33" t="n"/>
      <c r="CF72" s="33" t="n"/>
      <c r="CG72" s="33" t="n"/>
      <c r="CH72" s="33" t="n"/>
      <c r="CI72" s="33" t="n"/>
      <c r="CJ72" s="33" t="n"/>
      <c r="CK72" s="33" t="n"/>
      <c r="CL72" s="33" t="n"/>
      <c r="CM72" s="33" t="n"/>
      <c r="CN72" s="33" t="n"/>
      <c r="CO72" s="33" t="n"/>
      <c r="CP72" s="33" t="n"/>
      <c r="CQ72" s="33" t="n"/>
      <c r="CR72" s="33" t="n"/>
      <c r="CS72" s="33" t="n"/>
      <c r="CT72" s="33" t="n"/>
      <c r="CU72" s="33" t="n"/>
      <c r="CV72" s="33" t="n"/>
      <c r="CW72" s="33" t="n"/>
      <c r="CX72" s="33" t="n"/>
      <c r="CY72" s="33" t="n"/>
      <c r="CZ72" s="33" t="n"/>
      <c r="DA72" s="33" t="n"/>
      <c r="DB72" s="33" t="n"/>
      <c r="DC72" s="33" t="n"/>
      <c r="DD72" s="33" t="n"/>
      <c r="DE72" s="33" t="n"/>
      <c r="DF72" s="33" t="n"/>
      <c r="DG72" s="33" t="n"/>
      <c r="DH72" s="33" t="n"/>
      <c r="DI72" s="33" t="n"/>
      <c r="DJ72" s="33" t="n"/>
      <c r="DK72" s="33" t="n"/>
      <c r="DL72" s="33" t="n"/>
      <c r="DM72" s="33" t="n"/>
      <c r="DN72" s="33" t="n"/>
      <c r="DO72" s="33" t="n"/>
      <c r="DP72" s="33" t="n"/>
      <c r="DQ72" s="33" t="n"/>
      <c r="DR72" s="33" t="n"/>
      <c r="DS72" s="33" t="n"/>
      <c r="DT72" s="33" t="n"/>
      <c r="DU72" s="33" t="n"/>
      <c r="DV72" s="33" t="n"/>
      <c r="DW72" s="33" t="n"/>
      <c r="DX72" s="33" t="n"/>
      <c r="DY72" s="33" t="n"/>
      <c r="DZ72" s="33" t="n"/>
      <c r="EA72" s="33" t="n"/>
      <c r="EB72" s="33" t="n"/>
      <c r="EC72" s="33" t="n"/>
      <c r="ED72" s="33" t="n"/>
      <c r="EE72" s="33" t="n"/>
      <c r="EF72" s="33" t="n"/>
      <c r="EG72" s="33" t="n"/>
      <c r="EH72" s="33" t="n"/>
      <c r="EI72" s="33" t="n"/>
      <c r="EJ72" s="33" t="n"/>
      <c r="EK72" s="33" t="n"/>
      <c r="EL72" s="33" t="n"/>
      <c r="EM72" s="33" t="n"/>
      <c r="EN72" s="33" t="n"/>
      <c r="EO72" s="33" t="n"/>
      <c r="EP72" s="33" t="n"/>
      <c r="EQ72" s="33" t="n"/>
      <c r="ER72" s="33" t="n"/>
      <c r="ES72" s="33" t="n"/>
      <c r="ET72" s="33" t="n"/>
      <c r="EU72" s="33" t="n"/>
      <c r="EV72" s="33" t="n"/>
      <c r="EW72" s="33" t="n"/>
      <c r="EX72" s="33" t="n"/>
      <c r="EY72" s="33" t="n"/>
      <c r="EZ72" s="33" t="n"/>
      <c r="FA72" s="33" t="n"/>
      <c r="FB72" s="33" t="n"/>
      <c r="FC72" s="33" t="n"/>
      <c r="FD72" s="33" t="n"/>
      <c r="FE72" s="33" t="n"/>
      <c r="FF72" s="33" t="n"/>
      <c r="FG72" s="33" t="n"/>
      <c r="FH72" s="33" t="n"/>
      <c r="FI72" s="33" t="n"/>
      <c r="FJ72" s="33" t="n"/>
      <c r="FK72" s="33" t="n"/>
      <c r="FL72" s="33" t="n"/>
      <c r="FM72" s="33" t="n"/>
      <c r="FN72" s="33" t="n"/>
      <c r="FO72" s="33" t="n"/>
      <c r="FP72" s="33" t="n"/>
      <c r="FQ72" s="33" t="n"/>
      <c r="FR72" s="33" t="n"/>
      <c r="FS72" s="33" t="n"/>
      <c r="FT72" s="33" t="n"/>
      <c r="FU72" s="33" t="n"/>
      <c r="FV72" s="33" t="n"/>
      <c r="FW72" s="33" t="n"/>
      <c r="FX72" s="33" t="n"/>
      <c r="FY72" s="33" t="n"/>
      <c r="FZ72" s="33" t="n"/>
      <c r="GA72" s="33" t="n"/>
      <c r="GB72" s="33" t="n"/>
      <c r="GC72" s="33" t="n"/>
      <c r="GD72" s="33" t="n"/>
      <c r="GE72" s="33" t="n"/>
      <c r="GF72" s="33" t="n"/>
      <c r="GG72" s="33" t="n"/>
      <c r="GH72" s="33" t="n"/>
      <c r="GI72" s="33" t="n"/>
      <c r="GJ72" s="33" t="n"/>
      <c r="GK72" s="33" t="n"/>
      <c r="GL72" s="33" t="n"/>
      <c r="GM72" s="33" t="n"/>
      <c r="GN72" s="33" t="n"/>
      <c r="GO72" s="33" t="n"/>
      <c r="GP72" s="33" t="n"/>
      <c r="GQ72" s="33" t="n"/>
      <c r="GR72" s="33" t="n"/>
      <c r="GS72" s="33" t="n"/>
      <c r="GT72" s="33" t="n"/>
      <c r="GU72" s="33" t="n"/>
      <c r="GV72" s="33" t="n"/>
      <c r="GW72" s="33" t="n"/>
      <c r="GX72" s="33" t="n"/>
      <c r="GY72" s="33" t="n"/>
      <c r="GZ72" s="33" t="n"/>
      <c r="HA72" s="33" t="n"/>
      <c r="HB72" s="33" t="n"/>
      <c r="HC72" s="33" t="n"/>
      <c r="HD72" s="33" t="n"/>
      <c r="HE72" s="33" t="n"/>
      <c r="HF72" s="33" t="n"/>
      <c r="HG72" s="33" t="n"/>
      <c r="HH72" s="33" t="n"/>
      <c r="HI72" s="33" t="n"/>
      <c r="HJ72" s="33" t="n"/>
      <c r="HK72" s="33" t="n"/>
      <c r="HL72" s="33" t="n"/>
      <c r="HM72" s="33" t="n"/>
      <c r="HN72" s="33" t="n"/>
      <c r="HO72" s="33" t="n"/>
      <c r="HP72" s="33" t="n"/>
      <c r="HQ72" s="33" t="n"/>
      <c r="HR72" s="33" t="n"/>
      <c r="HS72" s="33" t="n"/>
      <c r="HT72" s="33" t="n"/>
      <c r="HU72" s="33" t="n"/>
      <c r="HV72" s="33" t="n"/>
      <c r="HW72" s="33" t="n"/>
      <c r="HX72" s="33" t="n"/>
      <c r="HY72" s="33" t="n"/>
      <c r="HZ72" s="33" t="n"/>
      <c r="IA72" s="33" t="n"/>
      <c r="IB72" s="33" t="n"/>
      <c r="IC72" s="33" t="n"/>
      <c r="ID72" s="33" t="n"/>
      <c r="IE72" s="33" t="n"/>
      <c r="IF72" s="33" t="n"/>
      <c r="IG72" s="33" t="n"/>
      <c r="IH72" s="33" t="n"/>
      <c r="II72" s="33" t="n"/>
      <c r="IJ72" s="33" t="n"/>
      <c r="IK72" s="33" t="n"/>
      <c r="IL72" s="33" t="n"/>
      <c r="IM72" s="33" t="n"/>
      <c r="IN72" s="33" t="n"/>
      <c r="IO72" s="33" t="n"/>
      <c r="IP72" s="33" t="n"/>
      <c r="IQ72" s="33" t="n"/>
      <c r="IR72" s="33" t="n"/>
      <c r="IS72" s="33" t="n"/>
      <c r="IT72" s="33" t="n"/>
      <c r="IU72" s="33" t="n"/>
      <c r="IV72" s="33" t="n"/>
      <c r="IW72" s="33" t="n"/>
      <c r="IX72" s="33" t="n"/>
      <c r="IY72" s="33" t="n"/>
      <c r="IZ72" s="33" t="n"/>
      <c r="JA72" s="33" t="n"/>
      <c r="JB72" s="33" t="n"/>
      <c r="JC72" s="33" t="n"/>
      <c r="JD72" s="33" t="n"/>
      <c r="JE72" s="33" t="n"/>
      <c r="JF72" s="33" t="n"/>
      <c r="JG72" s="33" t="n"/>
      <c r="JH72" s="33" t="n"/>
      <c r="JI72" s="33" t="n"/>
      <c r="JJ72" s="33" t="n"/>
      <c r="JK72" s="33" t="n"/>
      <c r="JL72" s="33" t="n"/>
      <c r="JM72" s="33" t="n"/>
      <c r="JN72" s="33" t="n"/>
      <c r="JO72" s="33" t="n"/>
      <c r="JP72" s="33" t="n"/>
      <c r="JQ72" s="33" t="n"/>
      <c r="JR72" s="33" t="n"/>
      <c r="JS72" s="33" t="n"/>
      <c r="JT72" s="33" t="n"/>
      <c r="JU72" s="33" t="n"/>
      <c r="JV72" s="33" t="n"/>
      <c r="JW72" s="33" t="n"/>
      <c r="JX72" s="33" t="n"/>
      <c r="JY72" s="33" t="n"/>
      <c r="JZ72" s="33" t="n"/>
      <c r="KA72" s="33" t="n"/>
      <c r="KB72" s="33" t="n"/>
      <c r="KC72" s="33" t="n"/>
      <c r="KD72" s="33" t="n"/>
      <c r="KE72" s="33" t="n"/>
      <c r="KF72" s="33" t="n"/>
      <c r="KG72" s="33" t="n"/>
      <c r="KH72" s="33" t="n"/>
      <c r="KI72" s="33" t="n"/>
      <c r="KJ72" s="33" t="n"/>
      <c r="KK72" s="33" t="n"/>
      <c r="KL72" s="33" t="n"/>
      <c r="KM72" s="33" t="n"/>
      <c r="KN72" s="33" t="n"/>
      <c r="KO72" s="33" t="n"/>
      <c r="KP72" s="33" t="n"/>
      <c r="KQ72" s="33" t="n"/>
      <c r="KR72" s="33" t="n"/>
      <c r="KS72" s="33" t="n"/>
      <c r="KT72" s="33" t="n"/>
      <c r="KU72" s="33" t="n"/>
      <c r="KV72" s="33" t="n"/>
      <c r="KW72" s="33" t="n"/>
      <c r="KX72" s="33" t="n"/>
      <c r="KY72" s="33" t="n"/>
      <c r="KZ72" s="33" t="n"/>
      <c r="LA72" s="33" t="n"/>
      <c r="LB72" s="33" t="n"/>
      <c r="LC72" s="33" t="n"/>
      <c r="LD72" s="33" t="n"/>
      <c r="LE72" s="33" t="n"/>
      <c r="LF72" s="33" t="n"/>
      <c r="LG72" s="33" t="n"/>
      <c r="LH72" s="33" t="n"/>
      <c r="LI72" s="33" t="n"/>
      <c r="LJ72" s="33" t="n"/>
      <c r="LK72" s="33" t="n"/>
      <c r="LL72" s="33" t="n"/>
      <c r="LM72" s="33" t="n"/>
      <c r="LN72" s="33" t="n"/>
      <c r="LO72" s="33" t="n"/>
      <c r="LP72" s="33" t="n"/>
      <c r="LQ72" s="33" t="n"/>
      <c r="LR72" s="33" t="n"/>
      <c r="LS72" s="33" t="n"/>
      <c r="LT72" s="33" t="n"/>
      <c r="LU72" s="33" t="n"/>
      <c r="LV72" s="33" t="n"/>
      <c r="LW72" s="33" t="n"/>
      <c r="LX72" s="33" t="n"/>
      <c r="LY72" s="33" t="n"/>
      <c r="LZ72" s="33" t="n"/>
      <c r="MA72" s="33" t="n"/>
      <c r="MB72" s="33" t="n"/>
      <c r="MC72" s="33" t="n"/>
      <c r="MD72" s="33" t="n"/>
      <c r="ME72" s="33" t="n"/>
      <c r="MF72" s="33" t="n"/>
      <c r="MG72" s="33" t="n"/>
      <c r="MH72" s="33" t="n"/>
      <c r="MI72" s="33" t="n"/>
      <c r="MJ72" s="33" t="n"/>
      <c r="MK72" s="33" t="n"/>
      <c r="ML72" s="33" t="n"/>
      <c r="MM72" s="33" t="n"/>
      <c r="MN72" s="33" t="n"/>
      <c r="MO72" s="33" t="n"/>
      <c r="MP72" s="33" t="n"/>
      <c r="MQ72" s="33" t="n"/>
      <c r="MR72" s="33" t="n"/>
      <c r="MS72" s="33" t="n"/>
      <c r="MT72" s="33" t="n"/>
      <c r="MU72" s="33" t="n"/>
      <c r="MV72" s="33" t="n"/>
      <c r="MW72" s="33" t="n"/>
      <c r="MX72" s="33" t="n"/>
      <c r="MY72" s="33" t="n"/>
      <c r="MZ72" s="33" t="n"/>
      <c r="NA72" s="33" t="n"/>
      <c r="NB72" s="33" t="n"/>
      <c r="NC72" s="33" t="n"/>
      <c r="ND72" s="33" t="n"/>
      <c r="NE72" s="33" t="n"/>
      <c r="NF72" s="33" t="n"/>
      <c r="NG72" s="33" t="n"/>
      <c r="NH72" s="33" t="n"/>
      <c r="NI72" s="33" t="n"/>
      <c r="NJ72" s="33" t="n"/>
      <c r="NK72" s="33" t="n"/>
      <c r="NL72" s="33" t="n"/>
      <c r="NM72" s="33" t="n"/>
      <c r="NN72" s="33" t="n"/>
      <c r="NO72" s="33" t="n"/>
      <c r="NP72" s="33" t="n"/>
      <c r="NQ72" s="33" t="n"/>
      <c r="NR72" s="33" t="n"/>
      <c r="NS72" s="33" t="n"/>
      <c r="NT72" s="33" t="n"/>
      <c r="NU72" s="33" t="n"/>
      <c r="NV72" s="33" t="n"/>
      <c r="NW72" s="33" t="n"/>
      <c r="NX72" s="33" t="n"/>
      <c r="NY72" s="33" t="n"/>
      <c r="NZ72" s="33" t="n"/>
      <c r="OA72" s="33" t="n"/>
      <c r="OB72" s="33" t="n"/>
      <c r="OC72" s="33" t="n"/>
      <c r="OD72" s="33" t="n"/>
      <c r="OE72" s="33" t="n"/>
      <c r="OF72" s="33" t="n"/>
      <c r="OG72" s="33" t="n"/>
      <c r="OH72" s="33" t="n"/>
      <c r="OI72" s="33" t="n"/>
      <c r="OJ72" s="33" t="n"/>
      <c r="OK72" s="33" t="n"/>
      <c r="OL72" s="33" t="n"/>
      <c r="OM72" s="33" t="n"/>
      <c r="ON72" s="33" t="n"/>
      <c r="OO72" s="33" t="n"/>
      <c r="OP72" s="33" t="n"/>
      <c r="OQ72" s="33" t="n"/>
      <c r="OR72" s="33" t="n"/>
      <c r="OS72" s="33" t="n"/>
      <c r="OT72" s="33" t="n"/>
      <c r="OU72" s="33" t="n"/>
      <c r="OV72" s="33" t="n"/>
      <c r="OW72" s="33" t="n"/>
      <c r="OX72" s="33" t="n"/>
      <c r="OY72" s="33" t="n"/>
      <c r="OZ72" s="33" t="n"/>
      <c r="PA72" s="33" t="n"/>
      <c r="PB72" s="33" t="n"/>
      <c r="PC72" s="33" t="n"/>
      <c r="PD72" s="33" t="n"/>
      <c r="PE72" s="33" t="n"/>
      <c r="PF72" s="33" t="n"/>
      <c r="PG72" s="33" t="n"/>
      <c r="PH72" s="33" t="n"/>
      <c r="PI72" s="33" t="n"/>
      <c r="PJ72" s="33" t="n"/>
      <c r="PK72" s="33" t="n"/>
      <c r="PL72" s="33" t="n"/>
      <c r="PM72" s="33" t="n"/>
      <c r="PN72" s="33" t="n"/>
      <c r="PO72" s="33" t="n"/>
      <c r="PP72" s="33" t="n"/>
      <c r="PQ72" s="33" t="n"/>
      <c r="PR72" s="33" t="n"/>
      <c r="PS72" s="33" t="n"/>
      <c r="PT72" s="33" t="n"/>
      <c r="PU72" s="33" t="n"/>
      <c r="PV72" s="33" t="n"/>
      <c r="PW72" s="33" t="n"/>
      <c r="PX72" s="33" t="n"/>
      <c r="PY72" s="33" t="n"/>
      <c r="PZ72" s="33" t="n"/>
      <c r="QA72" s="33" t="n"/>
      <c r="QB72" s="33" t="n"/>
      <c r="QC72" s="33" t="n"/>
      <c r="QD72" s="33" t="n"/>
      <c r="QE72" s="33" t="n"/>
      <c r="QF72" s="33" t="n"/>
      <c r="QG72" s="33" t="n"/>
      <c r="QH72" s="33" t="n"/>
      <c r="QI72" s="33" t="n"/>
      <c r="QJ72" s="33" t="n"/>
      <c r="QK72" s="33" t="n"/>
      <c r="QL72" s="33" t="n"/>
      <c r="QM72" s="33" t="n"/>
      <c r="QN72" s="33" t="n"/>
      <c r="QO72" s="33" t="n"/>
      <c r="QP72" s="33" t="n"/>
      <c r="QQ72" s="33" t="n"/>
      <c r="QR72" s="33" t="n"/>
      <c r="QS72" s="33" t="n"/>
      <c r="QT72" s="33" t="n"/>
      <c r="QU72" s="33" t="n"/>
      <c r="QV72" s="33" t="n"/>
      <c r="QW72" s="33" t="n"/>
      <c r="QX72" s="33" t="n"/>
      <c r="QY72" s="33" t="n"/>
      <c r="QZ72" s="33" t="n"/>
      <c r="RA72" s="33" t="n"/>
      <c r="RB72" s="33" t="n"/>
      <c r="RC72" s="33" t="n"/>
      <c r="RD72" s="33" t="n"/>
      <c r="RE72" s="33" t="n"/>
      <c r="RF72" s="33" t="n"/>
      <c r="RG72" s="33" t="n"/>
      <c r="RH72" s="33" t="n"/>
      <c r="RI72" s="33" t="n"/>
      <c r="RJ72" s="33" t="n"/>
      <c r="RK72" s="33" t="n"/>
      <c r="RL72" s="33" t="n"/>
      <c r="RM72" s="33" t="n"/>
      <c r="RN72" s="33" t="n"/>
      <c r="RO72" s="33" t="n"/>
      <c r="RP72" s="33" t="n"/>
      <c r="RQ72" s="33" t="n"/>
      <c r="RR72" s="33" t="n"/>
      <c r="RS72" s="33" t="n"/>
      <c r="RT72" s="33" t="n"/>
      <c r="RU72" s="33" t="n"/>
      <c r="RV72" s="33" t="n"/>
      <c r="RW72" s="33" t="n"/>
    </row>
    <row r="73" hidden="1" outlineLevel="1" ht="13.05" customHeight="1">
      <c r="E73" s="21" t="inlineStr">
        <is>
          <t>Spot Revenue</t>
        </is>
      </c>
      <c r="F73" s="29" t="n"/>
      <c r="G73" s="29" t="inlineStr">
        <is>
          <t>kEUR</t>
        </is>
      </c>
      <c r="H73" s="29" t="n"/>
      <c r="I73" s="29" t="n"/>
      <c r="J73" s="32" t="n"/>
      <c r="K73" s="29" t="n"/>
      <c r="L73" s="33" t="n"/>
      <c r="M73" s="33" t="n"/>
      <c r="N73" s="33" t="n"/>
      <c r="O73" s="33" t="n"/>
      <c r="P73" s="33" t="n"/>
      <c r="Q73" s="33" t="n"/>
      <c r="R73" s="33" t="n"/>
      <c r="S73" s="33" t="n"/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  <c r="AE73" s="33" t="n"/>
      <c r="AF73" s="33" t="n"/>
      <c r="AG73" s="33" t="n"/>
      <c r="AH73" s="33" t="n"/>
      <c r="AI73" s="33" t="n"/>
      <c r="AJ73" s="33" t="n"/>
      <c r="AK73" s="33" t="n"/>
      <c r="AL73" s="33" t="n"/>
      <c r="AM73" s="33" t="n"/>
      <c r="AN73" s="33" t="n"/>
      <c r="AO73" s="33" t="n"/>
      <c r="AP73" s="33" t="n"/>
      <c r="AQ73" s="33" t="n"/>
      <c r="AR73" s="33" t="n"/>
      <c r="AS73" s="33" t="n"/>
      <c r="AT73" s="33" t="n"/>
      <c r="AU73" s="33" t="n"/>
      <c r="AV73" s="33" t="n"/>
      <c r="AW73" s="33" t="n"/>
      <c r="AX73" s="33" t="n"/>
      <c r="AY73" s="33" t="n"/>
      <c r="AZ73" s="33" t="n"/>
      <c r="BA73" s="33" t="n"/>
      <c r="BB73" s="33" t="n"/>
      <c r="BC73" s="33" t="n"/>
      <c r="BD73" s="33" t="n"/>
      <c r="BE73" s="33" t="n"/>
      <c r="BF73" s="33" t="n"/>
      <c r="BG73" s="33" t="n"/>
      <c r="BH73" s="33" t="n"/>
      <c r="BI73" s="33" t="n"/>
      <c r="BJ73" s="33" t="n"/>
      <c r="BK73" s="33" t="n"/>
      <c r="BL73" s="33" t="n"/>
      <c r="BM73" s="33" t="n"/>
      <c r="BN73" s="33" t="n"/>
      <c r="BO73" s="33" t="n"/>
      <c r="BP73" s="33" t="n"/>
      <c r="BQ73" s="33" t="n"/>
      <c r="BR73" s="33" t="n"/>
      <c r="BS73" s="33" t="n"/>
      <c r="BT73" s="33" t="n"/>
      <c r="BU73" s="33" t="n"/>
      <c r="BV73" s="33" t="n"/>
      <c r="BW73" s="33" t="n"/>
      <c r="BX73" s="33" t="n"/>
      <c r="BY73" s="33" t="n"/>
      <c r="BZ73" s="33" t="n"/>
      <c r="CA73" s="33" t="n"/>
      <c r="CB73" s="33" t="n"/>
      <c r="CC73" s="33" t="n"/>
      <c r="CD73" s="33" t="n"/>
      <c r="CE73" s="33" t="n"/>
      <c r="CF73" s="33" t="n"/>
      <c r="CG73" s="33" t="n"/>
      <c r="CH73" s="33" t="n"/>
      <c r="CI73" s="33" t="n"/>
      <c r="CJ73" s="33" t="n"/>
      <c r="CK73" s="33" t="n"/>
      <c r="CL73" s="33" t="n"/>
      <c r="CM73" s="33" t="n"/>
      <c r="CN73" s="33" t="n"/>
      <c r="CO73" s="33" t="n"/>
      <c r="CP73" s="33" t="n"/>
      <c r="CQ73" s="33" t="n"/>
      <c r="CR73" s="33" t="n"/>
      <c r="CS73" s="33" t="n"/>
      <c r="CT73" s="33" t="n"/>
      <c r="CU73" s="33" t="n"/>
      <c r="CV73" s="33" t="n"/>
      <c r="CW73" s="33" t="n"/>
      <c r="CX73" s="33" t="n"/>
      <c r="CY73" s="33" t="n"/>
      <c r="CZ73" s="33" t="n"/>
      <c r="DA73" s="33" t="n"/>
      <c r="DB73" s="33" t="n"/>
      <c r="DC73" s="33" t="n"/>
      <c r="DD73" s="33" t="n"/>
      <c r="DE73" s="33" t="n"/>
      <c r="DF73" s="33" t="n"/>
      <c r="DG73" s="33" t="n"/>
      <c r="DH73" s="33" t="n"/>
      <c r="DI73" s="33" t="n"/>
      <c r="DJ73" s="33" t="n"/>
      <c r="DK73" s="33" t="n"/>
      <c r="DL73" s="33" t="n"/>
      <c r="DM73" s="33" t="n"/>
      <c r="DN73" s="33" t="n"/>
      <c r="DO73" s="33" t="n"/>
      <c r="DP73" s="33" t="n"/>
      <c r="DQ73" s="33" t="n"/>
      <c r="DR73" s="33" t="n"/>
      <c r="DS73" s="33" t="n"/>
      <c r="DT73" s="33" t="n"/>
      <c r="DU73" s="33" t="n"/>
      <c r="DV73" s="33" t="n"/>
      <c r="DW73" s="33" t="n"/>
      <c r="DX73" s="33" t="n"/>
      <c r="DY73" s="33" t="n"/>
      <c r="DZ73" s="33" t="n"/>
      <c r="EA73" s="33" t="n"/>
      <c r="EB73" s="33" t="n"/>
      <c r="EC73" s="33" t="n"/>
      <c r="ED73" s="33" t="n"/>
      <c r="EE73" s="33" t="n"/>
      <c r="EF73" s="33" t="n"/>
      <c r="EG73" s="33" t="n"/>
      <c r="EH73" s="33" t="n"/>
      <c r="EI73" s="33" t="n"/>
      <c r="EJ73" s="33" t="n"/>
      <c r="EK73" s="33" t="n"/>
      <c r="EL73" s="33" t="n"/>
      <c r="EM73" s="33" t="n"/>
      <c r="EN73" s="33" t="n"/>
      <c r="EO73" s="33" t="n"/>
      <c r="EP73" s="33" t="n"/>
      <c r="EQ73" s="33" t="n"/>
      <c r="ER73" s="33" t="n"/>
      <c r="ES73" s="33" t="n"/>
      <c r="ET73" s="33" t="n"/>
      <c r="EU73" s="33" t="n"/>
      <c r="EV73" s="33" t="n"/>
      <c r="EW73" s="33" t="n"/>
      <c r="EX73" s="33" t="n"/>
      <c r="EY73" s="33" t="n"/>
      <c r="EZ73" s="33" t="n"/>
      <c r="FA73" s="33" t="n"/>
      <c r="FB73" s="33" t="n"/>
      <c r="FC73" s="33" t="n"/>
      <c r="FD73" s="33" t="n"/>
      <c r="FE73" s="33" t="n"/>
      <c r="FF73" s="33" t="n"/>
      <c r="FG73" s="33" t="n"/>
      <c r="FH73" s="33" t="n"/>
      <c r="FI73" s="33" t="n"/>
      <c r="FJ73" s="33" t="n"/>
      <c r="FK73" s="33" t="n"/>
      <c r="FL73" s="33" t="n"/>
      <c r="FM73" s="33" t="n"/>
      <c r="FN73" s="33" t="n"/>
      <c r="FO73" s="33" t="n"/>
      <c r="FP73" s="33" t="n"/>
      <c r="FQ73" s="33" t="n"/>
      <c r="FR73" s="33" t="n"/>
      <c r="FS73" s="33" t="n"/>
      <c r="FT73" s="33" t="n"/>
      <c r="FU73" s="33" t="n"/>
      <c r="FV73" s="33" t="n"/>
      <c r="FW73" s="33" t="n"/>
      <c r="FX73" s="33" t="n"/>
      <c r="FY73" s="33" t="n"/>
      <c r="FZ73" s="33" t="n"/>
      <c r="GA73" s="33" t="n"/>
      <c r="GB73" s="33" t="n"/>
      <c r="GC73" s="33" t="n"/>
      <c r="GD73" s="33" t="n"/>
      <c r="GE73" s="33" t="n"/>
      <c r="GF73" s="33" t="n"/>
      <c r="GG73" s="33" t="n"/>
      <c r="GH73" s="33" t="n"/>
      <c r="GI73" s="33" t="n"/>
      <c r="GJ73" s="33" t="n"/>
      <c r="GK73" s="33" t="n"/>
      <c r="GL73" s="33" t="n"/>
      <c r="GM73" s="33" t="n"/>
      <c r="GN73" s="33" t="n"/>
      <c r="GO73" s="33" t="n"/>
      <c r="GP73" s="33" t="n"/>
      <c r="GQ73" s="33" t="n"/>
      <c r="GR73" s="33" t="n"/>
      <c r="GS73" s="33" t="n"/>
      <c r="GT73" s="33" t="n"/>
      <c r="GU73" s="33" t="n"/>
      <c r="GV73" s="33" t="n"/>
      <c r="GW73" s="33" t="n"/>
      <c r="GX73" s="33" t="n"/>
      <c r="GY73" s="33" t="n"/>
      <c r="GZ73" s="33" t="n"/>
      <c r="HA73" s="33" t="n"/>
      <c r="HB73" s="33" t="n"/>
      <c r="HC73" s="33" t="n"/>
      <c r="HD73" s="33" t="n"/>
      <c r="HE73" s="33" t="n"/>
      <c r="HF73" s="33" t="n"/>
      <c r="HG73" s="33" t="n"/>
      <c r="HH73" s="33" t="n"/>
      <c r="HI73" s="33" t="n"/>
      <c r="HJ73" s="33" t="n"/>
      <c r="HK73" s="33" t="n"/>
      <c r="HL73" s="33" t="n"/>
      <c r="HM73" s="33" t="n"/>
      <c r="HN73" s="33" t="n"/>
      <c r="HO73" s="33" t="n"/>
      <c r="HP73" s="33" t="n"/>
      <c r="HQ73" s="33" t="n"/>
      <c r="HR73" s="33" t="n"/>
      <c r="HS73" s="33" t="n"/>
      <c r="HT73" s="33" t="n"/>
      <c r="HU73" s="33" t="n"/>
      <c r="HV73" s="33" t="n"/>
      <c r="HW73" s="33" t="n"/>
      <c r="HX73" s="33" t="n"/>
      <c r="HY73" s="33" t="n"/>
      <c r="HZ73" s="33" t="n"/>
      <c r="IA73" s="33" t="n"/>
      <c r="IB73" s="33" t="n"/>
      <c r="IC73" s="33" t="n"/>
      <c r="ID73" s="33" t="n"/>
      <c r="IE73" s="33" t="n"/>
      <c r="IF73" s="33" t="n"/>
      <c r="IG73" s="33" t="n"/>
      <c r="IH73" s="33" t="n"/>
      <c r="II73" s="33" t="n"/>
      <c r="IJ73" s="33" t="n"/>
      <c r="IK73" s="33" t="n"/>
      <c r="IL73" s="33" t="n"/>
      <c r="IM73" s="33" t="n"/>
      <c r="IN73" s="33" t="n"/>
      <c r="IO73" s="33" t="n"/>
      <c r="IP73" s="33" t="n"/>
      <c r="IQ73" s="33" t="n"/>
      <c r="IR73" s="33" t="n"/>
      <c r="IS73" s="33" t="n"/>
      <c r="IT73" s="33" t="n"/>
      <c r="IU73" s="33" t="n"/>
      <c r="IV73" s="33" t="n"/>
      <c r="IW73" s="33" t="n"/>
      <c r="IX73" s="33" t="n"/>
      <c r="IY73" s="33" t="n"/>
      <c r="IZ73" s="33" t="n"/>
      <c r="JA73" s="33" t="n"/>
      <c r="JB73" s="33" t="n"/>
      <c r="JC73" s="33" t="n"/>
      <c r="JD73" s="33" t="n"/>
      <c r="JE73" s="33" t="n"/>
      <c r="JF73" s="33" t="n"/>
      <c r="JG73" s="33" t="n"/>
      <c r="JH73" s="33" t="n"/>
      <c r="JI73" s="33" t="n"/>
      <c r="JJ73" s="33" t="n"/>
      <c r="JK73" s="33" t="n"/>
      <c r="JL73" s="33" t="n"/>
      <c r="JM73" s="33" t="n"/>
      <c r="JN73" s="33" t="n"/>
      <c r="JO73" s="33" t="n"/>
      <c r="JP73" s="33" t="n"/>
      <c r="JQ73" s="33" t="n"/>
      <c r="JR73" s="33" t="n"/>
      <c r="JS73" s="33" t="n"/>
      <c r="JT73" s="33" t="n"/>
      <c r="JU73" s="33" t="n"/>
      <c r="JV73" s="33" t="n"/>
      <c r="JW73" s="33" t="n"/>
      <c r="JX73" s="33" t="n"/>
      <c r="JY73" s="33" t="n"/>
      <c r="JZ73" s="33" t="n"/>
      <c r="KA73" s="33" t="n"/>
      <c r="KB73" s="33" t="n"/>
      <c r="KC73" s="33" t="n"/>
      <c r="KD73" s="33" t="n"/>
      <c r="KE73" s="33" t="n"/>
      <c r="KF73" s="33" t="n"/>
      <c r="KG73" s="33" t="n"/>
      <c r="KH73" s="33" t="n"/>
      <c r="KI73" s="33" t="n"/>
      <c r="KJ73" s="33" t="n"/>
      <c r="KK73" s="33" t="n"/>
      <c r="KL73" s="33" t="n"/>
      <c r="KM73" s="33" t="n"/>
      <c r="KN73" s="33" t="n"/>
      <c r="KO73" s="33" t="n"/>
      <c r="KP73" s="33" t="n"/>
      <c r="KQ73" s="33" t="n"/>
      <c r="KR73" s="33" t="n"/>
      <c r="KS73" s="33" t="n"/>
      <c r="KT73" s="33" t="n"/>
      <c r="KU73" s="33" t="n"/>
      <c r="KV73" s="33" t="n"/>
      <c r="KW73" s="33" t="n"/>
      <c r="KX73" s="33" t="n"/>
      <c r="KY73" s="33" t="n"/>
      <c r="KZ73" s="33" t="n"/>
      <c r="LA73" s="33" t="n"/>
      <c r="LB73" s="33" t="n"/>
      <c r="LC73" s="33" t="n"/>
      <c r="LD73" s="33" t="n"/>
      <c r="LE73" s="33" t="n"/>
      <c r="LF73" s="33" t="n"/>
      <c r="LG73" s="33" t="n"/>
      <c r="LH73" s="33" t="n"/>
      <c r="LI73" s="33" t="n"/>
      <c r="LJ73" s="33" t="n"/>
      <c r="LK73" s="33" t="n"/>
      <c r="LL73" s="33" t="n"/>
      <c r="LM73" s="33" t="n"/>
      <c r="LN73" s="33" t="n"/>
      <c r="LO73" s="33" t="n"/>
      <c r="LP73" s="33" t="n"/>
      <c r="LQ73" s="33" t="n"/>
      <c r="LR73" s="33" t="n"/>
      <c r="LS73" s="33" t="n"/>
      <c r="LT73" s="33" t="n"/>
      <c r="LU73" s="33" t="n"/>
      <c r="LV73" s="33" t="n"/>
      <c r="LW73" s="33" t="n"/>
      <c r="LX73" s="33" t="n"/>
      <c r="LY73" s="33" t="n"/>
      <c r="LZ73" s="33" t="n"/>
      <c r="MA73" s="33" t="n"/>
      <c r="MB73" s="33" t="n"/>
      <c r="MC73" s="33" t="n"/>
      <c r="MD73" s="33" t="n"/>
      <c r="ME73" s="33" t="n"/>
      <c r="MF73" s="33" t="n"/>
      <c r="MG73" s="33" t="n"/>
      <c r="MH73" s="33" t="n"/>
      <c r="MI73" s="33" t="n"/>
      <c r="MJ73" s="33" t="n"/>
      <c r="MK73" s="33" t="n"/>
      <c r="ML73" s="33" t="n"/>
      <c r="MM73" s="33" t="n"/>
      <c r="MN73" s="33" t="n"/>
      <c r="MO73" s="33" t="n"/>
      <c r="MP73" s="33" t="n"/>
      <c r="MQ73" s="33" t="n"/>
      <c r="MR73" s="33" t="n"/>
      <c r="MS73" s="33" t="n"/>
      <c r="MT73" s="33" t="n"/>
      <c r="MU73" s="33" t="n"/>
      <c r="MV73" s="33" t="n"/>
      <c r="MW73" s="33" t="n"/>
      <c r="MX73" s="33" t="n"/>
      <c r="MY73" s="33" t="n"/>
      <c r="MZ73" s="33" t="n"/>
      <c r="NA73" s="33" t="n"/>
      <c r="NB73" s="33" t="n"/>
      <c r="NC73" s="33" t="n"/>
      <c r="ND73" s="33" t="n"/>
      <c r="NE73" s="33" t="n"/>
      <c r="NF73" s="33" t="n"/>
      <c r="NG73" s="33" t="n"/>
      <c r="NH73" s="33" t="n"/>
      <c r="NI73" s="33" t="n"/>
      <c r="NJ73" s="33" t="n"/>
      <c r="NK73" s="33" t="n"/>
      <c r="NL73" s="33" t="n"/>
      <c r="NM73" s="33" t="n"/>
      <c r="NN73" s="33" t="n"/>
      <c r="NO73" s="33" t="n"/>
      <c r="NP73" s="33" t="n"/>
      <c r="NQ73" s="33" t="n"/>
      <c r="NR73" s="33" t="n"/>
      <c r="NS73" s="33" t="n"/>
      <c r="NT73" s="33" t="n"/>
      <c r="NU73" s="33" t="n"/>
      <c r="NV73" s="33" t="n"/>
      <c r="NW73" s="33" t="n"/>
      <c r="NX73" s="33" t="n"/>
      <c r="NY73" s="33" t="n"/>
      <c r="NZ73" s="33" t="n"/>
      <c r="OA73" s="33" t="n"/>
      <c r="OB73" s="33" t="n"/>
      <c r="OC73" s="33" t="n"/>
      <c r="OD73" s="33" t="n"/>
      <c r="OE73" s="33" t="n"/>
      <c r="OF73" s="33" t="n"/>
      <c r="OG73" s="33" t="n"/>
      <c r="OH73" s="33" t="n"/>
      <c r="OI73" s="33" t="n"/>
      <c r="OJ73" s="33" t="n"/>
      <c r="OK73" s="33" t="n"/>
      <c r="OL73" s="33" t="n"/>
      <c r="OM73" s="33" t="n"/>
      <c r="ON73" s="33" t="n"/>
      <c r="OO73" s="33" t="n"/>
      <c r="OP73" s="33" t="n"/>
      <c r="OQ73" s="33" t="n"/>
      <c r="OR73" s="33" t="n"/>
      <c r="OS73" s="33" t="n"/>
      <c r="OT73" s="33" t="n"/>
      <c r="OU73" s="33" t="n"/>
      <c r="OV73" s="33" t="n"/>
      <c r="OW73" s="33" t="n"/>
      <c r="OX73" s="33" t="n"/>
      <c r="OY73" s="33" t="n"/>
      <c r="OZ73" s="33" t="n"/>
      <c r="PA73" s="33" t="n"/>
      <c r="PB73" s="33" t="n"/>
      <c r="PC73" s="33" t="n"/>
      <c r="PD73" s="33" t="n"/>
      <c r="PE73" s="33" t="n"/>
      <c r="PF73" s="33" t="n"/>
      <c r="PG73" s="33" t="n"/>
      <c r="PH73" s="33" t="n"/>
      <c r="PI73" s="33" t="n"/>
      <c r="PJ73" s="33" t="n"/>
      <c r="PK73" s="33" t="n"/>
      <c r="PL73" s="33" t="n"/>
      <c r="PM73" s="33" t="n"/>
      <c r="PN73" s="33" t="n"/>
      <c r="PO73" s="33" t="n"/>
      <c r="PP73" s="33" t="n"/>
      <c r="PQ73" s="33" t="n"/>
      <c r="PR73" s="33" t="n"/>
      <c r="PS73" s="33" t="n"/>
      <c r="PT73" s="33" t="n"/>
      <c r="PU73" s="33" t="n"/>
      <c r="PV73" s="33" t="n"/>
      <c r="PW73" s="33" t="n"/>
      <c r="PX73" s="33" t="n"/>
      <c r="PY73" s="33" t="n"/>
      <c r="PZ73" s="33" t="n"/>
      <c r="QA73" s="33" t="n"/>
      <c r="QB73" s="33" t="n"/>
      <c r="QC73" s="33" t="n"/>
      <c r="QD73" s="33" t="n"/>
      <c r="QE73" s="33" t="n"/>
      <c r="QF73" s="33" t="n"/>
      <c r="QG73" s="33" t="n"/>
      <c r="QH73" s="33" t="n"/>
      <c r="QI73" s="33" t="n"/>
      <c r="QJ73" s="33" t="n"/>
      <c r="QK73" s="33" t="n"/>
      <c r="QL73" s="33" t="n"/>
      <c r="QM73" s="33" t="n"/>
      <c r="QN73" s="33" t="n"/>
      <c r="QO73" s="33" t="n"/>
      <c r="QP73" s="33" t="n"/>
      <c r="QQ73" s="33" t="n"/>
      <c r="QR73" s="33" t="n"/>
      <c r="QS73" s="33" t="n"/>
      <c r="QT73" s="33" t="n"/>
      <c r="QU73" s="33" t="n"/>
      <c r="QV73" s="33" t="n"/>
      <c r="QW73" s="33" t="n"/>
      <c r="QX73" s="33" t="n"/>
      <c r="QY73" s="33" t="n"/>
      <c r="QZ73" s="33" t="n"/>
      <c r="RA73" s="33" t="n"/>
      <c r="RB73" s="33" t="n"/>
      <c r="RC73" s="33" t="n"/>
      <c r="RD73" s="33" t="n"/>
      <c r="RE73" s="33" t="n"/>
      <c r="RF73" s="33" t="n"/>
      <c r="RG73" s="33" t="n"/>
      <c r="RH73" s="33" t="n"/>
      <c r="RI73" s="33" t="n"/>
      <c r="RJ73" s="33" t="n"/>
      <c r="RK73" s="33" t="n"/>
      <c r="RL73" s="33" t="n"/>
      <c r="RM73" s="33" t="n"/>
      <c r="RN73" s="33" t="n"/>
      <c r="RO73" s="33" t="n"/>
      <c r="RP73" s="33" t="n"/>
      <c r="RQ73" s="33" t="n"/>
      <c r="RR73" s="33" t="n"/>
      <c r="RS73" s="33" t="n"/>
      <c r="RT73" s="33" t="n"/>
      <c r="RU73" s="33" t="n"/>
      <c r="RV73" s="33" t="n"/>
      <c r="RW73" s="33" t="n"/>
    </row>
    <row r="74" hidden="1" outlineLevel="1" ht="13.05" customHeight="1">
      <c r="E74" s="21" t="inlineStr">
        <is>
          <t>PPA Contracted Volume</t>
        </is>
      </c>
      <c r="F74" s="29" t="n"/>
      <c r="G74" s="29" t="inlineStr">
        <is>
          <t>MWh</t>
        </is>
      </c>
      <c r="H74" s="29" t="n"/>
      <c r="I74" s="29" t="n"/>
      <c r="J74" s="32" t="n"/>
      <c r="K74" s="29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n"/>
      <c r="AR74" s="33" t="n"/>
      <c r="AS74" s="33" t="n"/>
      <c r="AT74" s="33" t="n"/>
      <c r="AU74" s="33" t="n"/>
      <c r="AV74" s="33" t="n"/>
      <c r="AW74" s="33" t="n"/>
      <c r="AX74" s="33" t="n"/>
      <c r="AY74" s="33" t="n"/>
      <c r="AZ74" s="33" t="n"/>
      <c r="BA74" s="33" t="n"/>
      <c r="BB74" s="33" t="n"/>
      <c r="BC74" s="33" t="n"/>
      <c r="BD74" s="33" t="n"/>
      <c r="BE74" s="33" t="n"/>
      <c r="BF74" s="33" t="n"/>
      <c r="BG74" s="33" t="n"/>
      <c r="BH74" s="33" t="n"/>
      <c r="BI74" s="33" t="n"/>
      <c r="BJ74" s="33" t="n"/>
      <c r="BK74" s="33" t="n"/>
      <c r="BL74" s="33" t="n"/>
      <c r="BM74" s="33" t="n"/>
      <c r="BN74" s="33" t="n"/>
      <c r="BO74" s="33" t="n"/>
      <c r="BP74" s="33" t="n"/>
      <c r="BQ74" s="33" t="n"/>
      <c r="BR74" s="33" t="n"/>
      <c r="BS74" s="33" t="n"/>
      <c r="BT74" s="33" t="n"/>
      <c r="BU74" s="33" t="n"/>
      <c r="BV74" s="33" t="n"/>
      <c r="BW74" s="33" t="n"/>
      <c r="BX74" s="33" t="n"/>
      <c r="BY74" s="33" t="n"/>
      <c r="BZ74" s="33" t="n"/>
      <c r="CA74" s="33" t="n"/>
      <c r="CB74" s="33" t="n"/>
      <c r="CC74" s="33" t="n"/>
      <c r="CD74" s="33" t="n"/>
      <c r="CE74" s="33" t="n"/>
      <c r="CF74" s="33" t="n"/>
      <c r="CG74" s="33" t="n"/>
      <c r="CH74" s="33" t="n"/>
      <c r="CI74" s="33" t="n"/>
      <c r="CJ74" s="33" t="n"/>
      <c r="CK74" s="33" t="n"/>
      <c r="CL74" s="33" t="n"/>
      <c r="CM74" s="33" t="n"/>
      <c r="CN74" s="33" t="n"/>
      <c r="CO74" s="33" t="n"/>
      <c r="CP74" s="33" t="n"/>
      <c r="CQ74" s="33" t="n"/>
      <c r="CR74" s="33" t="n"/>
      <c r="CS74" s="33" t="n"/>
      <c r="CT74" s="33" t="n"/>
      <c r="CU74" s="33" t="n"/>
      <c r="CV74" s="33" t="n"/>
      <c r="CW74" s="33" t="n"/>
      <c r="CX74" s="33" t="n"/>
      <c r="CY74" s="33" t="n"/>
      <c r="CZ74" s="33" t="n"/>
      <c r="DA74" s="33" t="n"/>
      <c r="DB74" s="33" t="n"/>
      <c r="DC74" s="33" t="n"/>
      <c r="DD74" s="33" t="n"/>
      <c r="DE74" s="33" t="n"/>
      <c r="DF74" s="33" t="n"/>
      <c r="DG74" s="33" t="n"/>
      <c r="DH74" s="33" t="n"/>
      <c r="DI74" s="33" t="n"/>
      <c r="DJ74" s="33" t="n"/>
      <c r="DK74" s="33" t="n"/>
      <c r="DL74" s="33" t="n"/>
      <c r="DM74" s="33" t="n"/>
      <c r="DN74" s="33" t="n"/>
      <c r="DO74" s="33" t="n"/>
      <c r="DP74" s="33" t="n"/>
      <c r="DQ74" s="33" t="n"/>
      <c r="DR74" s="33" t="n"/>
      <c r="DS74" s="33" t="n"/>
      <c r="DT74" s="33" t="n"/>
      <c r="DU74" s="33" t="n"/>
      <c r="DV74" s="33" t="n"/>
      <c r="DW74" s="33" t="n"/>
      <c r="DX74" s="33" t="n"/>
      <c r="DY74" s="33" t="n"/>
      <c r="DZ74" s="33" t="n"/>
      <c r="EA74" s="33" t="n"/>
      <c r="EB74" s="33" t="n"/>
      <c r="EC74" s="33" t="n"/>
      <c r="ED74" s="33" t="n"/>
      <c r="EE74" s="33" t="n"/>
      <c r="EF74" s="33" t="n"/>
      <c r="EG74" s="33" t="n"/>
      <c r="EH74" s="33" t="n"/>
      <c r="EI74" s="33" t="n"/>
      <c r="EJ74" s="33" t="n"/>
      <c r="EK74" s="33" t="n"/>
      <c r="EL74" s="33" t="n"/>
      <c r="EM74" s="33" t="n"/>
      <c r="EN74" s="33" t="n"/>
      <c r="EO74" s="33" t="n"/>
      <c r="EP74" s="33" t="n"/>
      <c r="EQ74" s="33" t="n"/>
      <c r="ER74" s="33" t="n"/>
      <c r="ES74" s="33" t="n"/>
      <c r="ET74" s="33" t="n"/>
      <c r="EU74" s="33" t="n"/>
      <c r="EV74" s="33" t="n"/>
      <c r="EW74" s="33" t="n"/>
      <c r="EX74" s="33" t="n"/>
      <c r="EY74" s="33" t="n"/>
      <c r="EZ74" s="33" t="n"/>
      <c r="FA74" s="33" t="n"/>
      <c r="FB74" s="33" t="n"/>
      <c r="FC74" s="33" t="n"/>
      <c r="FD74" s="33" t="n"/>
      <c r="FE74" s="33" t="n"/>
      <c r="FF74" s="33" t="n"/>
      <c r="FG74" s="33" t="n"/>
      <c r="FH74" s="33" t="n"/>
      <c r="FI74" s="33" t="n"/>
      <c r="FJ74" s="33" t="n"/>
      <c r="FK74" s="33" t="n"/>
      <c r="FL74" s="33" t="n"/>
      <c r="FM74" s="33" t="n"/>
      <c r="FN74" s="33" t="n"/>
      <c r="FO74" s="33" t="n"/>
      <c r="FP74" s="33" t="n"/>
      <c r="FQ74" s="33" t="n"/>
      <c r="FR74" s="33" t="n"/>
      <c r="FS74" s="33" t="n"/>
      <c r="FT74" s="33" t="n"/>
      <c r="FU74" s="33" t="n"/>
      <c r="FV74" s="33" t="n"/>
      <c r="FW74" s="33" t="n"/>
      <c r="FX74" s="33" t="n"/>
      <c r="FY74" s="33" t="n"/>
      <c r="FZ74" s="33" t="n"/>
      <c r="GA74" s="33" t="n"/>
      <c r="GB74" s="33" t="n"/>
      <c r="GC74" s="33" t="n"/>
      <c r="GD74" s="33" t="n"/>
      <c r="GE74" s="33" t="n"/>
      <c r="GF74" s="33" t="n"/>
      <c r="GG74" s="33" t="n"/>
      <c r="GH74" s="33" t="n"/>
      <c r="GI74" s="33" t="n"/>
      <c r="GJ74" s="33" t="n"/>
      <c r="GK74" s="33" t="n"/>
      <c r="GL74" s="33" t="n"/>
      <c r="GM74" s="33" t="n"/>
      <c r="GN74" s="33" t="n"/>
      <c r="GO74" s="33" t="n"/>
      <c r="GP74" s="33" t="n"/>
      <c r="GQ74" s="33" t="n"/>
      <c r="GR74" s="33" t="n"/>
      <c r="GS74" s="33" t="n"/>
      <c r="GT74" s="33" t="n"/>
      <c r="GU74" s="33" t="n"/>
      <c r="GV74" s="33" t="n"/>
      <c r="GW74" s="33" t="n"/>
      <c r="GX74" s="33" t="n"/>
      <c r="GY74" s="33" t="n"/>
      <c r="GZ74" s="33" t="n"/>
      <c r="HA74" s="33" t="n"/>
      <c r="HB74" s="33" t="n"/>
      <c r="HC74" s="33" t="n"/>
      <c r="HD74" s="33" t="n"/>
      <c r="HE74" s="33" t="n"/>
      <c r="HF74" s="33" t="n"/>
      <c r="HG74" s="33" t="n"/>
      <c r="HH74" s="33" t="n"/>
      <c r="HI74" s="33" t="n"/>
      <c r="HJ74" s="33" t="n"/>
      <c r="HK74" s="33" t="n"/>
      <c r="HL74" s="33" t="n"/>
      <c r="HM74" s="33" t="n"/>
      <c r="HN74" s="33" t="n"/>
      <c r="HO74" s="33" t="n"/>
      <c r="HP74" s="33" t="n"/>
      <c r="HQ74" s="33" t="n"/>
      <c r="HR74" s="33" t="n"/>
      <c r="HS74" s="33" t="n"/>
      <c r="HT74" s="33" t="n"/>
      <c r="HU74" s="33" t="n"/>
      <c r="HV74" s="33" t="n"/>
      <c r="HW74" s="33" t="n"/>
      <c r="HX74" s="33" t="n"/>
      <c r="HY74" s="33" t="n"/>
      <c r="HZ74" s="33" t="n"/>
      <c r="IA74" s="33" t="n"/>
      <c r="IB74" s="33" t="n"/>
      <c r="IC74" s="33" t="n"/>
      <c r="ID74" s="33" t="n"/>
      <c r="IE74" s="33" t="n"/>
      <c r="IF74" s="33" t="n"/>
      <c r="IG74" s="33" t="n"/>
      <c r="IH74" s="33" t="n"/>
      <c r="II74" s="33" t="n"/>
      <c r="IJ74" s="33" t="n"/>
      <c r="IK74" s="33" t="n"/>
      <c r="IL74" s="33" t="n"/>
      <c r="IM74" s="33" t="n"/>
      <c r="IN74" s="33" t="n"/>
      <c r="IO74" s="33" t="n"/>
      <c r="IP74" s="33" t="n"/>
      <c r="IQ74" s="33" t="n"/>
      <c r="IR74" s="33" t="n"/>
      <c r="IS74" s="33" t="n"/>
      <c r="IT74" s="33" t="n"/>
      <c r="IU74" s="33" t="n"/>
      <c r="IV74" s="33" t="n"/>
      <c r="IW74" s="33" t="n"/>
      <c r="IX74" s="33" t="n"/>
      <c r="IY74" s="33" t="n"/>
      <c r="IZ74" s="33" t="n"/>
      <c r="JA74" s="33" t="n"/>
      <c r="JB74" s="33" t="n"/>
      <c r="JC74" s="33" t="n"/>
      <c r="JD74" s="33" t="n"/>
      <c r="JE74" s="33" t="n"/>
      <c r="JF74" s="33" t="n"/>
      <c r="JG74" s="33" t="n"/>
      <c r="JH74" s="33" t="n"/>
      <c r="JI74" s="33" t="n"/>
      <c r="JJ74" s="33" t="n"/>
      <c r="JK74" s="33" t="n"/>
      <c r="JL74" s="33" t="n"/>
      <c r="JM74" s="33" t="n"/>
      <c r="JN74" s="33" t="n"/>
      <c r="JO74" s="33" t="n"/>
      <c r="JP74" s="33" t="n"/>
      <c r="JQ74" s="33" t="n"/>
      <c r="JR74" s="33" t="n"/>
      <c r="JS74" s="33" t="n"/>
      <c r="JT74" s="33" t="n"/>
      <c r="JU74" s="33" t="n"/>
      <c r="JV74" s="33" t="n"/>
      <c r="JW74" s="33" t="n"/>
      <c r="JX74" s="33" t="n"/>
      <c r="JY74" s="33" t="n"/>
      <c r="JZ74" s="33" t="n"/>
      <c r="KA74" s="33" t="n"/>
      <c r="KB74" s="33" t="n"/>
      <c r="KC74" s="33" t="n"/>
      <c r="KD74" s="33" t="n"/>
      <c r="KE74" s="33" t="n"/>
      <c r="KF74" s="33" t="n"/>
      <c r="KG74" s="33" t="n"/>
      <c r="KH74" s="33" t="n"/>
      <c r="KI74" s="33" t="n"/>
      <c r="KJ74" s="33" t="n"/>
      <c r="KK74" s="33" t="n"/>
      <c r="KL74" s="33" t="n"/>
      <c r="KM74" s="33" t="n"/>
      <c r="KN74" s="33" t="n"/>
      <c r="KO74" s="33" t="n"/>
      <c r="KP74" s="33" t="n"/>
      <c r="KQ74" s="33" t="n"/>
      <c r="KR74" s="33" t="n"/>
      <c r="KS74" s="33" t="n"/>
      <c r="KT74" s="33" t="n"/>
      <c r="KU74" s="33" t="n"/>
      <c r="KV74" s="33" t="n"/>
      <c r="KW74" s="33" t="n"/>
      <c r="KX74" s="33" t="n"/>
      <c r="KY74" s="33" t="n"/>
      <c r="KZ74" s="33" t="n"/>
      <c r="LA74" s="33" t="n"/>
      <c r="LB74" s="33" t="n"/>
      <c r="LC74" s="33" t="n"/>
      <c r="LD74" s="33" t="n"/>
      <c r="LE74" s="33" t="n"/>
      <c r="LF74" s="33" t="n"/>
      <c r="LG74" s="33" t="n"/>
      <c r="LH74" s="33" t="n"/>
      <c r="LI74" s="33" t="n"/>
      <c r="LJ74" s="33" t="n"/>
      <c r="LK74" s="33" t="n"/>
      <c r="LL74" s="33" t="n"/>
      <c r="LM74" s="33" t="n"/>
      <c r="LN74" s="33" t="n"/>
      <c r="LO74" s="33" t="n"/>
      <c r="LP74" s="33" t="n"/>
      <c r="LQ74" s="33" t="n"/>
      <c r="LR74" s="33" t="n"/>
      <c r="LS74" s="33" t="n"/>
      <c r="LT74" s="33" t="n"/>
      <c r="LU74" s="33" t="n"/>
      <c r="LV74" s="33" t="n"/>
      <c r="LW74" s="33" t="n"/>
      <c r="LX74" s="33" t="n"/>
      <c r="LY74" s="33" t="n"/>
      <c r="LZ74" s="33" t="n"/>
      <c r="MA74" s="33" t="n"/>
      <c r="MB74" s="33" t="n"/>
      <c r="MC74" s="33" t="n"/>
      <c r="MD74" s="33" t="n"/>
      <c r="ME74" s="33" t="n"/>
      <c r="MF74" s="33" t="n"/>
      <c r="MG74" s="33" t="n"/>
      <c r="MH74" s="33" t="n"/>
      <c r="MI74" s="33" t="n"/>
      <c r="MJ74" s="33" t="n"/>
      <c r="MK74" s="33" t="n"/>
      <c r="ML74" s="33" t="n"/>
      <c r="MM74" s="33" t="n"/>
      <c r="MN74" s="33" t="n"/>
      <c r="MO74" s="33" t="n"/>
      <c r="MP74" s="33" t="n"/>
      <c r="MQ74" s="33" t="n"/>
      <c r="MR74" s="33" t="n"/>
      <c r="MS74" s="33" t="n"/>
      <c r="MT74" s="33" t="n"/>
      <c r="MU74" s="33" t="n"/>
      <c r="MV74" s="33" t="n"/>
      <c r="MW74" s="33" t="n"/>
      <c r="MX74" s="33" t="n"/>
      <c r="MY74" s="33" t="n"/>
      <c r="MZ74" s="33" t="n"/>
      <c r="NA74" s="33" t="n"/>
      <c r="NB74" s="33" t="n"/>
      <c r="NC74" s="33" t="n"/>
      <c r="ND74" s="33" t="n"/>
      <c r="NE74" s="33" t="n"/>
      <c r="NF74" s="33" t="n"/>
      <c r="NG74" s="33" t="n"/>
      <c r="NH74" s="33" t="n"/>
      <c r="NI74" s="33" t="n"/>
      <c r="NJ74" s="33" t="n"/>
      <c r="NK74" s="33" t="n"/>
      <c r="NL74" s="33" t="n"/>
      <c r="NM74" s="33" t="n"/>
      <c r="NN74" s="33" t="n"/>
      <c r="NO74" s="33" t="n"/>
      <c r="NP74" s="33" t="n"/>
      <c r="NQ74" s="33" t="n"/>
      <c r="NR74" s="33" t="n"/>
      <c r="NS74" s="33" t="n"/>
      <c r="NT74" s="33" t="n"/>
      <c r="NU74" s="33" t="n"/>
      <c r="NV74" s="33" t="n"/>
      <c r="NW74" s="33" t="n"/>
      <c r="NX74" s="33" t="n"/>
      <c r="NY74" s="33" t="n"/>
      <c r="NZ74" s="33" t="n"/>
      <c r="OA74" s="33" t="n"/>
      <c r="OB74" s="33" t="n"/>
      <c r="OC74" s="33" t="n"/>
      <c r="OD74" s="33" t="n"/>
      <c r="OE74" s="33" t="n"/>
      <c r="OF74" s="33" t="n"/>
      <c r="OG74" s="33" t="n"/>
      <c r="OH74" s="33" t="n"/>
      <c r="OI74" s="33" t="n"/>
      <c r="OJ74" s="33" t="n"/>
      <c r="OK74" s="33" t="n"/>
      <c r="OL74" s="33" t="n"/>
      <c r="OM74" s="33" t="n"/>
      <c r="ON74" s="33" t="n"/>
      <c r="OO74" s="33" t="n"/>
      <c r="OP74" s="33" t="n"/>
      <c r="OQ74" s="33" t="n"/>
      <c r="OR74" s="33" t="n"/>
      <c r="OS74" s="33" t="n"/>
      <c r="OT74" s="33" t="n"/>
      <c r="OU74" s="33" t="n"/>
      <c r="OV74" s="33" t="n"/>
      <c r="OW74" s="33" t="n"/>
      <c r="OX74" s="33" t="n"/>
      <c r="OY74" s="33" t="n"/>
      <c r="OZ74" s="33" t="n"/>
      <c r="PA74" s="33" t="n"/>
      <c r="PB74" s="33" t="n"/>
      <c r="PC74" s="33" t="n"/>
      <c r="PD74" s="33" t="n"/>
      <c r="PE74" s="33" t="n"/>
      <c r="PF74" s="33" t="n"/>
      <c r="PG74" s="33" t="n"/>
      <c r="PH74" s="33" t="n"/>
      <c r="PI74" s="33" t="n"/>
      <c r="PJ74" s="33" t="n"/>
      <c r="PK74" s="33" t="n"/>
      <c r="PL74" s="33" t="n"/>
      <c r="PM74" s="33" t="n"/>
      <c r="PN74" s="33" t="n"/>
      <c r="PO74" s="33" t="n"/>
      <c r="PP74" s="33" t="n"/>
      <c r="PQ74" s="33" t="n"/>
      <c r="PR74" s="33" t="n"/>
      <c r="PS74" s="33" t="n"/>
      <c r="PT74" s="33" t="n"/>
      <c r="PU74" s="33" t="n"/>
      <c r="PV74" s="33" t="n"/>
      <c r="PW74" s="33" t="n"/>
      <c r="PX74" s="33" t="n"/>
      <c r="PY74" s="33" t="n"/>
      <c r="PZ74" s="33" t="n"/>
      <c r="QA74" s="33" t="n"/>
      <c r="QB74" s="33" t="n"/>
      <c r="QC74" s="33" t="n"/>
      <c r="QD74" s="33" t="n"/>
      <c r="QE74" s="33" t="n"/>
      <c r="QF74" s="33" t="n"/>
      <c r="QG74" s="33" t="n"/>
      <c r="QH74" s="33" t="n"/>
      <c r="QI74" s="33" t="n"/>
      <c r="QJ74" s="33" t="n"/>
      <c r="QK74" s="33" t="n"/>
      <c r="QL74" s="33" t="n"/>
      <c r="QM74" s="33" t="n"/>
      <c r="QN74" s="33" t="n"/>
      <c r="QO74" s="33" t="n"/>
      <c r="QP74" s="33" t="n"/>
      <c r="QQ74" s="33" t="n"/>
      <c r="QR74" s="33" t="n"/>
      <c r="QS74" s="33" t="n"/>
      <c r="QT74" s="33" t="n"/>
      <c r="QU74" s="33" t="n"/>
      <c r="QV74" s="33" t="n"/>
      <c r="QW74" s="33" t="n"/>
      <c r="QX74" s="33" t="n"/>
      <c r="QY74" s="33" t="n"/>
      <c r="QZ74" s="33" t="n"/>
      <c r="RA74" s="33" t="n"/>
      <c r="RB74" s="33" t="n"/>
      <c r="RC74" s="33" t="n"/>
      <c r="RD74" s="33" t="n"/>
      <c r="RE74" s="33" t="n"/>
      <c r="RF74" s="33" t="n"/>
      <c r="RG74" s="33" t="n"/>
      <c r="RH74" s="33" t="n"/>
      <c r="RI74" s="33" t="n"/>
      <c r="RJ74" s="33" t="n"/>
      <c r="RK74" s="33" t="n"/>
      <c r="RL74" s="33" t="n"/>
      <c r="RM74" s="33" t="n"/>
      <c r="RN74" s="33" t="n"/>
      <c r="RO74" s="33" t="n"/>
      <c r="RP74" s="33" t="n"/>
      <c r="RQ74" s="33" t="n"/>
      <c r="RR74" s="33" t="n"/>
      <c r="RS74" s="33" t="n"/>
      <c r="RT74" s="33" t="n"/>
      <c r="RU74" s="33" t="n"/>
      <c r="RV74" s="33" t="n"/>
      <c r="RW74" s="33" t="n"/>
    </row>
    <row r="75" hidden="1" outlineLevel="1" ht="13.05" customHeight="1">
      <c r="E75" s="21" t="inlineStr">
        <is>
          <t>PPA Fixed Payment</t>
        </is>
      </c>
      <c r="F75" s="29" t="n"/>
      <c r="G75" s="29" t="inlineStr">
        <is>
          <t>kEUR</t>
        </is>
      </c>
      <c r="H75" s="29" t="n"/>
      <c r="I75" s="29" t="n"/>
      <c r="J75" s="32" t="n"/>
      <c r="K75" s="29" t="n"/>
      <c r="L75" s="33" t="n"/>
      <c r="M75" s="33" t="n"/>
      <c r="N75" s="33" t="n"/>
      <c r="O75" s="33" t="n"/>
      <c r="P75" s="33" t="n"/>
      <c r="Q75" s="33" t="n"/>
      <c r="R75" s="33" t="n"/>
      <c r="S75" s="33" t="n"/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n"/>
      <c r="AS75" s="33" t="n"/>
      <c r="AT75" s="33" t="n"/>
      <c r="AU75" s="33" t="n"/>
      <c r="AV75" s="33" t="n"/>
      <c r="AW75" s="33" t="n"/>
      <c r="AX75" s="33" t="n"/>
      <c r="AY75" s="33" t="n"/>
      <c r="AZ75" s="33" t="n"/>
      <c r="BA75" s="33" t="n"/>
      <c r="BB75" s="33" t="n"/>
      <c r="BC75" s="33" t="n"/>
      <c r="BD75" s="33" t="n"/>
      <c r="BE75" s="33" t="n"/>
      <c r="BF75" s="33" t="n"/>
      <c r="BG75" s="33" t="n"/>
      <c r="BH75" s="33" t="n"/>
      <c r="BI75" s="33" t="n"/>
      <c r="BJ75" s="33" t="n"/>
      <c r="BK75" s="33" t="n"/>
      <c r="BL75" s="33" t="n"/>
      <c r="BM75" s="33" t="n"/>
      <c r="BN75" s="33" t="n"/>
      <c r="BO75" s="33" t="n"/>
      <c r="BP75" s="33" t="n"/>
      <c r="BQ75" s="33" t="n"/>
      <c r="BR75" s="33" t="n"/>
      <c r="BS75" s="33" t="n"/>
      <c r="BT75" s="33" t="n"/>
      <c r="BU75" s="33" t="n"/>
      <c r="BV75" s="33" t="n"/>
      <c r="BW75" s="33" t="n"/>
      <c r="BX75" s="33" t="n"/>
      <c r="BY75" s="33" t="n"/>
      <c r="BZ75" s="33" t="n"/>
      <c r="CA75" s="33" t="n"/>
      <c r="CB75" s="33" t="n"/>
      <c r="CC75" s="33" t="n"/>
      <c r="CD75" s="33" t="n"/>
      <c r="CE75" s="33" t="n"/>
      <c r="CF75" s="33" t="n"/>
      <c r="CG75" s="33" t="n"/>
      <c r="CH75" s="33" t="n"/>
      <c r="CI75" s="33" t="n"/>
      <c r="CJ75" s="33" t="n"/>
      <c r="CK75" s="33" t="n"/>
      <c r="CL75" s="33" t="n"/>
      <c r="CM75" s="33" t="n"/>
      <c r="CN75" s="33" t="n"/>
      <c r="CO75" s="33" t="n"/>
      <c r="CP75" s="33" t="n"/>
      <c r="CQ75" s="33" t="n"/>
      <c r="CR75" s="33" t="n"/>
      <c r="CS75" s="33" t="n"/>
      <c r="CT75" s="33" t="n"/>
      <c r="CU75" s="33" t="n"/>
      <c r="CV75" s="33" t="n"/>
      <c r="CW75" s="33" t="n"/>
      <c r="CX75" s="33" t="n"/>
      <c r="CY75" s="33" t="n"/>
      <c r="CZ75" s="33" t="n"/>
      <c r="DA75" s="33" t="n"/>
      <c r="DB75" s="33" t="n"/>
      <c r="DC75" s="33" t="n"/>
      <c r="DD75" s="33" t="n"/>
      <c r="DE75" s="33" t="n"/>
      <c r="DF75" s="33" t="n"/>
      <c r="DG75" s="33" t="n"/>
      <c r="DH75" s="33" t="n"/>
      <c r="DI75" s="33" t="n"/>
      <c r="DJ75" s="33" t="n"/>
      <c r="DK75" s="33" t="n"/>
      <c r="DL75" s="33" t="n"/>
      <c r="DM75" s="33" t="n"/>
      <c r="DN75" s="33" t="n"/>
      <c r="DO75" s="33" t="n"/>
      <c r="DP75" s="33" t="n"/>
      <c r="DQ75" s="33" t="n"/>
      <c r="DR75" s="33" t="n"/>
      <c r="DS75" s="33" t="n"/>
      <c r="DT75" s="33" t="n"/>
      <c r="DU75" s="33" t="n"/>
      <c r="DV75" s="33" t="n"/>
      <c r="DW75" s="33" t="n"/>
      <c r="DX75" s="33" t="n"/>
      <c r="DY75" s="33" t="n"/>
      <c r="DZ75" s="33" t="n"/>
      <c r="EA75" s="33" t="n"/>
      <c r="EB75" s="33" t="n"/>
      <c r="EC75" s="33" t="n"/>
      <c r="ED75" s="33" t="n"/>
      <c r="EE75" s="33" t="n"/>
      <c r="EF75" s="33" t="n"/>
      <c r="EG75" s="33" t="n"/>
      <c r="EH75" s="33" t="n"/>
      <c r="EI75" s="33" t="n"/>
      <c r="EJ75" s="33" t="n"/>
      <c r="EK75" s="33" t="n"/>
      <c r="EL75" s="33" t="n"/>
      <c r="EM75" s="33" t="n"/>
      <c r="EN75" s="33" t="n"/>
      <c r="EO75" s="33" t="n"/>
      <c r="EP75" s="33" t="n"/>
      <c r="EQ75" s="33" t="n"/>
      <c r="ER75" s="33" t="n"/>
      <c r="ES75" s="33" t="n"/>
      <c r="ET75" s="33" t="n"/>
      <c r="EU75" s="33" t="n"/>
      <c r="EV75" s="33" t="n"/>
      <c r="EW75" s="33" t="n"/>
      <c r="EX75" s="33" t="n"/>
      <c r="EY75" s="33" t="n"/>
      <c r="EZ75" s="33" t="n"/>
      <c r="FA75" s="33" t="n"/>
      <c r="FB75" s="33" t="n"/>
      <c r="FC75" s="33" t="n"/>
      <c r="FD75" s="33" t="n"/>
      <c r="FE75" s="33" t="n"/>
      <c r="FF75" s="33" t="n"/>
      <c r="FG75" s="33" t="n"/>
      <c r="FH75" s="33" t="n"/>
      <c r="FI75" s="33" t="n"/>
      <c r="FJ75" s="33" t="n"/>
      <c r="FK75" s="33" t="n"/>
      <c r="FL75" s="33" t="n"/>
      <c r="FM75" s="33" t="n"/>
      <c r="FN75" s="33" t="n"/>
      <c r="FO75" s="33" t="n"/>
      <c r="FP75" s="33" t="n"/>
      <c r="FQ75" s="33" t="n"/>
      <c r="FR75" s="33" t="n"/>
      <c r="FS75" s="33" t="n"/>
      <c r="FT75" s="33" t="n"/>
      <c r="FU75" s="33" t="n"/>
      <c r="FV75" s="33" t="n"/>
      <c r="FW75" s="33" t="n"/>
      <c r="FX75" s="33" t="n"/>
      <c r="FY75" s="33" t="n"/>
      <c r="FZ75" s="33" t="n"/>
      <c r="GA75" s="33" t="n"/>
      <c r="GB75" s="33" t="n"/>
      <c r="GC75" s="33" t="n"/>
      <c r="GD75" s="33" t="n"/>
      <c r="GE75" s="33" t="n"/>
      <c r="GF75" s="33" t="n"/>
      <c r="GG75" s="33" t="n"/>
      <c r="GH75" s="33" t="n"/>
      <c r="GI75" s="33" t="n"/>
      <c r="GJ75" s="33" t="n"/>
      <c r="GK75" s="33" t="n"/>
      <c r="GL75" s="33" t="n"/>
      <c r="GM75" s="33" t="n"/>
      <c r="GN75" s="33" t="n"/>
      <c r="GO75" s="33" t="n"/>
      <c r="GP75" s="33" t="n"/>
      <c r="GQ75" s="33" t="n"/>
      <c r="GR75" s="33" t="n"/>
      <c r="GS75" s="33" t="n"/>
      <c r="GT75" s="33" t="n"/>
      <c r="GU75" s="33" t="n"/>
      <c r="GV75" s="33" t="n"/>
      <c r="GW75" s="33" t="n"/>
      <c r="GX75" s="33" t="n"/>
      <c r="GY75" s="33" t="n"/>
      <c r="GZ75" s="33" t="n"/>
      <c r="HA75" s="33" t="n"/>
      <c r="HB75" s="33" t="n"/>
      <c r="HC75" s="33" t="n"/>
      <c r="HD75" s="33" t="n"/>
      <c r="HE75" s="33" t="n"/>
      <c r="HF75" s="33" t="n"/>
      <c r="HG75" s="33" t="n"/>
      <c r="HH75" s="33" t="n"/>
      <c r="HI75" s="33" t="n"/>
      <c r="HJ75" s="33" t="n"/>
      <c r="HK75" s="33" t="n"/>
      <c r="HL75" s="33" t="n"/>
      <c r="HM75" s="33" t="n"/>
      <c r="HN75" s="33" t="n"/>
      <c r="HO75" s="33" t="n"/>
      <c r="HP75" s="33" t="n"/>
      <c r="HQ75" s="33" t="n"/>
      <c r="HR75" s="33" t="n"/>
      <c r="HS75" s="33" t="n"/>
      <c r="HT75" s="33" t="n"/>
      <c r="HU75" s="33" t="n"/>
      <c r="HV75" s="33" t="n"/>
      <c r="HW75" s="33" t="n"/>
      <c r="HX75" s="33" t="n"/>
      <c r="HY75" s="33" t="n"/>
      <c r="HZ75" s="33" t="n"/>
      <c r="IA75" s="33" t="n"/>
      <c r="IB75" s="33" t="n"/>
      <c r="IC75" s="33" t="n"/>
      <c r="ID75" s="33" t="n"/>
      <c r="IE75" s="33" t="n"/>
      <c r="IF75" s="33" t="n"/>
      <c r="IG75" s="33" t="n"/>
      <c r="IH75" s="33" t="n"/>
      <c r="II75" s="33" t="n"/>
      <c r="IJ75" s="33" t="n"/>
      <c r="IK75" s="33" t="n"/>
      <c r="IL75" s="33" t="n"/>
      <c r="IM75" s="33" t="n"/>
      <c r="IN75" s="33" t="n"/>
      <c r="IO75" s="33" t="n"/>
      <c r="IP75" s="33" t="n"/>
      <c r="IQ75" s="33" t="n"/>
      <c r="IR75" s="33" t="n"/>
      <c r="IS75" s="33" t="n"/>
      <c r="IT75" s="33" t="n"/>
      <c r="IU75" s="33" t="n"/>
      <c r="IV75" s="33" t="n"/>
      <c r="IW75" s="33" t="n"/>
      <c r="IX75" s="33" t="n"/>
      <c r="IY75" s="33" t="n"/>
      <c r="IZ75" s="33" t="n"/>
      <c r="JA75" s="33" t="n"/>
      <c r="JB75" s="33" t="n"/>
      <c r="JC75" s="33" t="n"/>
      <c r="JD75" s="33" t="n"/>
      <c r="JE75" s="33" t="n"/>
      <c r="JF75" s="33" t="n"/>
      <c r="JG75" s="33" t="n"/>
      <c r="JH75" s="33" t="n"/>
      <c r="JI75" s="33" t="n"/>
      <c r="JJ75" s="33" t="n"/>
      <c r="JK75" s="33" t="n"/>
      <c r="JL75" s="33" t="n"/>
      <c r="JM75" s="33" t="n"/>
      <c r="JN75" s="33" t="n"/>
      <c r="JO75" s="33" t="n"/>
      <c r="JP75" s="33" t="n"/>
      <c r="JQ75" s="33" t="n"/>
      <c r="JR75" s="33" t="n"/>
      <c r="JS75" s="33" t="n"/>
      <c r="JT75" s="33" t="n"/>
      <c r="JU75" s="33" t="n"/>
      <c r="JV75" s="33" t="n"/>
      <c r="JW75" s="33" t="n"/>
      <c r="JX75" s="33" t="n"/>
      <c r="JY75" s="33" t="n"/>
      <c r="JZ75" s="33" t="n"/>
      <c r="KA75" s="33" t="n"/>
      <c r="KB75" s="33" t="n"/>
      <c r="KC75" s="33" t="n"/>
      <c r="KD75" s="33" t="n"/>
      <c r="KE75" s="33" t="n"/>
      <c r="KF75" s="33" t="n"/>
      <c r="KG75" s="33" t="n"/>
      <c r="KH75" s="33" t="n"/>
      <c r="KI75" s="33" t="n"/>
      <c r="KJ75" s="33" t="n"/>
      <c r="KK75" s="33" t="n"/>
      <c r="KL75" s="33" t="n"/>
      <c r="KM75" s="33" t="n"/>
      <c r="KN75" s="33" t="n"/>
      <c r="KO75" s="33" t="n"/>
      <c r="KP75" s="33" t="n"/>
      <c r="KQ75" s="33" t="n"/>
      <c r="KR75" s="33" t="n"/>
      <c r="KS75" s="33" t="n"/>
      <c r="KT75" s="33" t="n"/>
      <c r="KU75" s="33" t="n"/>
      <c r="KV75" s="33" t="n"/>
      <c r="KW75" s="33" t="n"/>
      <c r="KX75" s="33" t="n"/>
      <c r="KY75" s="33" t="n"/>
      <c r="KZ75" s="33" t="n"/>
      <c r="LA75" s="33" t="n"/>
      <c r="LB75" s="33" t="n"/>
      <c r="LC75" s="33" t="n"/>
      <c r="LD75" s="33" t="n"/>
      <c r="LE75" s="33" t="n"/>
      <c r="LF75" s="33" t="n"/>
      <c r="LG75" s="33" t="n"/>
      <c r="LH75" s="33" t="n"/>
      <c r="LI75" s="33" t="n"/>
      <c r="LJ75" s="33" t="n"/>
      <c r="LK75" s="33" t="n"/>
      <c r="LL75" s="33" t="n"/>
      <c r="LM75" s="33" t="n"/>
      <c r="LN75" s="33" t="n"/>
      <c r="LO75" s="33" t="n"/>
      <c r="LP75" s="33" t="n"/>
      <c r="LQ75" s="33" t="n"/>
      <c r="LR75" s="33" t="n"/>
      <c r="LS75" s="33" t="n"/>
      <c r="LT75" s="33" t="n"/>
      <c r="LU75" s="33" t="n"/>
      <c r="LV75" s="33" t="n"/>
      <c r="LW75" s="33" t="n"/>
      <c r="LX75" s="33" t="n"/>
      <c r="LY75" s="33" t="n"/>
      <c r="LZ75" s="33" t="n"/>
      <c r="MA75" s="33" t="n"/>
      <c r="MB75" s="33" t="n"/>
      <c r="MC75" s="33" t="n"/>
      <c r="MD75" s="33" t="n"/>
      <c r="ME75" s="33" t="n"/>
      <c r="MF75" s="33" t="n"/>
      <c r="MG75" s="33" t="n"/>
      <c r="MH75" s="33" t="n"/>
      <c r="MI75" s="33" t="n"/>
      <c r="MJ75" s="33" t="n"/>
      <c r="MK75" s="33" t="n"/>
      <c r="ML75" s="33" t="n"/>
      <c r="MM75" s="33" t="n"/>
      <c r="MN75" s="33" t="n"/>
      <c r="MO75" s="33" t="n"/>
      <c r="MP75" s="33" t="n"/>
      <c r="MQ75" s="33" t="n"/>
      <c r="MR75" s="33" t="n"/>
      <c r="MS75" s="33" t="n"/>
      <c r="MT75" s="33" t="n"/>
      <c r="MU75" s="33" t="n"/>
      <c r="MV75" s="33" t="n"/>
      <c r="MW75" s="33" t="n"/>
      <c r="MX75" s="33" t="n"/>
      <c r="MY75" s="33" t="n"/>
      <c r="MZ75" s="33" t="n"/>
      <c r="NA75" s="33" t="n"/>
      <c r="NB75" s="33" t="n"/>
      <c r="NC75" s="33" t="n"/>
      <c r="ND75" s="33" t="n"/>
      <c r="NE75" s="33" t="n"/>
      <c r="NF75" s="33" t="n"/>
      <c r="NG75" s="33" t="n"/>
      <c r="NH75" s="33" t="n"/>
      <c r="NI75" s="33" t="n"/>
      <c r="NJ75" s="33" t="n"/>
      <c r="NK75" s="33" t="n"/>
      <c r="NL75" s="33" t="n"/>
      <c r="NM75" s="33" t="n"/>
      <c r="NN75" s="33" t="n"/>
      <c r="NO75" s="33" t="n"/>
      <c r="NP75" s="33" t="n"/>
      <c r="NQ75" s="33" t="n"/>
      <c r="NR75" s="33" t="n"/>
      <c r="NS75" s="33" t="n"/>
      <c r="NT75" s="33" t="n"/>
      <c r="NU75" s="33" t="n"/>
      <c r="NV75" s="33" t="n"/>
      <c r="NW75" s="33" t="n"/>
      <c r="NX75" s="33" t="n"/>
      <c r="NY75" s="33" t="n"/>
      <c r="NZ75" s="33" t="n"/>
      <c r="OA75" s="33" t="n"/>
      <c r="OB75" s="33" t="n"/>
      <c r="OC75" s="33" t="n"/>
      <c r="OD75" s="33" t="n"/>
      <c r="OE75" s="33" t="n"/>
      <c r="OF75" s="33" t="n"/>
      <c r="OG75" s="33" t="n"/>
      <c r="OH75" s="33" t="n"/>
      <c r="OI75" s="33" t="n"/>
      <c r="OJ75" s="33" t="n"/>
      <c r="OK75" s="33" t="n"/>
      <c r="OL75" s="33" t="n"/>
      <c r="OM75" s="33" t="n"/>
      <c r="ON75" s="33" t="n"/>
      <c r="OO75" s="33" t="n"/>
      <c r="OP75" s="33" t="n"/>
      <c r="OQ75" s="33" t="n"/>
      <c r="OR75" s="33" t="n"/>
      <c r="OS75" s="33" t="n"/>
      <c r="OT75" s="33" t="n"/>
      <c r="OU75" s="33" t="n"/>
      <c r="OV75" s="33" t="n"/>
      <c r="OW75" s="33" t="n"/>
      <c r="OX75" s="33" t="n"/>
      <c r="OY75" s="33" t="n"/>
      <c r="OZ75" s="33" t="n"/>
      <c r="PA75" s="33" t="n"/>
      <c r="PB75" s="33" t="n"/>
      <c r="PC75" s="33" t="n"/>
      <c r="PD75" s="33" t="n"/>
      <c r="PE75" s="33" t="n"/>
      <c r="PF75" s="33" t="n"/>
      <c r="PG75" s="33" t="n"/>
      <c r="PH75" s="33" t="n"/>
      <c r="PI75" s="33" t="n"/>
      <c r="PJ75" s="33" t="n"/>
      <c r="PK75" s="33" t="n"/>
      <c r="PL75" s="33" t="n"/>
      <c r="PM75" s="33" t="n"/>
      <c r="PN75" s="33" t="n"/>
      <c r="PO75" s="33" t="n"/>
      <c r="PP75" s="33" t="n"/>
      <c r="PQ75" s="33" t="n"/>
      <c r="PR75" s="33" t="n"/>
      <c r="PS75" s="33" t="n"/>
      <c r="PT75" s="33" t="n"/>
      <c r="PU75" s="33" t="n"/>
      <c r="PV75" s="33" t="n"/>
      <c r="PW75" s="33" t="n"/>
      <c r="PX75" s="33" t="n"/>
      <c r="PY75" s="33" t="n"/>
      <c r="PZ75" s="33" t="n"/>
      <c r="QA75" s="33" t="n"/>
      <c r="QB75" s="33" t="n"/>
      <c r="QC75" s="33" t="n"/>
      <c r="QD75" s="33" t="n"/>
      <c r="QE75" s="33" t="n"/>
      <c r="QF75" s="33" t="n"/>
      <c r="QG75" s="33" t="n"/>
      <c r="QH75" s="33" t="n"/>
      <c r="QI75" s="33" t="n"/>
      <c r="QJ75" s="33" t="n"/>
      <c r="QK75" s="33" t="n"/>
      <c r="QL75" s="33" t="n"/>
      <c r="QM75" s="33" t="n"/>
      <c r="QN75" s="33" t="n"/>
      <c r="QO75" s="33" t="n"/>
      <c r="QP75" s="33" t="n"/>
      <c r="QQ75" s="33" t="n"/>
      <c r="QR75" s="33" t="n"/>
      <c r="QS75" s="33" t="n"/>
      <c r="QT75" s="33" t="n"/>
      <c r="QU75" s="33" t="n"/>
      <c r="QV75" s="33" t="n"/>
      <c r="QW75" s="33" t="n"/>
      <c r="QX75" s="33" t="n"/>
      <c r="QY75" s="33" t="n"/>
      <c r="QZ75" s="33" t="n"/>
      <c r="RA75" s="33" t="n"/>
      <c r="RB75" s="33" t="n"/>
      <c r="RC75" s="33" t="n"/>
      <c r="RD75" s="33" t="n"/>
      <c r="RE75" s="33" t="n"/>
      <c r="RF75" s="33" t="n"/>
      <c r="RG75" s="33" t="n"/>
      <c r="RH75" s="33" t="n"/>
      <c r="RI75" s="33" t="n"/>
      <c r="RJ75" s="33" t="n"/>
      <c r="RK75" s="33" t="n"/>
      <c r="RL75" s="33" t="n"/>
      <c r="RM75" s="33" t="n"/>
      <c r="RN75" s="33" t="n"/>
      <c r="RO75" s="33" t="n"/>
      <c r="RP75" s="33" t="n"/>
      <c r="RQ75" s="33" t="n"/>
      <c r="RR75" s="33" t="n"/>
      <c r="RS75" s="33" t="n"/>
      <c r="RT75" s="33" t="n"/>
      <c r="RU75" s="33" t="n"/>
      <c r="RV75" s="33" t="n"/>
      <c r="RW75" s="33" t="n"/>
    </row>
    <row r="76" hidden="1" outlineLevel="1" ht="13.05" customHeight="1">
      <c r="E76" s="21" t="inlineStr">
        <is>
          <t>PPA Settlement</t>
        </is>
      </c>
      <c r="F76" s="29" t="n"/>
      <c r="G76" s="29" t="inlineStr">
        <is>
          <t>kEUR</t>
        </is>
      </c>
      <c r="H76" s="29" t="n"/>
      <c r="I76" s="29" t="n"/>
      <c r="J76" s="32" t="n"/>
      <c r="K76" s="29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33" t="n"/>
      <c r="AJ76" s="33" t="n"/>
      <c r="AK76" s="33" t="n"/>
      <c r="AL76" s="33" t="n"/>
      <c r="AM76" s="33" t="n"/>
      <c r="AN76" s="33" t="n"/>
      <c r="AO76" s="33" t="n"/>
      <c r="AP76" s="33" t="n"/>
      <c r="AQ76" s="33" t="n"/>
      <c r="AR76" s="33" t="n"/>
      <c r="AS76" s="33" t="n"/>
      <c r="AT76" s="33" t="n"/>
      <c r="AU76" s="33" t="n"/>
      <c r="AV76" s="33" t="n"/>
      <c r="AW76" s="33" t="n"/>
      <c r="AX76" s="33" t="n"/>
      <c r="AY76" s="33" t="n"/>
      <c r="AZ76" s="33" t="n"/>
      <c r="BA76" s="33" t="n"/>
      <c r="BB76" s="33" t="n"/>
      <c r="BC76" s="33" t="n"/>
      <c r="BD76" s="33" t="n"/>
      <c r="BE76" s="33" t="n"/>
      <c r="BF76" s="33" t="n"/>
      <c r="BG76" s="33" t="n"/>
      <c r="BH76" s="33" t="n"/>
      <c r="BI76" s="33" t="n"/>
      <c r="BJ76" s="33" t="n"/>
      <c r="BK76" s="33" t="n"/>
      <c r="BL76" s="33" t="n"/>
      <c r="BM76" s="33" t="n"/>
      <c r="BN76" s="33" t="n"/>
      <c r="BO76" s="33" t="n"/>
      <c r="BP76" s="33" t="n"/>
      <c r="BQ76" s="33" t="n"/>
      <c r="BR76" s="33" t="n"/>
      <c r="BS76" s="33" t="n"/>
      <c r="BT76" s="33" t="n"/>
      <c r="BU76" s="33" t="n"/>
      <c r="BV76" s="33" t="n"/>
      <c r="BW76" s="33" t="n"/>
      <c r="BX76" s="33" t="n"/>
      <c r="BY76" s="33" t="n"/>
      <c r="BZ76" s="33" t="n"/>
      <c r="CA76" s="33" t="n"/>
      <c r="CB76" s="33" t="n"/>
      <c r="CC76" s="33" t="n"/>
      <c r="CD76" s="33" t="n"/>
      <c r="CE76" s="33" t="n"/>
      <c r="CF76" s="33" t="n"/>
      <c r="CG76" s="33" t="n"/>
      <c r="CH76" s="33" t="n"/>
      <c r="CI76" s="33" t="n"/>
      <c r="CJ76" s="33" t="n"/>
      <c r="CK76" s="33" t="n"/>
      <c r="CL76" s="33" t="n"/>
      <c r="CM76" s="33" t="n"/>
      <c r="CN76" s="33" t="n"/>
      <c r="CO76" s="33" t="n"/>
      <c r="CP76" s="33" t="n"/>
      <c r="CQ76" s="33" t="n"/>
      <c r="CR76" s="33" t="n"/>
      <c r="CS76" s="33" t="n"/>
      <c r="CT76" s="33" t="n"/>
      <c r="CU76" s="33" t="n"/>
      <c r="CV76" s="33" t="n"/>
      <c r="CW76" s="33" t="n"/>
      <c r="CX76" s="33" t="n"/>
      <c r="CY76" s="33" t="n"/>
      <c r="CZ76" s="33" t="n"/>
      <c r="DA76" s="33" t="n"/>
      <c r="DB76" s="33" t="n"/>
      <c r="DC76" s="33" t="n"/>
      <c r="DD76" s="33" t="n"/>
      <c r="DE76" s="33" t="n"/>
      <c r="DF76" s="33" t="n"/>
      <c r="DG76" s="33" t="n"/>
      <c r="DH76" s="33" t="n"/>
      <c r="DI76" s="33" t="n"/>
      <c r="DJ76" s="33" t="n"/>
      <c r="DK76" s="33" t="n"/>
      <c r="DL76" s="33" t="n"/>
      <c r="DM76" s="33" t="n"/>
      <c r="DN76" s="33" t="n"/>
      <c r="DO76" s="33" t="n"/>
      <c r="DP76" s="33" t="n"/>
      <c r="DQ76" s="33" t="n"/>
      <c r="DR76" s="33" t="n"/>
      <c r="DS76" s="33" t="n"/>
      <c r="DT76" s="33" t="n"/>
      <c r="DU76" s="33" t="n"/>
      <c r="DV76" s="33" t="n"/>
      <c r="DW76" s="33" t="n"/>
      <c r="DX76" s="33" t="n"/>
      <c r="DY76" s="33" t="n"/>
      <c r="DZ76" s="33" t="n"/>
      <c r="EA76" s="33" t="n"/>
      <c r="EB76" s="33" t="n"/>
      <c r="EC76" s="33" t="n"/>
      <c r="ED76" s="33" t="n"/>
      <c r="EE76" s="33" t="n"/>
      <c r="EF76" s="33" t="n"/>
      <c r="EG76" s="33" t="n"/>
      <c r="EH76" s="33" t="n"/>
      <c r="EI76" s="33" t="n"/>
      <c r="EJ76" s="33" t="n"/>
      <c r="EK76" s="33" t="n"/>
      <c r="EL76" s="33" t="n"/>
      <c r="EM76" s="33" t="n"/>
      <c r="EN76" s="33" t="n"/>
      <c r="EO76" s="33" t="n"/>
      <c r="EP76" s="33" t="n"/>
      <c r="EQ76" s="33" t="n"/>
      <c r="ER76" s="33" t="n"/>
      <c r="ES76" s="33" t="n"/>
      <c r="ET76" s="33" t="n"/>
      <c r="EU76" s="33" t="n"/>
      <c r="EV76" s="33" t="n"/>
      <c r="EW76" s="33" t="n"/>
      <c r="EX76" s="33" t="n"/>
      <c r="EY76" s="33" t="n"/>
      <c r="EZ76" s="33" t="n"/>
      <c r="FA76" s="33" t="n"/>
      <c r="FB76" s="33" t="n"/>
      <c r="FC76" s="33" t="n"/>
      <c r="FD76" s="33" t="n"/>
      <c r="FE76" s="33" t="n"/>
      <c r="FF76" s="33" t="n"/>
      <c r="FG76" s="33" t="n"/>
      <c r="FH76" s="33" t="n"/>
      <c r="FI76" s="33" t="n"/>
      <c r="FJ76" s="33" t="n"/>
      <c r="FK76" s="33" t="n"/>
      <c r="FL76" s="33" t="n"/>
      <c r="FM76" s="33" t="n"/>
      <c r="FN76" s="33" t="n"/>
      <c r="FO76" s="33" t="n"/>
      <c r="FP76" s="33" t="n"/>
      <c r="FQ76" s="33" t="n"/>
      <c r="FR76" s="33" t="n"/>
      <c r="FS76" s="33" t="n"/>
      <c r="FT76" s="33" t="n"/>
      <c r="FU76" s="33" t="n"/>
      <c r="FV76" s="33" t="n"/>
      <c r="FW76" s="33" t="n"/>
      <c r="FX76" s="33" t="n"/>
      <c r="FY76" s="33" t="n"/>
      <c r="FZ76" s="33" t="n"/>
      <c r="GA76" s="33" t="n"/>
      <c r="GB76" s="33" t="n"/>
      <c r="GC76" s="33" t="n"/>
      <c r="GD76" s="33" t="n"/>
      <c r="GE76" s="33" t="n"/>
      <c r="GF76" s="33" t="n"/>
      <c r="GG76" s="33" t="n"/>
      <c r="GH76" s="33" t="n"/>
      <c r="GI76" s="33" t="n"/>
      <c r="GJ76" s="33" t="n"/>
      <c r="GK76" s="33" t="n"/>
      <c r="GL76" s="33" t="n"/>
      <c r="GM76" s="33" t="n"/>
      <c r="GN76" s="33" t="n"/>
      <c r="GO76" s="33" t="n"/>
      <c r="GP76" s="33" t="n"/>
      <c r="GQ76" s="33" t="n"/>
      <c r="GR76" s="33" t="n"/>
      <c r="GS76" s="33" t="n"/>
      <c r="GT76" s="33" t="n"/>
      <c r="GU76" s="33" t="n"/>
      <c r="GV76" s="33" t="n"/>
      <c r="GW76" s="33" t="n"/>
      <c r="GX76" s="33" t="n"/>
      <c r="GY76" s="33" t="n"/>
      <c r="GZ76" s="33" t="n"/>
      <c r="HA76" s="33" t="n"/>
      <c r="HB76" s="33" t="n"/>
      <c r="HC76" s="33" t="n"/>
      <c r="HD76" s="33" t="n"/>
      <c r="HE76" s="33" t="n"/>
      <c r="HF76" s="33" t="n"/>
      <c r="HG76" s="33" t="n"/>
      <c r="HH76" s="33" t="n"/>
      <c r="HI76" s="33" t="n"/>
      <c r="HJ76" s="33" t="n"/>
      <c r="HK76" s="33" t="n"/>
      <c r="HL76" s="33" t="n"/>
      <c r="HM76" s="33" t="n"/>
      <c r="HN76" s="33" t="n"/>
      <c r="HO76" s="33" t="n"/>
      <c r="HP76" s="33" t="n"/>
      <c r="HQ76" s="33" t="n"/>
      <c r="HR76" s="33" t="n"/>
      <c r="HS76" s="33" t="n"/>
      <c r="HT76" s="33" t="n"/>
      <c r="HU76" s="33" t="n"/>
      <c r="HV76" s="33" t="n"/>
      <c r="HW76" s="33" t="n"/>
      <c r="HX76" s="33" t="n"/>
      <c r="HY76" s="33" t="n"/>
      <c r="HZ76" s="33" t="n"/>
      <c r="IA76" s="33" t="n"/>
      <c r="IB76" s="33" t="n"/>
      <c r="IC76" s="33" t="n"/>
      <c r="ID76" s="33" t="n"/>
      <c r="IE76" s="33" t="n"/>
      <c r="IF76" s="33" t="n"/>
      <c r="IG76" s="33" t="n"/>
      <c r="IH76" s="33" t="n"/>
      <c r="II76" s="33" t="n"/>
      <c r="IJ76" s="33" t="n"/>
      <c r="IK76" s="33" t="n"/>
      <c r="IL76" s="33" t="n"/>
      <c r="IM76" s="33" t="n"/>
      <c r="IN76" s="33" t="n"/>
      <c r="IO76" s="33" t="n"/>
      <c r="IP76" s="33" t="n"/>
      <c r="IQ76" s="33" t="n"/>
      <c r="IR76" s="33" t="n"/>
      <c r="IS76" s="33" t="n"/>
      <c r="IT76" s="33" t="n"/>
      <c r="IU76" s="33" t="n"/>
      <c r="IV76" s="33" t="n"/>
      <c r="IW76" s="33" t="n"/>
      <c r="IX76" s="33" t="n"/>
      <c r="IY76" s="33" t="n"/>
      <c r="IZ76" s="33" t="n"/>
      <c r="JA76" s="33" t="n"/>
      <c r="JB76" s="33" t="n"/>
      <c r="JC76" s="33" t="n"/>
      <c r="JD76" s="33" t="n"/>
      <c r="JE76" s="33" t="n"/>
      <c r="JF76" s="33" t="n"/>
      <c r="JG76" s="33" t="n"/>
      <c r="JH76" s="33" t="n"/>
      <c r="JI76" s="33" t="n"/>
      <c r="JJ76" s="33" t="n"/>
      <c r="JK76" s="33" t="n"/>
      <c r="JL76" s="33" t="n"/>
      <c r="JM76" s="33" t="n"/>
      <c r="JN76" s="33" t="n"/>
      <c r="JO76" s="33" t="n"/>
      <c r="JP76" s="33" t="n"/>
      <c r="JQ76" s="33" t="n"/>
      <c r="JR76" s="33" t="n"/>
      <c r="JS76" s="33" t="n"/>
      <c r="JT76" s="33" t="n"/>
      <c r="JU76" s="33" t="n"/>
      <c r="JV76" s="33" t="n"/>
      <c r="JW76" s="33" t="n"/>
      <c r="JX76" s="33" t="n"/>
      <c r="JY76" s="33" t="n"/>
      <c r="JZ76" s="33" t="n"/>
      <c r="KA76" s="33" t="n"/>
      <c r="KB76" s="33" t="n"/>
      <c r="KC76" s="33" t="n"/>
      <c r="KD76" s="33" t="n"/>
      <c r="KE76" s="33" t="n"/>
      <c r="KF76" s="33" t="n"/>
      <c r="KG76" s="33" t="n"/>
      <c r="KH76" s="33" t="n"/>
      <c r="KI76" s="33" t="n"/>
      <c r="KJ76" s="33" t="n"/>
      <c r="KK76" s="33" t="n"/>
      <c r="KL76" s="33" t="n"/>
      <c r="KM76" s="33" t="n"/>
      <c r="KN76" s="33" t="n"/>
      <c r="KO76" s="33" t="n"/>
      <c r="KP76" s="33" t="n"/>
      <c r="KQ76" s="33" t="n"/>
      <c r="KR76" s="33" t="n"/>
      <c r="KS76" s="33" t="n"/>
      <c r="KT76" s="33" t="n"/>
      <c r="KU76" s="33" t="n"/>
      <c r="KV76" s="33" t="n"/>
      <c r="KW76" s="33" t="n"/>
      <c r="KX76" s="33" t="n"/>
      <c r="KY76" s="33" t="n"/>
      <c r="KZ76" s="33" t="n"/>
      <c r="LA76" s="33" t="n"/>
      <c r="LB76" s="33" t="n"/>
      <c r="LC76" s="33" t="n"/>
      <c r="LD76" s="33" t="n"/>
      <c r="LE76" s="33" t="n"/>
      <c r="LF76" s="33" t="n"/>
      <c r="LG76" s="33" t="n"/>
      <c r="LH76" s="33" t="n"/>
      <c r="LI76" s="33" t="n"/>
      <c r="LJ76" s="33" t="n"/>
      <c r="LK76" s="33" t="n"/>
      <c r="LL76" s="33" t="n"/>
      <c r="LM76" s="33" t="n"/>
      <c r="LN76" s="33" t="n"/>
      <c r="LO76" s="33" t="n"/>
      <c r="LP76" s="33" t="n"/>
      <c r="LQ76" s="33" t="n"/>
      <c r="LR76" s="33" t="n"/>
      <c r="LS76" s="33" t="n"/>
      <c r="LT76" s="33" t="n"/>
      <c r="LU76" s="33" t="n"/>
      <c r="LV76" s="33" t="n"/>
      <c r="LW76" s="33" t="n"/>
      <c r="LX76" s="33" t="n"/>
      <c r="LY76" s="33" t="n"/>
      <c r="LZ76" s="33" t="n"/>
      <c r="MA76" s="33" t="n"/>
      <c r="MB76" s="33" t="n"/>
      <c r="MC76" s="33" t="n"/>
      <c r="MD76" s="33" t="n"/>
      <c r="ME76" s="33" t="n"/>
      <c r="MF76" s="33" t="n"/>
      <c r="MG76" s="33" t="n"/>
      <c r="MH76" s="33" t="n"/>
      <c r="MI76" s="33" t="n"/>
      <c r="MJ76" s="33" t="n"/>
      <c r="MK76" s="33" t="n"/>
      <c r="ML76" s="33" t="n"/>
      <c r="MM76" s="33" t="n"/>
      <c r="MN76" s="33" t="n"/>
      <c r="MO76" s="33" t="n"/>
      <c r="MP76" s="33" t="n"/>
      <c r="MQ76" s="33" t="n"/>
      <c r="MR76" s="33" t="n"/>
      <c r="MS76" s="33" t="n"/>
      <c r="MT76" s="33" t="n"/>
      <c r="MU76" s="33" t="n"/>
      <c r="MV76" s="33" t="n"/>
      <c r="MW76" s="33" t="n"/>
      <c r="MX76" s="33" t="n"/>
      <c r="MY76" s="33" t="n"/>
      <c r="MZ76" s="33" t="n"/>
      <c r="NA76" s="33" t="n"/>
      <c r="NB76" s="33" t="n"/>
      <c r="NC76" s="33" t="n"/>
      <c r="ND76" s="33" t="n"/>
      <c r="NE76" s="33" t="n"/>
      <c r="NF76" s="33" t="n"/>
      <c r="NG76" s="33" t="n"/>
      <c r="NH76" s="33" t="n"/>
      <c r="NI76" s="33" t="n"/>
      <c r="NJ76" s="33" t="n"/>
      <c r="NK76" s="33" t="n"/>
      <c r="NL76" s="33" t="n"/>
      <c r="NM76" s="33" t="n"/>
      <c r="NN76" s="33" t="n"/>
      <c r="NO76" s="33" t="n"/>
      <c r="NP76" s="33" t="n"/>
      <c r="NQ76" s="33" t="n"/>
      <c r="NR76" s="33" t="n"/>
      <c r="NS76" s="33" t="n"/>
      <c r="NT76" s="33" t="n"/>
      <c r="NU76" s="33" t="n"/>
      <c r="NV76" s="33" t="n"/>
      <c r="NW76" s="33" t="n"/>
      <c r="NX76" s="33" t="n"/>
      <c r="NY76" s="33" t="n"/>
      <c r="NZ76" s="33" t="n"/>
      <c r="OA76" s="33" t="n"/>
      <c r="OB76" s="33" t="n"/>
      <c r="OC76" s="33" t="n"/>
      <c r="OD76" s="33" t="n"/>
      <c r="OE76" s="33" t="n"/>
      <c r="OF76" s="33" t="n"/>
      <c r="OG76" s="33" t="n"/>
      <c r="OH76" s="33" t="n"/>
      <c r="OI76" s="33" t="n"/>
      <c r="OJ76" s="33" t="n"/>
      <c r="OK76" s="33" t="n"/>
      <c r="OL76" s="33" t="n"/>
      <c r="OM76" s="33" t="n"/>
      <c r="ON76" s="33" t="n"/>
      <c r="OO76" s="33" t="n"/>
      <c r="OP76" s="33" t="n"/>
      <c r="OQ76" s="33" t="n"/>
      <c r="OR76" s="33" t="n"/>
      <c r="OS76" s="33" t="n"/>
      <c r="OT76" s="33" t="n"/>
      <c r="OU76" s="33" t="n"/>
      <c r="OV76" s="33" t="n"/>
      <c r="OW76" s="33" t="n"/>
      <c r="OX76" s="33" t="n"/>
      <c r="OY76" s="33" t="n"/>
      <c r="OZ76" s="33" t="n"/>
      <c r="PA76" s="33" t="n"/>
      <c r="PB76" s="33" t="n"/>
      <c r="PC76" s="33" t="n"/>
      <c r="PD76" s="33" t="n"/>
      <c r="PE76" s="33" t="n"/>
      <c r="PF76" s="33" t="n"/>
      <c r="PG76" s="33" t="n"/>
      <c r="PH76" s="33" t="n"/>
      <c r="PI76" s="33" t="n"/>
      <c r="PJ76" s="33" t="n"/>
      <c r="PK76" s="33" t="n"/>
      <c r="PL76" s="33" t="n"/>
      <c r="PM76" s="33" t="n"/>
      <c r="PN76" s="33" t="n"/>
      <c r="PO76" s="33" t="n"/>
      <c r="PP76" s="33" t="n"/>
      <c r="PQ76" s="33" t="n"/>
      <c r="PR76" s="33" t="n"/>
      <c r="PS76" s="33" t="n"/>
      <c r="PT76" s="33" t="n"/>
      <c r="PU76" s="33" t="n"/>
      <c r="PV76" s="33" t="n"/>
      <c r="PW76" s="33" t="n"/>
      <c r="PX76" s="33" t="n"/>
      <c r="PY76" s="33" t="n"/>
      <c r="PZ76" s="33" t="n"/>
      <c r="QA76" s="33" t="n"/>
      <c r="QB76" s="33" t="n"/>
      <c r="QC76" s="33" t="n"/>
      <c r="QD76" s="33" t="n"/>
      <c r="QE76" s="33" t="n"/>
      <c r="QF76" s="33" t="n"/>
      <c r="QG76" s="33" t="n"/>
      <c r="QH76" s="33" t="n"/>
      <c r="QI76" s="33" t="n"/>
      <c r="QJ76" s="33" t="n"/>
      <c r="QK76" s="33" t="n"/>
      <c r="QL76" s="33" t="n"/>
      <c r="QM76" s="33" t="n"/>
      <c r="QN76" s="33" t="n"/>
      <c r="QO76" s="33" t="n"/>
      <c r="QP76" s="33" t="n"/>
      <c r="QQ76" s="33" t="n"/>
      <c r="QR76" s="33" t="n"/>
      <c r="QS76" s="33" t="n"/>
      <c r="QT76" s="33" t="n"/>
      <c r="QU76" s="33" t="n"/>
      <c r="QV76" s="33" t="n"/>
      <c r="QW76" s="33" t="n"/>
      <c r="QX76" s="33" t="n"/>
      <c r="QY76" s="33" t="n"/>
      <c r="QZ76" s="33" t="n"/>
      <c r="RA76" s="33" t="n"/>
      <c r="RB76" s="33" t="n"/>
      <c r="RC76" s="33" t="n"/>
      <c r="RD76" s="33" t="n"/>
      <c r="RE76" s="33" t="n"/>
      <c r="RF76" s="33" t="n"/>
      <c r="RG76" s="33" t="n"/>
      <c r="RH76" s="33" t="n"/>
      <c r="RI76" s="33" t="n"/>
      <c r="RJ76" s="33" t="n"/>
      <c r="RK76" s="33" t="n"/>
      <c r="RL76" s="33" t="n"/>
      <c r="RM76" s="33" t="n"/>
      <c r="RN76" s="33" t="n"/>
      <c r="RO76" s="33" t="n"/>
      <c r="RP76" s="33" t="n"/>
      <c r="RQ76" s="33" t="n"/>
      <c r="RR76" s="33" t="n"/>
      <c r="RS76" s="33" t="n"/>
      <c r="RT76" s="33" t="n"/>
      <c r="RU76" s="33" t="n"/>
      <c r="RV76" s="33" t="n"/>
      <c r="RW76" s="33" t="n"/>
    </row>
    <row r="77" hidden="1" outlineLevel="1" ht="13.05" customHeight="1">
      <c r="E77" s="21" t="inlineStr">
        <is>
          <t>PPA Net Settlement</t>
        </is>
      </c>
      <c r="F77" s="29" t="n"/>
      <c r="G77" s="29" t="inlineStr">
        <is>
          <t>kEUR</t>
        </is>
      </c>
      <c r="H77" s="29" t="n"/>
      <c r="I77" s="29" t="n"/>
      <c r="J77" s="32" t="n"/>
      <c r="K77" s="29" t="n"/>
      <c r="L77" s="33" t="n"/>
      <c r="M77" s="33" t="n"/>
      <c r="N77" s="33" t="n"/>
      <c r="O77" s="33" t="n"/>
      <c r="P77" s="33" t="n"/>
      <c r="Q77" s="33" t="n"/>
      <c r="R77" s="33" t="n"/>
      <c r="S77" s="33" t="n"/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n"/>
      <c r="AF77" s="33" t="n"/>
      <c r="AG77" s="33" t="n"/>
      <c r="AH77" s="33" t="n"/>
      <c r="AI77" s="33" t="n"/>
      <c r="AJ77" s="33" t="n"/>
      <c r="AK77" s="33" t="n"/>
      <c r="AL77" s="33" t="n"/>
      <c r="AM77" s="33" t="n"/>
      <c r="AN77" s="33" t="n"/>
      <c r="AO77" s="33" t="n"/>
      <c r="AP77" s="33" t="n"/>
      <c r="AQ77" s="33" t="n"/>
      <c r="AR77" s="33" t="n"/>
      <c r="AS77" s="33" t="n"/>
      <c r="AT77" s="33" t="n"/>
      <c r="AU77" s="33" t="n"/>
      <c r="AV77" s="33" t="n"/>
      <c r="AW77" s="33" t="n"/>
      <c r="AX77" s="33" t="n"/>
      <c r="AY77" s="33" t="n"/>
      <c r="AZ77" s="33" t="n"/>
      <c r="BA77" s="33" t="n"/>
      <c r="BB77" s="33" t="n"/>
      <c r="BC77" s="33" t="n"/>
      <c r="BD77" s="33" t="n"/>
      <c r="BE77" s="33" t="n"/>
      <c r="BF77" s="33" t="n"/>
      <c r="BG77" s="33" t="n"/>
      <c r="BH77" s="33" t="n"/>
      <c r="BI77" s="33" t="n"/>
      <c r="BJ77" s="33" t="n"/>
      <c r="BK77" s="33" t="n"/>
      <c r="BL77" s="33" t="n"/>
      <c r="BM77" s="33" t="n"/>
      <c r="BN77" s="33" t="n"/>
      <c r="BO77" s="33" t="n"/>
      <c r="BP77" s="33" t="n"/>
      <c r="BQ77" s="33" t="n"/>
      <c r="BR77" s="33" t="n"/>
      <c r="BS77" s="33" t="n"/>
      <c r="BT77" s="33" t="n"/>
      <c r="BU77" s="33" t="n"/>
      <c r="BV77" s="33" t="n"/>
      <c r="BW77" s="33" t="n"/>
      <c r="BX77" s="33" t="n"/>
      <c r="BY77" s="33" t="n"/>
      <c r="BZ77" s="33" t="n"/>
      <c r="CA77" s="33" t="n"/>
      <c r="CB77" s="33" t="n"/>
      <c r="CC77" s="33" t="n"/>
      <c r="CD77" s="33" t="n"/>
      <c r="CE77" s="33" t="n"/>
      <c r="CF77" s="33" t="n"/>
      <c r="CG77" s="33" t="n"/>
      <c r="CH77" s="33" t="n"/>
      <c r="CI77" s="33" t="n"/>
      <c r="CJ77" s="33" t="n"/>
      <c r="CK77" s="33" t="n"/>
      <c r="CL77" s="33" t="n"/>
      <c r="CM77" s="33" t="n"/>
      <c r="CN77" s="33" t="n"/>
      <c r="CO77" s="33" t="n"/>
      <c r="CP77" s="33" t="n"/>
      <c r="CQ77" s="33" t="n"/>
      <c r="CR77" s="33" t="n"/>
      <c r="CS77" s="33" t="n"/>
      <c r="CT77" s="33" t="n"/>
      <c r="CU77" s="33" t="n"/>
      <c r="CV77" s="33" t="n"/>
      <c r="CW77" s="33" t="n"/>
      <c r="CX77" s="33" t="n"/>
      <c r="CY77" s="33" t="n"/>
      <c r="CZ77" s="33" t="n"/>
      <c r="DA77" s="33" t="n"/>
      <c r="DB77" s="33" t="n"/>
      <c r="DC77" s="33" t="n"/>
      <c r="DD77" s="33" t="n"/>
      <c r="DE77" s="33" t="n"/>
      <c r="DF77" s="33" t="n"/>
      <c r="DG77" s="33" t="n"/>
      <c r="DH77" s="33" t="n"/>
      <c r="DI77" s="33" t="n"/>
      <c r="DJ77" s="33" t="n"/>
      <c r="DK77" s="33" t="n"/>
      <c r="DL77" s="33" t="n"/>
      <c r="DM77" s="33" t="n"/>
      <c r="DN77" s="33" t="n"/>
      <c r="DO77" s="33" t="n"/>
      <c r="DP77" s="33" t="n"/>
      <c r="DQ77" s="33" t="n"/>
      <c r="DR77" s="33" t="n"/>
      <c r="DS77" s="33" t="n"/>
      <c r="DT77" s="33" t="n"/>
      <c r="DU77" s="33" t="n"/>
      <c r="DV77" s="33" t="n"/>
      <c r="DW77" s="33" t="n"/>
      <c r="DX77" s="33" t="n"/>
      <c r="DY77" s="33" t="n"/>
      <c r="DZ77" s="33" t="n"/>
      <c r="EA77" s="33" t="n"/>
      <c r="EB77" s="33" t="n"/>
      <c r="EC77" s="33" t="n"/>
      <c r="ED77" s="33" t="n"/>
      <c r="EE77" s="33" t="n"/>
      <c r="EF77" s="33" t="n"/>
      <c r="EG77" s="33" t="n"/>
      <c r="EH77" s="33" t="n"/>
      <c r="EI77" s="33" t="n"/>
      <c r="EJ77" s="33" t="n"/>
      <c r="EK77" s="33" t="n"/>
      <c r="EL77" s="33" t="n"/>
      <c r="EM77" s="33" t="n"/>
      <c r="EN77" s="33" t="n"/>
      <c r="EO77" s="33" t="n"/>
      <c r="EP77" s="33" t="n"/>
      <c r="EQ77" s="33" t="n"/>
      <c r="ER77" s="33" t="n"/>
      <c r="ES77" s="33" t="n"/>
      <c r="ET77" s="33" t="n"/>
      <c r="EU77" s="33" t="n"/>
      <c r="EV77" s="33" t="n"/>
      <c r="EW77" s="33" t="n"/>
      <c r="EX77" s="33" t="n"/>
      <c r="EY77" s="33" t="n"/>
      <c r="EZ77" s="33" t="n"/>
      <c r="FA77" s="33" t="n"/>
      <c r="FB77" s="33" t="n"/>
      <c r="FC77" s="33" t="n"/>
      <c r="FD77" s="33" t="n"/>
      <c r="FE77" s="33" t="n"/>
      <c r="FF77" s="33" t="n"/>
      <c r="FG77" s="33" t="n"/>
      <c r="FH77" s="33" t="n"/>
      <c r="FI77" s="33" t="n"/>
      <c r="FJ77" s="33" t="n"/>
      <c r="FK77" s="33" t="n"/>
      <c r="FL77" s="33" t="n"/>
      <c r="FM77" s="33" t="n"/>
      <c r="FN77" s="33" t="n"/>
      <c r="FO77" s="33" t="n"/>
      <c r="FP77" s="33" t="n"/>
      <c r="FQ77" s="33" t="n"/>
      <c r="FR77" s="33" t="n"/>
      <c r="FS77" s="33" t="n"/>
      <c r="FT77" s="33" t="n"/>
      <c r="FU77" s="33" t="n"/>
      <c r="FV77" s="33" t="n"/>
      <c r="FW77" s="33" t="n"/>
      <c r="FX77" s="33" t="n"/>
      <c r="FY77" s="33" t="n"/>
      <c r="FZ77" s="33" t="n"/>
      <c r="GA77" s="33" t="n"/>
      <c r="GB77" s="33" t="n"/>
      <c r="GC77" s="33" t="n"/>
      <c r="GD77" s="33" t="n"/>
      <c r="GE77" s="33" t="n"/>
      <c r="GF77" s="33" t="n"/>
      <c r="GG77" s="33" t="n"/>
      <c r="GH77" s="33" t="n"/>
      <c r="GI77" s="33" t="n"/>
      <c r="GJ77" s="33" t="n"/>
      <c r="GK77" s="33" t="n"/>
      <c r="GL77" s="33" t="n"/>
      <c r="GM77" s="33" t="n"/>
      <c r="GN77" s="33" t="n"/>
      <c r="GO77" s="33" t="n"/>
      <c r="GP77" s="33" t="n"/>
      <c r="GQ77" s="33" t="n"/>
      <c r="GR77" s="33" t="n"/>
      <c r="GS77" s="33" t="n"/>
      <c r="GT77" s="33" t="n"/>
      <c r="GU77" s="33" t="n"/>
      <c r="GV77" s="33" t="n"/>
      <c r="GW77" s="33" t="n"/>
      <c r="GX77" s="33" t="n"/>
      <c r="GY77" s="33" t="n"/>
      <c r="GZ77" s="33" t="n"/>
      <c r="HA77" s="33" t="n"/>
      <c r="HB77" s="33" t="n"/>
      <c r="HC77" s="33" t="n"/>
      <c r="HD77" s="33" t="n"/>
      <c r="HE77" s="33" t="n"/>
      <c r="HF77" s="33" t="n"/>
      <c r="HG77" s="33" t="n"/>
      <c r="HH77" s="33" t="n"/>
      <c r="HI77" s="33" t="n"/>
      <c r="HJ77" s="33" t="n"/>
      <c r="HK77" s="33" t="n"/>
      <c r="HL77" s="33" t="n"/>
      <c r="HM77" s="33" t="n"/>
      <c r="HN77" s="33" t="n"/>
      <c r="HO77" s="33" t="n"/>
      <c r="HP77" s="33" t="n"/>
      <c r="HQ77" s="33" t="n"/>
      <c r="HR77" s="33" t="n"/>
      <c r="HS77" s="33" t="n"/>
      <c r="HT77" s="33" t="n"/>
      <c r="HU77" s="33" t="n"/>
      <c r="HV77" s="33" t="n"/>
      <c r="HW77" s="33" t="n"/>
      <c r="HX77" s="33" t="n"/>
      <c r="HY77" s="33" t="n"/>
      <c r="HZ77" s="33" t="n"/>
      <c r="IA77" s="33" t="n"/>
      <c r="IB77" s="33" t="n"/>
      <c r="IC77" s="33" t="n"/>
      <c r="ID77" s="33" t="n"/>
      <c r="IE77" s="33" t="n"/>
      <c r="IF77" s="33" t="n"/>
      <c r="IG77" s="33" t="n"/>
      <c r="IH77" s="33" t="n"/>
      <c r="II77" s="33" t="n"/>
      <c r="IJ77" s="33" t="n"/>
      <c r="IK77" s="33" t="n"/>
      <c r="IL77" s="33" t="n"/>
      <c r="IM77" s="33" t="n"/>
      <c r="IN77" s="33" t="n"/>
      <c r="IO77" s="33" t="n"/>
      <c r="IP77" s="33" t="n"/>
      <c r="IQ77" s="33" t="n"/>
      <c r="IR77" s="33" t="n"/>
      <c r="IS77" s="33" t="n"/>
      <c r="IT77" s="33" t="n"/>
      <c r="IU77" s="33" t="n"/>
      <c r="IV77" s="33" t="n"/>
      <c r="IW77" s="33" t="n"/>
      <c r="IX77" s="33" t="n"/>
      <c r="IY77" s="33" t="n"/>
      <c r="IZ77" s="33" t="n"/>
      <c r="JA77" s="33" t="n"/>
      <c r="JB77" s="33" t="n"/>
      <c r="JC77" s="33" t="n"/>
      <c r="JD77" s="33" t="n"/>
      <c r="JE77" s="33" t="n"/>
      <c r="JF77" s="33" t="n"/>
      <c r="JG77" s="33" t="n"/>
      <c r="JH77" s="33" t="n"/>
      <c r="JI77" s="33" t="n"/>
      <c r="JJ77" s="33" t="n"/>
      <c r="JK77" s="33" t="n"/>
      <c r="JL77" s="33" t="n"/>
      <c r="JM77" s="33" t="n"/>
      <c r="JN77" s="33" t="n"/>
      <c r="JO77" s="33" t="n"/>
      <c r="JP77" s="33" t="n"/>
      <c r="JQ77" s="33" t="n"/>
      <c r="JR77" s="33" t="n"/>
      <c r="JS77" s="33" t="n"/>
      <c r="JT77" s="33" t="n"/>
      <c r="JU77" s="33" t="n"/>
      <c r="JV77" s="33" t="n"/>
      <c r="JW77" s="33" t="n"/>
      <c r="JX77" s="33" t="n"/>
      <c r="JY77" s="33" t="n"/>
      <c r="JZ77" s="33" t="n"/>
      <c r="KA77" s="33" t="n"/>
      <c r="KB77" s="33" t="n"/>
      <c r="KC77" s="33" t="n"/>
      <c r="KD77" s="33" t="n"/>
      <c r="KE77" s="33" t="n"/>
      <c r="KF77" s="33" t="n"/>
      <c r="KG77" s="33" t="n"/>
      <c r="KH77" s="33" t="n"/>
      <c r="KI77" s="33" t="n"/>
      <c r="KJ77" s="33" t="n"/>
      <c r="KK77" s="33" t="n"/>
      <c r="KL77" s="33" t="n"/>
      <c r="KM77" s="33" t="n"/>
      <c r="KN77" s="33" t="n"/>
      <c r="KO77" s="33" t="n"/>
      <c r="KP77" s="33" t="n"/>
      <c r="KQ77" s="33" t="n"/>
      <c r="KR77" s="33" t="n"/>
      <c r="KS77" s="33" t="n"/>
      <c r="KT77" s="33" t="n"/>
      <c r="KU77" s="33" t="n"/>
      <c r="KV77" s="33" t="n"/>
      <c r="KW77" s="33" t="n"/>
      <c r="KX77" s="33" t="n"/>
      <c r="KY77" s="33" t="n"/>
      <c r="KZ77" s="33" t="n"/>
      <c r="LA77" s="33" t="n"/>
      <c r="LB77" s="33" t="n"/>
      <c r="LC77" s="33" t="n"/>
      <c r="LD77" s="33" t="n"/>
      <c r="LE77" s="33" t="n"/>
      <c r="LF77" s="33" t="n"/>
      <c r="LG77" s="33" t="n"/>
      <c r="LH77" s="33" t="n"/>
      <c r="LI77" s="33" t="n"/>
      <c r="LJ77" s="33" t="n"/>
      <c r="LK77" s="33" t="n"/>
      <c r="LL77" s="33" t="n"/>
      <c r="LM77" s="33" t="n"/>
      <c r="LN77" s="33" t="n"/>
      <c r="LO77" s="33" t="n"/>
      <c r="LP77" s="33" t="n"/>
      <c r="LQ77" s="33" t="n"/>
      <c r="LR77" s="33" t="n"/>
      <c r="LS77" s="33" t="n"/>
      <c r="LT77" s="33" t="n"/>
      <c r="LU77" s="33" t="n"/>
      <c r="LV77" s="33" t="n"/>
      <c r="LW77" s="33" t="n"/>
      <c r="LX77" s="33" t="n"/>
      <c r="LY77" s="33" t="n"/>
      <c r="LZ77" s="33" t="n"/>
      <c r="MA77" s="33" t="n"/>
      <c r="MB77" s="33" t="n"/>
      <c r="MC77" s="33" t="n"/>
      <c r="MD77" s="33" t="n"/>
      <c r="ME77" s="33" t="n"/>
      <c r="MF77" s="33" t="n"/>
      <c r="MG77" s="33" t="n"/>
      <c r="MH77" s="33" t="n"/>
      <c r="MI77" s="33" t="n"/>
      <c r="MJ77" s="33" t="n"/>
      <c r="MK77" s="33" t="n"/>
      <c r="ML77" s="33" t="n"/>
      <c r="MM77" s="33" t="n"/>
      <c r="MN77" s="33" t="n"/>
      <c r="MO77" s="33" t="n"/>
      <c r="MP77" s="33" t="n"/>
      <c r="MQ77" s="33" t="n"/>
      <c r="MR77" s="33" t="n"/>
      <c r="MS77" s="33" t="n"/>
      <c r="MT77" s="33" t="n"/>
      <c r="MU77" s="33" t="n"/>
      <c r="MV77" s="33" t="n"/>
      <c r="MW77" s="33" t="n"/>
      <c r="MX77" s="33" t="n"/>
      <c r="MY77" s="33" t="n"/>
      <c r="MZ77" s="33" t="n"/>
      <c r="NA77" s="33" t="n"/>
      <c r="NB77" s="33" t="n"/>
      <c r="NC77" s="33" t="n"/>
      <c r="ND77" s="33" t="n"/>
      <c r="NE77" s="33" t="n"/>
      <c r="NF77" s="33" t="n"/>
      <c r="NG77" s="33" t="n"/>
      <c r="NH77" s="33" t="n"/>
      <c r="NI77" s="33" t="n"/>
      <c r="NJ77" s="33" t="n"/>
      <c r="NK77" s="33" t="n"/>
      <c r="NL77" s="33" t="n"/>
      <c r="NM77" s="33" t="n"/>
      <c r="NN77" s="33" t="n"/>
      <c r="NO77" s="33" t="n"/>
      <c r="NP77" s="33" t="n"/>
      <c r="NQ77" s="33" t="n"/>
      <c r="NR77" s="33" t="n"/>
      <c r="NS77" s="33" t="n"/>
      <c r="NT77" s="33" t="n"/>
      <c r="NU77" s="33" t="n"/>
      <c r="NV77" s="33" t="n"/>
      <c r="NW77" s="33" t="n"/>
      <c r="NX77" s="33" t="n"/>
      <c r="NY77" s="33" t="n"/>
      <c r="NZ77" s="33" t="n"/>
      <c r="OA77" s="33" t="n"/>
      <c r="OB77" s="33" t="n"/>
      <c r="OC77" s="33" t="n"/>
      <c r="OD77" s="33" t="n"/>
      <c r="OE77" s="33" t="n"/>
      <c r="OF77" s="33" t="n"/>
      <c r="OG77" s="33" t="n"/>
      <c r="OH77" s="33" t="n"/>
      <c r="OI77" s="33" t="n"/>
      <c r="OJ77" s="33" t="n"/>
      <c r="OK77" s="33" t="n"/>
      <c r="OL77" s="33" t="n"/>
      <c r="OM77" s="33" t="n"/>
      <c r="ON77" s="33" t="n"/>
      <c r="OO77" s="33" t="n"/>
      <c r="OP77" s="33" t="n"/>
      <c r="OQ77" s="33" t="n"/>
      <c r="OR77" s="33" t="n"/>
      <c r="OS77" s="33" t="n"/>
      <c r="OT77" s="33" t="n"/>
      <c r="OU77" s="33" t="n"/>
      <c r="OV77" s="33" t="n"/>
      <c r="OW77" s="33" t="n"/>
      <c r="OX77" s="33" t="n"/>
      <c r="OY77" s="33" t="n"/>
      <c r="OZ77" s="33" t="n"/>
      <c r="PA77" s="33" t="n"/>
      <c r="PB77" s="33" t="n"/>
      <c r="PC77" s="33" t="n"/>
      <c r="PD77" s="33" t="n"/>
      <c r="PE77" s="33" t="n"/>
      <c r="PF77" s="33" t="n"/>
      <c r="PG77" s="33" t="n"/>
      <c r="PH77" s="33" t="n"/>
      <c r="PI77" s="33" t="n"/>
      <c r="PJ77" s="33" t="n"/>
      <c r="PK77" s="33" t="n"/>
      <c r="PL77" s="33" t="n"/>
      <c r="PM77" s="33" t="n"/>
      <c r="PN77" s="33" t="n"/>
      <c r="PO77" s="33" t="n"/>
      <c r="PP77" s="33" t="n"/>
      <c r="PQ77" s="33" t="n"/>
      <c r="PR77" s="33" t="n"/>
      <c r="PS77" s="33" t="n"/>
      <c r="PT77" s="33" t="n"/>
      <c r="PU77" s="33" t="n"/>
      <c r="PV77" s="33" t="n"/>
      <c r="PW77" s="33" t="n"/>
      <c r="PX77" s="33" t="n"/>
      <c r="PY77" s="33" t="n"/>
      <c r="PZ77" s="33" t="n"/>
      <c r="QA77" s="33" t="n"/>
      <c r="QB77" s="33" t="n"/>
      <c r="QC77" s="33" t="n"/>
      <c r="QD77" s="33" t="n"/>
      <c r="QE77" s="33" t="n"/>
      <c r="QF77" s="33" t="n"/>
      <c r="QG77" s="33" t="n"/>
      <c r="QH77" s="33" t="n"/>
      <c r="QI77" s="33" t="n"/>
      <c r="QJ77" s="33" t="n"/>
      <c r="QK77" s="33" t="n"/>
      <c r="QL77" s="33" t="n"/>
      <c r="QM77" s="33" t="n"/>
      <c r="QN77" s="33" t="n"/>
      <c r="QO77" s="33" t="n"/>
      <c r="QP77" s="33" t="n"/>
      <c r="QQ77" s="33" t="n"/>
      <c r="QR77" s="33" t="n"/>
      <c r="QS77" s="33" t="n"/>
      <c r="QT77" s="33" t="n"/>
      <c r="QU77" s="33" t="n"/>
      <c r="QV77" s="33" t="n"/>
      <c r="QW77" s="33" t="n"/>
      <c r="QX77" s="33" t="n"/>
      <c r="QY77" s="33" t="n"/>
      <c r="QZ77" s="33" t="n"/>
      <c r="RA77" s="33" t="n"/>
      <c r="RB77" s="33" t="n"/>
      <c r="RC77" s="33" t="n"/>
      <c r="RD77" s="33" t="n"/>
      <c r="RE77" s="33" t="n"/>
      <c r="RF77" s="33" t="n"/>
      <c r="RG77" s="33" t="n"/>
      <c r="RH77" s="33" t="n"/>
      <c r="RI77" s="33" t="n"/>
      <c r="RJ77" s="33" t="n"/>
      <c r="RK77" s="33" t="n"/>
      <c r="RL77" s="33" t="n"/>
      <c r="RM77" s="33" t="n"/>
      <c r="RN77" s="33" t="n"/>
      <c r="RO77" s="33" t="n"/>
      <c r="RP77" s="33" t="n"/>
      <c r="RQ77" s="33" t="n"/>
      <c r="RR77" s="33" t="n"/>
      <c r="RS77" s="33" t="n"/>
      <c r="RT77" s="33" t="n"/>
      <c r="RU77" s="33" t="n"/>
      <c r="RV77" s="33" t="n"/>
      <c r="RW77" s="33" t="n"/>
    </row>
    <row r="78" hidden="1" outlineLevel="1" ht="13.05" customHeight="1">
      <c r="E78" s="21" t="inlineStr">
        <is>
          <t>PPA Capture Compensation</t>
        </is>
      </c>
      <c r="F78" s="29" t="n"/>
      <c r="G78" s="29" t="inlineStr">
        <is>
          <t>kEUR</t>
        </is>
      </c>
      <c r="H78" s="29" t="n"/>
      <c r="I78" s="29" t="n"/>
      <c r="J78" s="32" t="n"/>
      <c r="K78" s="29" t="n"/>
      <c r="L78" s="33" t="n"/>
      <c r="M78" s="33" t="n"/>
      <c r="N78" s="33" t="n"/>
      <c r="O78" s="33" t="n"/>
      <c r="P78" s="33" t="n"/>
      <c r="Q78" s="33" t="n"/>
      <c r="R78" s="33" t="n"/>
      <c r="S78" s="33" t="n"/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n"/>
      <c r="AF78" s="33" t="n"/>
      <c r="AG78" s="33" t="n"/>
      <c r="AH78" s="33" t="n"/>
      <c r="AI78" s="33" t="n"/>
      <c r="AJ78" s="33" t="n"/>
      <c r="AK78" s="33" t="n"/>
      <c r="AL78" s="33" t="n"/>
      <c r="AM78" s="33" t="n"/>
      <c r="AN78" s="33" t="n"/>
      <c r="AO78" s="33" t="n"/>
      <c r="AP78" s="33" t="n"/>
      <c r="AQ78" s="33" t="n"/>
      <c r="AR78" s="33" t="n"/>
      <c r="AS78" s="33" t="n"/>
      <c r="AT78" s="33" t="n"/>
      <c r="AU78" s="33" t="n"/>
      <c r="AV78" s="33" t="n"/>
      <c r="AW78" s="33" t="n"/>
      <c r="AX78" s="33" t="n"/>
      <c r="AY78" s="33" t="n"/>
      <c r="AZ78" s="33" t="n"/>
      <c r="BA78" s="33" t="n"/>
      <c r="BB78" s="33" t="n"/>
      <c r="BC78" s="33" t="n"/>
      <c r="BD78" s="33" t="n"/>
      <c r="BE78" s="33" t="n"/>
      <c r="BF78" s="33" t="n"/>
      <c r="BG78" s="33" t="n"/>
      <c r="BH78" s="33" t="n"/>
      <c r="BI78" s="33" t="n"/>
      <c r="BJ78" s="33" t="n"/>
      <c r="BK78" s="33" t="n"/>
      <c r="BL78" s="33" t="n"/>
      <c r="BM78" s="33" t="n"/>
      <c r="BN78" s="33" t="n"/>
      <c r="BO78" s="33" t="n"/>
      <c r="BP78" s="33" t="n"/>
      <c r="BQ78" s="33" t="n"/>
      <c r="BR78" s="33" t="n"/>
      <c r="BS78" s="33" t="n"/>
      <c r="BT78" s="33" t="n"/>
      <c r="BU78" s="33" t="n"/>
      <c r="BV78" s="33" t="n"/>
      <c r="BW78" s="33" t="n"/>
      <c r="BX78" s="33" t="n"/>
      <c r="BY78" s="33" t="n"/>
      <c r="BZ78" s="33" t="n"/>
      <c r="CA78" s="33" t="n"/>
      <c r="CB78" s="33" t="n"/>
      <c r="CC78" s="33" t="n"/>
      <c r="CD78" s="33" t="n"/>
      <c r="CE78" s="33" t="n"/>
      <c r="CF78" s="33" t="n"/>
      <c r="CG78" s="33" t="n"/>
      <c r="CH78" s="33" t="n"/>
      <c r="CI78" s="33" t="n"/>
      <c r="CJ78" s="33" t="n"/>
      <c r="CK78" s="33" t="n"/>
      <c r="CL78" s="33" t="n"/>
      <c r="CM78" s="33" t="n"/>
      <c r="CN78" s="33" t="n"/>
      <c r="CO78" s="33" t="n"/>
      <c r="CP78" s="33" t="n"/>
      <c r="CQ78" s="33" t="n"/>
      <c r="CR78" s="33" t="n"/>
      <c r="CS78" s="33" t="n"/>
      <c r="CT78" s="33" t="n"/>
      <c r="CU78" s="33" t="n"/>
      <c r="CV78" s="33" t="n"/>
      <c r="CW78" s="33" t="n"/>
      <c r="CX78" s="33" t="n"/>
      <c r="CY78" s="33" t="n"/>
      <c r="CZ78" s="33" t="n"/>
      <c r="DA78" s="33" t="n"/>
      <c r="DB78" s="33" t="n"/>
      <c r="DC78" s="33" t="n"/>
      <c r="DD78" s="33" t="n"/>
      <c r="DE78" s="33" t="n"/>
      <c r="DF78" s="33" t="n"/>
      <c r="DG78" s="33" t="n"/>
      <c r="DH78" s="33" t="n"/>
      <c r="DI78" s="33" t="n"/>
      <c r="DJ78" s="33" t="n"/>
      <c r="DK78" s="33" t="n"/>
      <c r="DL78" s="33" t="n"/>
      <c r="DM78" s="33" t="n"/>
      <c r="DN78" s="33" t="n"/>
      <c r="DO78" s="33" t="n"/>
      <c r="DP78" s="33" t="n"/>
      <c r="DQ78" s="33" t="n"/>
      <c r="DR78" s="33" t="n"/>
      <c r="DS78" s="33" t="n"/>
      <c r="DT78" s="33" t="n"/>
      <c r="DU78" s="33" t="n"/>
      <c r="DV78" s="33" t="n"/>
      <c r="DW78" s="33" t="n"/>
      <c r="DX78" s="33" t="n"/>
      <c r="DY78" s="33" t="n"/>
      <c r="DZ78" s="33" t="n"/>
      <c r="EA78" s="33" t="n"/>
      <c r="EB78" s="33" t="n"/>
      <c r="EC78" s="33" t="n"/>
      <c r="ED78" s="33" t="n"/>
      <c r="EE78" s="33" t="n"/>
      <c r="EF78" s="33" t="n"/>
      <c r="EG78" s="33" t="n"/>
      <c r="EH78" s="33" t="n"/>
      <c r="EI78" s="33" t="n"/>
      <c r="EJ78" s="33" t="n"/>
      <c r="EK78" s="33" t="n"/>
      <c r="EL78" s="33" t="n"/>
      <c r="EM78" s="33" t="n"/>
      <c r="EN78" s="33" t="n"/>
      <c r="EO78" s="33" t="n"/>
      <c r="EP78" s="33" t="n"/>
      <c r="EQ78" s="33" t="n"/>
      <c r="ER78" s="33" t="n"/>
      <c r="ES78" s="33" t="n"/>
      <c r="ET78" s="33" t="n"/>
      <c r="EU78" s="33" t="n"/>
      <c r="EV78" s="33" t="n"/>
      <c r="EW78" s="33" t="n"/>
      <c r="EX78" s="33" t="n"/>
      <c r="EY78" s="33" t="n"/>
      <c r="EZ78" s="33" t="n"/>
      <c r="FA78" s="33" t="n"/>
      <c r="FB78" s="33" t="n"/>
      <c r="FC78" s="33" t="n"/>
      <c r="FD78" s="33" t="n"/>
      <c r="FE78" s="33" t="n"/>
      <c r="FF78" s="33" t="n"/>
      <c r="FG78" s="33" t="n"/>
      <c r="FH78" s="33" t="n"/>
      <c r="FI78" s="33" t="n"/>
      <c r="FJ78" s="33" t="n"/>
      <c r="FK78" s="33" t="n"/>
      <c r="FL78" s="33" t="n"/>
      <c r="FM78" s="33" t="n"/>
      <c r="FN78" s="33" t="n"/>
      <c r="FO78" s="33" t="n"/>
      <c r="FP78" s="33" t="n"/>
      <c r="FQ78" s="33" t="n"/>
      <c r="FR78" s="33" t="n"/>
      <c r="FS78" s="33" t="n"/>
      <c r="FT78" s="33" t="n"/>
      <c r="FU78" s="33" t="n"/>
      <c r="FV78" s="33" t="n"/>
      <c r="FW78" s="33" t="n"/>
      <c r="FX78" s="33" t="n"/>
      <c r="FY78" s="33" t="n"/>
      <c r="FZ78" s="33" t="n"/>
      <c r="GA78" s="33" t="n"/>
      <c r="GB78" s="33" t="n"/>
      <c r="GC78" s="33" t="n"/>
      <c r="GD78" s="33" t="n"/>
      <c r="GE78" s="33" t="n"/>
      <c r="GF78" s="33" t="n"/>
      <c r="GG78" s="33" t="n"/>
      <c r="GH78" s="33" t="n"/>
      <c r="GI78" s="33" t="n"/>
      <c r="GJ78" s="33" t="n"/>
      <c r="GK78" s="33" t="n"/>
      <c r="GL78" s="33" t="n"/>
      <c r="GM78" s="33" t="n"/>
      <c r="GN78" s="33" t="n"/>
      <c r="GO78" s="33" t="n"/>
      <c r="GP78" s="33" t="n"/>
      <c r="GQ78" s="33" t="n"/>
      <c r="GR78" s="33" t="n"/>
      <c r="GS78" s="33" t="n"/>
      <c r="GT78" s="33" t="n"/>
      <c r="GU78" s="33" t="n"/>
      <c r="GV78" s="33" t="n"/>
      <c r="GW78" s="33" t="n"/>
      <c r="GX78" s="33" t="n"/>
      <c r="GY78" s="33" t="n"/>
      <c r="GZ78" s="33" t="n"/>
      <c r="HA78" s="33" t="n"/>
      <c r="HB78" s="33" t="n"/>
      <c r="HC78" s="33" t="n"/>
      <c r="HD78" s="33" t="n"/>
      <c r="HE78" s="33" t="n"/>
      <c r="HF78" s="33" t="n"/>
      <c r="HG78" s="33" t="n"/>
      <c r="HH78" s="33" t="n"/>
      <c r="HI78" s="33" t="n"/>
      <c r="HJ78" s="33" t="n"/>
      <c r="HK78" s="33" t="n"/>
      <c r="HL78" s="33" t="n"/>
      <c r="HM78" s="33" t="n"/>
      <c r="HN78" s="33" t="n"/>
      <c r="HO78" s="33" t="n"/>
      <c r="HP78" s="33" t="n"/>
      <c r="HQ78" s="33" t="n"/>
      <c r="HR78" s="33" t="n"/>
      <c r="HS78" s="33" t="n"/>
      <c r="HT78" s="33" t="n"/>
      <c r="HU78" s="33" t="n"/>
      <c r="HV78" s="33" t="n"/>
      <c r="HW78" s="33" t="n"/>
      <c r="HX78" s="33" t="n"/>
      <c r="HY78" s="33" t="n"/>
      <c r="HZ78" s="33" t="n"/>
      <c r="IA78" s="33" t="n"/>
      <c r="IB78" s="33" t="n"/>
      <c r="IC78" s="33" t="n"/>
      <c r="ID78" s="33" t="n"/>
      <c r="IE78" s="33" t="n"/>
      <c r="IF78" s="33" t="n"/>
      <c r="IG78" s="33" t="n"/>
      <c r="IH78" s="33" t="n"/>
      <c r="II78" s="33" t="n"/>
      <c r="IJ78" s="33" t="n"/>
      <c r="IK78" s="33" t="n"/>
      <c r="IL78" s="33" t="n"/>
      <c r="IM78" s="33" t="n"/>
      <c r="IN78" s="33" t="n"/>
      <c r="IO78" s="33" t="n"/>
      <c r="IP78" s="33" t="n"/>
      <c r="IQ78" s="33" t="n"/>
      <c r="IR78" s="33" t="n"/>
      <c r="IS78" s="33" t="n"/>
      <c r="IT78" s="33" t="n"/>
      <c r="IU78" s="33" t="n"/>
      <c r="IV78" s="33" t="n"/>
      <c r="IW78" s="33" t="n"/>
      <c r="IX78" s="33" t="n"/>
      <c r="IY78" s="33" t="n"/>
      <c r="IZ78" s="33" t="n"/>
      <c r="JA78" s="33" t="n"/>
      <c r="JB78" s="33" t="n"/>
      <c r="JC78" s="33" t="n"/>
      <c r="JD78" s="33" t="n"/>
      <c r="JE78" s="33" t="n"/>
      <c r="JF78" s="33" t="n"/>
      <c r="JG78" s="33" t="n"/>
      <c r="JH78" s="33" t="n"/>
      <c r="JI78" s="33" t="n"/>
      <c r="JJ78" s="33" t="n"/>
      <c r="JK78" s="33" t="n"/>
      <c r="JL78" s="33" t="n"/>
      <c r="JM78" s="33" t="n"/>
      <c r="JN78" s="33" t="n"/>
      <c r="JO78" s="33" t="n"/>
      <c r="JP78" s="33" t="n"/>
      <c r="JQ78" s="33" t="n"/>
      <c r="JR78" s="33" t="n"/>
      <c r="JS78" s="33" t="n"/>
      <c r="JT78" s="33" t="n"/>
      <c r="JU78" s="33" t="n"/>
      <c r="JV78" s="33" t="n"/>
      <c r="JW78" s="33" t="n"/>
      <c r="JX78" s="33" t="n"/>
      <c r="JY78" s="33" t="n"/>
      <c r="JZ78" s="33" t="n"/>
      <c r="KA78" s="33" t="n"/>
      <c r="KB78" s="33" t="n"/>
      <c r="KC78" s="33" t="n"/>
      <c r="KD78" s="33" t="n"/>
      <c r="KE78" s="33" t="n"/>
      <c r="KF78" s="33" t="n"/>
      <c r="KG78" s="33" t="n"/>
      <c r="KH78" s="33" t="n"/>
      <c r="KI78" s="33" t="n"/>
      <c r="KJ78" s="33" t="n"/>
      <c r="KK78" s="33" t="n"/>
      <c r="KL78" s="33" t="n"/>
      <c r="KM78" s="33" t="n"/>
      <c r="KN78" s="33" t="n"/>
      <c r="KO78" s="33" t="n"/>
      <c r="KP78" s="33" t="n"/>
      <c r="KQ78" s="33" t="n"/>
      <c r="KR78" s="33" t="n"/>
      <c r="KS78" s="33" t="n"/>
      <c r="KT78" s="33" t="n"/>
      <c r="KU78" s="33" t="n"/>
      <c r="KV78" s="33" t="n"/>
      <c r="KW78" s="33" t="n"/>
      <c r="KX78" s="33" t="n"/>
      <c r="KY78" s="33" t="n"/>
      <c r="KZ78" s="33" t="n"/>
      <c r="LA78" s="33" t="n"/>
      <c r="LB78" s="33" t="n"/>
      <c r="LC78" s="33" t="n"/>
      <c r="LD78" s="33" t="n"/>
      <c r="LE78" s="33" t="n"/>
      <c r="LF78" s="33" t="n"/>
      <c r="LG78" s="33" t="n"/>
      <c r="LH78" s="33" t="n"/>
      <c r="LI78" s="33" t="n"/>
      <c r="LJ78" s="33" t="n"/>
      <c r="LK78" s="33" t="n"/>
      <c r="LL78" s="33" t="n"/>
      <c r="LM78" s="33" t="n"/>
      <c r="LN78" s="33" t="n"/>
      <c r="LO78" s="33" t="n"/>
      <c r="LP78" s="33" t="n"/>
      <c r="LQ78" s="33" t="n"/>
      <c r="LR78" s="33" t="n"/>
      <c r="LS78" s="33" t="n"/>
      <c r="LT78" s="33" t="n"/>
      <c r="LU78" s="33" t="n"/>
      <c r="LV78" s="33" t="n"/>
      <c r="LW78" s="33" t="n"/>
      <c r="LX78" s="33" t="n"/>
      <c r="LY78" s="33" t="n"/>
      <c r="LZ78" s="33" t="n"/>
      <c r="MA78" s="33" t="n"/>
      <c r="MB78" s="33" t="n"/>
      <c r="MC78" s="33" t="n"/>
      <c r="MD78" s="33" t="n"/>
      <c r="ME78" s="33" t="n"/>
      <c r="MF78" s="33" t="n"/>
      <c r="MG78" s="33" t="n"/>
      <c r="MH78" s="33" t="n"/>
      <c r="MI78" s="33" t="n"/>
      <c r="MJ78" s="33" t="n"/>
      <c r="MK78" s="33" t="n"/>
      <c r="ML78" s="33" t="n"/>
      <c r="MM78" s="33" t="n"/>
      <c r="MN78" s="33" t="n"/>
      <c r="MO78" s="33" t="n"/>
      <c r="MP78" s="33" t="n"/>
      <c r="MQ78" s="33" t="n"/>
      <c r="MR78" s="33" t="n"/>
      <c r="MS78" s="33" t="n"/>
      <c r="MT78" s="33" t="n"/>
      <c r="MU78" s="33" t="n"/>
      <c r="MV78" s="33" t="n"/>
      <c r="MW78" s="33" t="n"/>
      <c r="MX78" s="33" t="n"/>
      <c r="MY78" s="33" t="n"/>
      <c r="MZ78" s="33" t="n"/>
      <c r="NA78" s="33" t="n"/>
      <c r="NB78" s="33" t="n"/>
      <c r="NC78" s="33" t="n"/>
      <c r="ND78" s="33" t="n"/>
      <c r="NE78" s="33" t="n"/>
      <c r="NF78" s="33" t="n"/>
      <c r="NG78" s="33" t="n"/>
      <c r="NH78" s="33" t="n"/>
      <c r="NI78" s="33" t="n"/>
      <c r="NJ78" s="33" t="n"/>
      <c r="NK78" s="33" t="n"/>
      <c r="NL78" s="33" t="n"/>
      <c r="NM78" s="33" t="n"/>
      <c r="NN78" s="33" t="n"/>
      <c r="NO78" s="33" t="n"/>
      <c r="NP78" s="33" t="n"/>
      <c r="NQ78" s="33" t="n"/>
      <c r="NR78" s="33" t="n"/>
      <c r="NS78" s="33" t="n"/>
      <c r="NT78" s="33" t="n"/>
      <c r="NU78" s="33" t="n"/>
      <c r="NV78" s="33" t="n"/>
      <c r="NW78" s="33" t="n"/>
      <c r="NX78" s="33" t="n"/>
      <c r="NY78" s="33" t="n"/>
      <c r="NZ78" s="33" t="n"/>
      <c r="OA78" s="33" t="n"/>
      <c r="OB78" s="33" t="n"/>
      <c r="OC78" s="33" t="n"/>
      <c r="OD78" s="33" t="n"/>
      <c r="OE78" s="33" t="n"/>
      <c r="OF78" s="33" t="n"/>
      <c r="OG78" s="33" t="n"/>
      <c r="OH78" s="33" t="n"/>
      <c r="OI78" s="33" t="n"/>
      <c r="OJ78" s="33" t="n"/>
      <c r="OK78" s="33" t="n"/>
      <c r="OL78" s="33" t="n"/>
      <c r="OM78" s="33" t="n"/>
      <c r="ON78" s="33" t="n"/>
      <c r="OO78" s="33" t="n"/>
      <c r="OP78" s="33" t="n"/>
      <c r="OQ78" s="33" t="n"/>
      <c r="OR78" s="33" t="n"/>
      <c r="OS78" s="33" t="n"/>
      <c r="OT78" s="33" t="n"/>
      <c r="OU78" s="33" t="n"/>
      <c r="OV78" s="33" t="n"/>
      <c r="OW78" s="33" t="n"/>
      <c r="OX78" s="33" t="n"/>
      <c r="OY78" s="33" t="n"/>
      <c r="OZ78" s="33" t="n"/>
      <c r="PA78" s="33" t="n"/>
      <c r="PB78" s="33" t="n"/>
      <c r="PC78" s="33" t="n"/>
      <c r="PD78" s="33" t="n"/>
      <c r="PE78" s="33" t="n"/>
      <c r="PF78" s="33" t="n"/>
      <c r="PG78" s="33" t="n"/>
      <c r="PH78" s="33" t="n"/>
      <c r="PI78" s="33" t="n"/>
      <c r="PJ78" s="33" t="n"/>
      <c r="PK78" s="33" t="n"/>
      <c r="PL78" s="33" t="n"/>
      <c r="PM78" s="33" t="n"/>
      <c r="PN78" s="33" t="n"/>
      <c r="PO78" s="33" t="n"/>
      <c r="PP78" s="33" t="n"/>
      <c r="PQ78" s="33" t="n"/>
      <c r="PR78" s="33" t="n"/>
      <c r="PS78" s="33" t="n"/>
      <c r="PT78" s="33" t="n"/>
      <c r="PU78" s="33" t="n"/>
      <c r="PV78" s="33" t="n"/>
      <c r="PW78" s="33" t="n"/>
      <c r="PX78" s="33" t="n"/>
      <c r="PY78" s="33" t="n"/>
      <c r="PZ78" s="33" t="n"/>
      <c r="QA78" s="33" t="n"/>
      <c r="QB78" s="33" t="n"/>
      <c r="QC78" s="33" t="n"/>
      <c r="QD78" s="33" t="n"/>
      <c r="QE78" s="33" t="n"/>
      <c r="QF78" s="33" t="n"/>
      <c r="QG78" s="33" t="n"/>
      <c r="QH78" s="33" t="n"/>
      <c r="QI78" s="33" t="n"/>
      <c r="QJ78" s="33" t="n"/>
      <c r="QK78" s="33" t="n"/>
      <c r="QL78" s="33" t="n"/>
      <c r="QM78" s="33" t="n"/>
      <c r="QN78" s="33" t="n"/>
      <c r="QO78" s="33" t="n"/>
      <c r="QP78" s="33" t="n"/>
      <c r="QQ78" s="33" t="n"/>
      <c r="QR78" s="33" t="n"/>
      <c r="QS78" s="33" t="n"/>
      <c r="QT78" s="33" t="n"/>
      <c r="QU78" s="33" t="n"/>
      <c r="QV78" s="33" t="n"/>
      <c r="QW78" s="33" t="n"/>
      <c r="QX78" s="33" t="n"/>
      <c r="QY78" s="33" t="n"/>
      <c r="QZ78" s="33" t="n"/>
      <c r="RA78" s="33" t="n"/>
      <c r="RB78" s="33" t="n"/>
      <c r="RC78" s="33" t="n"/>
      <c r="RD78" s="33" t="n"/>
      <c r="RE78" s="33" t="n"/>
      <c r="RF78" s="33" t="n"/>
      <c r="RG78" s="33" t="n"/>
      <c r="RH78" s="33" t="n"/>
      <c r="RI78" s="33" t="n"/>
      <c r="RJ78" s="33" t="n"/>
      <c r="RK78" s="33" t="n"/>
      <c r="RL78" s="33" t="n"/>
      <c r="RM78" s="33" t="n"/>
      <c r="RN78" s="33" t="n"/>
      <c r="RO78" s="33" t="n"/>
      <c r="RP78" s="33" t="n"/>
      <c r="RQ78" s="33" t="n"/>
      <c r="RR78" s="33" t="n"/>
      <c r="RS78" s="33" t="n"/>
      <c r="RT78" s="33" t="n"/>
      <c r="RU78" s="33" t="n"/>
      <c r="RV78" s="33" t="n"/>
      <c r="RW78" s="33" t="n"/>
    </row>
    <row r="79" hidden="1" outlineLevel="1" ht="13.05" customHeight="1">
      <c r="E79" s="25" t="inlineStr">
        <is>
          <t>Total PPA Revenue</t>
        </is>
      </c>
      <c r="F79" s="26" t="n"/>
      <c r="G79" s="26" t="inlineStr">
        <is>
          <t>kEUR</t>
        </is>
      </c>
      <c r="H79" s="26" t="n"/>
      <c r="I79" s="26" t="n"/>
      <c r="J79" s="27" t="n"/>
      <c r="K79" s="26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  <c r="AP79" s="28" t="n"/>
      <c r="AQ79" s="28" t="n"/>
      <c r="AR79" s="28" t="n"/>
      <c r="AS79" s="28" t="n"/>
      <c r="AT79" s="28" t="n"/>
      <c r="AU79" s="28" t="n"/>
      <c r="AV79" s="28" t="n"/>
      <c r="AW79" s="28" t="n"/>
      <c r="AX79" s="28" t="n"/>
      <c r="AY79" s="28" t="n"/>
      <c r="AZ79" s="28" t="n"/>
      <c r="BA79" s="28" t="n"/>
      <c r="BB79" s="28" t="n"/>
      <c r="BC79" s="28" t="n"/>
      <c r="BD79" s="28" t="n"/>
      <c r="BE79" s="28" t="n"/>
      <c r="BF79" s="28" t="n"/>
      <c r="BG79" s="28" t="n"/>
      <c r="BH79" s="28" t="n"/>
      <c r="BI79" s="28" t="n"/>
      <c r="BJ79" s="28" t="n"/>
      <c r="BK79" s="28" t="n"/>
      <c r="BL79" s="28" t="n"/>
      <c r="BM79" s="28" t="n"/>
      <c r="BN79" s="28" t="n"/>
      <c r="BO79" s="28" t="n"/>
      <c r="BP79" s="28" t="n"/>
      <c r="BQ79" s="28" t="n"/>
      <c r="BR79" s="28" t="n"/>
      <c r="BS79" s="28" t="n"/>
      <c r="BT79" s="28" t="n"/>
      <c r="BU79" s="28" t="n"/>
      <c r="BV79" s="28" t="n"/>
      <c r="BW79" s="28" t="n"/>
      <c r="BX79" s="28" t="n"/>
      <c r="BY79" s="28" t="n"/>
      <c r="BZ79" s="28" t="n"/>
      <c r="CA79" s="28" t="n"/>
      <c r="CB79" s="28" t="n"/>
      <c r="CC79" s="28" t="n"/>
      <c r="CD79" s="28" t="n"/>
      <c r="CE79" s="28" t="n"/>
      <c r="CF79" s="28" t="n"/>
      <c r="CG79" s="28" t="n"/>
      <c r="CH79" s="28" t="n"/>
      <c r="CI79" s="28" t="n"/>
      <c r="CJ79" s="28" t="n"/>
      <c r="CK79" s="28" t="n"/>
      <c r="CL79" s="28" t="n"/>
      <c r="CM79" s="28" t="n"/>
      <c r="CN79" s="28" t="n"/>
      <c r="CO79" s="28" t="n"/>
      <c r="CP79" s="28" t="n"/>
      <c r="CQ79" s="28" t="n"/>
      <c r="CR79" s="28" t="n"/>
      <c r="CS79" s="28" t="n"/>
      <c r="CT79" s="28" t="n"/>
      <c r="CU79" s="28" t="n"/>
      <c r="CV79" s="28" t="n"/>
      <c r="CW79" s="28" t="n"/>
      <c r="CX79" s="28" t="n"/>
      <c r="CY79" s="28" t="n"/>
      <c r="CZ79" s="28" t="n"/>
      <c r="DA79" s="28" t="n"/>
      <c r="DB79" s="28" t="n"/>
      <c r="DC79" s="28" t="n"/>
      <c r="DD79" s="28" t="n"/>
      <c r="DE79" s="28" t="n"/>
      <c r="DF79" s="28" t="n"/>
      <c r="DG79" s="28" t="n"/>
      <c r="DH79" s="28" t="n"/>
      <c r="DI79" s="28" t="n"/>
      <c r="DJ79" s="28" t="n"/>
      <c r="DK79" s="28" t="n"/>
      <c r="DL79" s="28" t="n"/>
      <c r="DM79" s="28" t="n"/>
      <c r="DN79" s="28" t="n"/>
      <c r="DO79" s="28" t="n"/>
      <c r="DP79" s="28" t="n"/>
      <c r="DQ79" s="28" t="n"/>
      <c r="DR79" s="28" t="n"/>
      <c r="DS79" s="28" t="n"/>
      <c r="DT79" s="28" t="n"/>
      <c r="DU79" s="28" t="n"/>
      <c r="DV79" s="28" t="n"/>
      <c r="DW79" s="28" t="n"/>
      <c r="DX79" s="28" t="n"/>
      <c r="DY79" s="28" t="n"/>
      <c r="DZ79" s="28" t="n"/>
      <c r="EA79" s="28" t="n"/>
      <c r="EB79" s="28" t="n"/>
      <c r="EC79" s="28" t="n"/>
      <c r="ED79" s="28" t="n"/>
      <c r="EE79" s="28" t="n"/>
      <c r="EF79" s="28" t="n"/>
      <c r="EG79" s="28" t="n"/>
      <c r="EH79" s="28" t="n"/>
      <c r="EI79" s="28" t="n"/>
      <c r="EJ79" s="28" t="n"/>
      <c r="EK79" s="28" t="n"/>
      <c r="EL79" s="28" t="n"/>
      <c r="EM79" s="28" t="n"/>
      <c r="EN79" s="28" t="n"/>
      <c r="EO79" s="28" t="n"/>
      <c r="EP79" s="28" t="n"/>
      <c r="EQ79" s="28" t="n"/>
      <c r="ER79" s="28" t="n"/>
      <c r="ES79" s="28" t="n"/>
      <c r="ET79" s="28" t="n"/>
      <c r="EU79" s="28" t="n"/>
      <c r="EV79" s="28" t="n"/>
      <c r="EW79" s="28" t="n"/>
      <c r="EX79" s="28" t="n"/>
      <c r="EY79" s="28" t="n"/>
      <c r="EZ79" s="28" t="n"/>
      <c r="FA79" s="28" t="n"/>
      <c r="FB79" s="28" t="n"/>
      <c r="FC79" s="28" t="n"/>
      <c r="FD79" s="28" t="n"/>
      <c r="FE79" s="28" t="n"/>
      <c r="FF79" s="28" t="n"/>
      <c r="FG79" s="28" t="n"/>
      <c r="FH79" s="28" t="n"/>
      <c r="FI79" s="28" t="n"/>
      <c r="FJ79" s="28" t="n"/>
      <c r="FK79" s="28" t="n"/>
      <c r="FL79" s="28" t="n"/>
      <c r="FM79" s="28" t="n"/>
      <c r="FN79" s="28" t="n"/>
      <c r="FO79" s="28" t="n"/>
      <c r="FP79" s="28" t="n"/>
      <c r="FQ79" s="28" t="n"/>
      <c r="FR79" s="28" t="n"/>
      <c r="FS79" s="28" t="n"/>
      <c r="FT79" s="28" t="n"/>
      <c r="FU79" s="28" t="n"/>
      <c r="FV79" s="28" t="n"/>
      <c r="FW79" s="28" t="n"/>
      <c r="FX79" s="28" t="n"/>
      <c r="FY79" s="28" t="n"/>
      <c r="FZ79" s="28" t="n"/>
      <c r="GA79" s="28" t="n"/>
      <c r="GB79" s="28" t="n"/>
      <c r="GC79" s="28" t="n"/>
      <c r="GD79" s="28" t="n"/>
      <c r="GE79" s="28" t="n"/>
      <c r="GF79" s="28" t="n"/>
      <c r="GG79" s="28" t="n"/>
      <c r="GH79" s="28" t="n"/>
      <c r="GI79" s="28" t="n"/>
      <c r="GJ79" s="28" t="n"/>
      <c r="GK79" s="28" t="n"/>
      <c r="GL79" s="28" t="n"/>
      <c r="GM79" s="28" t="n"/>
      <c r="GN79" s="28" t="n"/>
      <c r="GO79" s="28" t="n"/>
      <c r="GP79" s="28" t="n"/>
      <c r="GQ79" s="28" t="n"/>
      <c r="GR79" s="28" t="n"/>
      <c r="GS79" s="28" t="n"/>
      <c r="GT79" s="28" t="n"/>
      <c r="GU79" s="28" t="n"/>
      <c r="GV79" s="28" t="n"/>
      <c r="GW79" s="28" t="n"/>
      <c r="GX79" s="28" t="n"/>
      <c r="GY79" s="28" t="n"/>
      <c r="GZ79" s="28" t="n"/>
      <c r="HA79" s="28" t="n"/>
      <c r="HB79" s="28" t="n"/>
      <c r="HC79" s="28" t="n"/>
      <c r="HD79" s="28" t="n"/>
      <c r="HE79" s="28" t="n"/>
      <c r="HF79" s="28" t="n"/>
      <c r="HG79" s="28" t="n"/>
      <c r="HH79" s="28" t="n"/>
      <c r="HI79" s="28" t="n"/>
      <c r="HJ79" s="28" t="n"/>
      <c r="HK79" s="28" t="n"/>
      <c r="HL79" s="28" t="n"/>
      <c r="HM79" s="28" t="n"/>
      <c r="HN79" s="28" t="n"/>
      <c r="HO79" s="28" t="n"/>
      <c r="HP79" s="28" t="n"/>
      <c r="HQ79" s="28" t="n"/>
      <c r="HR79" s="28" t="n"/>
      <c r="HS79" s="28" t="n"/>
      <c r="HT79" s="28" t="n"/>
      <c r="HU79" s="28" t="n"/>
      <c r="HV79" s="28" t="n"/>
      <c r="HW79" s="28" t="n"/>
      <c r="HX79" s="28" t="n"/>
      <c r="HY79" s="28" t="n"/>
      <c r="HZ79" s="28" t="n"/>
      <c r="IA79" s="28" t="n"/>
      <c r="IB79" s="28" t="n"/>
      <c r="IC79" s="28" t="n"/>
      <c r="ID79" s="28" t="n"/>
      <c r="IE79" s="28" t="n"/>
      <c r="IF79" s="28" t="n"/>
      <c r="IG79" s="28" t="n"/>
      <c r="IH79" s="28" t="n"/>
      <c r="II79" s="28" t="n"/>
      <c r="IJ79" s="28" t="n"/>
      <c r="IK79" s="28" t="n"/>
      <c r="IL79" s="28" t="n"/>
      <c r="IM79" s="28" t="n"/>
      <c r="IN79" s="28" t="n"/>
      <c r="IO79" s="28" t="n"/>
      <c r="IP79" s="28" t="n"/>
      <c r="IQ79" s="28" t="n"/>
      <c r="IR79" s="28" t="n"/>
      <c r="IS79" s="28" t="n"/>
      <c r="IT79" s="28" t="n"/>
      <c r="IU79" s="28" t="n"/>
      <c r="IV79" s="28" t="n"/>
      <c r="IW79" s="28" t="n"/>
      <c r="IX79" s="28" t="n"/>
      <c r="IY79" s="28" t="n"/>
      <c r="IZ79" s="28" t="n"/>
      <c r="JA79" s="28" t="n"/>
      <c r="JB79" s="28" t="n"/>
      <c r="JC79" s="28" t="n"/>
      <c r="JD79" s="28" t="n"/>
      <c r="JE79" s="28" t="n"/>
      <c r="JF79" s="28" t="n"/>
      <c r="JG79" s="28" t="n"/>
      <c r="JH79" s="28" t="n"/>
      <c r="JI79" s="28" t="n"/>
      <c r="JJ79" s="28" t="n"/>
      <c r="JK79" s="28" t="n"/>
      <c r="JL79" s="28" t="n"/>
      <c r="JM79" s="28" t="n"/>
      <c r="JN79" s="28" t="n"/>
      <c r="JO79" s="28" t="n"/>
      <c r="JP79" s="28" t="n"/>
      <c r="JQ79" s="28" t="n"/>
      <c r="JR79" s="28" t="n"/>
      <c r="JS79" s="28" t="n"/>
      <c r="JT79" s="28" t="n"/>
      <c r="JU79" s="28" t="n"/>
      <c r="JV79" s="28" t="n"/>
      <c r="JW79" s="28" t="n"/>
      <c r="JX79" s="28" t="n"/>
      <c r="JY79" s="28" t="n"/>
      <c r="JZ79" s="28" t="n"/>
      <c r="KA79" s="28" t="n"/>
      <c r="KB79" s="28" t="n"/>
      <c r="KC79" s="28" t="n"/>
      <c r="KD79" s="28" t="n"/>
      <c r="KE79" s="28" t="n"/>
      <c r="KF79" s="28" t="n"/>
      <c r="KG79" s="28" t="n"/>
      <c r="KH79" s="28" t="n"/>
      <c r="KI79" s="28" t="n"/>
      <c r="KJ79" s="28" t="n"/>
      <c r="KK79" s="28" t="n"/>
      <c r="KL79" s="28" t="n"/>
      <c r="KM79" s="28" t="n"/>
      <c r="KN79" s="28" t="n"/>
      <c r="KO79" s="28" t="n"/>
      <c r="KP79" s="28" t="n"/>
      <c r="KQ79" s="28" t="n"/>
      <c r="KR79" s="28" t="n"/>
      <c r="KS79" s="28" t="n"/>
      <c r="KT79" s="28" t="n"/>
      <c r="KU79" s="28" t="n"/>
      <c r="KV79" s="28" t="n"/>
      <c r="KW79" s="28" t="n"/>
      <c r="KX79" s="28" t="n"/>
      <c r="KY79" s="28" t="n"/>
      <c r="KZ79" s="28" t="n"/>
      <c r="LA79" s="28" t="n"/>
      <c r="LB79" s="28" t="n"/>
      <c r="LC79" s="28" t="n"/>
      <c r="LD79" s="28" t="n"/>
      <c r="LE79" s="28" t="n"/>
      <c r="LF79" s="28" t="n"/>
      <c r="LG79" s="28" t="n"/>
      <c r="LH79" s="28" t="n"/>
      <c r="LI79" s="28" t="n"/>
      <c r="LJ79" s="28" t="n"/>
      <c r="LK79" s="28" t="n"/>
      <c r="LL79" s="28" t="n"/>
      <c r="LM79" s="28" t="n"/>
      <c r="LN79" s="28" t="n"/>
      <c r="LO79" s="28" t="n"/>
      <c r="LP79" s="28" t="n"/>
      <c r="LQ79" s="28" t="n"/>
      <c r="LR79" s="28" t="n"/>
      <c r="LS79" s="28" t="n"/>
      <c r="LT79" s="28" t="n"/>
      <c r="LU79" s="28" t="n"/>
      <c r="LV79" s="28" t="n"/>
      <c r="LW79" s="28" t="n"/>
      <c r="LX79" s="28" t="n"/>
      <c r="LY79" s="28" t="n"/>
      <c r="LZ79" s="28" t="n"/>
      <c r="MA79" s="28" t="n"/>
      <c r="MB79" s="28" t="n"/>
      <c r="MC79" s="28" t="n"/>
      <c r="MD79" s="28" t="n"/>
      <c r="ME79" s="28" t="n"/>
      <c r="MF79" s="28" t="n"/>
      <c r="MG79" s="28" t="n"/>
      <c r="MH79" s="28" t="n"/>
      <c r="MI79" s="28" t="n"/>
      <c r="MJ79" s="28" t="n"/>
      <c r="MK79" s="28" t="n"/>
      <c r="ML79" s="28" t="n"/>
      <c r="MM79" s="28" t="n"/>
      <c r="MN79" s="28" t="n"/>
      <c r="MO79" s="28" t="n"/>
      <c r="MP79" s="28" t="n"/>
      <c r="MQ79" s="28" t="n"/>
      <c r="MR79" s="28" t="n"/>
      <c r="MS79" s="28" t="n"/>
      <c r="MT79" s="28" t="n"/>
      <c r="MU79" s="28" t="n"/>
      <c r="MV79" s="28" t="n"/>
      <c r="MW79" s="28" t="n"/>
      <c r="MX79" s="28" t="n"/>
      <c r="MY79" s="28" t="n"/>
      <c r="MZ79" s="28" t="n"/>
      <c r="NA79" s="28" t="n"/>
      <c r="NB79" s="28" t="n"/>
      <c r="NC79" s="28" t="n"/>
      <c r="ND79" s="28" t="n"/>
      <c r="NE79" s="28" t="n"/>
      <c r="NF79" s="28" t="n"/>
      <c r="NG79" s="28" t="n"/>
      <c r="NH79" s="28" t="n"/>
      <c r="NI79" s="28" t="n"/>
      <c r="NJ79" s="28" t="n"/>
      <c r="NK79" s="28" t="n"/>
      <c r="NL79" s="28" t="n"/>
      <c r="NM79" s="28" t="n"/>
      <c r="NN79" s="28" t="n"/>
      <c r="NO79" s="28" t="n"/>
      <c r="NP79" s="28" t="n"/>
      <c r="NQ79" s="28" t="n"/>
      <c r="NR79" s="28" t="n"/>
      <c r="NS79" s="28" t="n"/>
      <c r="NT79" s="28" t="n"/>
      <c r="NU79" s="28" t="n"/>
      <c r="NV79" s="28" t="n"/>
      <c r="NW79" s="28" t="n"/>
      <c r="NX79" s="28" t="n"/>
      <c r="NY79" s="28" t="n"/>
      <c r="NZ79" s="28" t="n"/>
      <c r="OA79" s="28" t="n"/>
      <c r="OB79" s="28" t="n"/>
      <c r="OC79" s="28" t="n"/>
      <c r="OD79" s="28" t="n"/>
      <c r="OE79" s="28" t="n"/>
      <c r="OF79" s="28" t="n"/>
      <c r="OG79" s="28" t="n"/>
      <c r="OH79" s="28" t="n"/>
      <c r="OI79" s="28" t="n"/>
      <c r="OJ79" s="28" t="n"/>
      <c r="OK79" s="28" t="n"/>
      <c r="OL79" s="28" t="n"/>
      <c r="OM79" s="28" t="n"/>
      <c r="ON79" s="28" t="n"/>
      <c r="OO79" s="28" t="n"/>
      <c r="OP79" s="28" t="n"/>
      <c r="OQ79" s="28" t="n"/>
      <c r="OR79" s="28" t="n"/>
      <c r="OS79" s="28" t="n"/>
      <c r="OT79" s="28" t="n"/>
      <c r="OU79" s="28" t="n"/>
      <c r="OV79" s="28" t="n"/>
      <c r="OW79" s="28" t="n"/>
      <c r="OX79" s="28" t="n"/>
      <c r="OY79" s="28" t="n"/>
      <c r="OZ79" s="28" t="n"/>
      <c r="PA79" s="28" t="n"/>
      <c r="PB79" s="28" t="n"/>
      <c r="PC79" s="28" t="n"/>
      <c r="PD79" s="28" t="n"/>
      <c r="PE79" s="28" t="n"/>
      <c r="PF79" s="28" t="n"/>
      <c r="PG79" s="28" t="n"/>
      <c r="PH79" s="28" t="n"/>
      <c r="PI79" s="28" t="n"/>
      <c r="PJ79" s="28" t="n"/>
      <c r="PK79" s="28" t="n"/>
      <c r="PL79" s="28" t="n"/>
      <c r="PM79" s="28" t="n"/>
      <c r="PN79" s="28" t="n"/>
      <c r="PO79" s="28" t="n"/>
      <c r="PP79" s="28" t="n"/>
      <c r="PQ79" s="28" t="n"/>
      <c r="PR79" s="28" t="n"/>
      <c r="PS79" s="28" t="n"/>
      <c r="PT79" s="28" t="n"/>
      <c r="PU79" s="28" t="n"/>
      <c r="PV79" s="28" t="n"/>
      <c r="PW79" s="28" t="n"/>
      <c r="PX79" s="28" t="n"/>
      <c r="PY79" s="28" t="n"/>
      <c r="PZ79" s="28" t="n"/>
      <c r="QA79" s="28" t="n"/>
      <c r="QB79" s="28" t="n"/>
      <c r="QC79" s="28" t="n"/>
      <c r="QD79" s="28" t="n"/>
      <c r="QE79" s="28" t="n"/>
      <c r="QF79" s="28" t="n"/>
      <c r="QG79" s="28" t="n"/>
      <c r="QH79" s="28" t="n"/>
      <c r="QI79" s="28" t="n"/>
      <c r="QJ79" s="28" t="n"/>
      <c r="QK79" s="28" t="n"/>
      <c r="QL79" s="28" t="n"/>
      <c r="QM79" s="28" t="n"/>
      <c r="QN79" s="28" t="n"/>
      <c r="QO79" s="28" t="n"/>
      <c r="QP79" s="28" t="n"/>
      <c r="QQ79" s="28" t="n"/>
      <c r="QR79" s="28" t="n"/>
      <c r="QS79" s="28" t="n"/>
      <c r="QT79" s="28" t="n"/>
      <c r="QU79" s="28" t="n"/>
      <c r="QV79" s="28" t="n"/>
      <c r="QW79" s="28" t="n"/>
      <c r="QX79" s="28" t="n"/>
      <c r="QY79" s="28" t="n"/>
      <c r="QZ79" s="28" t="n"/>
      <c r="RA79" s="28" t="n"/>
      <c r="RB79" s="28" t="n"/>
      <c r="RC79" s="28" t="n"/>
      <c r="RD79" s="28" t="n"/>
      <c r="RE79" s="28" t="n"/>
      <c r="RF79" s="28" t="n"/>
      <c r="RG79" s="28" t="n"/>
      <c r="RH79" s="28" t="n"/>
      <c r="RI79" s="28" t="n"/>
      <c r="RJ79" s="28" t="n"/>
      <c r="RK79" s="28" t="n"/>
      <c r="RL79" s="28" t="n"/>
      <c r="RM79" s="28" t="n"/>
      <c r="RN79" s="28" t="n"/>
      <c r="RO79" s="28" t="n"/>
      <c r="RP79" s="28" t="n"/>
      <c r="RQ79" s="28" t="n"/>
      <c r="RR79" s="28" t="n"/>
      <c r="RS79" s="28" t="n"/>
      <c r="RT79" s="28" t="n"/>
      <c r="RU79" s="28" t="n"/>
      <c r="RV79" s="28" t="n"/>
      <c r="RW79" s="28" t="n"/>
    </row>
    <row r="80" hidden="1" outlineLevel="1" ht="13.05" customHeight="1">
      <c r="E80" s="21" t="inlineStr">
        <is>
          <t>GoO Volume</t>
        </is>
      </c>
      <c r="F80" s="29" t="n"/>
      <c r="G80" s="29" t="inlineStr">
        <is>
          <t>MWh</t>
        </is>
      </c>
      <c r="H80" s="29" t="n"/>
      <c r="I80" s="29" t="n"/>
      <c r="J80" s="32" t="n"/>
      <c r="K80" s="29" t="n"/>
      <c r="L80" s="33" t="n"/>
      <c r="M80" s="33" t="n"/>
      <c r="N80" s="33" t="n"/>
      <c r="O80" s="33" t="n"/>
      <c r="P80" s="33" t="n"/>
      <c r="Q80" s="33" t="n"/>
      <c r="R80" s="33" t="n"/>
      <c r="S80" s="33" t="n"/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n"/>
      <c r="AI80" s="33" t="n"/>
      <c r="AJ80" s="33" t="n"/>
      <c r="AK80" s="33" t="n"/>
      <c r="AL80" s="33" t="n"/>
      <c r="AM80" s="33" t="n"/>
      <c r="AN80" s="33" t="n"/>
      <c r="AO80" s="33" t="n"/>
      <c r="AP80" s="33" t="n"/>
      <c r="AQ80" s="33" t="n"/>
      <c r="AR80" s="33" t="n"/>
      <c r="AS80" s="33" t="n"/>
      <c r="AT80" s="33" t="n"/>
      <c r="AU80" s="33" t="n"/>
      <c r="AV80" s="33" t="n"/>
      <c r="AW80" s="33" t="n"/>
      <c r="AX80" s="33" t="n"/>
      <c r="AY80" s="33" t="n"/>
      <c r="AZ80" s="33" t="n"/>
      <c r="BA80" s="33" t="n"/>
      <c r="BB80" s="33" t="n"/>
      <c r="BC80" s="33" t="n"/>
      <c r="BD80" s="33" t="n"/>
      <c r="BE80" s="33" t="n"/>
      <c r="BF80" s="33" t="n"/>
      <c r="BG80" s="33" t="n"/>
      <c r="BH80" s="33" t="n"/>
      <c r="BI80" s="33" t="n"/>
      <c r="BJ80" s="33" t="n"/>
      <c r="BK80" s="33" t="n"/>
      <c r="BL80" s="33" t="n"/>
      <c r="BM80" s="33" t="n"/>
      <c r="BN80" s="33" t="n"/>
      <c r="BO80" s="33" t="n"/>
      <c r="BP80" s="33" t="n"/>
      <c r="BQ80" s="33" t="n"/>
      <c r="BR80" s="33" t="n"/>
      <c r="BS80" s="33" t="n"/>
      <c r="BT80" s="33" t="n"/>
      <c r="BU80" s="33" t="n"/>
      <c r="BV80" s="33" t="n"/>
      <c r="BW80" s="33" t="n"/>
      <c r="BX80" s="33" t="n"/>
      <c r="BY80" s="33" t="n"/>
      <c r="BZ80" s="33" t="n"/>
      <c r="CA80" s="33" t="n"/>
      <c r="CB80" s="33" t="n"/>
      <c r="CC80" s="33" t="n"/>
      <c r="CD80" s="33" t="n"/>
      <c r="CE80" s="33" t="n"/>
      <c r="CF80" s="33" t="n"/>
      <c r="CG80" s="33" t="n"/>
      <c r="CH80" s="33" t="n"/>
      <c r="CI80" s="33" t="n"/>
      <c r="CJ80" s="33" t="n"/>
      <c r="CK80" s="33" t="n"/>
      <c r="CL80" s="33" t="n"/>
      <c r="CM80" s="33" t="n"/>
      <c r="CN80" s="33" t="n"/>
      <c r="CO80" s="33" t="n"/>
      <c r="CP80" s="33" t="n"/>
      <c r="CQ80" s="33" t="n"/>
      <c r="CR80" s="33" t="n"/>
      <c r="CS80" s="33" t="n"/>
      <c r="CT80" s="33" t="n"/>
      <c r="CU80" s="33" t="n"/>
      <c r="CV80" s="33" t="n"/>
      <c r="CW80" s="33" t="n"/>
      <c r="CX80" s="33" t="n"/>
      <c r="CY80" s="33" t="n"/>
      <c r="CZ80" s="33" t="n"/>
      <c r="DA80" s="33" t="n"/>
      <c r="DB80" s="33" t="n"/>
      <c r="DC80" s="33" t="n"/>
      <c r="DD80" s="33" t="n"/>
      <c r="DE80" s="33" t="n"/>
      <c r="DF80" s="33" t="n"/>
      <c r="DG80" s="33" t="n"/>
      <c r="DH80" s="33" t="n"/>
      <c r="DI80" s="33" t="n"/>
      <c r="DJ80" s="33" t="n"/>
      <c r="DK80" s="33" t="n"/>
      <c r="DL80" s="33" t="n"/>
      <c r="DM80" s="33" t="n"/>
      <c r="DN80" s="33" t="n"/>
      <c r="DO80" s="33" t="n"/>
      <c r="DP80" s="33" t="n"/>
      <c r="DQ80" s="33" t="n"/>
      <c r="DR80" s="33" t="n"/>
      <c r="DS80" s="33" t="n"/>
      <c r="DT80" s="33" t="n"/>
      <c r="DU80" s="33" t="n"/>
      <c r="DV80" s="33" t="n"/>
      <c r="DW80" s="33" t="n"/>
      <c r="DX80" s="33" t="n"/>
      <c r="DY80" s="33" t="n"/>
      <c r="DZ80" s="33" t="n"/>
      <c r="EA80" s="33" t="n"/>
      <c r="EB80" s="33" t="n"/>
      <c r="EC80" s="33" t="n"/>
      <c r="ED80" s="33" t="n"/>
      <c r="EE80" s="33" t="n"/>
      <c r="EF80" s="33" t="n"/>
      <c r="EG80" s="33" t="n"/>
      <c r="EH80" s="33" t="n"/>
      <c r="EI80" s="33" t="n"/>
      <c r="EJ80" s="33" t="n"/>
      <c r="EK80" s="33" t="n"/>
      <c r="EL80" s="33" t="n"/>
      <c r="EM80" s="33" t="n"/>
      <c r="EN80" s="33" t="n"/>
      <c r="EO80" s="33" t="n"/>
      <c r="EP80" s="33" t="n"/>
      <c r="EQ80" s="33" t="n"/>
      <c r="ER80" s="33" t="n"/>
      <c r="ES80" s="33" t="n"/>
      <c r="ET80" s="33" t="n"/>
      <c r="EU80" s="33" t="n"/>
      <c r="EV80" s="33" t="n"/>
      <c r="EW80" s="33" t="n"/>
      <c r="EX80" s="33" t="n"/>
      <c r="EY80" s="33" t="n"/>
      <c r="EZ80" s="33" t="n"/>
      <c r="FA80" s="33" t="n"/>
      <c r="FB80" s="33" t="n"/>
      <c r="FC80" s="33" t="n"/>
      <c r="FD80" s="33" t="n"/>
      <c r="FE80" s="33" t="n"/>
      <c r="FF80" s="33" t="n"/>
      <c r="FG80" s="33" t="n"/>
      <c r="FH80" s="33" t="n"/>
      <c r="FI80" s="33" t="n"/>
      <c r="FJ80" s="33" t="n"/>
      <c r="FK80" s="33" t="n"/>
      <c r="FL80" s="33" t="n"/>
      <c r="FM80" s="33" t="n"/>
      <c r="FN80" s="33" t="n"/>
      <c r="FO80" s="33" t="n"/>
      <c r="FP80" s="33" t="n"/>
      <c r="FQ80" s="33" t="n"/>
      <c r="FR80" s="33" t="n"/>
      <c r="FS80" s="33" t="n"/>
      <c r="FT80" s="33" t="n"/>
      <c r="FU80" s="33" t="n"/>
      <c r="FV80" s="33" t="n"/>
      <c r="FW80" s="33" t="n"/>
      <c r="FX80" s="33" t="n"/>
      <c r="FY80" s="33" t="n"/>
      <c r="FZ80" s="33" t="n"/>
      <c r="GA80" s="33" t="n"/>
      <c r="GB80" s="33" t="n"/>
      <c r="GC80" s="33" t="n"/>
      <c r="GD80" s="33" t="n"/>
      <c r="GE80" s="33" t="n"/>
      <c r="GF80" s="33" t="n"/>
      <c r="GG80" s="33" t="n"/>
      <c r="GH80" s="33" t="n"/>
      <c r="GI80" s="33" t="n"/>
      <c r="GJ80" s="33" t="n"/>
      <c r="GK80" s="33" t="n"/>
      <c r="GL80" s="33" t="n"/>
      <c r="GM80" s="33" t="n"/>
      <c r="GN80" s="33" t="n"/>
      <c r="GO80" s="33" t="n"/>
      <c r="GP80" s="33" t="n"/>
      <c r="GQ80" s="33" t="n"/>
      <c r="GR80" s="33" t="n"/>
      <c r="GS80" s="33" t="n"/>
      <c r="GT80" s="33" t="n"/>
      <c r="GU80" s="33" t="n"/>
      <c r="GV80" s="33" t="n"/>
      <c r="GW80" s="33" t="n"/>
      <c r="GX80" s="33" t="n"/>
      <c r="GY80" s="33" t="n"/>
      <c r="GZ80" s="33" t="n"/>
      <c r="HA80" s="33" t="n"/>
      <c r="HB80" s="33" t="n"/>
      <c r="HC80" s="33" t="n"/>
      <c r="HD80" s="33" t="n"/>
      <c r="HE80" s="33" t="n"/>
      <c r="HF80" s="33" t="n"/>
      <c r="HG80" s="33" t="n"/>
      <c r="HH80" s="33" t="n"/>
      <c r="HI80" s="33" t="n"/>
      <c r="HJ80" s="33" t="n"/>
      <c r="HK80" s="33" t="n"/>
      <c r="HL80" s="33" t="n"/>
      <c r="HM80" s="33" t="n"/>
      <c r="HN80" s="33" t="n"/>
      <c r="HO80" s="33" t="n"/>
      <c r="HP80" s="33" t="n"/>
      <c r="HQ80" s="33" t="n"/>
      <c r="HR80" s="33" t="n"/>
      <c r="HS80" s="33" t="n"/>
      <c r="HT80" s="33" t="n"/>
      <c r="HU80" s="33" t="n"/>
      <c r="HV80" s="33" t="n"/>
      <c r="HW80" s="33" t="n"/>
      <c r="HX80" s="33" t="n"/>
      <c r="HY80" s="33" t="n"/>
      <c r="HZ80" s="33" t="n"/>
      <c r="IA80" s="33" t="n"/>
      <c r="IB80" s="33" t="n"/>
      <c r="IC80" s="33" t="n"/>
      <c r="ID80" s="33" t="n"/>
      <c r="IE80" s="33" t="n"/>
      <c r="IF80" s="33" t="n"/>
      <c r="IG80" s="33" t="n"/>
      <c r="IH80" s="33" t="n"/>
      <c r="II80" s="33" t="n"/>
      <c r="IJ80" s="33" t="n"/>
      <c r="IK80" s="33" t="n"/>
      <c r="IL80" s="33" t="n"/>
      <c r="IM80" s="33" t="n"/>
      <c r="IN80" s="33" t="n"/>
      <c r="IO80" s="33" t="n"/>
      <c r="IP80" s="33" t="n"/>
      <c r="IQ80" s="33" t="n"/>
      <c r="IR80" s="33" t="n"/>
      <c r="IS80" s="33" t="n"/>
      <c r="IT80" s="33" t="n"/>
      <c r="IU80" s="33" t="n"/>
      <c r="IV80" s="33" t="n"/>
      <c r="IW80" s="33" t="n"/>
      <c r="IX80" s="33" t="n"/>
      <c r="IY80" s="33" t="n"/>
      <c r="IZ80" s="33" t="n"/>
      <c r="JA80" s="33" t="n"/>
      <c r="JB80" s="33" t="n"/>
      <c r="JC80" s="33" t="n"/>
      <c r="JD80" s="33" t="n"/>
      <c r="JE80" s="33" t="n"/>
      <c r="JF80" s="33" t="n"/>
      <c r="JG80" s="33" t="n"/>
      <c r="JH80" s="33" t="n"/>
      <c r="JI80" s="33" t="n"/>
      <c r="JJ80" s="33" t="n"/>
      <c r="JK80" s="33" t="n"/>
      <c r="JL80" s="33" t="n"/>
      <c r="JM80" s="33" t="n"/>
      <c r="JN80" s="33" t="n"/>
      <c r="JO80" s="33" t="n"/>
      <c r="JP80" s="33" t="n"/>
      <c r="JQ80" s="33" t="n"/>
      <c r="JR80" s="33" t="n"/>
      <c r="JS80" s="33" t="n"/>
      <c r="JT80" s="33" t="n"/>
      <c r="JU80" s="33" t="n"/>
      <c r="JV80" s="33" t="n"/>
      <c r="JW80" s="33" t="n"/>
      <c r="JX80" s="33" t="n"/>
      <c r="JY80" s="33" t="n"/>
      <c r="JZ80" s="33" t="n"/>
      <c r="KA80" s="33" t="n"/>
      <c r="KB80" s="33" t="n"/>
      <c r="KC80" s="33" t="n"/>
      <c r="KD80" s="33" t="n"/>
      <c r="KE80" s="33" t="n"/>
      <c r="KF80" s="33" t="n"/>
      <c r="KG80" s="33" t="n"/>
      <c r="KH80" s="33" t="n"/>
      <c r="KI80" s="33" t="n"/>
      <c r="KJ80" s="33" t="n"/>
      <c r="KK80" s="33" t="n"/>
      <c r="KL80" s="33" t="n"/>
      <c r="KM80" s="33" t="n"/>
      <c r="KN80" s="33" t="n"/>
      <c r="KO80" s="33" t="n"/>
      <c r="KP80" s="33" t="n"/>
      <c r="KQ80" s="33" t="n"/>
      <c r="KR80" s="33" t="n"/>
      <c r="KS80" s="33" t="n"/>
      <c r="KT80" s="33" t="n"/>
      <c r="KU80" s="33" t="n"/>
      <c r="KV80" s="33" t="n"/>
      <c r="KW80" s="33" t="n"/>
      <c r="KX80" s="33" t="n"/>
      <c r="KY80" s="33" t="n"/>
      <c r="KZ80" s="33" t="n"/>
      <c r="LA80" s="33" t="n"/>
      <c r="LB80" s="33" t="n"/>
      <c r="LC80" s="33" t="n"/>
      <c r="LD80" s="33" t="n"/>
      <c r="LE80" s="33" t="n"/>
      <c r="LF80" s="33" t="n"/>
      <c r="LG80" s="33" t="n"/>
      <c r="LH80" s="33" t="n"/>
      <c r="LI80" s="33" t="n"/>
      <c r="LJ80" s="33" t="n"/>
      <c r="LK80" s="33" t="n"/>
      <c r="LL80" s="33" t="n"/>
      <c r="LM80" s="33" t="n"/>
      <c r="LN80" s="33" t="n"/>
      <c r="LO80" s="33" t="n"/>
      <c r="LP80" s="33" t="n"/>
      <c r="LQ80" s="33" t="n"/>
      <c r="LR80" s="33" t="n"/>
      <c r="LS80" s="33" t="n"/>
      <c r="LT80" s="33" t="n"/>
      <c r="LU80" s="33" t="n"/>
      <c r="LV80" s="33" t="n"/>
      <c r="LW80" s="33" t="n"/>
      <c r="LX80" s="33" t="n"/>
      <c r="LY80" s="33" t="n"/>
      <c r="LZ80" s="33" t="n"/>
      <c r="MA80" s="33" t="n"/>
      <c r="MB80" s="33" t="n"/>
      <c r="MC80" s="33" t="n"/>
      <c r="MD80" s="33" t="n"/>
      <c r="ME80" s="33" t="n"/>
      <c r="MF80" s="33" t="n"/>
      <c r="MG80" s="33" t="n"/>
      <c r="MH80" s="33" t="n"/>
      <c r="MI80" s="33" t="n"/>
      <c r="MJ80" s="33" t="n"/>
      <c r="MK80" s="33" t="n"/>
      <c r="ML80" s="33" t="n"/>
      <c r="MM80" s="33" t="n"/>
      <c r="MN80" s="33" t="n"/>
      <c r="MO80" s="33" t="n"/>
      <c r="MP80" s="33" t="n"/>
      <c r="MQ80" s="33" t="n"/>
      <c r="MR80" s="33" t="n"/>
      <c r="MS80" s="33" t="n"/>
      <c r="MT80" s="33" t="n"/>
      <c r="MU80" s="33" t="n"/>
      <c r="MV80" s="33" t="n"/>
      <c r="MW80" s="33" t="n"/>
      <c r="MX80" s="33" t="n"/>
      <c r="MY80" s="33" t="n"/>
      <c r="MZ80" s="33" t="n"/>
      <c r="NA80" s="33" t="n"/>
      <c r="NB80" s="33" t="n"/>
      <c r="NC80" s="33" t="n"/>
      <c r="ND80" s="33" t="n"/>
      <c r="NE80" s="33" t="n"/>
      <c r="NF80" s="33" t="n"/>
      <c r="NG80" s="33" t="n"/>
      <c r="NH80" s="33" t="n"/>
      <c r="NI80" s="33" t="n"/>
      <c r="NJ80" s="33" t="n"/>
      <c r="NK80" s="33" t="n"/>
      <c r="NL80" s="33" t="n"/>
      <c r="NM80" s="33" t="n"/>
      <c r="NN80" s="33" t="n"/>
      <c r="NO80" s="33" t="n"/>
      <c r="NP80" s="33" t="n"/>
      <c r="NQ80" s="33" t="n"/>
      <c r="NR80" s="33" t="n"/>
      <c r="NS80" s="33" t="n"/>
      <c r="NT80" s="33" t="n"/>
      <c r="NU80" s="33" t="n"/>
      <c r="NV80" s="33" t="n"/>
      <c r="NW80" s="33" t="n"/>
      <c r="NX80" s="33" t="n"/>
      <c r="NY80" s="33" t="n"/>
      <c r="NZ80" s="33" t="n"/>
      <c r="OA80" s="33" t="n"/>
      <c r="OB80" s="33" t="n"/>
      <c r="OC80" s="33" t="n"/>
      <c r="OD80" s="33" t="n"/>
      <c r="OE80" s="33" t="n"/>
      <c r="OF80" s="33" t="n"/>
      <c r="OG80" s="33" t="n"/>
      <c r="OH80" s="33" t="n"/>
      <c r="OI80" s="33" t="n"/>
      <c r="OJ80" s="33" t="n"/>
      <c r="OK80" s="33" t="n"/>
      <c r="OL80" s="33" t="n"/>
      <c r="OM80" s="33" t="n"/>
      <c r="ON80" s="33" t="n"/>
      <c r="OO80" s="33" t="n"/>
      <c r="OP80" s="33" t="n"/>
      <c r="OQ80" s="33" t="n"/>
      <c r="OR80" s="33" t="n"/>
      <c r="OS80" s="33" t="n"/>
      <c r="OT80" s="33" t="n"/>
      <c r="OU80" s="33" t="n"/>
      <c r="OV80" s="33" t="n"/>
      <c r="OW80" s="33" t="n"/>
      <c r="OX80" s="33" t="n"/>
      <c r="OY80" s="33" t="n"/>
      <c r="OZ80" s="33" t="n"/>
      <c r="PA80" s="33" t="n"/>
      <c r="PB80" s="33" t="n"/>
      <c r="PC80" s="33" t="n"/>
      <c r="PD80" s="33" t="n"/>
      <c r="PE80" s="33" t="n"/>
      <c r="PF80" s="33" t="n"/>
      <c r="PG80" s="33" t="n"/>
      <c r="PH80" s="33" t="n"/>
      <c r="PI80" s="33" t="n"/>
      <c r="PJ80" s="33" t="n"/>
      <c r="PK80" s="33" t="n"/>
      <c r="PL80" s="33" t="n"/>
      <c r="PM80" s="33" t="n"/>
      <c r="PN80" s="33" t="n"/>
      <c r="PO80" s="33" t="n"/>
      <c r="PP80" s="33" t="n"/>
      <c r="PQ80" s="33" t="n"/>
      <c r="PR80" s="33" t="n"/>
      <c r="PS80" s="33" t="n"/>
      <c r="PT80" s="33" t="n"/>
      <c r="PU80" s="33" t="n"/>
      <c r="PV80" s="33" t="n"/>
      <c r="PW80" s="33" t="n"/>
      <c r="PX80" s="33" t="n"/>
      <c r="PY80" s="33" t="n"/>
      <c r="PZ80" s="33" t="n"/>
      <c r="QA80" s="33" t="n"/>
      <c r="QB80" s="33" t="n"/>
      <c r="QC80" s="33" t="n"/>
      <c r="QD80" s="33" t="n"/>
      <c r="QE80" s="33" t="n"/>
      <c r="QF80" s="33" t="n"/>
      <c r="QG80" s="33" t="n"/>
      <c r="QH80" s="33" t="n"/>
      <c r="QI80" s="33" t="n"/>
      <c r="QJ80" s="33" t="n"/>
      <c r="QK80" s="33" t="n"/>
      <c r="QL80" s="33" t="n"/>
      <c r="QM80" s="33" t="n"/>
      <c r="QN80" s="33" t="n"/>
      <c r="QO80" s="33" t="n"/>
      <c r="QP80" s="33" t="n"/>
      <c r="QQ80" s="33" t="n"/>
      <c r="QR80" s="33" t="n"/>
      <c r="QS80" s="33" t="n"/>
      <c r="QT80" s="33" t="n"/>
      <c r="QU80" s="33" t="n"/>
      <c r="QV80" s="33" t="n"/>
      <c r="QW80" s="33" t="n"/>
      <c r="QX80" s="33" t="n"/>
      <c r="QY80" s="33" t="n"/>
      <c r="QZ80" s="33" t="n"/>
      <c r="RA80" s="33" t="n"/>
      <c r="RB80" s="33" t="n"/>
      <c r="RC80" s="33" t="n"/>
      <c r="RD80" s="33" t="n"/>
      <c r="RE80" s="33" t="n"/>
      <c r="RF80" s="33" t="n"/>
      <c r="RG80" s="33" t="n"/>
      <c r="RH80" s="33" t="n"/>
      <c r="RI80" s="33" t="n"/>
      <c r="RJ80" s="33" t="n"/>
      <c r="RK80" s="33" t="n"/>
      <c r="RL80" s="33" t="n"/>
      <c r="RM80" s="33" t="n"/>
      <c r="RN80" s="33" t="n"/>
      <c r="RO80" s="33" t="n"/>
      <c r="RP80" s="33" t="n"/>
      <c r="RQ80" s="33" t="n"/>
      <c r="RR80" s="33" t="n"/>
      <c r="RS80" s="33" t="n"/>
      <c r="RT80" s="33" t="n"/>
      <c r="RU80" s="33" t="n"/>
      <c r="RV80" s="33" t="n"/>
      <c r="RW80" s="33" t="n"/>
    </row>
    <row r="81" hidden="1" outlineLevel="1" ht="13.05" customHeight="1">
      <c r="E81" s="25" t="inlineStr">
        <is>
          <t>GoO Revenue</t>
        </is>
      </c>
      <c r="F81" s="26" t="n"/>
      <c r="G81" s="26" t="inlineStr">
        <is>
          <t>kEUR</t>
        </is>
      </c>
      <c r="H81" s="26" t="n"/>
      <c r="I81" s="26" t="n"/>
      <c r="J81" s="27" t="n"/>
      <c r="K81" s="26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  <c r="AP81" s="28" t="n"/>
      <c r="AQ81" s="28" t="n"/>
      <c r="AR81" s="28" t="n"/>
      <c r="AS81" s="28" t="n"/>
      <c r="AT81" s="28" t="n"/>
      <c r="AU81" s="28" t="n"/>
      <c r="AV81" s="28" t="n"/>
      <c r="AW81" s="28" t="n"/>
      <c r="AX81" s="28" t="n"/>
      <c r="AY81" s="28" t="n"/>
      <c r="AZ81" s="28" t="n"/>
      <c r="BA81" s="28" t="n"/>
      <c r="BB81" s="28" t="n"/>
      <c r="BC81" s="28" t="n"/>
      <c r="BD81" s="28" t="n"/>
      <c r="BE81" s="28" t="n"/>
      <c r="BF81" s="28" t="n"/>
      <c r="BG81" s="28" t="n"/>
      <c r="BH81" s="28" t="n"/>
      <c r="BI81" s="28" t="n"/>
      <c r="BJ81" s="28" t="n"/>
      <c r="BK81" s="28" t="n"/>
      <c r="BL81" s="28" t="n"/>
      <c r="BM81" s="28" t="n"/>
      <c r="BN81" s="28" t="n"/>
      <c r="BO81" s="28" t="n"/>
      <c r="BP81" s="28" t="n"/>
      <c r="BQ81" s="28" t="n"/>
      <c r="BR81" s="28" t="n"/>
      <c r="BS81" s="28" t="n"/>
      <c r="BT81" s="28" t="n"/>
      <c r="BU81" s="28" t="n"/>
      <c r="BV81" s="28" t="n"/>
      <c r="BW81" s="28" t="n"/>
      <c r="BX81" s="28" t="n"/>
      <c r="BY81" s="28" t="n"/>
      <c r="BZ81" s="28" t="n"/>
      <c r="CA81" s="28" t="n"/>
      <c r="CB81" s="28" t="n"/>
      <c r="CC81" s="28" t="n"/>
      <c r="CD81" s="28" t="n"/>
      <c r="CE81" s="28" t="n"/>
      <c r="CF81" s="28" t="n"/>
      <c r="CG81" s="28" t="n"/>
      <c r="CH81" s="28" t="n"/>
      <c r="CI81" s="28" t="n"/>
      <c r="CJ81" s="28" t="n"/>
      <c r="CK81" s="28" t="n"/>
      <c r="CL81" s="28" t="n"/>
      <c r="CM81" s="28" t="n"/>
      <c r="CN81" s="28" t="n"/>
      <c r="CO81" s="28" t="n"/>
      <c r="CP81" s="28" t="n"/>
      <c r="CQ81" s="28" t="n"/>
      <c r="CR81" s="28" t="n"/>
      <c r="CS81" s="28" t="n"/>
      <c r="CT81" s="28" t="n"/>
      <c r="CU81" s="28" t="n"/>
      <c r="CV81" s="28" t="n"/>
      <c r="CW81" s="28" t="n"/>
      <c r="CX81" s="28" t="n"/>
      <c r="CY81" s="28" t="n"/>
      <c r="CZ81" s="28" t="n"/>
      <c r="DA81" s="28" t="n"/>
      <c r="DB81" s="28" t="n"/>
      <c r="DC81" s="28" t="n"/>
      <c r="DD81" s="28" t="n"/>
      <c r="DE81" s="28" t="n"/>
      <c r="DF81" s="28" t="n"/>
      <c r="DG81" s="28" t="n"/>
      <c r="DH81" s="28" t="n"/>
      <c r="DI81" s="28" t="n"/>
      <c r="DJ81" s="28" t="n"/>
      <c r="DK81" s="28" t="n"/>
      <c r="DL81" s="28" t="n"/>
      <c r="DM81" s="28" t="n"/>
      <c r="DN81" s="28" t="n"/>
      <c r="DO81" s="28" t="n"/>
      <c r="DP81" s="28" t="n"/>
      <c r="DQ81" s="28" t="n"/>
      <c r="DR81" s="28" t="n"/>
      <c r="DS81" s="28" t="n"/>
      <c r="DT81" s="28" t="n"/>
      <c r="DU81" s="28" t="n"/>
      <c r="DV81" s="28" t="n"/>
      <c r="DW81" s="28" t="n"/>
      <c r="DX81" s="28" t="n"/>
      <c r="DY81" s="28" t="n"/>
      <c r="DZ81" s="28" t="n"/>
      <c r="EA81" s="28" t="n"/>
      <c r="EB81" s="28" t="n"/>
      <c r="EC81" s="28" t="n"/>
      <c r="ED81" s="28" t="n"/>
      <c r="EE81" s="28" t="n"/>
      <c r="EF81" s="28" t="n"/>
      <c r="EG81" s="28" t="n"/>
      <c r="EH81" s="28" t="n"/>
      <c r="EI81" s="28" t="n"/>
      <c r="EJ81" s="28" t="n"/>
      <c r="EK81" s="28" t="n"/>
      <c r="EL81" s="28" t="n"/>
      <c r="EM81" s="28" t="n"/>
      <c r="EN81" s="28" t="n"/>
      <c r="EO81" s="28" t="n"/>
      <c r="EP81" s="28" t="n"/>
      <c r="EQ81" s="28" t="n"/>
      <c r="ER81" s="28" t="n"/>
      <c r="ES81" s="28" t="n"/>
      <c r="ET81" s="28" t="n"/>
      <c r="EU81" s="28" t="n"/>
      <c r="EV81" s="28" t="n"/>
      <c r="EW81" s="28" t="n"/>
      <c r="EX81" s="28" t="n"/>
      <c r="EY81" s="28" t="n"/>
      <c r="EZ81" s="28" t="n"/>
      <c r="FA81" s="28" t="n"/>
      <c r="FB81" s="28" t="n"/>
      <c r="FC81" s="28" t="n"/>
      <c r="FD81" s="28" t="n"/>
      <c r="FE81" s="28" t="n"/>
      <c r="FF81" s="28" t="n"/>
      <c r="FG81" s="28" t="n"/>
      <c r="FH81" s="28" t="n"/>
      <c r="FI81" s="28" t="n"/>
      <c r="FJ81" s="28" t="n"/>
      <c r="FK81" s="28" t="n"/>
      <c r="FL81" s="28" t="n"/>
      <c r="FM81" s="28" t="n"/>
      <c r="FN81" s="28" t="n"/>
      <c r="FO81" s="28" t="n"/>
      <c r="FP81" s="28" t="n"/>
      <c r="FQ81" s="28" t="n"/>
      <c r="FR81" s="28" t="n"/>
      <c r="FS81" s="28" t="n"/>
      <c r="FT81" s="28" t="n"/>
      <c r="FU81" s="28" t="n"/>
      <c r="FV81" s="28" t="n"/>
      <c r="FW81" s="28" t="n"/>
      <c r="FX81" s="28" t="n"/>
      <c r="FY81" s="28" t="n"/>
      <c r="FZ81" s="28" t="n"/>
      <c r="GA81" s="28" t="n"/>
      <c r="GB81" s="28" t="n"/>
      <c r="GC81" s="28" t="n"/>
      <c r="GD81" s="28" t="n"/>
      <c r="GE81" s="28" t="n"/>
      <c r="GF81" s="28" t="n"/>
      <c r="GG81" s="28" t="n"/>
      <c r="GH81" s="28" t="n"/>
      <c r="GI81" s="28" t="n"/>
      <c r="GJ81" s="28" t="n"/>
      <c r="GK81" s="28" t="n"/>
      <c r="GL81" s="28" t="n"/>
      <c r="GM81" s="28" t="n"/>
      <c r="GN81" s="28" t="n"/>
      <c r="GO81" s="28" t="n"/>
      <c r="GP81" s="28" t="n"/>
      <c r="GQ81" s="28" t="n"/>
      <c r="GR81" s="28" t="n"/>
      <c r="GS81" s="28" t="n"/>
      <c r="GT81" s="28" t="n"/>
      <c r="GU81" s="28" t="n"/>
      <c r="GV81" s="28" t="n"/>
      <c r="GW81" s="28" t="n"/>
      <c r="GX81" s="28" t="n"/>
      <c r="GY81" s="28" t="n"/>
      <c r="GZ81" s="28" t="n"/>
      <c r="HA81" s="28" t="n"/>
      <c r="HB81" s="28" t="n"/>
      <c r="HC81" s="28" t="n"/>
      <c r="HD81" s="28" t="n"/>
      <c r="HE81" s="28" t="n"/>
      <c r="HF81" s="28" t="n"/>
      <c r="HG81" s="28" t="n"/>
      <c r="HH81" s="28" t="n"/>
      <c r="HI81" s="28" t="n"/>
      <c r="HJ81" s="28" t="n"/>
      <c r="HK81" s="28" t="n"/>
      <c r="HL81" s="28" t="n"/>
      <c r="HM81" s="28" t="n"/>
      <c r="HN81" s="28" t="n"/>
      <c r="HO81" s="28" t="n"/>
      <c r="HP81" s="28" t="n"/>
      <c r="HQ81" s="28" t="n"/>
      <c r="HR81" s="28" t="n"/>
      <c r="HS81" s="28" t="n"/>
      <c r="HT81" s="28" t="n"/>
      <c r="HU81" s="28" t="n"/>
      <c r="HV81" s="28" t="n"/>
      <c r="HW81" s="28" t="n"/>
      <c r="HX81" s="28" t="n"/>
      <c r="HY81" s="28" t="n"/>
      <c r="HZ81" s="28" t="n"/>
      <c r="IA81" s="28" t="n"/>
      <c r="IB81" s="28" t="n"/>
      <c r="IC81" s="28" t="n"/>
      <c r="ID81" s="28" t="n"/>
      <c r="IE81" s="28" t="n"/>
      <c r="IF81" s="28" t="n"/>
      <c r="IG81" s="28" t="n"/>
      <c r="IH81" s="28" t="n"/>
      <c r="II81" s="28" t="n"/>
      <c r="IJ81" s="28" t="n"/>
      <c r="IK81" s="28" t="n"/>
      <c r="IL81" s="28" t="n"/>
      <c r="IM81" s="28" t="n"/>
      <c r="IN81" s="28" t="n"/>
      <c r="IO81" s="28" t="n"/>
      <c r="IP81" s="28" t="n"/>
      <c r="IQ81" s="28" t="n"/>
      <c r="IR81" s="28" t="n"/>
      <c r="IS81" s="28" t="n"/>
      <c r="IT81" s="28" t="n"/>
      <c r="IU81" s="28" t="n"/>
      <c r="IV81" s="28" t="n"/>
      <c r="IW81" s="28" t="n"/>
      <c r="IX81" s="28" t="n"/>
      <c r="IY81" s="28" t="n"/>
      <c r="IZ81" s="28" t="n"/>
      <c r="JA81" s="28" t="n"/>
      <c r="JB81" s="28" t="n"/>
      <c r="JC81" s="28" t="n"/>
      <c r="JD81" s="28" t="n"/>
      <c r="JE81" s="28" t="n"/>
      <c r="JF81" s="28" t="n"/>
      <c r="JG81" s="28" t="n"/>
      <c r="JH81" s="28" t="n"/>
      <c r="JI81" s="28" t="n"/>
      <c r="JJ81" s="28" t="n"/>
      <c r="JK81" s="28" t="n"/>
      <c r="JL81" s="28" t="n"/>
      <c r="JM81" s="28" t="n"/>
      <c r="JN81" s="28" t="n"/>
      <c r="JO81" s="28" t="n"/>
      <c r="JP81" s="28" t="n"/>
      <c r="JQ81" s="28" t="n"/>
      <c r="JR81" s="28" t="n"/>
      <c r="JS81" s="28" t="n"/>
      <c r="JT81" s="28" t="n"/>
      <c r="JU81" s="28" t="n"/>
      <c r="JV81" s="28" t="n"/>
      <c r="JW81" s="28" t="n"/>
      <c r="JX81" s="28" t="n"/>
      <c r="JY81" s="28" t="n"/>
      <c r="JZ81" s="28" t="n"/>
      <c r="KA81" s="28" t="n"/>
      <c r="KB81" s="28" t="n"/>
      <c r="KC81" s="28" t="n"/>
      <c r="KD81" s="28" t="n"/>
      <c r="KE81" s="28" t="n"/>
      <c r="KF81" s="28" t="n"/>
      <c r="KG81" s="28" t="n"/>
      <c r="KH81" s="28" t="n"/>
      <c r="KI81" s="28" t="n"/>
      <c r="KJ81" s="28" t="n"/>
      <c r="KK81" s="28" t="n"/>
      <c r="KL81" s="28" t="n"/>
      <c r="KM81" s="28" t="n"/>
      <c r="KN81" s="28" t="n"/>
      <c r="KO81" s="28" t="n"/>
      <c r="KP81" s="28" t="n"/>
      <c r="KQ81" s="28" t="n"/>
      <c r="KR81" s="28" t="n"/>
      <c r="KS81" s="28" t="n"/>
      <c r="KT81" s="28" t="n"/>
      <c r="KU81" s="28" t="n"/>
      <c r="KV81" s="28" t="n"/>
      <c r="KW81" s="28" t="n"/>
      <c r="KX81" s="28" t="n"/>
      <c r="KY81" s="28" t="n"/>
      <c r="KZ81" s="28" t="n"/>
      <c r="LA81" s="28" t="n"/>
      <c r="LB81" s="28" t="n"/>
      <c r="LC81" s="28" t="n"/>
      <c r="LD81" s="28" t="n"/>
      <c r="LE81" s="28" t="n"/>
      <c r="LF81" s="28" t="n"/>
      <c r="LG81" s="28" t="n"/>
      <c r="LH81" s="28" t="n"/>
      <c r="LI81" s="28" t="n"/>
      <c r="LJ81" s="28" t="n"/>
      <c r="LK81" s="28" t="n"/>
      <c r="LL81" s="28" t="n"/>
      <c r="LM81" s="28" t="n"/>
      <c r="LN81" s="28" t="n"/>
      <c r="LO81" s="28" t="n"/>
      <c r="LP81" s="28" t="n"/>
      <c r="LQ81" s="28" t="n"/>
      <c r="LR81" s="28" t="n"/>
      <c r="LS81" s="28" t="n"/>
      <c r="LT81" s="28" t="n"/>
      <c r="LU81" s="28" t="n"/>
      <c r="LV81" s="28" t="n"/>
      <c r="LW81" s="28" t="n"/>
      <c r="LX81" s="28" t="n"/>
      <c r="LY81" s="28" t="n"/>
      <c r="LZ81" s="28" t="n"/>
      <c r="MA81" s="28" t="n"/>
      <c r="MB81" s="28" t="n"/>
      <c r="MC81" s="28" t="n"/>
      <c r="MD81" s="28" t="n"/>
      <c r="ME81" s="28" t="n"/>
      <c r="MF81" s="28" t="n"/>
      <c r="MG81" s="28" t="n"/>
      <c r="MH81" s="28" t="n"/>
      <c r="MI81" s="28" t="n"/>
      <c r="MJ81" s="28" t="n"/>
      <c r="MK81" s="28" t="n"/>
      <c r="ML81" s="28" t="n"/>
      <c r="MM81" s="28" t="n"/>
      <c r="MN81" s="28" t="n"/>
      <c r="MO81" s="28" t="n"/>
      <c r="MP81" s="28" t="n"/>
      <c r="MQ81" s="28" t="n"/>
      <c r="MR81" s="28" t="n"/>
      <c r="MS81" s="28" t="n"/>
      <c r="MT81" s="28" t="n"/>
      <c r="MU81" s="28" t="n"/>
      <c r="MV81" s="28" t="n"/>
      <c r="MW81" s="28" t="n"/>
      <c r="MX81" s="28" t="n"/>
      <c r="MY81" s="28" t="n"/>
      <c r="MZ81" s="28" t="n"/>
      <c r="NA81" s="28" t="n"/>
      <c r="NB81" s="28" t="n"/>
      <c r="NC81" s="28" t="n"/>
      <c r="ND81" s="28" t="n"/>
      <c r="NE81" s="28" t="n"/>
      <c r="NF81" s="28" t="n"/>
      <c r="NG81" s="28" t="n"/>
      <c r="NH81" s="28" t="n"/>
      <c r="NI81" s="28" t="n"/>
      <c r="NJ81" s="28" t="n"/>
      <c r="NK81" s="28" t="n"/>
      <c r="NL81" s="28" t="n"/>
      <c r="NM81" s="28" t="n"/>
      <c r="NN81" s="28" t="n"/>
      <c r="NO81" s="28" t="n"/>
      <c r="NP81" s="28" t="n"/>
      <c r="NQ81" s="28" t="n"/>
      <c r="NR81" s="28" t="n"/>
      <c r="NS81" s="28" t="n"/>
      <c r="NT81" s="28" t="n"/>
      <c r="NU81" s="28" t="n"/>
      <c r="NV81" s="28" t="n"/>
      <c r="NW81" s="28" t="n"/>
      <c r="NX81" s="28" t="n"/>
      <c r="NY81" s="28" t="n"/>
      <c r="NZ81" s="28" t="n"/>
      <c r="OA81" s="28" t="n"/>
      <c r="OB81" s="28" t="n"/>
      <c r="OC81" s="28" t="n"/>
      <c r="OD81" s="28" t="n"/>
      <c r="OE81" s="28" t="n"/>
      <c r="OF81" s="28" t="n"/>
      <c r="OG81" s="28" t="n"/>
      <c r="OH81" s="28" t="n"/>
      <c r="OI81" s="28" t="n"/>
      <c r="OJ81" s="28" t="n"/>
      <c r="OK81" s="28" t="n"/>
      <c r="OL81" s="28" t="n"/>
      <c r="OM81" s="28" t="n"/>
      <c r="ON81" s="28" t="n"/>
      <c r="OO81" s="28" t="n"/>
      <c r="OP81" s="28" t="n"/>
      <c r="OQ81" s="28" t="n"/>
      <c r="OR81" s="28" t="n"/>
      <c r="OS81" s="28" t="n"/>
      <c r="OT81" s="28" t="n"/>
      <c r="OU81" s="28" t="n"/>
      <c r="OV81" s="28" t="n"/>
      <c r="OW81" s="28" t="n"/>
      <c r="OX81" s="28" t="n"/>
      <c r="OY81" s="28" t="n"/>
      <c r="OZ81" s="28" t="n"/>
      <c r="PA81" s="28" t="n"/>
      <c r="PB81" s="28" t="n"/>
      <c r="PC81" s="28" t="n"/>
      <c r="PD81" s="28" t="n"/>
      <c r="PE81" s="28" t="n"/>
      <c r="PF81" s="28" t="n"/>
      <c r="PG81" s="28" t="n"/>
      <c r="PH81" s="28" t="n"/>
      <c r="PI81" s="28" t="n"/>
      <c r="PJ81" s="28" t="n"/>
      <c r="PK81" s="28" t="n"/>
      <c r="PL81" s="28" t="n"/>
      <c r="PM81" s="28" t="n"/>
      <c r="PN81" s="28" t="n"/>
      <c r="PO81" s="28" t="n"/>
      <c r="PP81" s="28" t="n"/>
      <c r="PQ81" s="28" t="n"/>
      <c r="PR81" s="28" t="n"/>
      <c r="PS81" s="28" t="n"/>
      <c r="PT81" s="28" t="n"/>
      <c r="PU81" s="28" t="n"/>
      <c r="PV81" s="28" t="n"/>
      <c r="PW81" s="28" t="n"/>
      <c r="PX81" s="28" t="n"/>
      <c r="PY81" s="28" t="n"/>
      <c r="PZ81" s="28" t="n"/>
      <c r="QA81" s="28" t="n"/>
      <c r="QB81" s="28" t="n"/>
      <c r="QC81" s="28" t="n"/>
      <c r="QD81" s="28" t="n"/>
      <c r="QE81" s="28" t="n"/>
      <c r="QF81" s="28" t="n"/>
      <c r="QG81" s="28" t="n"/>
      <c r="QH81" s="28" t="n"/>
      <c r="QI81" s="28" t="n"/>
      <c r="QJ81" s="28" t="n"/>
      <c r="QK81" s="28" t="n"/>
      <c r="QL81" s="28" t="n"/>
      <c r="QM81" s="28" t="n"/>
      <c r="QN81" s="28" t="n"/>
      <c r="QO81" s="28" t="n"/>
      <c r="QP81" s="28" t="n"/>
      <c r="QQ81" s="28" t="n"/>
      <c r="QR81" s="28" t="n"/>
      <c r="QS81" s="28" t="n"/>
      <c r="QT81" s="28" t="n"/>
      <c r="QU81" s="28" t="n"/>
      <c r="QV81" s="28" t="n"/>
      <c r="QW81" s="28" t="n"/>
      <c r="QX81" s="28" t="n"/>
      <c r="QY81" s="28" t="n"/>
      <c r="QZ81" s="28" t="n"/>
      <c r="RA81" s="28" t="n"/>
      <c r="RB81" s="28" t="n"/>
      <c r="RC81" s="28" t="n"/>
      <c r="RD81" s="28" t="n"/>
      <c r="RE81" s="28" t="n"/>
      <c r="RF81" s="28" t="n"/>
      <c r="RG81" s="28" t="n"/>
      <c r="RH81" s="28" t="n"/>
      <c r="RI81" s="28" t="n"/>
      <c r="RJ81" s="28" t="n"/>
      <c r="RK81" s="28" t="n"/>
      <c r="RL81" s="28" t="n"/>
      <c r="RM81" s="28" t="n"/>
      <c r="RN81" s="28" t="n"/>
      <c r="RO81" s="28" t="n"/>
      <c r="RP81" s="28" t="n"/>
      <c r="RQ81" s="28" t="n"/>
      <c r="RR81" s="28" t="n"/>
      <c r="RS81" s="28" t="n"/>
      <c r="RT81" s="28" t="n"/>
      <c r="RU81" s="28" t="n"/>
      <c r="RV81" s="28" t="n"/>
      <c r="RW81" s="28" t="n"/>
    </row>
    <row r="82" hidden="1" outlineLevel="1" ht="13.05" customHeight="1">
      <c r="E82" s="21" t="inlineStr">
        <is>
          <t>TSO Cost</t>
        </is>
      </c>
      <c r="F82" s="29" t="n"/>
      <c r="G82" s="29" t="inlineStr">
        <is>
          <t>kEUR</t>
        </is>
      </c>
      <c r="H82" s="29" t="n"/>
      <c r="I82" s="29" t="n"/>
      <c r="J82" s="32" t="n"/>
      <c r="K82" s="29" t="n"/>
      <c r="L82" s="33" t="n"/>
      <c r="M82" s="33" t="n"/>
      <c r="N82" s="33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n"/>
      <c r="AF82" s="33" t="n"/>
      <c r="AG82" s="33" t="n"/>
      <c r="AH82" s="33" t="n"/>
      <c r="AI82" s="33" t="n"/>
      <c r="AJ82" s="33" t="n"/>
      <c r="AK82" s="33" t="n"/>
      <c r="AL82" s="33" t="n"/>
      <c r="AM82" s="33" t="n"/>
      <c r="AN82" s="33" t="n"/>
      <c r="AO82" s="33" t="n"/>
      <c r="AP82" s="33" t="n"/>
      <c r="AQ82" s="33" t="n"/>
      <c r="AR82" s="33" t="n"/>
      <c r="AS82" s="33" t="n"/>
      <c r="AT82" s="33" t="n"/>
      <c r="AU82" s="33" t="n"/>
      <c r="AV82" s="33" t="n"/>
      <c r="AW82" s="33" t="n"/>
      <c r="AX82" s="33" t="n"/>
      <c r="AY82" s="33" t="n"/>
      <c r="AZ82" s="33" t="n"/>
      <c r="BA82" s="33" t="n"/>
      <c r="BB82" s="33" t="n"/>
      <c r="BC82" s="33" t="n"/>
      <c r="BD82" s="33" t="n"/>
      <c r="BE82" s="33" t="n"/>
      <c r="BF82" s="33" t="n"/>
      <c r="BG82" s="33" t="n"/>
      <c r="BH82" s="33" t="n"/>
      <c r="BI82" s="33" t="n"/>
      <c r="BJ82" s="33" t="n"/>
      <c r="BK82" s="33" t="n"/>
      <c r="BL82" s="33" t="n"/>
      <c r="BM82" s="33" t="n"/>
      <c r="BN82" s="33" t="n"/>
      <c r="BO82" s="33" t="n"/>
      <c r="BP82" s="33" t="n"/>
      <c r="BQ82" s="33" t="n"/>
      <c r="BR82" s="33" t="n"/>
      <c r="BS82" s="33" t="n"/>
      <c r="BT82" s="33" t="n"/>
      <c r="BU82" s="33" t="n"/>
      <c r="BV82" s="33" t="n"/>
      <c r="BW82" s="33" t="n"/>
      <c r="BX82" s="33" t="n"/>
      <c r="BY82" s="33" t="n"/>
      <c r="BZ82" s="33" t="n"/>
      <c r="CA82" s="33" t="n"/>
      <c r="CB82" s="33" t="n"/>
      <c r="CC82" s="33" t="n"/>
      <c r="CD82" s="33" t="n"/>
      <c r="CE82" s="33" t="n"/>
      <c r="CF82" s="33" t="n"/>
      <c r="CG82" s="33" t="n"/>
      <c r="CH82" s="33" t="n"/>
      <c r="CI82" s="33" t="n"/>
      <c r="CJ82" s="33" t="n"/>
      <c r="CK82" s="33" t="n"/>
      <c r="CL82" s="33" t="n"/>
      <c r="CM82" s="33" t="n"/>
      <c r="CN82" s="33" t="n"/>
      <c r="CO82" s="33" t="n"/>
      <c r="CP82" s="33" t="n"/>
      <c r="CQ82" s="33" t="n"/>
      <c r="CR82" s="33" t="n"/>
      <c r="CS82" s="33" t="n"/>
      <c r="CT82" s="33" t="n"/>
      <c r="CU82" s="33" t="n"/>
      <c r="CV82" s="33" t="n"/>
      <c r="CW82" s="33" t="n"/>
      <c r="CX82" s="33" t="n"/>
      <c r="CY82" s="33" t="n"/>
      <c r="CZ82" s="33" t="n"/>
      <c r="DA82" s="33" t="n"/>
      <c r="DB82" s="33" t="n"/>
      <c r="DC82" s="33" t="n"/>
      <c r="DD82" s="33" t="n"/>
      <c r="DE82" s="33" t="n"/>
      <c r="DF82" s="33" t="n"/>
      <c r="DG82" s="33" t="n"/>
      <c r="DH82" s="33" t="n"/>
      <c r="DI82" s="33" t="n"/>
      <c r="DJ82" s="33" t="n"/>
      <c r="DK82" s="33" t="n"/>
      <c r="DL82" s="33" t="n"/>
      <c r="DM82" s="33" t="n"/>
      <c r="DN82" s="33" t="n"/>
      <c r="DO82" s="33" t="n"/>
      <c r="DP82" s="33" t="n"/>
      <c r="DQ82" s="33" t="n"/>
      <c r="DR82" s="33" t="n"/>
      <c r="DS82" s="33" t="n"/>
      <c r="DT82" s="33" t="n"/>
      <c r="DU82" s="33" t="n"/>
      <c r="DV82" s="33" t="n"/>
      <c r="DW82" s="33" t="n"/>
      <c r="DX82" s="33" t="n"/>
      <c r="DY82" s="33" t="n"/>
      <c r="DZ82" s="33" t="n"/>
      <c r="EA82" s="33" t="n"/>
      <c r="EB82" s="33" t="n"/>
      <c r="EC82" s="33" t="n"/>
      <c r="ED82" s="33" t="n"/>
      <c r="EE82" s="33" t="n"/>
      <c r="EF82" s="33" t="n"/>
      <c r="EG82" s="33" t="n"/>
      <c r="EH82" s="33" t="n"/>
      <c r="EI82" s="33" t="n"/>
      <c r="EJ82" s="33" t="n"/>
      <c r="EK82" s="33" t="n"/>
      <c r="EL82" s="33" t="n"/>
      <c r="EM82" s="33" t="n"/>
      <c r="EN82" s="33" t="n"/>
      <c r="EO82" s="33" t="n"/>
      <c r="EP82" s="33" t="n"/>
      <c r="EQ82" s="33" t="n"/>
      <c r="ER82" s="33" t="n"/>
      <c r="ES82" s="33" t="n"/>
      <c r="ET82" s="33" t="n"/>
      <c r="EU82" s="33" t="n"/>
      <c r="EV82" s="33" t="n"/>
      <c r="EW82" s="33" t="n"/>
      <c r="EX82" s="33" t="n"/>
      <c r="EY82" s="33" t="n"/>
      <c r="EZ82" s="33" t="n"/>
      <c r="FA82" s="33" t="n"/>
      <c r="FB82" s="33" t="n"/>
      <c r="FC82" s="33" t="n"/>
      <c r="FD82" s="33" t="n"/>
      <c r="FE82" s="33" t="n"/>
      <c r="FF82" s="33" t="n"/>
      <c r="FG82" s="33" t="n"/>
      <c r="FH82" s="33" t="n"/>
      <c r="FI82" s="33" t="n"/>
      <c r="FJ82" s="33" t="n"/>
      <c r="FK82" s="33" t="n"/>
      <c r="FL82" s="33" t="n"/>
      <c r="FM82" s="33" t="n"/>
      <c r="FN82" s="33" t="n"/>
      <c r="FO82" s="33" t="n"/>
      <c r="FP82" s="33" t="n"/>
      <c r="FQ82" s="33" t="n"/>
      <c r="FR82" s="33" t="n"/>
      <c r="FS82" s="33" t="n"/>
      <c r="FT82" s="33" t="n"/>
      <c r="FU82" s="33" t="n"/>
      <c r="FV82" s="33" t="n"/>
      <c r="FW82" s="33" t="n"/>
      <c r="FX82" s="33" t="n"/>
      <c r="FY82" s="33" t="n"/>
      <c r="FZ82" s="33" t="n"/>
      <c r="GA82" s="33" t="n"/>
      <c r="GB82" s="33" t="n"/>
      <c r="GC82" s="33" t="n"/>
      <c r="GD82" s="33" t="n"/>
      <c r="GE82" s="33" t="n"/>
      <c r="GF82" s="33" t="n"/>
      <c r="GG82" s="33" t="n"/>
      <c r="GH82" s="33" t="n"/>
      <c r="GI82" s="33" t="n"/>
      <c r="GJ82" s="33" t="n"/>
      <c r="GK82" s="33" t="n"/>
      <c r="GL82" s="33" t="n"/>
      <c r="GM82" s="33" t="n"/>
      <c r="GN82" s="33" t="n"/>
      <c r="GO82" s="33" t="n"/>
      <c r="GP82" s="33" t="n"/>
      <c r="GQ82" s="33" t="n"/>
      <c r="GR82" s="33" t="n"/>
      <c r="GS82" s="33" t="n"/>
      <c r="GT82" s="33" t="n"/>
      <c r="GU82" s="33" t="n"/>
      <c r="GV82" s="33" t="n"/>
      <c r="GW82" s="33" t="n"/>
      <c r="GX82" s="33" t="n"/>
      <c r="GY82" s="33" t="n"/>
      <c r="GZ82" s="33" t="n"/>
      <c r="HA82" s="33" t="n"/>
      <c r="HB82" s="33" t="n"/>
      <c r="HC82" s="33" t="n"/>
      <c r="HD82" s="33" t="n"/>
      <c r="HE82" s="33" t="n"/>
      <c r="HF82" s="33" t="n"/>
      <c r="HG82" s="33" t="n"/>
      <c r="HH82" s="33" t="n"/>
      <c r="HI82" s="33" t="n"/>
      <c r="HJ82" s="33" t="n"/>
      <c r="HK82" s="33" t="n"/>
      <c r="HL82" s="33" t="n"/>
      <c r="HM82" s="33" t="n"/>
      <c r="HN82" s="33" t="n"/>
      <c r="HO82" s="33" t="n"/>
      <c r="HP82" s="33" t="n"/>
      <c r="HQ82" s="33" t="n"/>
      <c r="HR82" s="33" t="n"/>
      <c r="HS82" s="33" t="n"/>
      <c r="HT82" s="33" t="n"/>
      <c r="HU82" s="33" t="n"/>
      <c r="HV82" s="33" t="n"/>
      <c r="HW82" s="33" t="n"/>
      <c r="HX82" s="33" t="n"/>
      <c r="HY82" s="33" t="n"/>
      <c r="HZ82" s="33" t="n"/>
      <c r="IA82" s="33" t="n"/>
      <c r="IB82" s="33" t="n"/>
      <c r="IC82" s="33" t="n"/>
      <c r="ID82" s="33" t="n"/>
      <c r="IE82" s="33" t="n"/>
      <c r="IF82" s="33" t="n"/>
      <c r="IG82" s="33" t="n"/>
      <c r="IH82" s="33" t="n"/>
      <c r="II82" s="33" t="n"/>
      <c r="IJ82" s="33" t="n"/>
      <c r="IK82" s="33" t="n"/>
      <c r="IL82" s="33" t="n"/>
      <c r="IM82" s="33" t="n"/>
      <c r="IN82" s="33" t="n"/>
      <c r="IO82" s="33" t="n"/>
      <c r="IP82" s="33" t="n"/>
      <c r="IQ82" s="33" t="n"/>
      <c r="IR82" s="33" t="n"/>
      <c r="IS82" s="33" t="n"/>
      <c r="IT82" s="33" t="n"/>
      <c r="IU82" s="33" t="n"/>
      <c r="IV82" s="33" t="n"/>
      <c r="IW82" s="33" t="n"/>
      <c r="IX82" s="33" t="n"/>
      <c r="IY82" s="33" t="n"/>
      <c r="IZ82" s="33" t="n"/>
      <c r="JA82" s="33" t="n"/>
      <c r="JB82" s="33" t="n"/>
      <c r="JC82" s="33" t="n"/>
      <c r="JD82" s="33" t="n"/>
      <c r="JE82" s="33" t="n"/>
      <c r="JF82" s="33" t="n"/>
      <c r="JG82" s="33" t="n"/>
      <c r="JH82" s="33" t="n"/>
      <c r="JI82" s="33" t="n"/>
      <c r="JJ82" s="33" t="n"/>
      <c r="JK82" s="33" t="n"/>
      <c r="JL82" s="33" t="n"/>
      <c r="JM82" s="33" t="n"/>
      <c r="JN82" s="33" t="n"/>
      <c r="JO82" s="33" t="n"/>
      <c r="JP82" s="33" t="n"/>
      <c r="JQ82" s="33" t="n"/>
      <c r="JR82" s="33" t="n"/>
      <c r="JS82" s="33" t="n"/>
      <c r="JT82" s="33" t="n"/>
      <c r="JU82" s="33" t="n"/>
      <c r="JV82" s="33" t="n"/>
      <c r="JW82" s="33" t="n"/>
      <c r="JX82" s="33" t="n"/>
      <c r="JY82" s="33" t="n"/>
      <c r="JZ82" s="33" t="n"/>
      <c r="KA82" s="33" t="n"/>
      <c r="KB82" s="33" t="n"/>
      <c r="KC82" s="33" t="n"/>
      <c r="KD82" s="33" t="n"/>
      <c r="KE82" s="33" t="n"/>
      <c r="KF82" s="33" t="n"/>
      <c r="KG82" s="33" t="n"/>
      <c r="KH82" s="33" t="n"/>
      <c r="KI82" s="33" t="n"/>
      <c r="KJ82" s="33" t="n"/>
      <c r="KK82" s="33" t="n"/>
      <c r="KL82" s="33" t="n"/>
      <c r="KM82" s="33" t="n"/>
      <c r="KN82" s="33" t="n"/>
      <c r="KO82" s="33" t="n"/>
      <c r="KP82" s="33" t="n"/>
      <c r="KQ82" s="33" t="n"/>
      <c r="KR82" s="33" t="n"/>
      <c r="KS82" s="33" t="n"/>
      <c r="KT82" s="33" t="n"/>
      <c r="KU82" s="33" t="n"/>
      <c r="KV82" s="33" t="n"/>
      <c r="KW82" s="33" t="n"/>
      <c r="KX82" s="33" t="n"/>
      <c r="KY82" s="33" t="n"/>
      <c r="KZ82" s="33" t="n"/>
      <c r="LA82" s="33" t="n"/>
      <c r="LB82" s="33" t="n"/>
      <c r="LC82" s="33" t="n"/>
      <c r="LD82" s="33" t="n"/>
      <c r="LE82" s="33" t="n"/>
      <c r="LF82" s="33" t="n"/>
      <c r="LG82" s="33" t="n"/>
      <c r="LH82" s="33" t="n"/>
      <c r="LI82" s="33" t="n"/>
      <c r="LJ82" s="33" t="n"/>
      <c r="LK82" s="33" t="n"/>
      <c r="LL82" s="33" t="n"/>
      <c r="LM82" s="33" t="n"/>
      <c r="LN82" s="33" t="n"/>
      <c r="LO82" s="33" t="n"/>
      <c r="LP82" s="33" t="n"/>
      <c r="LQ82" s="33" t="n"/>
      <c r="LR82" s="33" t="n"/>
      <c r="LS82" s="33" t="n"/>
      <c r="LT82" s="33" t="n"/>
      <c r="LU82" s="33" t="n"/>
      <c r="LV82" s="33" t="n"/>
      <c r="LW82" s="33" t="n"/>
      <c r="LX82" s="33" t="n"/>
      <c r="LY82" s="33" t="n"/>
      <c r="LZ82" s="33" t="n"/>
      <c r="MA82" s="33" t="n"/>
      <c r="MB82" s="33" t="n"/>
      <c r="MC82" s="33" t="n"/>
      <c r="MD82" s="33" t="n"/>
      <c r="ME82" s="33" t="n"/>
      <c r="MF82" s="33" t="n"/>
      <c r="MG82" s="33" t="n"/>
      <c r="MH82" s="33" t="n"/>
      <c r="MI82" s="33" t="n"/>
      <c r="MJ82" s="33" t="n"/>
      <c r="MK82" s="33" t="n"/>
      <c r="ML82" s="33" t="n"/>
      <c r="MM82" s="33" t="n"/>
      <c r="MN82" s="33" t="n"/>
      <c r="MO82" s="33" t="n"/>
      <c r="MP82" s="33" t="n"/>
      <c r="MQ82" s="33" t="n"/>
      <c r="MR82" s="33" t="n"/>
      <c r="MS82" s="33" t="n"/>
      <c r="MT82" s="33" t="n"/>
      <c r="MU82" s="33" t="n"/>
      <c r="MV82" s="33" t="n"/>
      <c r="MW82" s="33" t="n"/>
      <c r="MX82" s="33" t="n"/>
      <c r="MY82" s="33" t="n"/>
      <c r="MZ82" s="33" t="n"/>
      <c r="NA82" s="33" t="n"/>
      <c r="NB82" s="33" t="n"/>
      <c r="NC82" s="33" t="n"/>
      <c r="ND82" s="33" t="n"/>
      <c r="NE82" s="33" t="n"/>
      <c r="NF82" s="33" t="n"/>
      <c r="NG82" s="33" t="n"/>
      <c r="NH82" s="33" t="n"/>
      <c r="NI82" s="33" t="n"/>
      <c r="NJ82" s="33" t="n"/>
      <c r="NK82" s="33" t="n"/>
      <c r="NL82" s="33" t="n"/>
      <c r="NM82" s="33" t="n"/>
      <c r="NN82" s="33" t="n"/>
      <c r="NO82" s="33" t="n"/>
      <c r="NP82" s="33" t="n"/>
      <c r="NQ82" s="33" t="n"/>
      <c r="NR82" s="33" t="n"/>
      <c r="NS82" s="33" t="n"/>
      <c r="NT82" s="33" t="n"/>
      <c r="NU82" s="33" t="n"/>
      <c r="NV82" s="33" t="n"/>
      <c r="NW82" s="33" t="n"/>
      <c r="NX82" s="33" t="n"/>
      <c r="NY82" s="33" t="n"/>
      <c r="NZ82" s="33" t="n"/>
      <c r="OA82" s="33" t="n"/>
      <c r="OB82" s="33" t="n"/>
      <c r="OC82" s="33" t="n"/>
      <c r="OD82" s="33" t="n"/>
      <c r="OE82" s="33" t="n"/>
      <c r="OF82" s="33" t="n"/>
      <c r="OG82" s="33" t="n"/>
      <c r="OH82" s="33" t="n"/>
      <c r="OI82" s="33" t="n"/>
      <c r="OJ82" s="33" t="n"/>
      <c r="OK82" s="33" t="n"/>
      <c r="OL82" s="33" t="n"/>
      <c r="OM82" s="33" t="n"/>
      <c r="ON82" s="33" t="n"/>
      <c r="OO82" s="33" t="n"/>
      <c r="OP82" s="33" t="n"/>
      <c r="OQ82" s="33" t="n"/>
      <c r="OR82" s="33" t="n"/>
      <c r="OS82" s="33" t="n"/>
      <c r="OT82" s="33" t="n"/>
      <c r="OU82" s="33" t="n"/>
      <c r="OV82" s="33" t="n"/>
      <c r="OW82" s="33" t="n"/>
      <c r="OX82" s="33" t="n"/>
      <c r="OY82" s="33" t="n"/>
      <c r="OZ82" s="33" t="n"/>
      <c r="PA82" s="33" t="n"/>
      <c r="PB82" s="33" t="n"/>
      <c r="PC82" s="33" t="n"/>
      <c r="PD82" s="33" t="n"/>
      <c r="PE82" s="33" t="n"/>
      <c r="PF82" s="33" t="n"/>
      <c r="PG82" s="33" t="n"/>
      <c r="PH82" s="33" t="n"/>
      <c r="PI82" s="33" t="n"/>
      <c r="PJ82" s="33" t="n"/>
      <c r="PK82" s="33" t="n"/>
      <c r="PL82" s="33" t="n"/>
      <c r="PM82" s="33" t="n"/>
      <c r="PN82" s="33" t="n"/>
      <c r="PO82" s="33" t="n"/>
      <c r="PP82" s="33" t="n"/>
      <c r="PQ82" s="33" t="n"/>
      <c r="PR82" s="33" t="n"/>
      <c r="PS82" s="33" t="n"/>
      <c r="PT82" s="33" t="n"/>
      <c r="PU82" s="33" t="n"/>
      <c r="PV82" s="33" t="n"/>
      <c r="PW82" s="33" t="n"/>
      <c r="PX82" s="33" t="n"/>
      <c r="PY82" s="33" t="n"/>
      <c r="PZ82" s="33" t="n"/>
      <c r="QA82" s="33" t="n"/>
      <c r="QB82" s="33" t="n"/>
      <c r="QC82" s="33" t="n"/>
      <c r="QD82" s="33" t="n"/>
      <c r="QE82" s="33" t="n"/>
      <c r="QF82" s="33" t="n"/>
      <c r="QG82" s="33" t="n"/>
      <c r="QH82" s="33" t="n"/>
      <c r="QI82" s="33" t="n"/>
      <c r="QJ82" s="33" t="n"/>
      <c r="QK82" s="33" t="n"/>
      <c r="QL82" s="33" t="n"/>
      <c r="QM82" s="33" t="n"/>
      <c r="QN82" s="33" t="n"/>
      <c r="QO82" s="33" t="n"/>
      <c r="QP82" s="33" t="n"/>
      <c r="QQ82" s="33" t="n"/>
      <c r="QR82" s="33" t="n"/>
      <c r="QS82" s="33" t="n"/>
      <c r="QT82" s="33" t="n"/>
      <c r="QU82" s="33" t="n"/>
      <c r="QV82" s="33" t="n"/>
      <c r="QW82" s="33" t="n"/>
      <c r="QX82" s="33" t="n"/>
      <c r="QY82" s="33" t="n"/>
      <c r="QZ82" s="33" t="n"/>
      <c r="RA82" s="33" t="n"/>
      <c r="RB82" s="33" t="n"/>
      <c r="RC82" s="33" t="n"/>
      <c r="RD82" s="33" t="n"/>
      <c r="RE82" s="33" t="n"/>
      <c r="RF82" s="33" t="n"/>
      <c r="RG82" s="33" t="n"/>
      <c r="RH82" s="33" t="n"/>
      <c r="RI82" s="33" t="n"/>
      <c r="RJ82" s="33" t="n"/>
      <c r="RK82" s="33" t="n"/>
      <c r="RL82" s="33" t="n"/>
      <c r="RM82" s="33" t="n"/>
      <c r="RN82" s="33" t="n"/>
      <c r="RO82" s="33" t="n"/>
      <c r="RP82" s="33" t="n"/>
      <c r="RQ82" s="33" t="n"/>
      <c r="RR82" s="33" t="n"/>
      <c r="RS82" s="33" t="n"/>
      <c r="RT82" s="33" t="n"/>
      <c r="RU82" s="33" t="n"/>
      <c r="RV82" s="33" t="n"/>
      <c r="RW82" s="33" t="n"/>
    </row>
    <row r="83" hidden="1" outlineLevel="1" ht="13.05" customHeight="1">
      <c r="E83" s="21" t="inlineStr">
        <is>
          <t>DSO Cost</t>
        </is>
      </c>
      <c r="F83" s="29" t="n"/>
      <c r="G83" s="29" t="inlineStr">
        <is>
          <t>kEUR</t>
        </is>
      </c>
      <c r="H83" s="29" t="n"/>
      <c r="I83" s="29" t="n"/>
      <c r="J83" s="32" t="n"/>
      <c r="K83" s="29" t="n"/>
      <c r="L83" s="33" t="n"/>
      <c r="M83" s="33" t="n"/>
      <c r="N83" s="33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n"/>
      <c r="AF83" s="33" t="n"/>
      <c r="AG83" s="33" t="n"/>
      <c r="AH83" s="33" t="n"/>
      <c r="AI83" s="33" t="n"/>
      <c r="AJ83" s="33" t="n"/>
      <c r="AK83" s="33" t="n"/>
      <c r="AL83" s="33" t="n"/>
      <c r="AM83" s="33" t="n"/>
      <c r="AN83" s="33" t="n"/>
      <c r="AO83" s="33" t="n"/>
      <c r="AP83" s="33" t="n"/>
      <c r="AQ83" s="33" t="n"/>
      <c r="AR83" s="33" t="n"/>
      <c r="AS83" s="33" t="n"/>
      <c r="AT83" s="33" t="n"/>
      <c r="AU83" s="33" t="n"/>
      <c r="AV83" s="33" t="n"/>
      <c r="AW83" s="33" t="n"/>
      <c r="AX83" s="33" t="n"/>
      <c r="AY83" s="33" t="n"/>
      <c r="AZ83" s="33" t="n"/>
      <c r="BA83" s="33" t="n"/>
      <c r="BB83" s="33" t="n"/>
      <c r="BC83" s="33" t="n"/>
      <c r="BD83" s="33" t="n"/>
      <c r="BE83" s="33" t="n"/>
      <c r="BF83" s="33" t="n"/>
      <c r="BG83" s="33" t="n"/>
      <c r="BH83" s="33" t="n"/>
      <c r="BI83" s="33" t="n"/>
      <c r="BJ83" s="33" t="n"/>
      <c r="BK83" s="33" t="n"/>
      <c r="BL83" s="33" t="n"/>
      <c r="BM83" s="33" t="n"/>
      <c r="BN83" s="33" t="n"/>
      <c r="BO83" s="33" t="n"/>
      <c r="BP83" s="33" t="n"/>
      <c r="BQ83" s="33" t="n"/>
      <c r="BR83" s="33" t="n"/>
      <c r="BS83" s="33" t="n"/>
      <c r="BT83" s="33" t="n"/>
      <c r="BU83" s="33" t="n"/>
      <c r="BV83" s="33" t="n"/>
      <c r="BW83" s="33" t="n"/>
      <c r="BX83" s="33" t="n"/>
      <c r="BY83" s="33" t="n"/>
      <c r="BZ83" s="33" t="n"/>
      <c r="CA83" s="33" t="n"/>
      <c r="CB83" s="33" t="n"/>
      <c r="CC83" s="33" t="n"/>
      <c r="CD83" s="33" t="n"/>
      <c r="CE83" s="33" t="n"/>
      <c r="CF83" s="33" t="n"/>
      <c r="CG83" s="33" t="n"/>
      <c r="CH83" s="33" t="n"/>
      <c r="CI83" s="33" t="n"/>
      <c r="CJ83" s="33" t="n"/>
      <c r="CK83" s="33" t="n"/>
      <c r="CL83" s="33" t="n"/>
      <c r="CM83" s="33" t="n"/>
      <c r="CN83" s="33" t="n"/>
      <c r="CO83" s="33" t="n"/>
      <c r="CP83" s="33" t="n"/>
      <c r="CQ83" s="33" t="n"/>
      <c r="CR83" s="33" t="n"/>
      <c r="CS83" s="33" t="n"/>
      <c r="CT83" s="33" t="n"/>
      <c r="CU83" s="33" t="n"/>
      <c r="CV83" s="33" t="n"/>
      <c r="CW83" s="33" t="n"/>
      <c r="CX83" s="33" t="n"/>
      <c r="CY83" s="33" t="n"/>
      <c r="CZ83" s="33" t="n"/>
      <c r="DA83" s="33" t="n"/>
      <c r="DB83" s="33" t="n"/>
      <c r="DC83" s="33" t="n"/>
      <c r="DD83" s="33" t="n"/>
      <c r="DE83" s="33" t="n"/>
      <c r="DF83" s="33" t="n"/>
      <c r="DG83" s="33" t="n"/>
      <c r="DH83" s="33" t="n"/>
      <c r="DI83" s="33" t="n"/>
      <c r="DJ83" s="33" t="n"/>
      <c r="DK83" s="33" t="n"/>
      <c r="DL83" s="33" t="n"/>
      <c r="DM83" s="33" t="n"/>
      <c r="DN83" s="33" t="n"/>
      <c r="DO83" s="33" t="n"/>
      <c r="DP83" s="33" t="n"/>
      <c r="DQ83" s="33" t="n"/>
      <c r="DR83" s="33" t="n"/>
      <c r="DS83" s="33" t="n"/>
      <c r="DT83" s="33" t="n"/>
      <c r="DU83" s="33" t="n"/>
      <c r="DV83" s="33" t="n"/>
      <c r="DW83" s="33" t="n"/>
      <c r="DX83" s="33" t="n"/>
      <c r="DY83" s="33" t="n"/>
      <c r="DZ83" s="33" t="n"/>
      <c r="EA83" s="33" t="n"/>
      <c r="EB83" s="33" t="n"/>
      <c r="EC83" s="33" t="n"/>
      <c r="ED83" s="33" t="n"/>
      <c r="EE83" s="33" t="n"/>
      <c r="EF83" s="33" t="n"/>
      <c r="EG83" s="33" t="n"/>
      <c r="EH83" s="33" t="n"/>
      <c r="EI83" s="33" t="n"/>
      <c r="EJ83" s="33" t="n"/>
      <c r="EK83" s="33" t="n"/>
      <c r="EL83" s="33" t="n"/>
      <c r="EM83" s="33" t="n"/>
      <c r="EN83" s="33" t="n"/>
      <c r="EO83" s="33" t="n"/>
      <c r="EP83" s="33" t="n"/>
      <c r="EQ83" s="33" t="n"/>
      <c r="ER83" s="33" t="n"/>
      <c r="ES83" s="33" t="n"/>
      <c r="ET83" s="33" t="n"/>
      <c r="EU83" s="33" t="n"/>
      <c r="EV83" s="33" t="n"/>
      <c r="EW83" s="33" t="n"/>
      <c r="EX83" s="33" t="n"/>
      <c r="EY83" s="33" t="n"/>
      <c r="EZ83" s="33" t="n"/>
      <c r="FA83" s="33" t="n"/>
      <c r="FB83" s="33" t="n"/>
      <c r="FC83" s="33" t="n"/>
      <c r="FD83" s="33" t="n"/>
      <c r="FE83" s="33" t="n"/>
      <c r="FF83" s="33" t="n"/>
      <c r="FG83" s="33" t="n"/>
      <c r="FH83" s="33" t="n"/>
      <c r="FI83" s="33" t="n"/>
      <c r="FJ83" s="33" t="n"/>
      <c r="FK83" s="33" t="n"/>
      <c r="FL83" s="33" t="n"/>
      <c r="FM83" s="33" t="n"/>
      <c r="FN83" s="33" t="n"/>
      <c r="FO83" s="33" t="n"/>
      <c r="FP83" s="33" t="n"/>
      <c r="FQ83" s="33" t="n"/>
      <c r="FR83" s="33" t="n"/>
      <c r="FS83" s="33" t="n"/>
      <c r="FT83" s="33" t="n"/>
      <c r="FU83" s="33" t="n"/>
      <c r="FV83" s="33" t="n"/>
      <c r="FW83" s="33" t="n"/>
      <c r="FX83" s="33" t="n"/>
      <c r="FY83" s="33" t="n"/>
      <c r="FZ83" s="33" t="n"/>
      <c r="GA83" s="33" t="n"/>
      <c r="GB83" s="33" t="n"/>
      <c r="GC83" s="33" t="n"/>
      <c r="GD83" s="33" t="n"/>
      <c r="GE83" s="33" t="n"/>
      <c r="GF83" s="33" t="n"/>
      <c r="GG83" s="33" t="n"/>
      <c r="GH83" s="33" t="n"/>
      <c r="GI83" s="33" t="n"/>
      <c r="GJ83" s="33" t="n"/>
      <c r="GK83" s="33" t="n"/>
      <c r="GL83" s="33" t="n"/>
      <c r="GM83" s="33" t="n"/>
      <c r="GN83" s="33" t="n"/>
      <c r="GO83" s="33" t="n"/>
      <c r="GP83" s="33" t="n"/>
      <c r="GQ83" s="33" t="n"/>
      <c r="GR83" s="33" t="n"/>
      <c r="GS83" s="33" t="n"/>
      <c r="GT83" s="33" t="n"/>
      <c r="GU83" s="33" t="n"/>
      <c r="GV83" s="33" t="n"/>
      <c r="GW83" s="33" t="n"/>
      <c r="GX83" s="33" t="n"/>
      <c r="GY83" s="33" t="n"/>
      <c r="GZ83" s="33" t="n"/>
      <c r="HA83" s="33" t="n"/>
      <c r="HB83" s="33" t="n"/>
      <c r="HC83" s="33" t="n"/>
      <c r="HD83" s="33" t="n"/>
      <c r="HE83" s="33" t="n"/>
      <c r="HF83" s="33" t="n"/>
      <c r="HG83" s="33" t="n"/>
      <c r="HH83" s="33" t="n"/>
      <c r="HI83" s="33" t="n"/>
      <c r="HJ83" s="33" t="n"/>
      <c r="HK83" s="33" t="n"/>
      <c r="HL83" s="33" t="n"/>
      <c r="HM83" s="33" t="n"/>
      <c r="HN83" s="33" t="n"/>
      <c r="HO83" s="33" t="n"/>
      <c r="HP83" s="33" t="n"/>
      <c r="HQ83" s="33" t="n"/>
      <c r="HR83" s="33" t="n"/>
      <c r="HS83" s="33" t="n"/>
      <c r="HT83" s="33" t="n"/>
      <c r="HU83" s="33" t="n"/>
      <c r="HV83" s="33" t="n"/>
      <c r="HW83" s="33" t="n"/>
      <c r="HX83" s="33" t="n"/>
      <c r="HY83" s="33" t="n"/>
      <c r="HZ83" s="33" t="n"/>
      <c r="IA83" s="33" t="n"/>
      <c r="IB83" s="33" t="n"/>
      <c r="IC83" s="33" t="n"/>
      <c r="ID83" s="33" t="n"/>
      <c r="IE83" s="33" t="n"/>
      <c r="IF83" s="33" t="n"/>
      <c r="IG83" s="33" t="n"/>
      <c r="IH83" s="33" t="n"/>
      <c r="II83" s="33" t="n"/>
      <c r="IJ83" s="33" t="n"/>
      <c r="IK83" s="33" t="n"/>
      <c r="IL83" s="33" t="n"/>
      <c r="IM83" s="33" t="n"/>
      <c r="IN83" s="33" t="n"/>
      <c r="IO83" s="33" t="n"/>
      <c r="IP83" s="33" t="n"/>
      <c r="IQ83" s="33" t="n"/>
      <c r="IR83" s="33" t="n"/>
      <c r="IS83" s="33" t="n"/>
      <c r="IT83" s="33" t="n"/>
      <c r="IU83" s="33" t="n"/>
      <c r="IV83" s="33" t="n"/>
      <c r="IW83" s="33" t="n"/>
      <c r="IX83" s="33" t="n"/>
      <c r="IY83" s="33" t="n"/>
      <c r="IZ83" s="33" t="n"/>
      <c r="JA83" s="33" t="n"/>
      <c r="JB83" s="33" t="n"/>
      <c r="JC83" s="33" t="n"/>
      <c r="JD83" s="33" t="n"/>
      <c r="JE83" s="33" t="n"/>
      <c r="JF83" s="33" t="n"/>
      <c r="JG83" s="33" t="n"/>
      <c r="JH83" s="33" t="n"/>
      <c r="JI83" s="33" t="n"/>
      <c r="JJ83" s="33" t="n"/>
      <c r="JK83" s="33" t="n"/>
      <c r="JL83" s="33" t="n"/>
      <c r="JM83" s="33" t="n"/>
      <c r="JN83" s="33" t="n"/>
      <c r="JO83" s="33" t="n"/>
      <c r="JP83" s="33" t="n"/>
      <c r="JQ83" s="33" t="n"/>
      <c r="JR83" s="33" t="n"/>
      <c r="JS83" s="33" t="n"/>
      <c r="JT83" s="33" t="n"/>
      <c r="JU83" s="33" t="n"/>
      <c r="JV83" s="33" t="n"/>
      <c r="JW83" s="33" t="n"/>
      <c r="JX83" s="33" t="n"/>
      <c r="JY83" s="33" t="n"/>
      <c r="JZ83" s="33" t="n"/>
      <c r="KA83" s="33" t="n"/>
      <c r="KB83" s="33" t="n"/>
      <c r="KC83" s="33" t="n"/>
      <c r="KD83" s="33" t="n"/>
      <c r="KE83" s="33" t="n"/>
      <c r="KF83" s="33" t="n"/>
      <c r="KG83" s="33" t="n"/>
      <c r="KH83" s="33" t="n"/>
      <c r="KI83" s="33" t="n"/>
      <c r="KJ83" s="33" t="n"/>
      <c r="KK83" s="33" t="n"/>
      <c r="KL83" s="33" t="n"/>
      <c r="KM83" s="33" t="n"/>
      <c r="KN83" s="33" t="n"/>
      <c r="KO83" s="33" t="n"/>
      <c r="KP83" s="33" t="n"/>
      <c r="KQ83" s="33" t="n"/>
      <c r="KR83" s="33" t="n"/>
      <c r="KS83" s="33" t="n"/>
      <c r="KT83" s="33" t="n"/>
      <c r="KU83" s="33" t="n"/>
      <c r="KV83" s="33" t="n"/>
      <c r="KW83" s="33" t="n"/>
      <c r="KX83" s="33" t="n"/>
      <c r="KY83" s="33" t="n"/>
      <c r="KZ83" s="33" t="n"/>
      <c r="LA83" s="33" t="n"/>
      <c r="LB83" s="33" t="n"/>
      <c r="LC83" s="33" t="n"/>
      <c r="LD83" s="33" t="n"/>
      <c r="LE83" s="33" t="n"/>
      <c r="LF83" s="33" t="n"/>
      <c r="LG83" s="33" t="n"/>
      <c r="LH83" s="33" t="n"/>
      <c r="LI83" s="33" t="n"/>
      <c r="LJ83" s="33" t="n"/>
      <c r="LK83" s="33" t="n"/>
      <c r="LL83" s="33" t="n"/>
      <c r="LM83" s="33" t="n"/>
      <c r="LN83" s="33" t="n"/>
      <c r="LO83" s="33" t="n"/>
      <c r="LP83" s="33" t="n"/>
      <c r="LQ83" s="33" t="n"/>
      <c r="LR83" s="33" t="n"/>
      <c r="LS83" s="33" t="n"/>
      <c r="LT83" s="33" t="n"/>
      <c r="LU83" s="33" t="n"/>
      <c r="LV83" s="33" t="n"/>
      <c r="LW83" s="33" t="n"/>
      <c r="LX83" s="33" t="n"/>
      <c r="LY83" s="33" t="n"/>
      <c r="LZ83" s="33" t="n"/>
      <c r="MA83" s="33" t="n"/>
      <c r="MB83" s="33" t="n"/>
      <c r="MC83" s="33" t="n"/>
      <c r="MD83" s="33" t="n"/>
      <c r="ME83" s="33" t="n"/>
      <c r="MF83" s="33" t="n"/>
      <c r="MG83" s="33" t="n"/>
      <c r="MH83" s="33" t="n"/>
      <c r="MI83" s="33" t="n"/>
      <c r="MJ83" s="33" t="n"/>
      <c r="MK83" s="33" t="n"/>
      <c r="ML83" s="33" t="n"/>
      <c r="MM83" s="33" t="n"/>
      <c r="MN83" s="33" t="n"/>
      <c r="MO83" s="33" t="n"/>
      <c r="MP83" s="33" t="n"/>
      <c r="MQ83" s="33" t="n"/>
      <c r="MR83" s="33" t="n"/>
      <c r="MS83" s="33" t="n"/>
      <c r="MT83" s="33" t="n"/>
      <c r="MU83" s="33" t="n"/>
      <c r="MV83" s="33" t="n"/>
      <c r="MW83" s="33" t="n"/>
      <c r="MX83" s="33" t="n"/>
      <c r="MY83" s="33" t="n"/>
      <c r="MZ83" s="33" t="n"/>
      <c r="NA83" s="33" t="n"/>
      <c r="NB83" s="33" t="n"/>
      <c r="NC83" s="33" t="n"/>
      <c r="ND83" s="33" t="n"/>
      <c r="NE83" s="33" t="n"/>
      <c r="NF83" s="33" t="n"/>
      <c r="NG83" s="33" t="n"/>
      <c r="NH83" s="33" t="n"/>
      <c r="NI83" s="33" t="n"/>
      <c r="NJ83" s="33" t="n"/>
      <c r="NK83" s="33" t="n"/>
      <c r="NL83" s="33" t="n"/>
      <c r="NM83" s="33" t="n"/>
      <c r="NN83" s="33" t="n"/>
      <c r="NO83" s="33" t="n"/>
      <c r="NP83" s="33" t="n"/>
      <c r="NQ83" s="33" t="n"/>
      <c r="NR83" s="33" t="n"/>
      <c r="NS83" s="33" t="n"/>
      <c r="NT83" s="33" t="n"/>
      <c r="NU83" s="33" t="n"/>
      <c r="NV83" s="33" t="n"/>
      <c r="NW83" s="33" t="n"/>
      <c r="NX83" s="33" t="n"/>
      <c r="NY83" s="33" t="n"/>
      <c r="NZ83" s="33" t="n"/>
      <c r="OA83" s="33" t="n"/>
      <c r="OB83" s="33" t="n"/>
      <c r="OC83" s="33" t="n"/>
      <c r="OD83" s="33" t="n"/>
      <c r="OE83" s="33" t="n"/>
      <c r="OF83" s="33" t="n"/>
      <c r="OG83" s="33" t="n"/>
      <c r="OH83" s="33" t="n"/>
      <c r="OI83" s="33" t="n"/>
      <c r="OJ83" s="33" t="n"/>
      <c r="OK83" s="33" t="n"/>
      <c r="OL83" s="33" t="n"/>
      <c r="OM83" s="33" t="n"/>
      <c r="ON83" s="33" t="n"/>
      <c r="OO83" s="33" t="n"/>
      <c r="OP83" s="33" t="n"/>
      <c r="OQ83" s="33" t="n"/>
      <c r="OR83" s="33" t="n"/>
      <c r="OS83" s="33" t="n"/>
      <c r="OT83" s="33" t="n"/>
      <c r="OU83" s="33" t="n"/>
      <c r="OV83" s="33" t="n"/>
      <c r="OW83" s="33" t="n"/>
      <c r="OX83" s="33" t="n"/>
      <c r="OY83" s="33" t="n"/>
      <c r="OZ83" s="33" t="n"/>
      <c r="PA83" s="33" t="n"/>
      <c r="PB83" s="33" t="n"/>
      <c r="PC83" s="33" t="n"/>
      <c r="PD83" s="33" t="n"/>
      <c r="PE83" s="33" t="n"/>
      <c r="PF83" s="33" t="n"/>
      <c r="PG83" s="33" t="n"/>
      <c r="PH83" s="33" t="n"/>
      <c r="PI83" s="33" t="n"/>
      <c r="PJ83" s="33" t="n"/>
      <c r="PK83" s="33" t="n"/>
      <c r="PL83" s="33" t="n"/>
      <c r="PM83" s="33" t="n"/>
      <c r="PN83" s="33" t="n"/>
      <c r="PO83" s="33" t="n"/>
      <c r="PP83" s="33" t="n"/>
      <c r="PQ83" s="33" t="n"/>
      <c r="PR83" s="33" t="n"/>
      <c r="PS83" s="33" t="n"/>
      <c r="PT83" s="33" t="n"/>
      <c r="PU83" s="33" t="n"/>
      <c r="PV83" s="33" t="n"/>
      <c r="PW83" s="33" t="n"/>
      <c r="PX83" s="33" t="n"/>
      <c r="PY83" s="33" t="n"/>
      <c r="PZ83" s="33" t="n"/>
      <c r="QA83" s="33" t="n"/>
      <c r="QB83" s="33" t="n"/>
      <c r="QC83" s="33" t="n"/>
      <c r="QD83" s="33" t="n"/>
      <c r="QE83" s="33" t="n"/>
      <c r="QF83" s="33" t="n"/>
      <c r="QG83" s="33" t="n"/>
      <c r="QH83" s="33" t="n"/>
      <c r="QI83" s="33" t="n"/>
      <c r="QJ83" s="33" t="n"/>
      <c r="QK83" s="33" t="n"/>
      <c r="QL83" s="33" t="n"/>
      <c r="QM83" s="33" t="n"/>
      <c r="QN83" s="33" t="n"/>
      <c r="QO83" s="33" t="n"/>
      <c r="QP83" s="33" t="n"/>
      <c r="QQ83" s="33" t="n"/>
      <c r="QR83" s="33" t="n"/>
      <c r="QS83" s="33" t="n"/>
      <c r="QT83" s="33" t="n"/>
      <c r="QU83" s="33" t="n"/>
      <c r="QV83" s="33" t="n"/>
      <c r="QW83" s="33" t="n"/>
      <c r="QX83" s="33" t="n"/>
      <c r="QY83" s="33" t="n"/>
      <c r="QZ83" s="33" t="n"/>
      <c r="RA83" s="33" t="n"/>
      <c r="RB83" s="33" t="n"/>
      <c r="RC83" s="33" t="n"/>
      <c r="RD83" s="33" t="n"/>
      <c r="RE83" s="33" t="n"/>
      <c r="RF83" s="33" t="n"/>
      <c r="RG83" s="33" t="n"/>
      <c r="RH83" s="33" t="n"/>
      <c r="RI83" s="33" t="n"/>
      <c r="RJ83" s="33" t="n"/>
      <c r="RK83" s="33" t="n"/>
      <c r="RL83" s="33" t="n"/>
      <c r="RM83" s="33" t="n"/>
      <c r="RN83" s="33" t="n"/>
      <c r="RO83" s="33" t="n"/>
      <c r="RP83" s="33" t="n"/>
      <c r="RQ83" s="33" t="n"/>
      <c r="RR83" s="33" t="n"/>
      <c r="RS83" s="33" t="n"/>
      <c r="RT83" s="33" t="n"/>
      <c r="RU83" s="33" t="n"/>
      <c r="RV83" s="33" t="n"/>
      <c r="RW83" s="33" t="n"/>
    </row>
    <row r="84" hidden="1" outlineLevel="1" ht="13.05" customHeight="1">
      <c r="E84" s="21" t="inlineStr">
        <is>
          <t>Nord Pool Cost</t>
        </is>
      </c>
      <c r="F84" s="29" t="n"/>
      <c r="G84" s="29" t="inlineStr">
        <is>
          <t>kEUR</t>
        </is>
      </c>
      <c r="H84" s="29" t="n"/>
      <c r="I84" s="29" t="n"/>
      <c r="J84" s="32" t="n"/>
      <c r="K84" s="29" t="n"/>
      <c r="L84" s="33" t="n"/>
      <c r="M84" s="33" t="n"/>
      <c r="N84" s="33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n"/>
      <c r="AF84" s="33" t="n"/>
      <c r="AG84" s="33" t="n"/>
      <c r="AH84" s="33" t="n"/>
      <c r="AI84" s="33" t="n"/>
      <c r="AJ84" s="33" t="n"/>
      <c r="AK84" s="33" t="n"/>
      <c r="AL84" s="33" t="n"/>
      <c r="AM84" s="33" t="n"/>
      <c r="AN84" s="33" t="n"/>
      <c r="AO84" s="33" t="n"/>
      <c r="AP84" s="33" t="n"/>
      <c r="AQ84" s="33" t="n"/>
      <c r="AR84" s="33" t="n"/>
      <c r="AS84" s="33" t="n"/>
      <c r="AT84" s="33" t="n"/>
      <c r="AU84" s="33" t="n"/>
      <c r="AV84" s="33" t="n"/>
      <c r="AW84" s="33" t="n"/>
      <c r="AX84" s="33" t="n"/>
      <c r="AY84" s="33" t="n"/>
      <c r="AZ84" s="33" t="n"/>
      <c r="BA84" s="33" t="n"/>
      <c r="BB84" s="33" t="n"/>
      <c r="BC84" s="33" t="n"/>
      <c r="BD84" s="33" t="n"/>
      <c r="BE84" s="33" t="n"/>
      <c r="BF84" s="33" t="n"/>
      <c r="BG84" s="33" t="n"/>
      <c r="BH84" s="33" t="n"/>
      <c r="BI84" s="33" t="n"/>
      <c r="BJ84" s="33" t="n"/>
      <c r="BK84" s="33" t="n"/>
      <c r="BL84" s="33" t="n"/>
      <c r="BM84" s="33" t="n"/>
      <c r="BN84" s="33" t="n"/>
      <c r="BO84" s="33" t="n"/>
      <c r="BP84" s="33" t="n"/>
      <c r="BQ84" s="33" t="n"/>
      <c r="BR84" s="33" t="n"/>
      <c r="BS84" s="33" t="n"/>
      <c r="BT84" s="33" t="n"/>
      <c r="BU84" s="33" t="n"/>
      <c r="BV84" s="33" t="n"/>
      <c r="BW84" s="33" t="n"/>
      <c r="BX84" s="33" t="n"/>
      <c r="BY84" s="33" t="n"/>
      <c r="BZ84" s="33" t="n"/>
      <c r="CA84" s="33" t="n"/>
      <c r="CB84" s="33" t="n"/>
      <c r="CC84" s="33" t="n"/>
      <c r="CD84" s="33" t="n"/>
      <c r="CE84" s="33" t="n"/>
      <c r="CF84" s="33" t="n"/>
      <c r="CG84" s="33" t="n"/>
      <c r="CH84" s="33" t="n"/>
      <c r="CI84" s="33" t="n"/>
      <c r="CJ84" s="33" t="n"/>
      <c r="CK84" s="33" t="n"/>
      <c r="CL84" s="33" t="n"/>
      <c r="CM84" s="33" t="n"/>
      <c r="CN84" s="33" t="n"/>
      <c r="CO84" s="33" t="n"/>
      <c r="CP84" s="33" t="n"/>
      <c r="CQ84" s="33" t="n"/>
      <c r="CR84" s="33" t="n"/>
      <c r="CS84" s="33" t="n"/>
      <c r="CT84" s="33" t="n"/>
      <c r="CU84" s="33" t="n"/>
      <c r="CV84" s="33" t="n"/>
      <c r="CW84" s="33" t="n"/>
      <c r="CX84" s="33" t="n"/>
      <c r="CY84" s="33" t="n"/>
      <c r="CZ84" s="33" t="n"/>
      <c r="DA84" s="33" t="n"/>
      <c r="DB84" s="33" t="n"/>
      <c r="DC84" s="33" t="n"/>
      <c r="DD84" s="33" t="n"/>
      <c r="DE84" s="33" t="n"/>
      <c r="DF84" s="33" t="n"/>
      <c r="DG84" s="33" t="n"/>
      <c r="DH84" s="33" t="n"/>
      <c r="DI84" s="33" t="n"/>
      <c r="DJ84" s="33" t="n"/>
      <c r="DK84" s="33" t="n"/>
      <c r="DL84" s="33" t="n"/>
      <c r="DM84" s="33" t="n"/>
      <c r="DN84" s="33" t="n"/>
      <c r="DO84" s="33" t="n"/>
      <c r="DP84" s="33" t="n"/>
      <c r="DQ84" s="33" t="n"/>
      <c r="DR84" s="33" t="n"/>
      <c r="DS84" s="33" t="n"/>
      <c r="DT84" s="33" t="n"/>
      <c r="DU84" s="33" t="n"/>
      <c r="DV84" s="33" t="n"/>
      <c r="DW84" s="33" t="n"/>
      <c r="DX84" s="33" t="n"/>
      <c r="DY84" s="33" t="n"/>
      <c r="DZ84" s="33" t="n"/>
      <c r="EA84" s="33" t="n"/>
      <c r="EB84" s="33" t="n"/>
      <c r="EC84" s="33" t="n"/>
      <c r="ED84" s="33" t="n"/>
      <c r="EE84" s="33" t="n"/>
      <c r="EF84" s="33" t="n"/>
      <c r="EG84" s="33" t="n"/>
      <c r="EH84" s="33" t="n"/>
      <c r="EI84" s="33" t="n"/>
      <c r="EJ84" s="33" t="n"/>
      <c r="EK84" s="33" t="n"/>
      <c r="EL84" s="33" t="n"/>
      <c r="EM84" s="33" t="n"/>
      <c r="EN84" s="33" t="n"/>
      <c r="EO84" s="33" t="n"/>
      <c r="EP84" s="33" t="n"/>
      <c r="EQ84" s="33" t="n"/>
      <c r="ER84" s="33" t="n"/>
      <c r="ES84" s="33" t="n"/>
      <c r="ET84" s="33" t="n"/>
      <c r="EU84" s="33" t="n"/>
      <c r="EV84" s="33" t="n"/>
      <c r="EW84" s="33" t="n"/>
      <c r="EX84" s="33" t="n"/>
      <c r="EY84" s="33" t="n"/>
      <c r="EZ84" s="33" t="n"/>
      <c r="FA84" s="33" t="n"/>
      <c r="FB84" s="33" t="n"/>
      <c r="FC84" s="33" t="n"/>
      <c r="FD84" s="33" t="n"/>
      <c r="FE84" s="33" t="n"/>
      <c r="FF84" s="33" t="n"/>
      <c r="FG84" s="33" t="n"/>
      <c r="FH84" s="33" t="n"/>
      <c r="FI84" s="33" t="n"/>
      <c r="FJ84" s="33" t="n"/>
      <c r="FK84" s="33" t="n"/>
      <c r="FL84" s="33" t="n"/>
      <c r="FM84" s="33" t="n"/>
      <c r="FN84" s="33" t="n"/>
      <c r="FO84" s="33" t="n"/>
      <c r="FP84" s="33" t="n"/>
      <c r="FQ84" s="33" t="n"/>
      <c r="FR84" s="33" t="n"/>
      <c r="FS84" s="33" t="n"/>
      <c r="FT84" s="33" t="n"/>
      <c r="FU84" s="33" t="n"/>
      <c r="FV84" s="33" t="n"/>
      <c r="FW84" s="33" t="n"/>
      <c r="FX84" s="33" t="n"/>
      <c r="FY84" s="33" t="n"/>
      <c r="FZ84" s="33" t="n"/>
      <c r="GA84" s="33" t="n"/>
      <c r="GB84" s="33" t="n"/>
      <c r="GC84" s="33" t="n"/>
      <c r="GD84" s="33" t="n"/>
      <c r="GE84" s="33" t="n"/>
      <c r="GF84" s="33" t="n"/>
      <c r="GG84" s="33" t="n"/>
      <c r="GH84" s="33" t="n"/>
      <c r="GI84" s="33" t="n"/>
      <c r="GJ84" s="33" t="n"/>
      <c r="GK84" s="33" t="n"/>
      <c r="GL84" s="33" t="n"/>
      <c r="GM84" s="33" t="n"/>
      <c r="GN84" s="33" t="n"/>
      <c r="GO84" s="33" t="n"/>
      <c r="GP84" s="33" t="n"/>
      <c r="GQ84" s="33" t="n"/>
      <c r="GR84" s="33" t="n"/>
      <c r="GS84" s="33" t="n"/>
      <c r="GT84" s="33" t="n"/>
      <c r="GU84" s="33" t="n"/>
      <c r="GV84" s="33" t="n"/>
      <c r="GW84" s="33" t="n"/>
      <c r="GX84" s="33" t="n"/>
      <c r="GY84" s="33" t="n"/>
      <c r="GZ84" s="33" t="n"/>
      <c r="HA84" s="33" t="n"/>
      <c r="HB84" s="33" t="n"/>
      <c r="HC84" s="33" t="n"/>
      <c r="HD84" s="33" t="n"/>
      <c r="HE84" s="33" t="n"/>
      <c r="HF84" s="33" t="n"/>
      <c r="HG84" s="33" t="n"/>
      <c r="HH84" s="33" t="n"/>
      <c r="HI84" s="33" t="n"/>
      <c r="HJ84" s="33" t="n"/>
      <c r="HK84" s="33" t="n"/>
      <c r="HL84" s="33" t="n"/>
      <c r="HM84" s="33" t="n"/>
      <c r="HN84" s="33" t="n"/>
      <c r="HO84" s="33" t="n"/>
      <c r="HP84" s="33" t="n"/>
      <c r="HQ84" s="33" t="n"/>
      <c r="HR84" s="33" t="n"/>
      <c r="HS84" s="33" t="n"/>
      <c r="HT84" s="33" t="n"/>
      <c r="HU84" s="33" t="n"/>
      <c r="HV84" s="33" t="n"/>
      <c r="HW84" s="33" t="n"/>
      <c r="HX84" s="33" t="n"/>
      <c r="HY84" s="33" t="n"/>
      <c r="HZ84" s="33" t="n"/>
      <c r="IA84" s="33" t="n"/>
      <c r="IB84" s="33" t="n"/>
      <c r="IC84" s="33" t="n"/>
      <c r="ID84" s="33" t="n"/>
      <c r="IE84" s="33" t="n"/>
      <c r="IF84" s="33" t="n"/>
      <c r="IG84" s="33" t="n"/>
      <c r="IH84" s="33" t="n"/>
      <c r="II84" s="33" t="n"/>
      <c r="IJ84" s="33" t="n"/>
      <c r="IK84" s="33" t="n"/>
      <c r="IL84" s="33" t="n"/>
      <c r="IM84" s="33" t="n"/>
      <c r="IN84" s="33" t="n"/>
      <c r="IO84" s="33" t="n"/>
      <c r="IP84" s="33" t="n"/>
      <c r="IQ84" s="33" t="n"/>
      <c r="IR84" s="33" t="n"/>
      <c r="IS84" s="33" t="n"/>
      <c r="IT84" s="33" t="n"/>
      <c r="IU84" s="33" t="n"/>
      <c r="IV84" s="33" t="n"/>
      <c r="IW84" s="33" t="n"/>
      <c r="IX84" s="33" t="n"/>
      <c r="IY84" s="33" t="n"/>
      <c r="IZ84" s="33" t="n"/>
      <c r="JA84" s="33" t="n"/>
      <c r="JB84" s="33" t="n"/>
      <c r="JC84" s="33" t="n"/>
      <c r="JD84" s="33" t="n"/>
      <c r="JE84" s="33" t="n"/>
      <c r="JF84" s="33" t="n"/>
      <c r="JG84" s="33" t="n"/>
      <c r="JH84" s="33" t="n"/>
      <c r="JI84" s="33" t="n"/>
      <c r="JJ84" s="33" t="n"/>
      <c r="JK84" s="33" t="n"/>
      <c r="JL84" s="33" t="n"/>
      <c r="JM84" s="33" t="n"/>
      <c r="JN84" s="33" t="n"/>
      <c r="JO84" s="33" t="n"/>
      <c r="JP84" s="33" t="n"/>
      <c r="JQ84" s="33" t="n"/>
      <c r="JR84" s="33" t="n"/>
      <c r="JS84" s="33" t="n"/>
      <c r="JT84" s="33" t="n"/>
      <c r="JU84" s="33" t="n"/>
      <c r="JV84" s="33" t="n"/>
      <c r="JW84" s="33" t="n"/>
      <c r="JX84" s="33" t="n"/>
      <c r="JY84" s="33" t="n"/>
      <c r="JZ84" s="33" t="n"/>
      <c r="KA84" s="33" t="n"/>
      <c r="KB84" s="33" t="n"/>
      <c r="KC84" s="33" t="n"/>
      <c r="KD84" s="33" t="n"/>
      <c r="KE84" s="33" t="n"/>
      <c r="KF84" s="33" t="n"/>
      <c r="KG84" s="33" t="n"/>
      <c r="KH84" s="33" t="n"/>
      <c r="KI84" s="33" t="n"/>
      <c r="KJ84" s="33" t="n"/>
      <c r="KK84" s="33" t="n"/>
      <c r="KL84" s="33" t="n"/>
      <c r="KM84" s="33" t="n"/>
      <c r="KN84" s="33" t="n"/>
      <c r="KO84" s="33" t="n"/>
      <c r="KP84" s="33" t="n"/>
      <c r="KQ84" s="33" t="n"/>
      <c r="KR84" s="33" t="n"/>
      <c r="KS84" s="33" t="n"/>
      <c r="KT84" s="33" t="n"/>
      <c r="KU84" s="33" t="n"/>
      <c r="KV84" s="33" t="n"/>
      <c r="KW84" s="33" t="n"/>
      <c r="KX84" s="33" t="n"/>
      <c r="KY84" s="33" t="n"/>
      <c r="KZ84" s="33" t="n"/>
      <c r="LA84" s="33" t="n"/>
      <c r="LB84" s="33" t="n"/>
      <c r="LC84" s="33" t="n"/>
      <c r="LD84" s="33" t="n"/>
      <c r="LE84" s="33" t="n"/>
      <c r="LF84" s="33" t="n"/>
      <c r="LG84" s="33" t="n"/>
      <c r="LH84" s="33" t="n"/>
      <c r="LI84" s="33" t="n"/>
      <c r="LJ84" s="33" t="n"/>
      <c r="LK84" s="33" t="n"/>
      <c r="LL84" s="33" t="n"/>
      <c r="LM84" s="33" t="n"/>
      <c r="LN84" s="33" t="n"/>
      <c r="LO84" s="33" t="n"/>
      <c r="LP84" s="33" t="n"/>
      <c r="LQ84" s="33" t="n"/>
      <c r="LR84" s="33" t="n"/>
      <c r="LS84" s="33" t="n"/>
      <c r="LT84" s="33" t="n"/>
      <c r="LU84" s="33" t="n"/>
      <c r="LV84" s="33" t="n"/>
      <c r="LW84" s="33" t="n"/>
      <c r="LX84" s="33" t="n"/>
      <c r="LY84" s="33" t="n"/>
      <c r="LZ84" s="33" t="n"/>
      <c r="MA84" s="33" t="n"/>
      <c r="MB84" s="33" t="n"/>
      <c r="MC84" s="33" t="n"/>
      <c r="MD84" s="33" t="n"/>
      <c r="ME84" s="33" t="n"/>
      <c r="MF84" s="33" t="n"/>
      <c r="MG84" s="33" t="n"/>
      <c r="MH84" s="33" t="n"/>
      <c r="MI84" s="33" t="n"/>
      <c r="MJ84" s="33" t="n"/>
      <c r="MK84" s="33" t="n"/>
      <c r="ML84" s="33" t="n"/>
      <c r="MM84" s="33" t="n"/>
      <c r="MN84" s="33" t="n"/>
      <c r="MO84" s="33" t="n"/>
      <c r="MP84" s="33" t="n"/>
      <c r="MQ84" s="33" t="n"/>
      <c r="MR84" s="33" t="n"/>
      <c r="MS84" s="33" t="n"/>
      <c r="MT84" s="33" t="n"/>
      <c r="MU84" s="33" t="n"/>
      <c r="MV84" s="33" t="n"/>
      <c r="MW84" s="33" t="n"/>
      <c r="MX84" s="33" t="n"/>
      <c r="MY84" s="33" t="n"/>
      <c r="MZ84" s="33" t="n"/>
      <c r="NA84" s="33" t="n"/>
      <c r="NB84" s="33" t="n"/>
      <c r="NC84" s="33" t="n"/>
      <c r="ND84" s="33" t="n"/>
      <c r="NE84" s="33" t="n"/>
      <c r="NF84" s="33" t="n"/>
      <c r="NG84" s="33" t="n"/>
      <c r="NH84" s="33" t="n"/>
      <c r="NI84" s="33" t="n"/>
      <c r="NJ84" s="33" t="n"/>
      <c r="NK84" s="33" t="n"/>
      <c r="NL84" s="33" t="n"/>
      <c r="NM84" s="33" t="n"/>
      <c r="NN84" s="33" t="n"/>
      <c r="NO84" s="33" t="n"/>
      <c r="NP84" s="33" t="n"/>
      <c r="NQ84" s="33" t="n"/>
      <c r="NR84" s="33" t="n"/>
      <c r="NS84" s="33" t="n"/>
      <c r="NT84" s="33" t="n"/>
      <c r="NU84" s="33" t="n"/>
      <c r="NV84" s="33" t="n"/>
      <c r="NW84" s="33" t="n"/>
      <c r="NX84" s="33" t="n"/>
      <c r="NY84" s="33" t="n"/>
      <c r="NZ84" s="33" t="n"/>
      <c r="OA84" s="33" t="n"/>
      <c r="OB84" s="33" t="n"/>
      <c r="OC84" s="33" t="n"/>
      <c r="OD84" s="33" t="n"/>
      <c r="OE84" s="33" t="n"/>
      <c r="OF84" s="33" t="n"/>
      <c r="OG84" s="33" t="n"/>
      <c r="OH84" s="33" t="n"/>
      <c r="OI84" s="33" t="n"/>
      <c r="OJ84" s="33" t="n"/>
      <c r="OK84" s="33" t="n"/>
      <c r="OL84" s="33" t="n"/>
      <c r="OM84" s="33" t="n"/>
      <c r="ON84" s="33" t="n"/>
      <c r="OO84" s="33" t="n"/>
      <c r="OP84" s="33" t="n"/>
      <c r="OQ84" s="33" t="n"/>
      <c r="OR84" s="33" t="n"/>
      <c r="OS84" s="33" t="n"/>
      <c r="OT84" s="33" t="n"/>
      <c r="OU84" s="33" t="n"/>
      <c r="OV84" s="33" t="n"/>
      <c r="OW84" s="33" t="n"/>
      <c r="OX84" s="33" t="n"/>
      <c r="OY84" s="33" t="n"/>
      <c r="OZ84" s="33" t="n"/>
      <c r="PA84" s="33" t="n"/>
      <c r="PB84" s="33" t="n"/>
      <c r="PC84" s="33" t="n"/>
      <c r="PD84" s="33" t="n"/>
      <c r="PE84" s="33" t="n"/>
      <c r="PF84" s="33" t="n"/>
      <c r="PG84" s="33" t="n"/>
      <c r="PH84" s="33" t="n"/>
      <c r="PI84" s="33" t="n"/>
      <c r="PJ84" s="33" t="n"/>
      <c r="PK84" s="33" t="n"/>
      <c r="PL84" s="33" t="n"/>
      <c r="PM84" s="33" t="n"/>
      <c r="PN84" s="33" t="n"/>
      <c r="PO84" s="33" t="n"/>
      <c r="PP84" s="33" t="n"/>
      <c r="PQ84" s="33" t="n"/>
      <c r="PR84" s="33" t="n"/>
      <c r="PS84" s="33" t="n"/>
      <c r="PT84" s="33" t="n"/>
      <c r="PU84" s="33" t="n"/>
      <c r="PV84" s="33" t="n"/>
      <c r="PW84" s="33" t="n"/>
      <c r="PX84" s="33" t="n"/>
      <c r="PY84" s="33" t="n"/>
      <c r="PZ84" s="33" t="n"/>
      <c r="QA84" s="33" t="n"/>
      <c r="QB84" s="33" t="n"/>
      <c r="QC84" s="33" t="n"/>
      <c r="QD84" s="33" t="n"/>
      <c r="QE84" s="33" t="n"/>
      <c r="QF84" s="33" t="n"/>
      <c r="QG84" s="33" t="n"/>
      <c r="QH84" s="33" t="n"/>
      <c r="QI84" s="33" t="n"/>
      <c r="QJ84" s="33" t="n"/>
      <c r="QK84" s="33" t="n"/>
      <c r="QL84" s="33" t="n"/>
      <c r="QM84" s="33" t="n"/>
      <c r="QN84" s="33" t="n"/>
      <c r="QO84" s="33" t="n"/>
      <c r="QP84" s="33" t="n"/>
      <c r="QQ84" s="33" t="n"/>
      <c r="QR84" s="33" t="n"/>
      <c r="QS84" s="33" t="n"/>
      <c r="QT84" s="33" t="n"/>
      <c r="QU84" s="33" t="n"/>
      <c r="QV84" s="33" t="n"/>
      <c r="QW84" s="33" t="n"/>
      <c r="QX84" s="33" t="n"/>
      <c r="QY84" s="33" t="n"/>
      <c r="QZ84" s="33" t="n"/>
      <c r="RA84" s="33" t="n"/>
      <c r="RB84" s="33" t="n"/>
      <c r="RC84" s="33" t="n"/>
      <c r="RD84" s="33" t="n"/>
      <c r="RE84" s="33" t="n"/>
      <c r="RF84" s="33" t="n"/>
      <c r="RG84" s="33" t="n"/>
      <c r="RH84" s="33" t="n"/>
      <c r="RI84" s="33" t="n"/>
      <c r="RJ84" s="33" t="n"/>
      <c r="RK84" s="33" t="n"/>
      <c r="RL84" s="33" t="n"/>
      <c r="RM84" s="33" t="n"/>
      <c r="RN84" s="33" t="n"/>
      <c r="RO84" s="33" t="n"/>
      <c r="RP84" s="33" t="n"/>
      <c r="RQ84" s="33" t="n"/>
      <c r="RR84" s="33" t="n"/>
      <c r="RS84" s="33" t="n"/>
      <c r="RT84" s="33" t="n"/>
      <c r="RU84" s="33" t="n"/>
      <c r="RV84" s="33" t="n"/>
      <c r="RW84" s="33" t="n"/>
    </row>
    <row r="85" hidden="1" outlineLevel="1" ht="13.05" customHeight="1">
      <c r="E85" s="21" t="inlineStr">
        <is>
          <t>PPA Management Cost</t>
        </is>
      </c>
      <c r="F85" s="29" t="n"/>
      <c r="G85" s="29" t="inlineStr">
        <is>
          <t>kEUR</t>
        </is>
      </c>
      <c r="H85" s="29" t="n"/>
      <c r="I85" s="29" t="n"/>
      <c r="J85" s="32" t="n"/>
      <c r="K85" s="29" t="n"/>
      <c r="L85" s="33" t="n"/>
      <c r="M85" s="33" t="n"/>
      <c r="N85" s="33" t="n"/>
      <c r="O85" s="33" t="n"/>
      <c r="P85" s="33" t="n"/>
      <c r="Q85" s="33" t="n"/>
      <c r="R85" s="33" t="n"/>
      <c r="S85" s="33" t="n"/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  <c r="AE85" s="33" t="n"/>
      <c r="AF85" s="33" t="n"/>
      <c r="AG85" s="33" t="n"/>
      <c r="AH85" s="33" t="n"/>
      <c r="AI85" s="33" t="n"/>
      <c r="AJ85" s="33" t="n"/>
      <c r="AK85" s="33" t="n"/>
      <c r="AL85" s="33" t="n"/>
      <c r="AM85" s="33" t="n"/>
      <c r="AN85" s="33" t="n"/>
      <c r="AO85" s="33" t="n"/>
      <c r="AP85" s="33" t="n"/>
      <c r="AQ85" s="33" t="n"/>
      <c r="AR85" s="33" t="n"/>
      <c r="AS85" s="33" t="n"/>
      <c r="AT85" s="33" t="n"/>
      <c r="AU85" s="33" t="n"/>
      <c r="AV85" s="33" t="n"/>
      <c r="AW85" s="33" t="n"/>
      <c r="AX85" s="33" t="n"/>
      <c r="AY85" s="33" t="n"/>
      <c r="AZ85" s="33" t="n"/>
      <c r="BA85" s="33" t="n"/>
      <c r="BB85" s="33" t="n"/>
      <c r="BC85" s="33" t="n"/>
      <c r="BD85" s="33" t="n"/>
      <c r="BE85" s="33" t="n"/>
      <c r="BF85" s="33" t="n"/>
      <c r="BG85" s="33" t="n"/>
      <c r="BH85" s="33" t="n"/>
      <c r="BI85" s="33" t="n"/>
      <c r="BJ85" s="33" t="n"/>
      <c r="BK85" s="33" t="n"/>
      <c r="BL85" s="33" t="n"/>
      <c r="BM85" s="33" t="n"/>
      <c r="BN85" s="33" t="n"/>
      <c r="BO85" s="33" t="n"/>
      <c r="BP85" s="33" t="n"/>
      <c r="BQ85" s="33" t="n"/>
      <c r="BR85" s="33" t="n"/>
      <c r="BS85" s="33" t="n"/>
      <c r="BT85" s="33" t="n"/>
      <c r="BU85" s="33" t="n"/>
      <c r="BV85" s="33" t="n"/>
      <c r="BW85" s="33" t="n"/>
      <c r="BX85" s="33" t="n"/>
      <c r="BY85" s="33" t="n"/>
      <c r="BZ85" s="33" t="n"/>
      <c r="CA85" s="33" t="n"/>
      <c r="CB85" s="33" t="n"/>
      <c r="CC85" s="33" t="n"/>
      <c r="CD85" s="33" t="n"/>
      <c r="CE85" s="33" t="n"/>
      <c r="CF85" s="33" t="n"/>
      <c r="CG85" s="33" t="n"/>
      <c r="CH85" s="33" t="n"/>
      <c r="CI85" s="33" t="n"/>
      <c r="CJ85" s="33" t="n"/>
      <c r="CK85" s="33" t="n"/>
      <c r="CL85" s="33" t="n"/>
      <c r="CM85" s="33" t="n"/>
      <c r="CN85" s="33" t="n"/>
      <c r="CO85" s="33" t="n"/>
      <c r="CP85" s="33" t="n"/>
      <c r="CQ85" s="33" t="n"/>
      <c r="CR85" s="33" t="n"/>
      <c r="CS85" s="33" t="n"/>
      <c r="CT85" s="33" t="n"/>
      <c r="CU85" s="33" t="n"/>
      <c r="CV85" s="33" t="n"/>
      <c r="CW85" s="33" t="n"/>
      <c r="CX85" s="33" t="n"/>
      <c r="CY85" s="33" t="n"/>
      <c r="CZ85" s="33" t="n"/>
      <c r="DA85" s="33" t="n"/>
      <c r="DB85" s="33" t="n"/>
      <c r="DC85" s="33" t="n"/>
      <c r="DD85" s="33" t="n"/>
      <c r="DE85" s="33" t="n"/>
      <c r="DF85" s="33" t="n"/>
      <c r="DG85" s="33" t="n"/>
      <c r="DH85" s="33" t="n"/>
      <c r="DI85" s="33" t="n"/>
      <c r="DJ85" s="33" t="n"/>
      <c r="DK85" s="33" t="n"/>
      <c r="DL85" s="33" t="n"/>
      <c r="DM85" s="33" t="n"/>
      <c r="DN85" s="33" t="n"/>
      <c r="DO85" s="33" t="n"/>
      <c r="DP85" s="33" t="n"/>
      <c r="DQ85" s="33" t="n"/>
      <c r="DR85" s="33" t="n"/>
      <c r="DS85" s="33" t="n"/>
      <c r="DT85" s="33" t="n"/>
      <c r="DU85" s="33" t="n"/>
      <c r="DV85" s="33" t="n"/>
      <c r="DW85" s="33" t="n"/>
      <c r="DX85" s="33" t="n"/>
      <c r="DY85" s="33" t="n"/>
      <c r="DZ85" s="33" t="n"/>
      <c r="EA85" s="33" t="n"/>
      <c r="EB85" s="33" t="n"/>
      <c r="EC85" s="33" t="n"/>
      <c r="ED85" s="33" t="n"/>
      <c r="EE85" s="33" t="n"/>
      <c r="EF85" s="33" t="n"/>
      <c r="EG85" s="33" t="n"/>
      <c r="EH85" s="33" t="n"/>
      <c r="EI85" s="33" t="n"/>
      <c r="EJ85" s="33" t="n"/>
      <c r="EK85" s="33" t="n"/>
      <c r="EL85" s="33" t="n"/>
      <c r="EM85" s="33" t="n"/>
      <c r="EN85" s="33" t="n"/>
      <c r="EO85" s="33" t="n"/>
      <c r="EP85" s="33" t="n"/>
      <c r="EQ85" s="33" t="n"/>
      <c r="ER85" s="33" t="n"/>
      <c r="ES85" s="33" t="n"/>
      <c r="ET85" s="33" t="n"/>
      <c r="EU85" s="33" t="n"/>
      <c r="EV85" s="33" t="n"/>
      <c r="EW85" s="33" t="n"/>
      <c r="EX85" s="33" t="n"/>
      <c r="EY85" s="33" t="n"/>
      <c r="EZ85" s="33" t="n"/>
      <c r="FA85" s="33" t="n"/>
      <c r="FB85" s="33" t="n"/>
      <c r="FC85" s="33" t="n"/>
      <c r="FD85" s="33" t="n"/>
      <c r="FE85" s="33" t="n"/>
      <c r="FF85" s="33" t="n"/>
      <c r="FG85" s="33" t="n"/>
      <c r="FH85" s="33" t="n"/>
      <c r="FI85" s="33" t="n"/>
      <c r="FJ85" s="33" t="n"/>
      <c r="FK85" s="33" t="n"/>
      <c r="FL85" s="33" t="n"/>
      <c r="FM85" s="33" t="n"/>
      <c r="FN85" s="33" t="n"/>
      <c r="FO85" s="33" t="n"/>
      <c r="FP85" s="33" t="n"/>
      <c r="FQ85" s="33" t="n"/>
      <c r="FR85" s="33" t="n"/>
      <c r="FS85" s="33" t="n"/>
      <c r="FT85" s="33" t="n"/>
      <c r="FU85" s="33" t="n"/>
      <c r="FV85" s="33" t="n"/>
      <c r="FW85" s="33" t="n"/>
      <c r="FX85" s="33" t="n"/>
      <c r="FY85" s="33" t="n"/>
      <c r="FZ85" s="33" t="n"/>
      <c r="GA85" s="33" t="n"/>
      <c r="GB85" s="33" t="n"/>
      <c r="GC85" s="33" t="n"/>
      <c r="GD85" s="33" t="n"/>
      <c r="GE85" s="33" t="n"/>
      <c r="GF85" s="33" t="n"/>
      <c r="GG85" s="33" t="n"/>
      <c r="GH85" s="33" t="n"/>
      <c r="GI85" s="33" t="n"/>
      <c r="GJ85" s="33" t="n"/>
      <c r="GK85" s="33" t="n"/>
      <c r="GL85" s="33" t="n"/>
      <c r="GM85" s="33" t="n"/>
      <c r="GN85" s="33" t="n"/>
      <c r="GO85" s="33" t="n"/>
      <c r="GP85" s="33" t="n"/>
      <c r="GQ85" s="33" t="n"/>
      <c r="GR85" s="33" t="n"/>
      <c r="GS85" s="33" t="n"/>
      <c r="GT85" s="33" t="n"/>
      <c r="GU85" s="33" t="n"/>
      <c r="GV85" s="33" t="n"/>
      <c r="GW85" s="33" t="n"/>
      <c r="GX85" s="33" t="n"/>
      <c r="GY85" s="33" t="n"/>
      <c r="GZ85" s="33" t="n"/>
      <c r="HA85" s="33" t="n"/>
      <c r="HB85" s="33" t="n"/>
      <c r="HC85" s="33" t="n"/>
      <c r="HD85" s="33" t="n"/>
      <c r="HE85" s="33" t="n"/>
      <c r="HF85" s="33" t="n"/>
      <c r="HG85" s="33" t="n"/>
      <c r="HH85" s="33" t="n"/>
      <c r="HI85" s="33" t="n"/>
      <c r="HJ85" s="33" t="n"/>
      <c r="HK85" s="33" t="n"/>
      <c r="HL85" s="33" t="n"/>
      <c r="HM85" s="33" t="n"/>
      <c r="HN85" s="33" t="n"/>
      <c r="HO85" s="33" t="n"/>
      <c r="HP85" s="33" t="n"/>
      <c r="HQ85" s="33" t="n"/>
      <c r="HR85" s="33" t="n"/>
      <c r="HS85" s="33" t="n"/>
      <c r="HT85" s="33" t="n"/>
      <c r="HU85" s="33" t="n"/>
      <c r="HV85" s="33" t="n"/>
      <c r="HW85" s="33" t="n"/>
      <c r="HX85" s="33" t="n"/>
      <c r="HY85" s="33" t="n"/>
      <c r="HZ85" s="33" t="n"/>
      <c r="IA85" s="33" t="n"/>
      <c r="IB85" s="33" t="n"/>
      <c r="IC85" s="33" t="n"/>
      <c r="ID85" s="33" t="n"/>
      <c r="IE85" s="33" t="n"/>
      <c r="IF85" s="33" t="n"/>
      <c r="IG85" s="33" t="n"/>
      <c r="IH85" s="33" t="n"/>
      <c r="II85" s="33" t="n"/>
      <c r="IJ85" s="33" t="n"/>
      <c r="IK85" s="33" t="n"/>
      <c r="IL85" s="33" t="n"/>
      <c r="IM85" s="33" t="n"/>
      <c r="IN85" s="33" t="n"/>
      <c r="IO85" s="33" t="n"/>
      <c r="IP85" s="33" t="n"/>
      <c r="IQ85" s="33" t="n"/>
      <c r="IR85" s="33" t="n"/>
      <c r="IS85" s="33" t="n"/>
      <c r="IT85" s="33" t="n"/>
      <c r="IU85" s="33" t="n"/>
      <c r="IV85" s="33" t="n"/>
      <c r="IW85" s="33" t="n"/>
      <c r="IX85" s="33" t="n"/>
      <c r="IY85" s="33" t="n"/>
      <c r="IZ85" s="33" t="n"/>
      <c r="JA85" s="33" t="n"/>
      <c r="JB85" s="33" t="n"/>
      <c r="JC85" s="33" t="n"/>
      <c r="JD85" s="33" t="n"/>
      <c r="JE85" s="33" t="n"/>
      <c r="JF85" s="33" t="n"/>
      <c r="JG85" s="33" t="n"/>
      <c r="JH85" s="33" t="n"/>
      <c r="JI85" s="33" t="n"/>
      <c r="JJ85" s="33" t="n"/>
      <c r="JK85" s="33" t="n"/>
      <c r="JL85" s="33" t="n"/>
      <c r="JM85" s="33" t="n"/>
      <c r="JN85" s="33" t="n"/>
      <c r="JO85" s="33" t="n"/>
      <c r="JP85" s="33" t="n"/>
      <c r="JQ85" s="33" t="n"/>
      <c r="JR85" s="33" t="n"/>
      <c r="JS85" s="33" t="n"/>
      <c r="JT85" s="33" t="n"/>
      <c r="JU85" s="33" t="n"/>
      <c r="JV85" s="33" t="n"/>
      <c r="JW85" s="33" t="n"/>
      <c r="JX85" s="33" t="n"/>
      <c r="JY85" s="33" t="n"/>
      <c r="JZ85" s="33" t="n"/>
      <c r="KA85" s="33" t="n"/>
      <c r="KB85" s="33" t="n"/>
      <c r="KC85" s="33" t="n"/>
      <c r="KD85" s="33" t="n"/>
      <c r="KE85" s="33" t="n"/>
      <c r="KF85" s="33" t="n"/>
      <c r="KG85" s="33" t="n"/>
      <c r="KH85" s="33" t="n"/>
      <c r="KI85" s="33" t="n"/>
      <c r="KJ85" s="33" t="n"/>
      <c r="KK85" s="33" t="n"/>
      <c r="KL85" s="33" t="n"/>
      <c r="KM85" s="33" t="n"/>
      <c r="KN85" s="33" t="n"/>
      <c r="KO85" s="33" t="n"/>
      <c r="KP85" s="33" t="n"/>
      <c r="KQ85" s="33" t="n"/>
      <c r="KR85" s="33" t="n"/>
      <c r="KS85" s="33" t="n"/>
      <c r="KT85" s="33" t="n"/>
      <c r="KU85" s="33" t="n"/>
      <c r="KV85" s="33" t="n"/>
      <c r="KW85" s="33" t="n"/>
      <c r="KX85" s="33" t="n"/>
      <c r="KY85" s="33" t="n"/>
      <c r="KZ85" s="33" t="n"/>
      <c r="LA85" s="33" t="n"/>
      <c r="LB85" s="33" t="n"/>
      <c r="LC85" s="33" t="n"/>
      <c r="LD85" s="33" t="n"/>
      <c r="LE85" s="33" t="n"/>
      <c r="LF85" s="33" t="n"/>
      <c r="LG85" s="33" t="n"/>
      <c r="LH85" s="33" t="n"/>
      <c r="LI85" s="33" t="n"/>
      <c r="LJ85" s="33" t="n"/>
      <c r="LK85" s="33" t="n"/>
      <c r="LL85" s="33" t="n"/>
      <c r="LM85" s="33" t="n"/>
      <c r="LN85" s="33" t="n"/>
      <c r="LO85" s="33" t="n"/>
      <c r="LP85" s="33" t="n"/>
      <c r="LQ85" s="33" t="n"/>
      <c r="LR85" s="33" t="n"/>
      <c r="LS85" s="33" t="n"/>
      <c r="LT85" s="33" t="n"/>
      <c r="LU85" s="33" t="n"/>
      <c r="LV85" s="33" t="n"/>
      <c r="LW85" s="33" t="n"/>
      <c r="LX85" s="33" t="n"/>
      <c r="LY85" s="33" t="n"/>
      <c r="LZ85" s="33" t="n"/>
      <c r="MA85" s="33" t="n"/>
      <c r="MB85" s="33" t="n"/>
      <c r="MC85" s="33" t="n"/>
      <c r="MD85" s="33" t="n"/>
      <c r="ME85" s="33" t="n"/>
      <c r="MF85" s="33" t="n"/>
      <c r="MG85" s="33" t="n"/>
      <c r="MH85" s="33" t="n"/>
      <c r="MI85" s="33" t="n"/>
      <c r="MJ85" s="33" t="n"/>
      <c r="MK85" s="33" t="n"/>
      <c r="ML85" s="33" t="n"/>
      <c r="MM85" s="33" t="n"/>
      <c r="MN85" s="33" t="n"/>
      <c r="MO85" s="33" t="n"/>
      <c r="MP85" s="33" t="n"/>
      <c r="MQ85" s="33" t="n"/>
      <c r="MR85" s="33" t="n"/>
      <c r="MS85" s="33" t="n"/>
      <c r="MT85" s="33" t="n"/>
      <c r="MU85" s="33" t="n"/>
      <c r="MV85" s="33" t="n"/>
      <c r="MW85" s="33" t="n"/>
      <c r="MX85" s="33" t="n"/>
      <c r="MY85" s="33" t="n"/>
      <c r="MZ85" s="33" t="n"/>
      <c r="NA85" s="33" t="n"/>
      <c r="NB85" s="33" t="n"/>
      <c r="NC85" s="33" t="n"/>
      <c r="ND85" s="33" t="n"/>
      <c r="NE85" s="33" t="n"/>
      <c r="NF85" s="33" t="n"/>
      <c r="NG85" s="33" t="n"/>
      <c r="NH85" s="33" t="n"/>
      <c r="NI85" s="33" t="n"/>
      <c r="NJ85" s="33" t="n"/>
      <c r="NK85" s="33" t="n"/>
      <c r="NL85" s="33" t="n"/>
      <c r="NM85" s="33" t="n"/>
      <c r="NN85" s="33" t="n"/>
      <c r="NO85" s="33" t="n"/>
      <c r="NP85" s="33" t="n"/>
      <c r="NQ85" s="33" t="n"/>
      <c r="NR85" s="33" t="n"/>
      <c r="NS85" s="33" t="n"/>
      <c r="NT85" s="33" t="n"/>
      <c r="NU85" s="33" t="n"/>
      <c r="NV85" s="33" t="n"/>
      <c r="NW85" s="33" t="n"/>
      <c r="NX85" s="33" t="n"/>
      <c r="NY85" s="33" t="n"/>
      <c r="NZ85" s="33" t="n"/>
      <c r="OA85" s="33" t="n"/>
      <c r="OB85" s="33" t="n"/>
      <c r="OC85" s="33" t="n"/>
      <c r="OD85" s="33" t="n"/>
      <c r="OE85" s="33" t="n"/>
      <c r="OF85" s="33" t="n"/>
      <c r="OG85" s="33" t="n"/>
      <c r="OH85" s="33" t="n"/>
      <c r="OI85" s="33" t="n"/>
      <c r="OJ85" s="33" t="n"/>
      <c r="OK85" s="33" t="n"/>
      <c r="OL85" s="33" t="n"/>
      <c r="OM85" s="33" t="n"/>
      <c r="ON85" s="33" t="n"/>
      <c r="OO85" s="33" t="n"/>
      <c r="OP85" s="33" t="n"/>
      <c r="OQ85" s="33" t="n"/>
      <c r="OR85" s="33" t="n"/>
      <c r="OS85" s="33" t="n"/>
      <c r="OT85" s="33" t="n"/>
      <c r="OU85" s="33" t="n"/>
      <c r="OV85" s="33" t="n"/>
      <c r="OW85" s="33" t="n"/>
      <c r="OX85" s="33" t="n"/>
      <c r="OY85" s="33" t="n"/>
      <c r="OZ85" s="33" t="n"/>
      <c r="PA85" s="33" t="n"/>
      <c r="PB85" s="33" t="n"/>
      <c r="PC85" s="33" t="n"/>
      <c r="PD85" s="33" t="n"/>
      <c r="PE85" s="33" t="n"/>
      <c r="PF85" s="33" t="n"/>
      <c r="PG85" s="33" t="n"/>
      <c r="PH85" s="33" t="n"/>
      <c r="PI85" s="33" t="n"/>
      <c r="PJ85" s="33" t="n"/>
      <c r="PK85" s="33" t="n"/>
      <c r="PL85" s="33" t="n"/>
      <c r="PM85" s="33" t="n"/>
      <c r="PN85" s="33" t="n"/>
      <c r="PO85" s="33" t="n"/>
      <c r="PP85" s="33" t="n"/>
      <c r="PQ85" s="33" t="n"/>
      <c r="PR85" s="33" t="n"/>
      <c r="PS85" s="33" t="n"/>
      <c r="PT85" s="33" t="n"/>
      <c r="PU85" s="33" t="n"/>
      <c r="PV85" s="33" t="n"/>
      <c r="PW85" s="33" t="n"/>
      <c r="PX85" s="33" t="n"/>
      <c r="PY85" s="33" t="n"/>
      <c r="PZ85" s="33" t="n"/>
      <c r="QA85" s="33" t="n"/>
      <c r="QB85" s="33" t="n"/>
      <c r="QC85" s="33" t="n"/>
      <c r="QD85" s="33" t="n"/>
      <c r="QE85" s="33" t="n"/>
      <c r="QF85" s="33" t="n"/>
      <c r="QG85" s="33" t="n"/>
      <c r="QH85" s="33" t="n"/>
      <c r="QI85" s="33" t="n"/>
      <c r="QJ85" s="33" t="n"/>
      <c r="QK85" s="33" t="n"/>
      <c r="QL85" s="33" t="n"/>
      <c r="QM85" s="33" t="n"/>
      <c r="QN85" s="33" t="n"/>
      <c r="QO85" s="33" t="n"/>
      <c r="QP85" s="33" t="n"/>
      <c r="QQ85" s="33" t="n"/>
      <c r="QR85" s="33" t="n"/>
      <c r="QS85" s="33" t="n"/>
      <c r="QT85" s="33" t="n"/>
      <c r="QU85" s="33" t="n"/>
      <c r="QV85" s="33" t="n"/>
      <c r="QW85" s="33" t="n"/>
      <c r="QX85" s="33" t="n"/>
      <c r="QY85" s="33" t="n"/>
      <c r="QZ85" s="33" t="n"/>
      <c r="RA85" s="33" t="n"/>
      <c r="RB85" s="33" t="n"/>
      <c r="RC85" s="33" t="n"/>
      <c r="RD85" s="33" t="n"/>
      <c r="RE85" s="33" t="n"/>
      <c r="RF85" s="33" t="n"/>
      <c r="RG85" s="33" t="n"/>
      <c r="RH85" s="33" t="n"/>
      <c r="RI85" s="33" t="n"/>
      <c r="RJ85" s="33" t="n"/>
      <c r="RK85" s="33" t="n"/>
      <c r="RL85" s="33" t="n"/>
      <c r="RM85" s="33" t="n"/>
      <c r="RN85" s="33" t="n"/>
      <c r="RO85" s="33" t="n"/>
      <c r="RP85" s="33" t="n"/>
      <c r="RQ85" s="33" t="n"/>
      <c r="RR85" s="33" t="n"/>
      <c r="RS85" s="33" t="n"/>
      <c r="RT85" s="33" t="n"/>
      <c r="RU85" s="33" t="n"/>
      <c r="RV85" s="33" t="n"/>
      <c r="RW85" s="33" t="n"/>
    </row>
    <row r="86" hidden="1" outlineLevel="1" ht="13.05" customHeight="1">
      <c r="E86" s="21" t="inlineStr">
        <is>
          <t>Total Production Costs</t>
        </is>
      </c>
      <c r="F86" s="29" t="n"/>
      <c r="G86" s="29" t="inlineStr">
        <is>
          <t>kEUR</t>
        </is>
      </c>
      <c r="H86" s="29" t="n"/>
      <c r="I86" s="29" t="n"/>
      <c r="J86" s="32" t="n"/>
      <c r="K86" s="29" t="n"/>
      <c r="L86" s="33" t="n"/>
      <c r="M86" s="33" t="n"/>
      <c r="N86" s="33" t="n"/>
      <c r="O86" s="33" t="n"/>
      <c r="P86" s="33" t="n"/>
      <c r="Q86" s="33" t="n"/>
      <c r="R86" s="33" t="n"/>
      <c r="S86" s="33" t="n"/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  <c r="AE86" s="33" t="n"/>
      <c r="AF86" s="33" t="n"/>
      <c r="AG86" s="33" t="n"/>
      <c r="AH86" s="33" t="n"/>
      <c r="AI86" s="33" t="n"/>
      <c r="AJ86" s="33" t="n"/>
      <c r="AK86" s="33" t="n"/>
      <c r="AL86" s="33" t="n"/>
      <c r="AM86" s="33" t="n"/>
      <c r="AN86" s="33" t="n"/>
      <c r="AO86" s="33" t="n"/>
      <c r="AP86" s="33" t="n"/>
      <c r="AQ86" s="33" t="n"/>
      <c r="AR86" s="33" t="n"/>
      <c r="AS86" s="33" t="n"/>
      <c r="AT86" s="33" t="n"/>
      <c r="AU86" s="33" t="n"/>
      <c r="AV86" s="33" t="n"/>
      <c r="AW86" s="33" t="n"/>
      <c r="AX86" s="33" t="n"/>
      <c r="AY86" s="33" t="n"/>
      <c r="AZ86" s="33" t="n"/>
      <c r="BA86" s="33" t="n"/>
      <c r="BB86" s="33" t="n"/>
      <c r="BC86" s="33" t="n"/>
      <c r="BD86" s="33" t="n"/>
      <c r="BE86" s="33" t="n"/>
      <c r="BF86" s="33" t="n"/>
      <c r="BG86" s="33" t="n"/>
      <c r="BH86" s="33" t="n"/>
      <c r="BI86" s="33" t="n"/>
      <c r="BJ86" s="33" t="n"/>
      <c r="BK86" s="33" t="n"/>
      <c r="BL86" s="33" t="n"/>
      <c r="BM86" s="33" t="n"/>
      <c r="BN86" s="33" t="n"/>
      <c r="BO86" s="33" t="n"/>
      <c r="BP86" s="33" t="n"/>
      <c r="BQ86" s="33" t="n"/>
      <c r="BR86" s="33" t="n"/>
      <c r="BS86" s="33" t="n"/>
      <c r="BT86" s="33" t="n"/>
      <c r="BU86" s="33" t="n"/>
      <c r="BV86" s="33" t="n"/>
      <c r="BW86" s="33" t="n"/>
      <c r="BX86" s="33" t="n"/>
      <c r="BY86" s="33" t="n"/>
      <c r="BZ86" s="33" t="n"/>
      <c r="CA86" s="33" t="n"/>
      <c r="CB86" s="33" t="n"/>
      <c r="CC86" s="33" t="n"/>
      <c r="CD86" s="33" t="n"/>
      <c r="CE86" s="33" t="n"/>
      <c r="CF86" s="33" t="n"/>
      <c r="CG86" s="33" t="n"/>
      <c r="CH86" s="33" t="n"/>
      <c r="CI86" s="33" t="n"/>
      <c r="CJ86" s="33" t="n"/>
      <c r="CK86" s="33" t="n"/>
      <c r="CL86" s="33" t="n"/>
      <c r="CM86" s="33" t="n"/>
      <c r="CN86" s="33" t="n"/>
      <c r="CO86" s="33" t="n"/>
      <c r="CP86" s="33" t="n"/>
      <c r="CQ86" s="33" t="n"/>
      <c r="CR86" s="33" t="n"/>
      <c r="CS86" s="33" t="n"/>
      <c r="CT86" s="33" t="n"/>
      <c r="CU86" s="33" t="n"/>
      <c r="CV86" s="33" t="n"/>
      <c r="CW86" s="33" t="n"/>
      <c r="CX86" s="33" t="n"/>
      <c r="CY86" s="33" t="n"/>
      <c r="CZ86" s="33" t="n"/>
      <c r="DA86" s="33" t="n"/>
      <c r="DB86" s="33" t="n"/>
      <c r="DC86" s="33" t="n"/>
      <c r="DD86" s="33" t="n"/>
      <c r="DE86" s="33" t="n"/>
      <c r="DF86" s="33" t="n"/>
      <c r="DG86" s="33" t="n"/>
      <c r="DH86" s="33" t="n"/>
      <c r="DI86" s="33" t="n"/>
      <c r="DJ86" s="33" t="n"/>
      <c r="DK86" s="33" t="n"/>
      <c r="DL86" s="33" t="n"/>
      <c r="DM86" s="33" t="n"/>
      <c r="DN86" s="33" t="n"/>
      <c r="DO86" s="33" t="n"/>
      <c r="DP86" s="33" t="n"/>
      <c r="DQ86" s="33" t="n"/>
      <c r="DR86" s="33" t="n"/>
      <c r="DS86" s="33" t="n"/>
      <c r="DT86" s="33" t="n"/>
      <c r="DU86" s="33" t="n"/>
      <c r="DV86" s="33" t="n"/>
      <c r="DW86" s="33" t="n"/>
      <c r="DX86" s="33" t="n"/>
      <c r="DY86" s="33" t="n"/>
      <c r="DZ86" s="33" t="n"/>
      <c r="EA86" s="33" t="n"/>
      <c r="EB86" s="33" t="n"/>
      <c r="EC86" s="33" t="n"/>
      <c r="ED86" s="33" t="n"/>
      <c r="EE86" s="33" t="n"/>
      <c r="EF86" s="33" t="n"/>
      <c r="EG86" s="33" t="n"/>
      <c r="EH86" s="33" t="n"/>
      <c r="EI86" s="33" t="n"/>
      <c r="EJ86" s="33" t="n"/>
      <c r="EK86" s="33" t="n"/>
      <c r="EL86" s="33" t="n"/>
      <c r="EM86" s="33" t="n"/>
      <c r="EN86" s="33" t="n"/>
      <c r="EO86" s="33" t="n"/>
      <c r="EP86" s="33" t="n"/>
      <c r="EQ86" s="33" t="n"/>
      <c r="ER86" s="33" t="n"/>
      <c r="ES86" s="33" t="n"/>
      <c r="ET86" s="33" t="n"/>
      <c r="EU86" s="33" t="n"/>
      <c r="EV86" s="33" t="n"/>
      <c r="EW86" s="33" t="n"/>
      <c r="EX86" s="33" t="n"/>
      <c r="EY86" s="33" t="n"/>
      <c r="EZ86" s="33" t="n"/>
      <c r="FA86" s="33" t="n"/>
      <c r="FB86" s="33" t="n"/>
      <c r="FC86" s="33" t="n"/>
      <c r="FD86" s="33" t="n"/>
      <c r="FE86" s="33" t="n"/>
      <c r="FF86" s="33" t="n"/>
      <c r="FG86" s="33" t="n"/>
      <c r="FH86" s="33" t="n"/>
      <c r="FI86" s="33" t="n"/>
      <c r="FJ86" s="33" t="n"/>
      <c r="FK86" s="33" t="n"/>
      <c r="FL86" s="33" t="n"/>
      <c r="FM86" s="33" t="n"/>
      <c r="FN86" s="33" t="n"/>
      <c r="FO86" s="33" t="n"/>
      <c r="FP86" s="33" t="n"/>
      <c r="FQ86" s="33" t="n"/>
      <c r="FR86" s="33" t="n"/>
      <c r="FS86" s="33" t="n"/>
      <c r="FT86" s="33" t="n"/>
      <c r="FU86" s="33" t="n"/>
      <c r="FV86" s="33" t="n"/>
      <c r="FW86" s="33" t="n"/>
      <c r="FX86" s="33" t="n"/>
      <c r="FY86" s="33" t="n"/>
      <c r="FZ86" s="33" t="n"/>
      <c r="GA86" s="33" t="n"/>
      <c r="GB86" s="33" t="n"/>
      <c r="GC86" s="33" t="n"/>
      <c r="GD86" s="33" t="n"/>
      <c r="GE86" s="33" t="n"/>
      <c r="GF86" s="33" t="n"/>
      <c r="GG86" s="33" t="n"/>
      <c r="GH86" s="33" t="n"/>
      <c r="GI86" s="33" t="n"/>
      <c r="GJ86" s="33" t="n"/>
      <c r="GK86" s="33" t="n"/>
      <c r="GL86" s="33" t="n"/>
      <c r="GM86" s="33" t="n"/>
      <c r="GN86" s="33" t="n"/>
      <c r="GO86" s="33" t="n"/>
      <c r="GP86" s="33" t="n"/>
      <c r="GQ86" s="33" t="n"/>
      <c r="GR86" s="33" t="n"/>
      <c r="GS86" s="33" t="n"/>
      <c r="GT86" s="33" t="n"/>
      <c r="GU86" s="33" t="n"/>
      <c r="GV86" s="33" t="n"/>
      <c r="GW86" s="33" t="n"/>
      <c r="GX86" s="33" t="n"/>
      <c r="GY86" s="33" t="n"/>
      <c r="GZ86" s="33" t="n"/>
      <c r="HA86" s="33" t="n"/>
      <c r="HB86" s="33" t="n"/>
      <c r="HC86" s="33" t="n"/>
      <c r="HD86" s="33" t="n"/>
      <c r="HE86" s="33" t="n"/>
      <c r="HF86" s="33" t="n"/>
      <c r="HG86" s="33" t="n"/>
      <c r="HH86" s="33" t="n"/>
      <c r="HI86" s="33" t="n"/>
      <c r="HJ86" s="33" t="n"/>
      <c r="HK86" s="33" t="n"/>
      <c r="HL86" s="33" t="n"/>
      <c r="HM86" s="33" t="n"/>
      <c r="HN86" s="33" t="n"/>
      <c r="HO86" s="33" t="n"/>
      <c r="HP86" s="33" t="n"/>
      <c r="HQ86" s="33" t="n"/>
      <c r="HR86" s="33" t="n"/>
      <c r="HS86" s="33" t="n"/>
      <c r="HT86" s="33" t="n"/>
      <c r="HU86" s="33" t="n"/>
      <c r="HV86" s="33" t="n"/>
      <c r="HW86" s="33" t="n"/>
      <c r="HX86" s="33" t="n"/>
      <c r="HY86" s="33" t="n"/>
      <c r="HZ86" s="33" t="n"/>
      <c r="IA86" s="33" t="n"/>
      <c r="IB86" s="33" t="n"/>
      <c r="IC86" s="33" t="n"/>
      <c r="ID86" s="33" t="n"/>
      <c r="IE86" s="33" t="n"/>
      <c r="IF86" s="33" t="n"/>
      <c r="IG86" s="33" t="n"/>
      <c r="IH86" s="33" t="n"/>
      <c r="II86" s="33" t="n"/>
      <c r="IJ86" s="33" t="n"/>
      <c r="IK86" s="33" t="n"/>
      <c r="IL86" s="33" t="n"/>
      <c r="IM86" s="33" t="n"/>
      <c r="IN86" s="33" t="n"/>
      <c r="IO86" s="33" t="n"/>
      <c r="IP86" s="33" t="n"/>
      <c r="IQ86" s="33" t="n"/>
      <c r="IR86" s="33" t="n"/>
      <c r="IS86" s="33" t="n"/>
      <c r="IT86" s="33" t="n"/>
      <c r="IU86" s="33" t="n"/>
      <c r="IV86" s="33" t="n"/>
      <c r="IW86" s="33" t="n"/>
      <c r="IX86" s="33" t="n"/>
      <c r="IY86" s="33" t="n"/>
      <c r="IZ86" s="33" t="n"/>
      <c r="JA86" s="33" t="n"/>
      <c r="JB86" s="33" t="n"/>
      <c r="JC86" s="33" t="n"/>
      <c r="JD86" s="33" t="n"/>
      <c r="JE86" s="33" t="n"/>
      <c r="JF86" s="33" t="n"/>
      <c r="JG86" s="33" t="n"/>
      <c r="JH86" s="33" t="n"/>
      <c r="JI86" s="33" t="n"/>
      <c r="JJ86" s="33" t="n"/>
      <c r="JK86" s="33" t="n"/>
      <c r="JL86" s="33" t="n"/>
      <c r="JM86" s="33" t="n"/>
      <c r="JN86" s="33" t="n"/>
      <c r="JO86" s="33" t="n"/>
      <c r="JP86" s="33" t="n"/>
      <c r="JQ86" s="33" t="n"/>
      <c r="JR86" s="33" t="n"/>
      <c r="JS86" s="33" t="n"/>
      <c r="JT86" s="33" t="n"/>
      <c r="JU86" s="33" t="n"/>
      <c r="JV86" s="33" t="n"/>
      <c r="JW86" s="33" t="n"/>
      <c r="JX86" s="33" t="n"/>
      <c r="JY86" s="33" t="n"/>
      <c r="JZ86" s="33" t="n"/>
      <c r="KA86" s="33" t="n"/>
      <c r="KB86" s="33" t="n"/>
      <c r="KC86" s="33" t="n"/>
      <c r="KD86" s="33" t="n"/>
      <c r="KE86" s="33" t="n"/>
      <c r="KF86" s="33" t="n"/>
      <c r="KG86" s="33" t="n"/>
      <c r="KH86" s="33" t="n"/>
      <c r="KI86" s="33" t="n"/>
      <c r="KJ86" s="33" t="n"/>
      <c r="KK86" s="33" t="n"/>
      <c r="KL86" s="33" t="n"/>
      <c r="KM86" s="33" t="n"/>
      <c r="KN86" s="33" t="n"/>
      <c r="KO86" s="33" t="n"/>
      <c r="KP86" s="33" t="n"/>
      <c r="KQ86" s="33" t="n"/>
      <c r="KR86" s="33" t="n"/>
      <c r="KS86" s="33" t="n"/>
      <c r="KT86" s="33" t="n"/>
      <c r="KU86" s="33" t="n"/>
      <c r="KV86" s="33" t="n"/>
      <c r="KW86" s="33" t="n"/>
      <c r="KX86" s="33" t="n"/>
      <c r="KY86" s="33" t="n"/>
      <c r="KZ86" s="33" t="n"/>
      <c r="LA86" s="33" t="n"/>
      <c r="LB86" s="33" t="n"/>
      <c r="LC86" s="33" t="n"/>
      <c r="LD86" s="33" t="n"/>
      <c r="LE86" s="33" t="n"/>
      <c r="LF86" s="33" t="n"/>
      <c r="LG86" s="33" t="n"/>
      <c r="LH86" s="33" t="n"/>
      <c r="LI86" s="33" t="n"/>
      <c r="LJ86" s="33" t="n"/>
      <c r="LK86" s="33" t="n"/>
      <c r="LL86" s="33" t="n"/>
      <c r="LM86" s="33" t="n"/>
      <c r="LN86" s="33" t="n"/>
      <c r="LO86" s="33" t="n"/>
      <c r="LP86" s="33" t="n"/>
      <c r="LQ86" s="33" t="n"/>
      <c r="LR86" s="33" t="n"/>
      <c r="LS86" s="33" t="n"/>
      <c r="LT86" s="33" t="n"/>
      <c r="LU86" s="33" t="n"/>
      <c r="LV86" s="33" t="n"/>
      <c r="LW86" s="33" t="n"/>
      <c r="LX86" s="33" t="n"/>
      <c r="LY86" s="33" t="n"/>
      <c r="LZ86" s="33" t="n"/>
      <c r="MA86" s="33" t="n"/>
      <c r="MB86" s="33" t="n"/>
      <c r="MC86" s="33" t="n"/>
      <c r="MD86" s="33" t="n"/>
      <c r="ME86" s="33" t="n"/>
      <c r="MF86" s="33" t="n"/>
      <c r="MG86" s="33" t="n"/>
      <c r="MH86" s="33" t="n"/>
      <c r="MI86" s="33" t="n"/>
      <c r="MJ86" s="33" t="n"/>
      <c r="MK86" s="33" t="n"/>
      <c r="ML86" s="33" t="n"/>
      <c r="MM86" s="33" t="n"/>
      <c r="MN86" s="33" t="n"/>
      <c r="MO86" s="33" t="n"/>
      <c r="MP86" s="33" t="n"/>
      <c r="MQ86" s="33" t="n"/>
      <c r="MR86" s="33" t="n"/>
      <c r="MS86" s="33" t="n"/>
      <c r="MT86" s="33" t="n"/>
      <c r="MU86" s="33" t="n"/>
      <c r="MV86" s="33" t="n"/>
      <c r="MW86" s="33" t="n"/>
      <c r="MX86" s="33" t="n"/>
      <c r="MY86" s="33" t="n"/>
      <c r="MZ86" s="33" t="n"/>
      <c r="NA86" s="33" t="n"/>
      <c r="NB86" s="33" t="n"/>
      <c r="NC86" s="33" t="n"/>
      <c r="ND86" s="33" t="n"/>
      <c r="NE86" s="33" t="n"/>
      <c r="NF86" s="33" t="n"/>
      <c r="NG86" s="33" t="n"/>
      <c r="NH86" s="33" t="n"/>
      <c r="NI86" s="33" t="n"/>
      <c r="NJ86" s="33" t="n"/>
      <c r="NK86" s="33" t="n"/>
      <c r="NL86" s="33" t="n"/>
      <c r="NM86" s="33" t="n"/>
      <c r="NN86" s="33" t="n"/>
      <c r="NO86" s="33" t="n"/>
      <c r="NP86" s="33" t="n"/>
      <c r="NQ86" s="33" t="n"/>
      <c r="NR86" s="33" t="n"/>
      <c r="NS86" s="33" t="n"/>
      <c r="NT86" s="33" t="n"/>
      <c r="NU86" s="33" t="n"/>
      <c r="NV86" s="33" t="n"/>
      <c r="NW86" s="33" t="n"/>
      <c r="NX86" s="33" t="n"/>
      <c r="NY86" s="33" t="n"/>
      <c r="NZ86" s="33" t="n"/>
      <c r="OA86" s="33" t="n"/>
      <c r="OB86" s="33" t="n"/>
      <c r="OC86" s="33" t="n"/>
      <c r="OD86" s="33" t="n"/>
      <c r="OE86" s="33" t="n"/>
      <c r="OF86" s="33" t="n"/>
      <c r="OG86" s="33" t="n"/>
      <c r="OH86" s="33" t="n"/>
      <c r="OI86" s="33" t="n"/>
      <c r="OJ86" s="33" t="n"/>
      <c r="OK86" s="33" t="n"/>
      <c r="OL86" s="33" t="n"/>
      <c r="OM86" s="33" t="n"/>
      <c r="ON86" s="33" t="n"/>
      <c r="OO86" s="33" t="n"/>
      <c r="OP86" s="33" t="n"/>
      <c r="OQ86" s="33" t="n"/>
      <c r="OR86" s="33" t="n"/>
      <c r="OS86" s="33" t="n"/>
      <c r="OT86" s="33" t="n"/>
      <c r="OU86" s="33" t="n"/>
      <c r="OV86" s="33" t="n"/>
      <c r="OW86" s="33" t="n"/>
      <c r="OX86" s="33" t="n"/>
      <c r="OY86" s="33" t="n"/>
      <c r="OZ86" s="33" t="n"/>
      <c r="PA86" s="33" t="n"/>
      <c r="PB86" s="33" t="n"/>
      <c r="PC86" s="33" t="n"/>
      <c r="PD86" s="33" t="n"/>
      <c r="PE86" s="33" t="n"/>
      <c r="PF86" s="33" t="n"/>
      <c r="PG86" s="33" t="n"/>
      <c r="PH86" s="33" t="n"/>
      <c r="PI86" s="33" t="n"/>
      <c r="PJ86" s="33" t="n"/>
      <c r="PK86" s="33" t="n"/>
      <c r="PL86" s="33" t="n"/>
      <c r="PM86" s="33" t="n"/>
      <c r="PN86" s="33" t="n"/>
      <c r="PO86" s="33" t="n"/>
      <c r="PP86" s="33" t="n"/>
      <c r="PQ86" s="33" t="n"/>
      <c r="PR86" s="33" t="n"/>
      <c r="PS86" s="33" t="n"/>
      <c r="PT86" s="33" t="n"/>
      <c r="PU86" s="33" t="n"/>
      <c r="PV86" s="33" t="n"/>
      <c r="PW86" s="33" t="n"/>
      <c r="PX86" s="33" t="n"/>
      <c r="PY86" s="33" t="n"/>
      <c r="PZ86" s="33" t="n"/>
      <c r="QA86" s="33" t="n"/>
      <c r="QB86" s="33" t="n"/>
      <c r="QC86" s="33" t="n"/>
      <c r="QD86" s="33" t="n"/>
      <c r="QE86" s="33" t="n"/>
      <c r="QF86" s="33" t="n"/>
      <c r="QG86" s="33" t="n"/>
      <c r="QH86" s="33" t="n"/>
      <c r="QI86" s="33" t="n"/>
      <c r="QJ86" s="33" t="n"/>
      <c r="QK86" s="33" t="n"/>
      <c r="QL86" s="33" t="n"/>
      <c r="QM86" s="33" t="n"/>
      <c r="QN86" s="33" t="n"/>
      <c r="QO86" s="33" t="n"/>
      <c r="QP86" s="33" t="n"/>
      <c r="QQ86" s="33" t="n"/>
      <c r="QR86" s="33" t="n"/>
      <c r="QS86" s="33" t="n"/>
      <c r="QT86" s="33" t="n"/>
      <c r="QU86" s="33" t="n"/>
      <c r="QV86" s="33" t="n"/>
      <c r="QW86" s="33" t="n"/>
      <c r="QX86" s="33" t="n"/>
      <c r="QY86" s="33" t="n"/>
      <c r="QZ86" s="33" t="n"/>
      <c r="RA86" s="33" t="n"/>
      <c r="RB86" s="33" t="n"/>
      <c r="RC86" s="33" t="n"/>
      <c r="RD86" s="33" t="n"/>
      <c r="RE86" s="33" t="n"/>
      <c r="RF86" s="33" t="n"/>
      <c r="RG86" s="33" t="n"/>
      <c r="RH86" s="33" t="n"/>
      <c r="RI86" s="33" t="n"/>
      <c r="RJ86" s="33" t="n"/>
      <c r="RK86" s="33" t="n"/>
      <c r="RL86" s="33" t="n"/>
      <c r="RM86" s="33" t="n"/>
      <c r="RN86" s="33" t="n"/>
      <c r="RO86" s="33" t="n"/>
      <c r="RP86" s="33" t="n"/>
      <c r="RQ86" s="33" t="n"/>
      <c r="RR86" s="33" t="n"/>
      <c r="RS86" s="33" t="n"/>
      <c r="RT86" s="33" t="n"/>
      <c r="RU86" s="33" t="n"/>
      <c r="RV86" s="33" t="n"/>
      <c r="RW86" s="33" t="n"/>
    </row>
    <row r="87" hidden="1" outlineLevel="1" ht="13.05" customHeight="1">
      <c r="E87" s="21" t="inlineStr">
        <is>
          <t>Balancing Cost</t>
        </is>
      </c>
      <c r="F87" s="29" t="n"/>
      <c r="G87" s="29" t="inlineStr">
        <is>
          <t>kEUR</t>
        </is>
      </c>
      <c r="H87" s="29" t="n"/>
      <c r="I87" s="29" t="n"/>
      <c r="J87" s="32" t="n"/>
      <c r="K87" s="29" t="n"/>
      <c r="L87" s="33" t="n"/>
      <c r="M87" s="33" t="n"/>
      <c r="N87" s="33" t="n"/>
      <c r="O87" s="33" t="n"/>
      <c r="P87" s="33" t="n"/>
      <c r="Q87" s="33" t="n"/>
      <c r="R87" s="33" t="n"/>
      <c r="S87" s="33" t="n"/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n"/>
      <c r="AF87" s="33" t="n"/>
      <c r="AG87" s="33" t="n"/>
      <c r="AH87" s="33" t="n"/>
      <c r="AI87" s="33" t="n"/>
      <c r="AJ87" s="33" t="n"/>
      <c r="AK87" s="33" t="n"/>
      <c r="AL87" s="33" t="n"/>
      <c r="AM87" s="33" t="n"/>
      <c r="AN87" s="33" t="n"/>
      <c r="AO87" s="33" t="n"/>
      <c r="AP87" s="33" t="n"/>
      <c r="AQ87" s="33" t="n"/>
      <c r="AR87" s="33" t="n"/>
      <c r="AS87" s="33" t="n"/>
      <c r="AT87" s="33" t="n"/>
      <c r="AU87" s="33" t="n"/>
      <c r="AV87" s="33" t="n"/>
      <c r="AW87" s="33" t="n"/>
      <c r="AX87" s="33" t="n"/>
      <c r="AY87" s="33" t="n"/>
      <c r="AZ87" s="33" t="n"/>
      <c r="BA87" s="33" t="n"/>
      <c r="BB87" s="33" t="n"/>
      <c r="BC87" s="33" t="n"/>
      <c r="BD87" s="33" t="n"/>
      <c r="BE87" s="33" t="n"/>
      <c r="BF87" s="33" t="n"/>
      <c r="BG87" s="33" t="n"/>
      <c r="BH87" s="33" t="n"/>
      <c r="BI87" s="33" t="n"/>
      <c r="BJ87" s="33" t="n"/>
      <c r="BK87" s="33" t="n"/>
      <c r="BL87" s="33" t="n"/>
      <c r="BM87" s="33" t="n"/>
      <c r="BN87" s="33" t="n"/>
      <c r="BO87" s="33" t="n"/>
      <c r="BP87" s="33" t="n"/>
      <c r="BQ87" s="33" t="n"/>
      <c r="BR87" s="33" t="n"/>
      <c r="BS87" s="33" t="n"/>
      <c r="BT87" s="33" t="n"/>
      <c r="BU87" s="33" t="n"/>
      <c r="BV87" s="33" t="n"/>
      <c r="BW87" s="33" t="n"/>
      <c r="BX87" s="33" t="n"/>
      <c r="BY87" s="33" t="n"/>
      <c r="BZ87" s="33" t="n"/>
      <c r="CA87" s="33" t="n"/>
      <c r="CB87" s="33" t="n"/>
      <c r="CC87" s="33" t="n"/>
      <c r="CD87" s="33" t="n"/>
      <c r="CE87" s="33" t="n"/>
      <c r="CF87" s="33" t="n"/>
      <c r="CG87" s="33" t="n"/>
      <c r="CH87" s="33" t="n"/>
      <c r="CI87" s="33" t="n"/>
      <c r="CJ87" s="33" t="n"/>
      <c r="CK87" s="33" t="n"/>
      <c r="CL87" s="33" t="n"/>
      <c r="CM87" s="33" t="n"/>
      <c r="CN87" s="33" t="n"/>
      <c r="CO87" s="33" t="n"/>
      <c r="CP87" s="33" t="n"/>
      <c r="CQ87" s="33" t="n"/>
      <c r="CR87" s="33" t="n"/>
      <c r="CS87" s="33" t="n"/>
      <c r="CT87" s="33" t="n"/>
      <c r="CU87" s="33" t="n"/>
      <c r="CV87" s="33" t="n"/>
      <c r="CW87" s="33" t="n"/>
      <c r="CX87" s="33" t="n"/>
      <c r="CY87" s="33" t="n"/>
      <c r="CZ87" s="33" t="n"/>
      <c r="DA87" s="33" t="n"/>
      <c r="DB87" s="33" t="n"/>
      <c r="DC87" s="33" t="n"/>
      <c r="DD87" s="33" t="n"/>
      <c r="DE87" s="33" t="n"/>
      <c r="DF87" s="33" t="n"/>
      <c r="DG87" s="33" t="n"/>
      <c r="DH87" s="33" t="n"/>
      <c r="DI87" s="33" t="n"/>
      <c r="DJ87" s="33" t="n"/>
      <c r="DK87" s="33" t="n"/>
      <c r="DL87" s="33" t="n"/>
      <c r="DM87" s="33" t="n"/>
      <c r="DN87" s="33" t="n"/>
      <c r="DO87" s="33" t="n"/>
      <c r="DP87" s="33" t="n"/>
      <c r="DQ87" s="33" t="n"/>
      <c r="DR87" s="33" t="n"/>
      <c r="DS87" s="33" t="n"/>
      <c r="DT87" s="33" t="n"/>
      <c r="DU87" s="33" t="n"/>
      <c r="DV87" s="33" t="n"/>
      <c r="DW87" s="33" t="n"/>
      <c r="DX87" s="33" t="n"/>
      <c r="DY87" s="33" t="n"/>
      <c r="DZ87" s="33" t="n"/>
      <c r="EA87" s="33" t="n"/>
      <c r="EB87" s="33" t="n"/>
      <c r="EC87" s="33" t="n"/>
      <c r="ED87" s="33" t="n"/>
      <c r="EE87" s="33" t="n"/>
      <c r="EF87" s="33" t="n"/>
      <c r="EG87" s="33" t="n"/>
      <c r="EH87" s="33" t="n"/>
      <c r="EI87" s="33" t="n"/>
      <c r="EJ87" s="33" t="n"/>
      <c r="EK87" s="33" t="n"/>
      <c r="EL87" s="33" t="n"/>
      <c r="EM87" s="33" t="n"/>
      <c r="EN87" s="33" t="n"/>
      <c r="EO87" s="33" t="n"/>
      <c r="EP87" s="33" t="n"/>
      <c r="EQ87" s="33" t="n"/>
      <c r="ER87" s="33" t="n"/>
      <c r="ES87" s="33" t="n"/>
      <c r="ET87" s="33" t="n"/>
      <c r="EU87" s="33" t="n"/>
      <c r="EV87" s="33" t="n"/>
      <c r="EW87" s="33" t="n"/>
      <c r="EX87" s="33" t="n"/>
      <c r="EY87" s="33" t="n"/>
      <c r="EZ87" s="33" t="n"/>
      <c r="FA87" s="33" t="n"/>
      <c r="FB87" s="33" t="n"/>
      <c r="FC87" s="33" t="n"/>
      <c r="FD87" s="33" t="n"/>
      <c r="FE87" s="33" t="n"/>
      <c r="FF87" s="33" t="n"/>
      <c r="FG87" s="33" t="n"/>
      <c r="FH87" s="33" t="n"/>
      <c r="FI87" s="33" t="n"/>
      <c r="FJ87" s="33" t="n"/>
      <c r="FK87" s="33" t="n"/>
      <c r="FL87" s="33" t="n"/>
      <c r="FM87" s="33" t="n"/>
      <c r="FN87" s="33" t="n"/>
      <c r="FO87" s="33" t="n"/>
      <c r="FP87" s="33" t="n"/>
      <c r="FQ87" s="33" t="n"/>
      <c r="FR87" s="33" t="n"/>
      <c r="FS87" s="33" t="n"/>
      <c r="FT87" s="33" t="n"/>
      <c r="FU87" s="33" t="n"/>
      <c r="FV87" s="33" t="n"/>
      <c r="FW87" s="33" t="n"/>
      <c r="FX87" s="33" t="n"/>
      <c r="FY87" s="33" t="n"/>
      <c r="FZ87" s="33" t="n"/>
      <c r="GA87" s="33" t="n"/>
      <c r="GB87" s="33" t="n"/>
      <c r="GC87" s="33" t="n"/>
      <c r="GD87" s="33" t="n"/>
      <c r="GE87" s="33" t="n"/>
      <c r="GF87" s="33" t="n"/>
      <c r="GG87" s="33" t="n"/>
      <c r="GH87" s="33" t="n"/>
      <c r="GI87" s="33" t="n"/>
      <c r="GJ87" s="33" t="n"/>
      <c r="GK87" s="33" t="n"/>
      <c r="GL87" s="33" t="n"/>
      <c r="GM87" s="33" t="n"/>
      <c r="GN87" s="33" t="n"/>
      <c r="GO87" s="33" t="n"/>
      <c r="GP87" s="33" t="n"/>
      <c r="GQ87" s="33" t="n"/>
      <c r="GR87" s="33" t="n"/>
      <c r="GS87" s="33" t="n"/>
      <c r="GT87" s="33" t="n"/>
      <c r="GU87" s="33" t="n"/>
      <c r="GV87" s="33" t="n"/>
      <c r="GW87" s="33" t="n"/>
      <c r="GX87" s="33" t="n"/>
      <c r="GY87" s="33" t="n"/>
      <c r="GZ87" s="33" t="n"/>
      <c r="HA87" s="33" t="n"/>
      <c r="HB87" s="33" t="n"/>
      <c r="HC87" s="33" t="n"/>
      <c r="HD87" s="33" t="n"/>
      <c r="HE87" s="33" t="n"/>
      <c r="HF87" s="33" t="n"/>
      <c r="HG87" s="33" t="n"/>
      <c r="HH87" s="33" t="n"/>
      <c r="HI87" s="33" t="n"/>
      <c r="HJ87" s="33" t="n"/>
      <c r="HK87" s="33" t="n"/>
      <c r="HL87" s="33" t="n"/>
      <c r="HM87" s="33" t="n"/>
      <c r="HN87" s="33" t="n"/>
      <c r="HO87" s="33" t="n"/>
      <c r="HP87" s="33" t="n"/>
      <c r="HQ87" s="33" t="n"/>
      <c r="HR87" s="33" t="n"/>
      <c r="HS87" s="33" t="n"/>
      <c r="HT87" s="33" t="n"/>
      <c r="HU87" s="33" t="n"/>
      <c r="HV87" s="33" t="n"/>
      <c r="HW87" s="33" t="n"/>
      <c r="HX87" s="33" t="n"/>
      <c r="HY87" s="33" t="n"/>
      <c r="HZ87" s="33" t="n"/>
      <c r="IA87" s="33" t="n"/>
      <c r="IB87" s="33" t="n"/>
      <c r="IC87" s="33" t="n"/>
      <c r="ID87" s="33" t="n"/>
      <c r="IE87" s="33" t="n"/>
      <c r="IF87" s="33" t="n"/>
      <c r="IG87" s="33" t="n"/>
      <c r="IH87" s="33" t="n"/>
      <c r="II87" s="33" t="n"/>
      <c r="IJ87" s="33" t="n"/>
      <c r="IK87" s="33" t="n"/>
      <c r="IL87" s="33" t="n"/>
      <c r="IM87" s="33" t="n"/>
      <c r="IN87" s="33" t="n"/>
      <c r="IO87" s="33" t="n"/>
      <c r="IP87" s="33" t="n"/>
      <c r="IQ87" s="33" t="n"/>
      <c r="IR87" s="33" t="n"/>
      <c r="IS87" s="33" t="n"/>
      <c r="IT87" s="33" t="n"/>
      <c r="IU87" s="33" t="n"/>
      <c r="IV87" s="33" t="n"/>
      <c r="IW87" s="33" t="n"/>
      <c r="IX87" s="33" t="n"/>
      <c r="IY87" s="33" t="n"/>
      <c r="IZ87" s="33" t="n"/>
      <c r="JA87" s="33" t="n"/>
      <c r="JB87" s="33" t="n"/>
      <c r="JC87" s="33" t="n"/>
      <c r="JD87" s="33" t="n"/>
      <c r="JE87" s="33" t="n"/>
      <c r="JF87" s="33" t="n"/>
      <c r="JG87" s="33" t="n"/>
      <c r="JH87" s="33" t="n"/>
      <c r="JI87" s="33" t="n"/>
      <c r="JJ87" s="33" t="n"/>
      <c r="JK87" s="33" t="n"/>
      <c r="JL87" s="33" t="n"/>
      <c r="JM87" s="33" t="n"/>
      <c r="JN87" s="33" t="n"/>
      <c r="JO87" s="33" t="n"/>
      <c r="JP87" s="33" t="n"/>
      <c r="JQ87" s="33" t="n"/>
      <c r="JR87" s="33" t="n"/>
      <c r="JS87" s="33" t="n"/>
      <c r="JT87" s="33" t="n"/>
      <c r="JU87" s="33" t="n"/>
      <c r="JV87" s="33" t="n"/>
      <c r="JW87" s="33" t="n"/>
      <c r="JX87" s="33" t="n"/>
      <c r="JY87" s="33" t="n"/>
      <c r="JZ87" s="33" t="n"/>
      <c r="KA87" s="33" t="n"/>
      <c r="KB87" s="33" t="n"/>
      <c r="KC87" s="33" t="n"/>
      <c r="KD87" s="33" t="n"/>
      <c r="KE87" s="33" t="n"/>
      <c r="KF87" s="33" t="n"/>
      <c r="KG87" s="33" t="n"/>
      <c r="KH87" s="33" t="n"/>
      <c r="KI87" s="33" t="n"/>
      <c r="KJ87" s="33" t="n"/>
      <c r="KK87" s="33" t="n"/>
      <c r="KL87" s="33" t="n"/>
      <c r="KM87" s="33" t="n"/>
      <c r="KN87" s="33" t="n"/>
      <c r="KO87" s="33" t="n"/>
      <c r="KP87" s="33" t="n"/>
      <c r="KQ87" s="33" t="n"/>
      <c r="KR87" s="33" t="n"/>
      <c r="KS87" s="33" t="n"/>
      <c r="KT87" s="33" t="n"/>
      <c r="KU87" s="33" t="n"/>
      <c r="KV87" s="33" t="n"/>
      <c r="KW87" s="33" t="n"/>
      <c r="KX87" s="33" t="n"/>
      <c r="KY87" s="33" t="n"/>
      <c r="KZ87" s="33" t="n"/>
      <c r="LA87" s="33" t="n"/>
      <c r="LB87" s="33" t="n"/>
      <c r="LC87" s="33" t="n"/>
      <c r="LD87" s="33" t="n"/>
      <c r="LE87" s="33" t="n"/>
      <c r="LF87" s="33" t="n"/>
      <c r="LG87" s="33" t="n"/>
      <c r="LH87" s="33" t="n"/>
      <c r="LI87" s="33" t="n"/>
      <c r="LJ87" s="33" t="n"/>
      <c r="LK87" s="33" t="n"/>
      <c r="LL87" s="33" t="n"/>
      <c r="LM87" s="33" t="n"/>
      <c r="LN87" s="33" t="n"/>
      <c r="LO87" s="33" t="n"/>
      <c r="LP87" s="33" t="n"/>
      <c r="LQ87" s="33" t="n"/>
      <c r="LR87" s="33" t="n"/>
      <c r="LS87" s="33" t="n"/>
      <c r="LT87" s="33" t="n"/>
      <c r="LU87" s="33" t="n"/>
      <c r="LV87" s="33" t="n"/>
      <c r="LW87" s="33" t="n"/>
      <c r="LX87" s="33" t="n"/>
      <c r="LY87" s="33" t="n"/>
      <c r="LZ87" s="33" t="n"/>
      <c r="MA87" s="33" t="n"/>
      <c r="MB87" s="33" t="n"/>
      <c r="MC87" s="33" t="n"/>
      <c r="MD87" s="33" t="n"/>
      <c r="ME87" s="33" t="n"/>
      <c r="MF87" s="33" t="n"/>
      <c r="MG87" s="33" t="n"/>
      <c r="MH87" s="33" t="n"/>
      <c r="MI87" s="33" t="n"/>
      <c r="MJ87" s="33" t="n"/>
      <c r="MK87" s="33" t="n"/>
      <c r="ML87" s="33" t="n"/>
      <c r="MM87" s="33" t="n"/>
      <c r="MN87" s="33" t="n"/>
      <c r="MO87" s="33" t="n"/>
      <c r="MP87" s="33" t="n"/>
      <c r="MQ87" s="33" t="n"/>
      <c r="MR87" s="33" t="n"/>
      <c r="MS87" s="33" t="n"/>
      <c r="MT87" s="33" t="n"/>
      <c r="MU87" s="33" t="n"/>
      <c r="MV87" s="33" t="n"/>
      <c r="MW87" s="33" t="n"/>
      <c r="MX87" s="33" t="n"/>
      <c r="MY87" s="33" t="n"/>
      <c r="MZ87" s="33" t="n"/>
      <c r="NA87" s="33" t="n"/>
      <c r="NB87" s="33" t="n"/>
      <c r="NC87" s="33" t="n"/>
      <c r="ND87" s="33" t="n"/>
      <c r="NE87" s="33" t="n"/>
      <c r="NF87" s="33" t="n"/>
      <c r="NG87" s="33" t="n"/>
      <c r="NH87" s="33" t="n"/>
      <c r="NI87" s="33" t="n"/>
      <c r="NJ87" s="33" t="n"/>
      <c r="NK87" s="33" t="n"/>
      <c r="NL87" s="33" t="n"/>
      <c r="NM87" s="33" t="n"/>
      <c r="NN87" s="33" t="n"/>
      <c r="NO87" s="33" t="n"/>
      <c r="NP87" s="33" t="n"/>
      <c r="NQ87" s="33" t="n"/>
      <c r="NR87" s="33" t="n"/>
      <c r="NS87" s="33" t="n"/>
      <c r="NT87" s="33" t="n"/>
      <c r="NU87" s="33" t="n"/>
      <c r="NV87" s="33" t="n"/>
      <c r="NW87" s="33" t="n"/>
      <c r="NX87" s="33" t="n"/>
      <c r="NY87" s="33" t="n"/>
      <c r="NZ87" s="33" t="n"/>
      <c r="OA87" s="33" t="n"/>
      <c r="OB87" s="33" t="n"/>
      <c r="OC87" s="33" t="n"/>
      <c r="OD87" s="33" t="n"/>
      <c r="OE87" s="33" t="n"/>
      <c r="OF87" s="33" t="n"/>
      <c r="OG87" s="33" t="n"/>
      <c r="OH87" s="33" t="n"/>
      <c r="OI87" s="33" t="n"/>
      <c r="OJ87" s="33" t="n"/>
      <c r="OK87" s="33" t="n"/>
      <c r="OL87" s="33" t="n"/>
      <c r="OM87" s="33" t="n"/>
      <c r="ON87" s="33" t="n"/>
      <c r="OO87" s="33" t="n"/>
      <c r="OP87" s="33" t="n"/>
      <c r="OQ87" s="33" t="n"/>
      <c r="OR87" s="33" t="n"/>
      <c r="OS87" s="33" t="n"/>
      <c r="OT87" s="33" t="n"/>
      <c r="OU87" s="33" t="n"/>
      <c r="OV87" s="33" t="n"/>
      <c r="OW87" s="33" t="n"/>
      <c r="OX87" s="33" t="n"/>
      <c r="OY87" s="33" t="n"/>
      <c r="OZ87" s="33" t="n"/>
      <c r="PA87" s="33" t="n"/>
      <c r="PB87" s="33" t="n"/>
      <c r="PC87" s="33" t="n"/>
      <c r="PD87" s="33" t="n"/>
      <c r="PE87" s="33" t="n"/>
      <c r="PF87" s="33" t="n"/>
      <c r="PG87" s="33" t="n"/>
      <c r="PH87" s="33" t="n"/>
      <c r="PI87" s="33" t="n"/>
      <c r="PJ87" s="33" t="n"/>
      <c r="PK87" s="33" t="n"/>
      <c r="PL87" s="33" t="n"/>
      <c r="PM87" s="33" t="n"/>
      <c r="PN87" s="33" t="n"/>
      <c r="PO87" s="33" t="n"/>
      <c r="PP87" s="33" t="n"/>
      <c r="PQ87" s="33" t="n"/>
      <c r="PR87" s="33" t="n"/>
      <c r="PS87" s="33" t="n"/>
      <c r="PT87" s="33" t="n"/>
      <c r="PU87" s="33" t="n"/>
      <c r="PV87" s="33" t="n"/>
      <c r="PW87" s="33" t="n"/>
      <c r="PX87" s="33" t="n"/>
      <c r="PY87" s="33" t="n"/>
      <c r="PZ87" s="33" t="n"/>
      <c r="QA87" s="33" t="n"/>
      <c r="QB87" s="33" t="n"/>
      <c r="QC87" s="33" t="n"/>
      <c r="QD87" s="33" t="n"/>
      <c r="QE87" s="33" t="n"/>
      <c r="QF87" s="33" t="n"/>
      <c r="QG87" s="33" t="n"/>
      <c r="QH87" s="33" t="n"/>
      <c r="QI87" s="33" t="n"/>
      <c r="QJ87" s="33" t="n"/>
      <c r="QK87" s="33" t="n"/>
      <c r="QL87" s="33" t="n"/>
      <c r="QM87" s="33" t="n"/>
      <c r="QN87" s="33" t="n"/>
      <c r="QO87" s="33" t="n"/>
      <c r="QP87" s="33" t="n"/>
      <c r="QQ87" s="33" t="n"/>
      <c r="QR87" s="33" t="n"/>
      <c r="QS87" s="33" t="n"/>
      <c r="QT87" s="33" t="n"/>
      <c r="QU87" s="33" t="n"/>
      <c r="QV87" s="33" t="n"/>
      <c r="QW87" s="33" t="n"/>
      <c r="QX87" s="33" t="n"/>
      <c r="QY87" s="33" t="n"/>
      <c r="QZ87" s="33" t="n"/>
      <c r="RA87" s="33" t="n"/>
      <c r="RB87" s="33" t="n"/>
      <c r="RC87" s="33" t="n"/>
      <c r="RD87" s="33" t="n"/>
      <c r="RE87" s="33" t="n"/>
      <c r="RF87" s="33" t="n"/>
      <c r="RG87" s="33" t="n"/>
      <c r="RH87" s="33" t="n"/>
      <c r="RI87" s="33" t="n"/>
      <c r="RJ87" s="33" t="n"/>
      <c r="RK87" s="33" t="n"/>
      <c r="RL87" s="33" t="n"/>
      <c r="RM87" s="33" t="n"/>
      <c r="RN87" s="33" t="n"/>
      <c r="RO87" s="33" t="n"/>
      <c r="RP87" s="33" t="n"/>
      <c r="RQ87" s="33" t="n"/>
      <c r="RR87" s="33" t="n"/>
      <c r="RS87" s="33" t="n"/>
      <c r="RT87" s="33" t="n"/>
      <c r="RU87" s="33" t="n"/>
      <c r="RV87" s="33" t="n"/>
      <c r="RW87" s="33" t="n"/>
    </row>
    <row r="88" hidden="1" outlineLevel="1" ht="13.05" customHeight="1">
      <c r="E88" s="25" t="inlineStr">
        <is>
          <t>Gross Revenue</t>
        </is>
      </c>
      <c r="F88" s="26" t="n"/>
      <c r="G88" s="26" t="inlineStr">
        <is>
          <t>kEUR</t>
        </is>
      </c>
      <c r="H88" s="26" t="n"/>
      <c r="I88" s="26" t="n"/>
      <c r="J88" s="27" t="n"/>
      <c r="K88" s="26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  <c r="AP88" s="28" t="n"/>
      <c r="AQ88" s="28" t="n"/>
      <c r="AR88" s="28" t="n"/>
      <c r="AS88" s="28" t="n"/>
      <c r="AT88" s="28" t="n"/>
      <c r="AU88" s="28" t="n"/>
      <c r="AV88" s="28" t="n"/>
      <c r="AW88" s="28" t="n"/>
      <c r="AX88" s="28" t="n"/>
      <c r="AY88" s="28" t="n"/>
      <c r="AZ88" s="28" t="n"/>
      <c r="BA88" s="28" t="n"/>
      <c r="BB88" s="28" t="n"/>
      <c r="BC88" s="28" t="n"/>
      <c r="BD88" s="28" t="n"/>
      <c r="BE88" s="28" t="n"/>
      <c r="BF88" s="28" t="n"/>
      <c r="BG88" s="28" t="n"/>
      <c r="BH88" s="28" t="n"/>
      <c r="BI88" s="28" t="n"/>
      <c r="BJ88" s="28" t="n"/>
      <c r="BK88" s="28" t="n"/>
      <c r="BL88" s="28" t="n"/>
      <c r="BM88" s="28" t="n"/>
      <c r="BN88" s="28" t="n"/>
      <c r="BO88" s="28" t="n"/>
      <c r="BP88" s="28" t="n"/>
      <c r="BQ88" s="28" t="n"/>
      <c r="BR88" s="28" t="n"/>
      <c r="BS88" s="28" t="n"/>
      <c r="BT88" s="28" t="n"/>
      <c r="BU88" s="28" t="n"/>
      <c r="BV88" s="28" t="n"/>
      <c r="BW88" s="28" t="n"/>
      <c r="BX88" s="28" t="n"/>
      <c r="BY88" s="28" t="n"/>
      <c r="BZ88" s="28" t="n"/>
      <c r="CA88" s="28" t="n"/>
      <c r="CB88" s="28" t="n"/>
      <c r="CC88" s="28" t="n"/>
      <c r="CD88" s="28" t="n"/>
      <c r="CE88" s="28" t="n"/>
      <c r="CF88" s="28" t="n"/>
      <c r="CG88" s="28" t="n"/>
      <c r="CH88" s="28" t="n"/>
      <c r="CI88" s="28" t="n"/>
      <c r="CJ88" s="28" t="n"/>
      <c r="CK88" s="28" t="n"/>
      <c r="CL88" s="28" t="n"/>
      <c r="CM88" s="28" t="n"/>
      <c r="CN88" s="28" t="n"/>
      <c r="CO88" s="28" t="n"/>
      <c r="CP88" s="28" t="n"/>
      <c r="CQ88" s="28" t="n"/>
      <c r="CR88" s="28" t="n"/>
      <c r="CS88" s="28" t="n"/>
      <c r="CT88" s="28" t="n"/>
      <c r="CU88" s="28" t="n"/>
      <c r="CV88" s="28" t="n"/>
      <c r="CW88" s="28" t="n"/>
      <c r="CX88" s="28" t="n"/>
      <c r="CY88" s="28" t="n"/>
      <c r="CZ88" s="28" t="n"/>
      <c r="DA88" s="28" t="n"/>
      <c r="DB88" s="28" t="n"/>
      <c r="DC88" s="28" t="n"/>
      <c r="DD88" s="28" t="n"/>
      <c r="DE88" s="28" t="n"/>
      <c r="DF88" s="28" t="n"/>
      <c r="DG88" s="28" t="n"/>
      <c r="DH88" s="28" t="n"/>
      <c r="DI88" s="28" t="n"/>
      <c r="DJ88" s="28" t="n"/>
      <c r="DK88" s="28" t="n"/>
      <c r="DL88" s="28" t="n"/>
      <c r="DM88" s="28" t="n"/>
      <c r="DN88" s="28" t="n"/>
      <c r="DO88" s="28" t="n"/>
      <c r="DP88" s="28" t="n"/>
      <c r="DQ88" s="28" t="n"/>
      <c r="DR88" s="28" t="n"/>
      <c r="DS88" s="28" t="n"/>
      <c r="DT88" s="28" t="n"/>
      <c r="DU88" s="28" t="n"/>
      <c r="DV88" s="28" t="n"/>
      <c r="DW88" s="28" t="n"/>
      <c r="DX88" s="28" t="n"/>
      <c r="DY88" s="28" t="n"/>
      <c r="DZ88" s="28" t="n"/>
      <c r="EA88" s="28" t="n"/>
      <c r="EB88" s="28" t="n"/>
      <c r="EC88" s="28" t="n"/>
      <c r="ED88" s="28" t="n"/>
      <c r="EE88" s="28" t="n"/>
      <c r="EF88" s="28" t="n"/>
      <c r="EG88" s="28" t="n"/>
      <c r="EH88" s="28" t="n"/>
      <c r="EI88" s="28" t="n"/>
      <c r="EJ88" s="28" t="n"/>
      <c r="EK88" s="28" t="n"/>
      <c r="EL88" s="28" t="n"/>
      <c r="EM88" s="28" t="n"/>
      <c r="EN88" s="28" t="n"/>
      <c r="EO88" s="28" t="n"/>
      <c r="EP88" s="28" t="n"/>
      <c r="EQ88" s="28" t="n"/>
      <c r="ER88" s="28" t="n"/>
      <c r="ES88" s="28" t="n"/>
      <c r="ET88" s="28" t="n"/>
      <c r="EU88" s="28" t="n"/>
      <c r="EV88" s="28" t="n"/>
      <c r="EW88" s="28" t="n"/>
      <c r="EX88" s="28" t="n"/>
      <c r="EY88" s="28" t="n"/>
      <c r="EZ88" s="28" t="n"/>
      <c r="FA88" s="28" t="n"/>
      <c r="FB88" s="28" t="n"/>
      <c r="FC88" s="28" t="n"/>
      <c r="FD88" s="28" t="n"/>
      <c r="FE88" s="28" t="n"/>
      <c r="FF88" s="28" t="n"/>
      <c r="FG88" s="28" t="n"/>
      <c r="FH88" s="28" t="n"/>
      <c r="FI88" s="28" t="n"/>
      <c r="FJ88" s="28" t="n"/>
      <c r="FK88" s="28" t="n"/>
      <c r="FL88" s="28" t="n"/>
      <c r="FM88" s="28" t="n"/>
      <c r="FN88" s="28" t="n"/>
      <c r="FO88" s="28" t="n"/>
      <c r="FP88" s="28" t="n"/>
      <c r="FQ88" s="28" t="n"/>
      <c r="FR88" s="28" t="n"/>
      <c r="FS88" s="28" t="n"/>
      <c r="FT88" s="28" t="n"/>
      <c r="FU88" s="28" t="n"/>
      <c r="FV88" s="28" t="n"/>
      <c r="FW88" s="28" t="n"/>
      <c r="FX88" s="28" t="n"/>
      <c r="FY88" s="28" t="n"/>
      <c r="FZ88" s="28" t="n"/>
      <c r="GA88" s="28" t="n"/>
      <c r="GB88" s="28" t="n"/>
      <c r="GC88" s="28" t="n"/>
      <c r="GD88" s="28" t="n"/>
      <c r="GE88" s="28" t="n"/>
      <c r="GF88" s="28" t="n"/>
      <c r="GG88" s="28" t="n"/>
      <c r="GH88" s="28" t="n"/>
      <c r="GI88" s="28" t="n"/>
      <c r="GJ88" s="28" t="n"/>
      <c r="GK88" s="28" t="n"/>
      <c r="GL88" s="28" t="n"/>
      <c r="GM88" s="28" t="n"/>
      <c r="GN88" s="28" t="n"/>
      <c r="GO88" s="28" t="n"/>
      <c r="GP88" s="28" t="n"/>
      <c r="GQ88" s="28" t="n"/>
      <c r="GR88" s="28" t="n"/>
      <c r="GS88" s="28" t="n"/>
      <c r="GT88" s="28" t="n"/>
      <c r="GU88" s="28" t="n"/>
      <c r="GV88" s="28" t="n"/>
      <c r="GW88" s="28" t="n"/>
      <c r="GX88" s="28" t="n"/>
      <c r="GY88" s="28" t="n"/>
      <c r="GZ88" s="28" t="n"/>
      <c r="HA88" s="28" t="n"/>
      <c r="HB88" s="28" t="n"/>
      <c r="HC88" s="28" t="n"/>
      <c r="HD88" s="28" t="n"/>
      <c r="HE88" s="28" t="n"/>
      <c r="HF88" s="28" t="n"/>
      <c r="HG88" s="28" t="n"/>
      <c r="HH88" s="28" t="n"/>
      <c r="HI88" s="28" t="n"/>
      <c r="HJ88" s="28" t="n"/>
      <c r="HK88" s="28" t="n"/>
      <c r="HL88" s="28" t="n"/>
      <c r="HM88" s="28" t="n"/>
      <c r="HN88" s="28" t="n"/>
      <c r="HO88" s="28" t="n"/>
      <c r="HP88" s="28" t="n"/>
      <c r="HQ88" s="28" t="n"/>
      <c r="HR88" s="28" t="n"/>
      <c r="HS88" s="28" t="n"/>
      <c r="HT88" s="28" t="n"/>
      <c r="HU88" s="28" t="n"/>
      <c r="HV88" s="28" t="n"/>
      <c r="HW88" s="28" t="n"/>
      <c r="HX88" s="28" t="n"/>
      <c r="HY88" s="28" t="n"/>
      <c r="HZ88" s="28" t="n"/>
      <c r="IA88" s="28" t="n"/>
      <c r="IB88" s="28" t="n"/>
      <c r="IC88" s="28" t="n"/>
      <c r="ID88" s="28" t="n"/>
      <c r="IE88" s="28" t="n"/>
      <c r="IF88" s="28" t="n"/>
      <c r="IG88" s="28" t="n"/>
      <c r="IH88" s="28" t="n"/>
      <c r="II88" s="28" t="n"/>
      <c r="IJ88" s="28" t="n"/>
      <c r="IK88" s="28" t="n"/>
      <c r="IL88" s="28" t="n"/>
      <c r="IM88" s="28" t="n"/>
      <c r="IN88" s="28" t="n"/>
      <c r="IO88" s="28" t="n"/>
      <c r="IP88" s="28" t="n"/>
      <c r="IQ88" s="28" t="n"/>
      <c r="IR88" s="28" t="n"/>
      <c r="IS88" s="28" t="n"/>
      <c r="IT88" s="28" t="n"/>
      <c r="IU88" s="28" t="n"/>
      <c r="IV88" s="28" t="n"/>
      <c r="IW88" s="28" t="n"/>
      <c r="IX88" s="28" t="n"/>
      <c r="IY88" s="28" t="n"/>
      <c r="IZ88" s="28" t="n"/>
      <c r="JA88" s="28" t="n"/>
      <c r="JB88" s="28" t="n"/>
      <c r="JC88" s="28" t="n"/>
      <c r="JD88" s="28" t="n"/>
      <c r="JE88" s="28" t="n"/>
      <c r="JF88" s="28" t="n"/>
      <c r="JG88" s="28" t="n"/>
      <c r="JH88" s="28" t="n"/>
      <c r="JI88" s="28" t="n"/>
      <c r="JJ88" s="28" t="n"/>
      <c r="JK88" s="28" t="n"/>
      <c r="JL88" s="28" t="n"/>
      <c r="JM88" s="28" t="n"/>
      <c r="JN88" s="28" t="n"/>
      <c r="JO88" s="28" t="n"/>
      <c r="JP88" s="28" t="n"/>
      <c r="JQ88" s="28" t="n"/>
      <c r="JR88" s="28" t="n"/>
      <c r="JS88" s="28" t="n"/>
      <c r="JT88" s="28" t="n"/>
      <c r="JU88" s="28" t="n"/>
      <c r="JV88" s="28" t="n"/>
      <c r="JW88" s="28" t="n"/>
      <c r="JX88" s="28" t="n"/>
      <c r="JY88" s="28" t="n"/>
      <c r="JZ88" s="28" t="n"/>
      <c r="KA88" s="28" t="n"/>
      <c r="KB88" s="28" t="n"/>
      <c r="KC88" s="28" t="n"/>
      <c r="KD88" s="28" t="n"/>
      <c r="KE88" s="28" t="n"/>
      <c r="KF88" s="28" t="n"/>
      <c r="KG88" s="28" t="n"/>
      <c r="KH88" s="28" t="n"/>
      <c r="KI88" s="28" t="n"/>
      <c r="KJ88" s="28" t="n"/>
      <c r="KK88" s="28" t="n"/>
      <c r="KL88" s="28" t="n"/>
      <c r="KM88" s="28" t="n"/>
      <c r="KN88" s="28" t="n"/>
      <c r="KO88" s="28" t="n"/>
      <c r="KP88" s="28" t="n"/>
      <c r="KQ88" s="28" t="n"/>
      <c r="KR88" s="28" t="n"/>
      <c r="KS88" s="28" t="n"/>
      <c r="KT88" s="28" t="n"/>
      <c r="KU88" s="28" t="n"/>
      <c r="KV88" s="28" t="n"/>
      <c r="KW88" s="28" t="n"/>
      <c r="KX88" s="28" t="n"/>
      <c r="KY88" s="28" t="n"/>
      <c r="KZ88" s="28" t="n"/>
      <c r="LA88" s="28" t="n"/>
      <c r="LB88" s="28" t="n"/>
      <c r="LC88" s="28" t="n"/>
      <c r="LD88" s="28" t="n"/>
      <c r="LE88" s="28" t="n"/>
      <c r="LF88" s="28" t="n"/>
      <c r="LG88" s="28" t="n"/>
      <c r="LH88" s="28" t="n"/>
      <c r="LI88" s="28" t="n"/>
      <c r="LJ88" s="28" t="n"/>
      <c r="LK88" s="28" t="n"/>
      <c r="LL88" s="28" t="n"/>
      <c r="LM88" s="28" t="n"/>
      <c r="LN88" s="28" t="n"/>
      <c r="LO88" s="28" t="n"/>
      <c r="LP88" s="28" t="n"/>
      <c r="LQ88" s="28" t="n"/>
      <c r="LR88" s="28" t="n"/>
      <c r="LS88" s="28" t="n"/>
      <c r="LT88" s="28" t="n"/>
      <c r="LU88" s="28" t="n"/>
      <c r="LV88" s="28" t="n"/>
      <c r="LW88" s="28" t="n"/>
      <c r="LX88" s="28" t="n"/>
      <c r="LY88" s="28" t="n"/>
      <c r="LZ88" s="28" t="n"/>
      <c r="MA88" s="28" t="n"/>
      <c r="MB88" s="28" t="n"/>
      <c r="MC88" s="28" t="n"/>
      <c r="MD88" s="28" t="n"/>
      <c r="ME88" s="28" t="n"/>
      <c r="MF88" s="28" t="n"/>
      <c r="MG88" s="28" t="n"/>
      <c r="MH88" s="28" t="n"/>
      <c r="MI88" s="28" t="n"/>
      <c r="MJ88" s="28" t="n"/>
      <c r="MK88" s="28" t="n"/>
      <c r="ML88" s="28" t="n"/>
      <c r="MM88" s="28" t="n"/>
      <c r="MN88" s="28" t="n"/>
      <c r="MO88" s="28" t="n"/>
      <c r="MP88" s="28" t="n"/>
      <c r="MQ88" s="28" t="n"/>
      <c r="MR88" s="28" t="n"/>
      <c r="MS88" s="28" t="n"/>
      <c r="MT88" s="28" t="n"/>
      <c r="MU88" s="28" t="n"/>
      <c r="MV88" s="28" t="n"/>
      <c r="MW88" s="28" t="n"/>
      <c r="MX88" s="28" t="n"/>
      <c r="MY88" s="28" t="n"/>
      <c r="MZ88" s="28" t="n"/>
      <c r="NA88" s="28" t="n"/>
      <c r="NB88" s="28" t="n"/>
      <c r="NC88" s="28" t="n"/>
      <c r="ND88" s="28" t="n"/>
      <c r="NE88" s="28" t="n"/>
      <c r="NF88" s="28" t="n"/>
      <c r="NG88" s="28" t="n"/>
      <c r="NH88" s="28" t="n"/>
      <c r="NI88" s="28" t="n"/>
      <c r="NJ88" s="28" t="n"/>
      <c r="NK88" s="28" t="n"/>
      <c r="NL88" s="28" t="n"/>
      <c r="NM88" s="28" t="n"/>
      <c r="NN88" s="28" t="n"/>
      <c r="NO88" s="28" t="n"/>
      <c r="NP88" s="28" t="n"/>
      <c r="NQ88" s="28" t="n"/>
      <c r="NR88" s="28" t="n"/>
      <c r="NS88" s="28" t="n"/>
      <c r="NT88" s="28" t="n"/>
      <c r="NU88" s="28" t="n"/>
      <c r="NV88" s="28" t="n"/>
      <c r="NW88" s="28" t="n"/>
      <c r="NX88" s="28" t="n"/>
      <c r="NY88" s="28" t="n"/>
      <c r="NZ88" s="28" t="n"/>
      <c r="OA88" s="28" t="n"/>
      <c r="OB88" s="28" t="n"/>
      <c r="OC88" s="28" t="n"/>
      <c r="OD88" s="28" t="n"/>
      <c r="OE88" s="28" t="n"/>
      <c r="OF88" s="28" t="n"/>
      <c r="OG88" s="28" t="n"/>
      <c r="OH88" s="28" t="n"/>
      <c r="OI88" s="28" t="n"/>
      <c r="OJ88" s="28" t="n"/>
      <c r="OK88" s="28" t="n"/>
      <c r="OL88" s="28" t="n"/>
      <c r="OM88" s="28" t="n"/>
      <c r="ON88" s="28" t="n"/>
      <c r="OO88" s="28" t="n"/>
      <c r="OP88" s="28" t="n"/>
      <c r="OQ88" s="28" t="n"/>
      <c r="OR88" s="28" t="n"/>
      <c r="OS88" s="28" t="n"/>
      <c r="OT88" s="28" t="n"/>
      <c r="OU88" s="28" t="n"/>
      <c r="OV88" s="28" t="n"/>
      <c r="OW88" s="28" t="n"/>
      <c r="OX88" s="28" t="n"/>
      <c r="OY88" s="28" t="n"/>
      <c r="OZ88" s="28" t="n"/>
      <c r="PA88" s="28" t="n"/>
      <c r="PB88" s="28" t="n"/>
      <c r="PC88" s="28" t="n"/>
      <c r="PD88" s="28" t="n"/>
      <c r="PE88" s="28" t="n"/>
      <c r="PF88" s="28" t="n"/>
      <c r="PG88" s="28" t="n"/>
      <c r="PH88" s="28" t="n"/>
      <c r="PI88" s="28" t="n"/>
      <c r="PJ88" s="28" t="n"/>
      <c r="PK88" s="28" t="n"/>
      <c r="PL88" s="28" t="n"/>
      <c r="PM88" s="28" t="n"/>
      <c r="PN88" s="28" t="n"/>
      <c r="PO88" s="28" t="n"/>
      <c r="PP88" s="28" t="n"/>
      <c r="PQ88" s="28" t="n"/>
      <c r="PR88" s="28" t="n"/>
      <c r="PS88" s="28" t="n"/>
      <c r="PT88" s="28" t="n"/>
      <c r="PU88" s="28" t="n"/>
      <c r="PV88" s="28" t="n"/>
      <c r="PW88" s="28" t="n"/>
      <c r="PX88" s="28" t="n"/>
      <c r="PY88" s="28" t="n"/>
      <c r="PZ88" s="28" t="n"/>
      <c r="QA88" s="28" t="n"/>
      <c r="QB88" s="28" t="n"/>
      <c r="QC88" s="28" t="n"/>
      <c r="QD88" s="28" t="n"/>
      <c r="QE88" s="28" t="n"/>
      <c r="QF88" s="28" t="n"/>
      <c r="QG88" s="28" t="n"/>
      <c r="QH88" s="28" t="n"/>
      <c r="QI88" s="28" t="n"/>
      <c r="QJ88" s="28" t="n"/>
      <c r="QK88" s="28" t="n"/>
      <c r="QL88" s="28" t="n"/>
      <c r="QM88" s="28" t="n"/>
      <c r="QN88" s="28" t="n"/>
      <c r="QO88" s="28" t="n"/>
      <c r="QP88" s="28" t="n"/>
      <c r="QQ88" s="28" t="n"/>
      <c r="QR88" s="28" t="n"/>
      <c r="QS88" s="28" t="n"/>
      <c r="QT88" s="28" t="n"/>
      <c r="QU88" s="28" t="n"/>
      <c r="QV88" s="28" t="n"/>
      <c r="QW88" s="28" t="n"/>
      <c r="QX88" s="28" t="n"/>
      <c r="QY88" s="28" t="n"/>
      <c r="QZ88" s="28" t="n"/>
      <c r="RA88" s="28" t="n"/>
      <c r="RB88" s="28" t="n"/>
      <c r="RC88" s="28" t="n"/>
      <c r="RD88" s="28" t="n"/>
      <c r="RE88" s="28" t="n"/>
      <c r="RF88" s="28" t="n"/>
      <c r="RG88" s="28" t="n"/>
      <c r="RH88" s="28" t="n"/>
      <c r="RI88" s="28" t="n"/>
      <c r="RJ88" s="28" t="n"/>
      <c r="RK88" s="28" t="n"/>
      <c r="RL88" s="28" t="n"/>
      <c r="RM88" s="28" t="n"/>
      <c r="RN88" s="28" t="n"/>
      <c r="RO88" s="28" t="n"/>
      <c r="RP88" s="28" t="n"/>
      <c r="RQ88" s="28" t="n"/>
      <c r="RR88" s="28" t="n"/>
      <c r="RS88" s="28" t="n"/>
      <c r="RT88" s="28" t="n"/>
      <c r="RU88" s="28" t="n"/>
      <c r="RV88" s="28" t="n"/>
      <c r="RW88" s="28" t="n"/>
    </row>
    <row r="89" hidden="1" outlineLevel="1" ht="13.05" customHeight="1">
      <c r="E89" s="21" t="inlineStr">
        <is>
          <t>Total Costs</t>
        </is>
      </c>
      <c r="F89" s="29" t="n"/>
      <c r="G89" s="29" t="inlineStr">
        <is>
          <t>kEUR</t>
        </is>
      </c>
      <c r="H89" s="29" t="n"/>
      <c r="I89" s="29" t="n"/>
      <c r="J89" s="32" t="n"/>
      <c r="K89" s="29" t="n"/>
      <c r="L89" s="33" t="n"/>
      <c r="M89" s="33" t="n"/>
      <c r="N89" s="33" t="n"/>
      <c r="O89" s="33" t="n"/>
      <c r="P89" s="33" t="n"/>
      <c r="Q89" s="33" t="n"/>
      <c r="R89" s="33" t="n"/>
      <c r="S89" s="33" t="n"/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n"/>
      <c r="AF89" s="33" t="n"/>
      <c r="AG89" s="33" t="n"/>
      <c r="AH89" s="33" t="n"/>
      <c r="AI89" s="33" t="n"/>
      <c r="AJ89" s="33" t="n"/>
      <c r="AK89" s="33" t="n"/>
      <c r="AL89" s="33" t="n"/>
      <c r="AM89" s="33" t="n"/>
      <c r="AN89" s="33" t="n"/>
      <c r="AO89" s="33" t="n"/>
      <c r="AP89" s="33" t="n"/>
      <c r="AQ89" s="33" t="n"/>
      <c r="AR89" s="33" t="n"/>
      <c r="AS89" s="33" t="n"/>
      <c r="AT89" s="33" t="n"/>
      <c r="AU89" s="33" t="n"/>
      <c r="AV89" s="33" t="n"/>
      <c r="AW89" s="33" t="n"/>
      <c r="AX89" s="33" t="n"/>
      <c r="AY89" s="33" t="n"/>
      <c r="AZ89" s="33" t="n"/>
      <c r="BA89" s="33" t="n"/>
      <c r="BB89" s="33" t="n"/>
      <c r="BC89" s="33" t="n"/>
      <c r="BD89" s="33" t="n"/>
      <c r="BE89" s="33" t="n"/>
      <c r="BF89" s="33" t="n"/>
      <c r="BG89" s="33" t="n"/>
      <c r="BH89" s="33" t="n"/>
      <c r="BI89" s="33" t="n"/>
      <c r="BJ89" s="33" t="n"/>
      <c r="BK89" s="33" t="n"/>
      <c r="BL89" s="33" t="n"/>
      <c r="BM89" s="33" t="n"/>
      <c r="BN89" s="33" t="n"/>
      <c r="BO89" s="33" t="n"/>
      <c r="BP89" s="33" t="n"/>
      <c r="BQ89" s="33" t="n"/>
      <c r="BR89" s="33" t="n"/>
      <c r="BS89" s="33" t="n"/>
      <c r="BT89" s="33" t="n"/>
      <c r="BU89" s="33" t="n"/>
      <c r="BV89" s="33" t="n"/>
      <c r="BW89" s="33" t="n"/>
      <c r="BX89" s="33" t="n"/>
      <c r="BY89" s="33" t="n"/>
      <c r="BZ89" s="33" t="n"/>
      <c r="CA89" s="33" t="n"/>
      <c r="CB89" s="33" t="n"/>
      <c r="CC89" s="33" t="n"/>
      <c r="CD89" s="33" t="n"/>
      <c r="CE89" s="33" t="n"/>
      <c r="CF89" s="33" t="n"/>
      <c r="CG89" s="33" t="n"/>
      <c r="CH89" s="33" t="n"/>
      <c r="CI89" s="33" t="n"/>
      <c r="CJ89" s="33" t="n"/>
      <c r="CK89" s="33" t="n"/>
      <c r="CL89" s="33" t="n"/>
      <c r="CM89" s="33" t="n"/>
      <c r="CN89" s="33" t="n"/>
      <c r="CO89" s="33" t="n"/>
      <c r="CP89" s="33" t="n"/>
      <c r="CQ89" s="33" t="n"/>
      <c r="CR89" s="33" t="n"/>
      <c r="CS89" s="33" t="n"/>
      <c r="CT89" s="33" t="n"/>
      <c r="CU89" s="33" t="n"/>
      <c r="CV89" s="33" t="n"/>
      <c r="CW89" s="33" t="n"/>
      <c r="CX89" s="33" t="n"/>
      <c r="CY89" s="33" t="n"/>
      <c r="CZ89" s="33" t="n"/>
      <c r="DA89" s="33" t="n"/>
      <c r="DB89" s="33" t="n"/>
      <c r="DC89" s="33" t="n"/>
      <c r="DD89" s="33" t="n"/>
      <c r="DE89" s="33" t="n"/>
      <c r="DF89" s="33" t="n"/>
      <c r="DG89" s="33" t="n"/>
      <c r="DH89" s="33" t="n"/>
      <c r="DI89" s="33" t="n"/>
      <c r="DJ89" s="33" t="n"/>
      <c r="DK89" s="33" t="n"/>
      <c r="DL89" s="33" t="n"/>
      <c r="DM89" s="33" t="n"/>
      <c r="DN89" s="33" t="n"/>
      <c r="DO89" s="33" t="n"/>
      <c r="DP89" s="33" t="n"/>
      <c r="DQ89" s="33" t="n"/>
      <c r="DR89" s="33" t="n"/>
      <c r="DS89" s="33" t="n"/>
      <c r="DT89" s="33" t="n"/>
      <c r="DU89" s="33" t="n"/>
      <c r="DV89" s="33" t="n"/>
      <c r="DW89" s="33" t="n"/>
      <c r="DX89" s="33" t="n"/>
      <c r="DY89" s="33" t="n"/>
      <c r="DZ89" s="33" t="n"/>
      <c r="EA89" s="33" t="n"/>
      <c r="EB89" s="33" t="n"/>
      <c r="EC89" s="33" t="n"/>
      <c r="ED89" s="33" t="n"/>
      <c r="EE89" s="33" t="n"/>
      <c r="EF89" s="33" t="n"/>
      <c r="EG89" s="33" t="n"/>
      <c r="EH89" s="33" t="n"/>
      <c r="EI89" s="33" t="n"/>
      <c r="EJ89" s="33" t="n"/>
      <c r="EK89" s="33" t="n"/>
      <c r="EL89" s="33" t="n"/>
      <c r="EM89" s="33" t="n"/>
      <c r="EN89" s="33" t="n"/>
      <c r="EO89" s="33" t="n"/>
      <c r="EP89" s="33" t="n"/>
      <c r="EQ89" s="33" t="n"/>
      <c r="ER89" s="33" t="n"/>
      <c r="ES89" s="33" t="n"/>
      <c r="ET89" s="33" t="n"/>
      <c r="EU89" s="33" t="n"/>
      <c r="EV89" s="33" t="n"/>
      <c r="EW89" s="33" t="n"/>
      <c r="EX89" s="33" t="n"/>
      <c r="EY89" s="33" t="n"/>
      <c r="EZ89" s="33" t="n"/>
      <c r="FA89" s="33" t="n"/>
      <c r="FB89" s="33" t="n"/>
      <c r="FC89" s="33" t="n"/>
      <c r="FD89" s="33" t="n"/>
      <c r="FE89" s="33" t="n"/>
      <c r="FF89" s="33" t="n"/>
      <c r="FG89" s="33" t="n"/>
      <c r="FH89" s="33" t="n"/>
      <c r="FI89" s="33" t="n"/>
      <c r="FJ89" s="33" t="n"/>
      <c r="FK89" s="33" t="n"/>
      <c r="FL89" s="33" t="n"/>
      <c r="FM89" s="33" t="n"/>
      <c r="FN89" s="33" t="n"/>
      <c r="FO89" s="33" t="n"/>
      <c r="FP89" s="33" t="n"/>
      <c r="FQ89" s="33" t="n"/>
      <c r="FR89" s="33" t="n"/>
      <c r="FS89" s="33" t="n"/>
      <c r="FT89" s="33" t="n"/>
      <c r="FU89" s="33" t="n"/>
      <c r="FV89" s="33" t="n"/>
      <c r="FW89" s="33" t="n"/>
      <c r="FX89" s="33" t="n"/>
      <c r="FY89" s="33" t="n"/>
      <c r="FZ89" s="33" t="n"/>
      <c r="GA89" s="33" t="n"/>
      <c r="GB89" s="33" t="n"/>
      <c r="GC89" s="33" t="n"/>
      <c r="GD89" s="33" t="n"/>
      <c r="GE89" s="33" t="n"/>
      <c r="GF89" s="33" t="n"/>
      <c r="GG89" s="33" t="n"/>
      <c r="GH89" s="33" t="n"/>
      <c r="GI89" s="33" t="n"/>
      <c r="GJ89" s="33" t="n"/>
      <c r="GK89" s="33" t="n"/>
      <c r="GL89" s="33" t="n"/>
      <c r="GM89" s="33" t="n"/>
      <c r="GN89" s="33" t="n"/>
      <c r="GO89" s="33" t="n"/>
      <c r="GP89" s="33" t="n"/>
      <c r="GQ89" s="33" t="n"/>
      <c r="GR89" s="33" t="n"/>
      <c r="GS89" s="33" t="n"/>
      <c r="GT89" s="33" t="n"/>
      <c r="GU89" s="33" t="n"/>
      <c r="GV89" s="33" t="n"/>
      <c r="GW89" s="33" t="n"/>
      <c r="GX89" s="33" t="n"/>
      <c r="GY89" s="33" t="n"/>
      <c r="GZ89" s="33" t="n"/>
      <c r="HA89" s="33" t="n"/>
      <c r="HB89" s="33" t="n"/>
      <c r="HC89" s="33" t="n"/>
      <c r="HD89" s="33" t="n"/>
      <c r="HE89" s="33" t="n"/>
      <c r="HF89" s="33" t="n"/>
      <c r="HG89" s="33" t="n"/>
      <c r="HH89" s="33" t="n"/>
      <c r="HI89" s="33" t="n"/>
      <c r="HJ89" s="33" t="n"/>
      <c r="HK89" s="33" t="n"/>
      <c r="HL89" s="33" t="n"/>
      <c r="HM89" s="33" t="n"/>
      <c r="HN89" s="33" t="n"/>
      <c r="HO89" s="33" t="n"/>
      <c r="HP89" s="33" t="n"/>
      <c r="HQ89" s="33" t="n"/>
      <c r="HR89" s="33" t="n"/>
      <c r="HS89" s="33" t="n"/>
      <c r="HT89" s="33" t="n"/>
      <c r="HU89" s="33" t="n"/>
      <c r="HV89" s="33" t="n"/>
      <c r="HW89" s="33" t="n"/>
      <c r="HX89" s="33" t="n"/>
      <c r="HY89" s="33" t="n"/>
      <c r="HZ89" s="33" t="n"/>
      <c r="IA89" s="33" t="n"/>
      <c r="IB89" s="33" t="n"/>
      <c r="IC89" s="33" t="n"/>
      <c r="ID89" s="33" t="n"/>
      <c r="IE89" s="33" t="n"/>
      <c r="IF89" s="33" t="n"/>
      <c r="IG89" s="33" t="n"/>
      <c r="IH89" s="33" t="n"/>
      <c r="II89" s="33" t="n"/>
      <c r="IJ89" s="33" t="n"/>
      <c r="IK89" s="33" t="n"/>
      <c r="IL89" s="33" t="n"/>
      <c r="IM89" s="33" t="n"/>
      <c r="IN89" s="33" t="n"/>
      <c r="IO89" s="33" t="n"/>
      <c r="IP89" s="33" t="n"/>
      <c r="IQ89" s="33" t="n"/>
      <c r="IR89" s="33" t="n"/>
      <c r="IS89" s="33" t="n"/>
      <c r="IT89" s="33" t="n"/>
      <c r="IU89" s="33" t="n"/>
      <c r="IV89" s="33" t="n"/>
      <c r="IW89" s="33" t="n"/>
      <c r="IX89" s="33" t="n"/>
      <c r="IY89" s="33" t="n"/>
      <c r="IZ89" s="33" t="n"/>
      <c r="JA89" s="33" t="n"/>
      <c r="JB89" s="33" t="n"/>
      <c r="JC89" s="33" t="n"/>
      <c r="JD89" s="33" t="n"/>
      <c r="JE89" s="33" t="n"/>
      <c r="JF89" s="33" t="n"/>
      <c r="JG89" s="33" t="n"/>
      <c r="JH89" s="33" t="n"/>
      <c r="JI89" s="33" t="n"/>
      <c r="JJ89" s="33" t="n"/>
      <c r="JK89" s="33" t="n"/>
      <c r="JL89" s="33" t="n"/>
      <c r="JM89" s="33" t="n"/>
      <c r="JN89" s="33" t="n"/>
      <c r="JO89" s="33" t="n"/>
      <c r="JP89" s="33" t="n"/>
      <c r="JQ89" s="33" t="n"/>
      <c r="JR89" s="33" t="n"/>
      <c r="JS89" s="33" t="n"/>
      <c r="JT89" s="33" t="n"/>
      <c r="JU89" s="33" t="n"/>
      <c r="JV89" s="33" t="n"/>
      <c r="JW89" s="33" t="n"/>
      <c r="JX89" s="33" t="n"/>
      <c r="JY89" s="33" t="n"/>
      <c r="JZ89" s="33" t="n"/>
      <c r="KA89" s="33" t="n"/>
      <c r="KB89" s="33" t="n"/>
      <c r="KC89" s="33" t="n"/>
      <c r="KD89" s="33" t="n"/>
      <c r="KE89" s="33" t="n"/>
      <c r="KF89" s="33" t="n"/>
      <c r="KG89" s="33" t="n"/>
      <c r="KH89" s="33" t="n"/>
      <c r="KI89" s="33" t="n"/>
      <c r="KJ89" s="33" t="n"/>
      <c r="KK89" s="33" t="n"/>
      <c r="KL89" s="33" t="n"/>
      <c r="KM89" s="33" t="n"/>
      <c r="KN89" s="33" t="n"/>
      <c r="KO89" s="33" t="n"/>
      <c r="KP89" s="33" t="n"/>
      <c r="KQ89" s="33" t="n"/>
      <c r="KR89" s="33" t="n"/>
      <c r="KS89" s="33" t="n"/>
      <c r="KT89" s="33" t="n"/>
      <c r="KU89" s="33" t="n"/>
      <c r="KV89" s="33" t="n"/>
      <c r="KW89" s="33" t="n"/>
      <c r="KX89" s="33" t="n"/>
      <c r="KY89" s="33" t="n"/>
      <c r="KZ89" s="33" t="n"/>
      <c r="LA89" s="33" t="n"/>
      <c r="LB89" s="33" t="n"/>
      <c r="LC89" s="33" t="n"/>
      <c r="LD89" s="33" t="n"/>
      <c r="LE89" s="33" t="n"/>
      <c r="LF89" s="33" t="n"/>
      <c r="LG89" s="33" t="n"/>
      <c r="LH89" s="33" t="n"/>
      <c r="LI89" s="33" t="n"/>
      <c r="LJ89" s="33" t="n"/>
      <c r="LK89" s="33" t="n"/>
      <c r="LL89" s="33" t="n"/>
      <c r="LM89" s="33" t="n"/>
      <c r="LN89" s="33" t="n"/>
      <c r="LO89" s="33" t="n"/>
      <c r="LP89" s="33" t="n"/>
      <c r="LQ89" s="33" t="n"/>
      <c r="LR89" s="33" t="n"/>
      <c r="LS89" s="33" t="n"/>
      <c r="LT89" s="33" t="n"/>
      <c r="LU89" s="33" t="n"/>
      <c r="LV89" s="33" t="n"/>
      <c r="LW89" s="33" t="n"/>
      <c r="LX89" s="33" t="n"/>
      <c r="LY89" s="33" t="n"/>
      <c r="LZ89" s="33" t="n"/>
      <c r="MA89" s="33" t="n"/>
      <c r="MB89" s="33" t="n"/>
      <c r="MC89" s="33" t="n"/>
      <c r="MD89" s="33" t="n"/>
      <c r="ME89" s="33" t="n"/>
      <c r="MF89" s="33" t="n"/>
      <c r="MG89" s="33" t="n"/>
      <c r="MH89" s="33" t="n"/>
      <c r="MI89" s="33" t="n"/>
      <c r="MJ89" s="33" t="n"/>
      <c r="MK89" s="33" t="n"/>
      <c r="ML89" s="33" t="n"/>
      <c r="MM89" s="33" t="n"/>
      <c r="MN89" s="33" t="n"/>
      <c r="MO89" s="33" t="n"/>
      <c r="MP89" s="33" t="n"/>
      <c r="MQ89" s="33" t="n"/>
      <c r="MR89" s="33" t="n"/>
      <c r="MS89" s="33" t="n"/>
      <c r="MT89" s="33" t="n"/>
      <c r="MU89" s="33" t="n"/>
      <c r="MV89" s="33" t="n"/>
      <c r="MW89" s="33" t="n"/>
      <c r="MX89" s="33" t="n"/>
      <c r="MY89" s="33" t="n"/>
      <c r="MZ89" s="33" t="n"/>
      <c r="NA89" s="33" t="n"/>
      <c r="NB89" s="33" t="n"/>
      <c r="NC89" s="33" t="n"/>
      <c r="ND89" s="33" t="n"/>
      <c r="NE89" s="33" t="n"/>
      <c r="NF89" s="33" t="n"/>
      <c r="NG89" s="33" t="n"/>
      <c r="NH89" s="33" t="n"/>
      <c r="NI89" s="33" t="n"/>
      <c r="NJ89" s="33" t="n"/>
      <c r="NK89" s="33" t="n"/>
      <c r="NL89" s="33" t="n"/>
      <c r="NM89" s="33" t="n"/>
      <c r="NN89" s="33" t="n"/>
      <c r="NO89" s="33" t="n"/>
      <c r="NP89" s="33" t="n"/>
      <c r="NQ89" s="33" t="n"/>
      <c r="NR89" s="33" t="n"/>
      <c r="NS89" s="33" t="n"/>
      <c r="NT89" s="33" t="n"/>
      <c r="NU89" s="33" t="n"/>
      <c r="NV89" s="33" t="n"/>
      <c r="NW89" s="33" t="n"/>
      <c r="NX89" s="33" t="n"/>
      <c r="NY89" s="33" t="n"/>
      <c r="NZ89" s="33" t="n"/>
      <c r="OA89" s="33" t="n"/>
      <c r="OB89" s="33" t="n"/>
      <c r="OC89" s="33" t="n"/>
      <c r="OD89" s="33" t="n"/>
      <c r="OE89" s="33" t="n"/>
      <c r="OF89" s="33" t="n"/>
      <c r="OG89" s="33" t="n"/>
      <c r="OH89" s="33" t="n"/>
      <c r="OI89" s="33" t="n"/>
      <c r="OJ89" s="33" t="n"/>
      <c r="OK89" s="33" t="n"/>
      <c r="OL89" s="33" t="n"/>
      <c r="OM89" s="33" t="n"/>
      <c r="ON89" s="33" t="n"/>
      <c r="OO89" s="33" t="n"/>
      <c r="OP89" s="33" t="n"/>
      <c r="OQ89" s="33" t="n"/>
      <c r="OR89" s="33" t="n"/>
      <c r="OS89" s="33" t="n"/>
      <c r="OT89" s="33" t="n"/>
      <c r="OU89" s="33" t="n"/>
      <c r="OV89" s="33" t="n"/>
      <c r="OW89" s="33" t="n"/>
      <c r="OX89" s="33" t="n"/>
      <c r="OY89" s="33" t="n"/>
      <c r="OZ89" s="33" t="n"/>
      <c r="PA89" s="33" t="n"/>
      <c r="PB89" s="33" t="n"/>
      <c r="PC89" s="33" t="n"/>
      <c r="PD89" s="33" t="n"/>
      <c r="PE89" s="33" t="n"/>
      <c r="PF89" s="33" t="n"/>
      <c r="PG89" s="33" t="n"/>
      <c r="PH89" s="33" t="n"/>
      <c r="PI89" s="33" t="n"/>
      <c r="PJ89" s="33" t="n"/>
      <c r="PK89" s="33" t="n"/>
      <c r="PL89" s="33" t="n"/>
      <c r="PM89" s="33" t="n"/>
      <c r="PN89" s="33" t="n"/>
      <c r="PO89" s="33" t="n"/>
      <c r="PP89" s="33" t="n"/>
      <c r="PQ89" s="33" t="n"/>
      <c r="PR89" s="33" t="n"/>
      <c r="PS89" s="33" t="n"/>
      <c r="PT89" s="33" t="n"/>
      <c r="PU89" s="33" t="n"/>
      <c r="PV89" s="33" t="n"/>
      <c r="PW89" s="33" t="n"/>
      <c r="PX89" s="33" t="n"/>
      <c r="PY89" s="33" t="n"/>
      <c r="PZ89" s="33" t="n"/>
      <c r="QA89" s="33" t="n"/>
      <c r="QB89" s="33" t="n"/>
      <c r="QC89" s="33" t="n"/>
      <c r="QD89" s="33" t="n"/>
      <c r="QE89" s="33" t="n"/>
      <c r="QF89" s="33" t="n"/>
      <c r="QG89" s="33" t="n"/>
      <c r="QH89" s="33" t="n"/>
      <c r="QI89" s="33" t="n"/>
      <c r="QJ89" s="33" t="n"/>
      <c r="QK89" s="33" t="n"/>
      <c r="QL89" s="33" t="n"/>
      <c r="QM89" s="33" t="n"/>
      <c r="QN89" s="33" t="n"/>
      <c r="QO89" s="33" t="n"/>
      <c r="QP89" s="33" t="n"/>
      <c r="QQ89" s="33" t="n"/>
      <c r="QR89" s="33" t="n"/>
      <c r="QS89" s="33" t="n"/>
      <c r="QT89" s="33" t="n"/>
      <c r="QU89" s="33" t="n"/>
      <c r="QV89" s="33" t="n"/>
      <c r="QW89" s="33" t="n"/>
      <c r="QX89" s="33" t="n"/>
      <c r="QY89" s="33" t="n"/>
      <c r="QZ89" s="33" t="n"/>
      <c r="RA89" s="33" t="n"/>
      <c r="RB89" s="33" t="n"/>
      <c r="RC89" s="33" t="n"/>
      <c r="RD89" s="33" t="n"/>
      <c r="RE89" s="33" t="n"/>
      <c r="RF89" s="33" t="n"/>
      <c r="RG89" s="33" t="n"/>
      <c r="RH89" s="33" t="n"/>
      <c r="RI89" s="33" t="n"/>
      <c r="RJ89" s="33" t="n"/>
      <c r="RK89" s="33" t="n"/>
      <c r="RL89" s="33" t="n"/>
      <c r="RM89" s="33" t="n"/>
      <c r="RN89" s="33" t="n"/>
      <c r="RO89" s="33" t="n"/>
      <c r="RP89" s="33" t="n"/>
      <c r="RQ89" s="33" t="n"/>
      <c r="RR89" s="33" t="n"/>
      <c r="RS89" s="33" t="n"/>
      <c r="RT89" s="33" t="n"/>
      <c r="RU89" s="33" t="n"/>
      <c r="RV89" s="33" t="n"/>
      <c r="RW89" s="33" t="n"/>
    </row>
    <row r="90" ht="13.05" customHeight="1">
      <c r="E90" s="34" t="inlineStr">
        <is>
          <t>Net Revenue</t>
        </is>
      </c>
      <c r="F90" s="35" t="n"/>
      <c r="G90" s="35" t="inlineStr">
        <is>
          <t>kEUR</t>
        </is>
      </c>
      <c r="H90" s="35" t="n"/>
      <c r="I90" s="35" t="n"/>
      <c r="J90" s="36" t="n"/>
      <c r="K90" s="35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  <c r="AR90" s="37" t="n"/>
      <c r="AS90" s="37" t="n"/>
      <c r="AT90" s="37" t="n"/>
      <c r="AU90" s="37" t="n"/>
      <c r="AV90" s="37" t="n"/>
      <c r="AW90" s="37" t="n"/>
      <c r="AX90" s="37" t="n"/>
      <c r="AY90" s="37" t="n"/>
      <c r="AZ90" s="37" t="n"/>
      <c r="BA90" s="37" t="n"/>
      <c r="BB90" s="37" t="n"/>
      <c r="BC90" s="37" t="n"/>
      <c r="BD90" s="37" t="n"/>
      <c r="BE90" s="37" t="n"/>
      <c r="BF90" s="37" t="n"/>
      <c r="BG90" s="37" t="n"/>
      <c r="BH90" s="37" t="n"/>
      <c r="BI90" s="37" t="n"/>
      <c r="BJ90" s="37" t="n"/>
      <c r="BK90" s="37" t="n"/>
      <c r="BL90" s="37" t="n"/>
      <c r="BM90" s="37" t="n"/>
      <c r="BN90" s="37" t="n"/>
      <c r="BO90" s="37" t="n"/>
      <c r="BP90" s="37" t="n"/>
      <c r="BQ90" s="37" t="n"/>
      <c r="BR90" s="37" t="n"/>
      <c r="BS90" s="37" t="n"/>
      <c r="BT90" s="37" t="n"/>
      <c r="BU90" s="37" t="n"/>
      <c r="BV90" s="37" t="n"/>
      <c r="BW90" s="37" t="n"/>
      <c r="BX90" s="37" t="n"/>
      <c r="BY90" s="37" t="n"/>
      <c r="BZ90" s="37" t="n"/>
      <c r="CA90" s="37" t="n"/>
      <c r="CB90" s="37" t="n"/>
      <c r="CC90" s="37" t="n"/>
      <c r="CD90" s="37" t="n"/>
      <c r="CE90" s="37" t="n"/>
      <c r="CF90" s="37" t="n"/>
      <c r="CG90" s="37" t="n"/>
      <c r="CH90" s="37" t="n"/>
      <c r="CI90" s="37" t="n"/>
      <c r="CJ90" s="37" t="n"/>
      <c r="CK90" s="37" t="n"/>
      <c r="CL90" s="37" t="n"/>
      <c r="CM90" s="37" t="n"/>
      <c r="CN90" s="37" t="n"/>
      <c r="CO90" s="37" t="n"/>
      <c r="CP90" s="37" t="n"/>
      <c r="CQ90" s="37" t="n"/>
      <c r="CR90" s="37" t="n"/>
      <c r="CS90" s="37" t="n"/>
      <c r="CT90" s="37" t="n"/>
      <c r="CU90" s="37" t="n"/>
      <c r="CV90" s="37" t="n"/>
      <c r="CW90" s="37" t="n"/>
      <c r="CX90" s="37" t="n"/>
      <c r="CY90" s="37" t="n"/>
      <c r="CZ90" s="37" t="n"/>
      <c r="DA90" s="37" t="n"/>
      <c r="DB90" s="37" t="n"/>
      <c r="DC90" s="37" t="n"/>
      <c r="DD90" s="37" t="n"/>
      <c r="DE90" s="37" t="n"/>
      <c r="DF90" s="37" t="n"/>
      <c r="DG90" s="37" t="n"/>
      <c r="DH90" s="37" t="n"/>
      <c r="DI90" s="37" t="n"/>
      <c r="DJ90" s="37" t="n"/>
      <c r="DK90" s="37" t="n"/>
      <c r="DL90" s="37" t="n"/>
      <c r="DM90" s="37" t="n"/>
      <c r="DN90" s="37" t="n"/>
      <c r="DO90" s="37" t="n"/>
      <c r="DP90" s="37" t="n"/>
      <c r="DQ90" s="37" t="n"/>
      <c r="DR90" s="37" t="n"/>
      <c r="DS90" s="37" t="n"/>
      <c r="DT90" s="37" t="n"/>
      <c r="DU90" s="37" t="n"/>
      <c r="DV90" s="37" t="n"/>
      <c r="DW90" s="37" t="n"/>
      <c r="DX90" s="37" t="n"/>
      <c r="DY90" s="37" t="n"/>
      <c r="DZ90" s="37" t="n"/>
      <c r="EA90" s="37" t="n"/>
      <c r="EB90" s="37" t="n"/>
      <c r="EC90" s="37" t="n"/>
      <c r="ED90" s="37" t="n"/>
      <c r="EE90" s="37" t="n"/>
      <c r="EF90" s="37" t="n"/>
      <c r="EG90" s="37" t="n"/>
      <c r="EH90" s="37" t="n"/>
      <c r="EI90" s="37" t="n"/>
      <c r="EJ90" s="37" t="n"/>
      <c r="EK90" s="37" t="n"/>
      <c r="EL90" s="37" t="n"/>
      <c r="EM90" s="37" t="n"/>
      <c r="EN90" s="37" t="n"/>
      <c r="EO90" s="37" t="n"/>
      <c r="EP90" s="37" t="n"/>
      <c r="EQ90" s="37" t="n"/>
      <c r="ER90" s="37" t="n"/>
      <c r="ES90" s="37" t="n"/>
      <c r="ET90" s="37" t="n"/>
      <c r="EU90" s="37" t="n"/>
      <c r="EV90" s="37" t="n"/>
      <c r="EW90" s="37" t="n"/>
      <c r="EX90" s="37" t="n"/>
      <c r="EY90" s="37" t="n"/>
      <c r="EZ90" s="37" t="n"/>
      <c r="FA90" s="37" t="n"/>
      <c r="FB90" s="37" t="n"/>
      <c r="FC90" s="37" t="n"/>
      <c r="FD90" s="37" t="n"/>
      <c r="FE90" s="37" t="n"/>
      <c r="FF90" s="37" t="n"/>
      <c r="FG90" s="37" t="n"/>
      <c r="FH90" s="37" t="n"/>
      <c r="FI90" s="37" t="n"/>
      <c r="FJ90" s="37" t="n"/>
      <c r="FK90" s="37" t="n"/>
      <c r="FL90" s="37" t="n"/>
      <c r="FM90" s="37" t="n"/>
      <c r="FN90" s="37" t="n"/>
      <c r="FO90" s="37" t="n"/>
      <c r="FP90" s="37" t="n"/>
      <c r="FQ90" s="37" t="n"/>
      <c r="FR90" s="37" t="n"/>
      <c r="FS90" s="37" t="n"/>
      <c r="FT90" s="37" t="n"/>
      <c r="FU90" s="37" t="n"/>
      <c r="FV90" s="37" t="n"/>
      <c r="FW90" s="37" t="n"/>
      <c r="FX90" s="37" t="n"/>
      <c r="FY90" s="37" t="n"/>
      <c r="FZ90" s="37" t="n"/>
      <c r="GA90" s="37" t="n"/>
      <c r="GB90" s="37" t="n"/>
      <c r="GC90" s="37" t="n"/>
      <c r="GD90" s="37" t="n"/>
      <c r="GE90" s="37" t="n"/>
      <c r="GF90" s="37" t="n"/>
      <c r="GG90" s="37" t="n"/>
      <c r="GH90" s="37" t="n"/>
      <c r="GI90" s="37" t="n"/>
      <c r="GJ90" s="37" t="n"/>
      <c r="GK90" s="37" t="n"/>
      <c r="GL90" s="37" t="n"/>
      <c r="GM90" s="37" t="n"/>
      <c r="GN90" s="37" t="n"/>
      <c r="GO90" s="37" t="n"/>
      <c r="GP90" s="37" t="n"/>
      <c r="GQ90" s="37" t="n"/>
      <c r="GR90" s="37" t="n"/>
      <c r="GS90" s="37" t="n"/>
      <c r="GT90" s="37" t="n"/>
      <c r="GU90" s="37" t="n"/>
      <c r="GV90" s="37" t="n"/>
      <c r="GW90" s="37" t="n"/>
      <c r="GX90" s="37" t="n"/>
      <c r="GY90" s="37" t="n"/>
      <c r="GZ90" s="37" t="n"/>
      <c r="HA90" s="37" t="n"/>
      <c r="HB90" s="37" t="n"/>
      <c r="HC90" s="37" t="n"/>
      <c r="HD90" s="37" t="n"/>
      <c r="HE90" s="37" t="n"/>
      <c r="HF90" s="37" t="n"/>
      <c r="HG90" s="37" t="n"/>
      <c r="HH90" s="37" t="n"/>
      <c r="HI90" s="37" t="n"/>
      <c r="HJ90" s="37" t="n"/>
      <c r="HK90" s="37" t="n"/>
      <c r="HL90" s="37" t="n"/>
      <c r="HM90" s="37" t="n"/>
      <c r="HN90" s="37" t="n"/>
      <c r="HO90" s="37" t="n"/>
      <c r="HP90" s="37" t="n"/>
      <c r="HQ90" s="37" t="n"/>
      <c r="HR90" s="37" t="n"/>
      <c r="HS90" s="37" t="n"/>
      <c r="HT90" s="37" t="n"/>
      <c r="HU90" s="37" t="n"/>
      <c r="HV90" s="37" t="n"/>
      <c r="HW90" s="37" t="n"/>
      <c r="HX90" s="37" t="n"/>
      <c r="HY90" s="37" t="n"/>
      <c r="HZ90" s="37" t="n"/>
      <c r="IA90" s="37" t="n"/>
      <c r="IB90" s="37" t="n"/>
      <c r="IC90" s="37" t="n"/>
      <c r="ID90" s="37" t="n"/>
      <c r="IE90" s="37" t="n"/>
      <c r="IF90" s="37" t="n"/>
      <c r="IG90" s="37" t="n"/>
      <c r="IH90" s="37" t="n"/>
      <c r="II90" s="37" t="n"/>
      <c r="IJ90" s="37" t="n"/>
      <c r="IK90" s="37" t="n"/>
      <c r="IL90" s="37" t="n"/>
      <c r="IM90" s="37" t="n"/>
      <c r="IN90" s="37" t="n"/>
      <c r="IO90" s="37" t="n"/>
      <c r="IP90" s="37" t="n"/>
      <c r="IQ90" s="37" t="n"/>
      <c r="IR90" s="37" t="n"/>
      <c r="IS90" s="37" t="n"/>
      <c r="IT90" s="37" t="n"/>
      <c r="IU90" s="37" t="n"/>
      <c r="IV90" s="37" t="n"/>
      <c r="IW90" s="37" t="n"/>
      <c r="IX90" s="37" t="n"/>
      <c r="IY90" s="37" t="n"/>
      <c r="IZ90" s="37" t="n"/>
      <c r="JA90" s="37" t="n"/>
      <c r="JB90" s="37" t="n"/>
      <c r="JC90" s="37" t="n"/>
      <c r="JD90" s="37" t="n"/>
      <c r="JE90" s="37" t="n"/>
      <c r="JF90" s="37" t="n"/>
      <c r="JG90" s="37" t="n"/>
      <c r="JH90" s="37" t="n"/>
      <c r="JI90" s="37" t="n"/>
      <c r="JJ90" s="37" t="n"/>
      <c r="JK90" s="37" t="n"/>
      <c r="JL90" s="37" t="n"/>
      <c r="JM90" s="37" t="n"/>
      <c r="JN90" s="37" t="n"/>
      <c r="JO90" s="37" t="n"/>
      <c r="JP90" s="37" t="n"/>
      <c r="JQ90" s="37" t="n"/>
      <c r="JR90" s="37" t="n"/>
      <c r="JS90" s="37" t="n"/>
      <c r="JT90" s="37" t="n"/>
      <c r="JU90" s="37" t="n"/>
      <c r="JV90" s="37" t="n"/>
      <c r="JW90" s="37" t="n"/>
      <c r="JX90" s="37" t="n"/>
      <c r="JY90" s="37" t="n"/>
      <c r="JZ90" s="37" t="n"/>
      <c r="KA90" s="37" t="n"/>
      <c r="KB90" s="37" t="n"/>
      <c r="KC90" s="37" t="n"/>
      <c r="KD90" s="37" t="n"/>
      <c r="KE90" s="37" t="n"/>
      <c r="KF90" s="37" t="n"/>
      <c r="KG90" s="37" t="n"/>
      <c r="KH90" s="37" t="n"/>
      <c r="KI90" s="37" t="n"/>
      <c r="KJ90" s="37" t="n"/>
      <c r="KK90" s="37" t="n"/>
      <c r="KL90" s="37" t="n"/>
      <c r="KM90" s="37" t="n"/>
      <c r="KN90" s="37" t="n"/>
      <c r="KO90" s="37" t="n"/>
      <c r="KP90" s="37" t="n"/>
      <c r="KQ90" s="37" t="n"/>
      <c r="KR90" s="37" t="n"/>
      <c r="KS90" s="37" t="n"/>
      <c r="KT90" s="37" t="n"/>
      <c r="KU90" s="37" t="n"/>
      <c r="KV90" s="37" t="n"/>
      <c r="KW90" s="37" t="n"/>
      <c r="KX90" s="37" t="n"/>
      <c r="KY90" s="37" t="n"/>
      <c r="KZ90" s="37" t="n"/>
      <c r="LA90" s="37" t="n"/>
      <c r="LB90" s="37" t="n"/>
      <c r="LC90" s="37" t="n"/>
      <c r="LD90" s="37" t="n"/>
      <c r="LE90" s="37" t="n"/>
      <c r="LF90" s="37" t="n"/>
      <c r="LG90" s="37" t="n"/>
      <c r="LH90" s="37" t="n"/>
      <c r="LI90" s="37" t="n"/>
      <c r="LJ90" s="37" t="n"/>
      <c r="LK90" s="37" t="n"/>
      <c r="LL90" s="37" t="n"/>
      <c r="LM90" s="37" t="n"/>
      <c r="LN90" s="37" t="n"/>
      <c r="LO90" s="37" t="n"/>
      <c r="LP90" s="37" t="n"/>
      <c r="LQ90" s="37" t="n"/>
      <c r="LR90" s="37" t="n"/>
      <c r="LS90" s="37" t="n"/>
      <c r="LT90" s="37" t="n"/>
      <c r="LU90" s="37" t="n"/>
      <c r="LV90" s="37" t="n"/>
      <c r="LW90" s="37" t="n"/>
      <c r="LX90" s="37" t="n"/>
      <c r="LY90" s="37" t="n"/>
      <c r="LZ90" s="37" t="n"/>
      <c r="MA90" s="37" t="n"/>
      <c r="MB90" s="37" t="n"/>
      <c r="MC90" s="37" t="n"/>
      <c r="MD90" s="37" t="n"/>
      <c r="ME90" s="37" t="n"/>
      <c r="MF90" s="37" t="n"/>
      <c r="MG90" s="37" t="n"/>
      <c r="MH90" s="37" t="n"/>
      <c r="MI90" s="37" t="n"/>
      <c r="MJ90" s="37" t="n"/>
      <c r="MK90" s="37" t="n"/>
      <c r="ML90" s="37" t="n"/>
      <c r="MM90" s="37" t="n"/>
      <c r="MN90" s="37" t="n"/>
      <c r="MO90" s="37" t="n"/>
      <c r="MP90" s="37" t="n"/>
      <c r="MQ90" s="37" t="n"/>
      <c r="MR90" s="37" t="n"/>
      <c r="MS90" s="37" t="n"/>
      <c r="MT90" s="37" t="n"/>
      <c r="MU90" s="37" t="n"/>
      <c r="MV90" s="37" t="n"/>
      <c r="MW90" s="37" t="n"/>
      <c r="MX90" s="37" t="n"/>
      <c r="MY90" s="37" t="n"/>
      <c r="MZ90" s="37" t="n"/>
      <c r="NA90" s="37" t="n"/>
      <c r="NB90" s="37" t="n"/>
      <c r="NC90" s="37" t="n"/>
      <c r="ND90" s="37" t="n"/>
      <c r="NE90" s="37" t="n"/>
      <c r="NF90" s="37" t="n"/>
      <c r="NG90" s="37" t="n"/>
      <c r="NH90" s="37" t="n"/>
      <c r="NI90" s="37" t="n"/>
      <c r="NJ90" s="37" t="n"/>
      <c r="NK90" s="37" t="n"/>
      <c r="NL90" s="37" t="n"/>
      <c r="NM90" s="37" t="n"/>
      <c r="NN90" s="37" t="n"/>
      <c r="NO90" s="37" t="n"/>
      <c r="NP90" s="37" t="n"/>
      <c r="NQ90" s="37" t="n"/>
      <c r="NR90" s="37" t="n"/>
      <c r="NS90" s="37" t="n"/>
      <c r="NT90" s="37" t="n"/>
      <c r="NU90" s="37" t="n"/>
      <c r="NV90" s="37" t="n"/>
      <c r="NW90" s="37" t="n"/>
      <c r="NX90" s="37" t="n"/>
      <c r="NY90" s="37" t="n"/>
      <c r="NZ90" s="37" t="n"/>
      <c r="OA90" s="37" t="n"/>
      <c r="OB90" s="37" t="n"/>
      <c r="OC90" s="37" t="n"/>
      <c r="OD90" s="37" t="n"/>
      <c r="OE90" s="37" t="n"/>
      <c r="OF90" s="37" t="n"/>
      <c r="OG90" s="37" t="n"/>
      <c r="OH90" s="37" t="n"/>
      <c r="OI90" s="37" t="n"/>
      <c r="OJ90" s="37" t="n"/>
      <c r="OK90" s="37" t="n"/>
      <c r="OL90" s="37" t="n"/>
      <c r="OM90" s="37" t="n"/>
      <c r="ON90" s="37" t="n"/>
      <c r="OO90" s="37" t="n"/>
      <c r="OP90" s="37" t="n"/>
      <c r="OQ90" s="37" t="n"/>
      <c r="OR90" s="37" t="n"/>
      <c r="OS90" s="37" t="n"/>
      <c r="OT90" s="37" t="n"/>
      <c r="OU90" s="37" t="n"/>
      <c r="OV90" s="37" t="n"/>
      <c r="OW90" s="37" t="n"/>
      <c r="OX90" s="37" t="n"/>
      <c r="OY90" s="37" t="n"/>
      <c r="OZ90" s="37" t="n"/>
      <c r="PA90" s="37" t="n"/>
      <c r="PB90" s="37" t="n"/>
      <c r="PC90" s="37" t="n"/>
      <c r="PD90" s="37" t="n"/>
      <c r="PE90" s="37" t="n"/>
      <c r="PF90" s="37" t="n"/>
      <c r="PG90" s="37" t="n"/>
      <c r="PH90" s="37" t="n"/>
      <c r="PI90" s="37" t="n"/>
      <c r="PJ90" s="37" t="n"/>
      <c r="PK90" s="37" t="n"/>
      <c r="PL90" s="37" t="n"/>
      <c r="PM90" s="37" t="n"/>
      <c r="PN90" s="37" t="n"/>
      <c r="PO90" s="37" t="n"/>
      <c r="PP90" s="37" t="n"/>
      <c r="PQ90" s="37" t="n"/>
      <c r="PR90" s="37" t="n"/>
      <c r="PS90" s="37" t="n"/>
      <c r="PT90" s="37" t="n"/>
      <c r="PU90" s="37" t="n"/>
      <c r="PV90" s="37" t="n"/>
      <c r="PW90" s="37" t="n"/>
      <c r="PX90" s="37" t="n"/>
      <c r="PY90" s="37" t="n"/>
      <c r="PZ90" s="37" t="n"/>
      <c r="QA90" s="37" t="n"/>
      <c r="QB90" s="37" t="n"/>
      <c r="QC90" s="37" t="n"/>
      <c r="QD90" s="37" t="n"/>
      <c r="QE90" s="37" t="n"/>
      <c r="QF90" s="37" t="n"/>
      <c r="QG90" s="37" t="n"/>
      <c r="QH90" s="37" t="n"/>
      <c r="QI90" s="37" t="n"/>
      <c r="QJ90" s="37" t="n"/>
      <c r="QK90" s="37" t="n"/>
      <c r="QL90" s="37" t="n"/>
      <c r="QM90" s="37" t="n"/>
      <c r="QN90" s="37" t="n"/>
      <c r="QO90" s="37" t="n"/>
      <c r="QP90" s="37" t="n"/>
      <c r="QQ90" s="37" t="n"/>
      <c r="QR90" s="37" t="n"/>
      <c r="QS90" s="37" t="n"/>
      <c r="QT90" s="37" t="n"/>
      <c r="QU90" s="37" t="n"/>
      <c r="QV90" s="37" t="n"/>
      <c r="QW90" s="37" t="n"/>
      <c r="QX90" s="37" t="n"/>
      <c r="QY90" s="37" t="n"/>
      <c r="QZ90" s="37" t="n"/>
      <c r="RA90" s="37" t="n"/>
      <c r="RB90" s="37" t="n"/>
      <c r="RC90" s="37" t="n"/>
      <c r="RD90" s="37" t="n"/>
      <c r="RE90" s="37" t="n"/>
      <c r="RF90" s="37" t="n"/>
      <c r="RG90" s="37" t="n"/>
      <c r="RH90" s="37" t="n"/>
      <c r="RI90" s="37" t="n"/>
      <c r="RJ90" s="37" t="n"/>
      <c r="RK90" s="37" t="n"/>
      <c r="RL90" s="37" t="n"/>
      <c r="RM90" s="37" t="n"/>
      <c r="RN90" s="37" t="n"/>
      <c r="RO90" s="37" t="n"/>
      <c r="RP90" s="37" t="n"/>
      <c r="RQ90" s="37" t="n"/>
      <c r="RR90" s="37" t="n"/>
      <c r="RS90" s="37" t="n"/>
      <c r="RT90" s="37" t="n"/>
      <c r="RU90" s="37" t="n"/>
      <c r="RV90" s="37" t="n"/>
      <c r="RW90" s="37" t="n"/>
    </row>
    <row r="91" ht="5.25" customHeight="1"/>
    <row r="92" ht="13.05" customHeight="1">
      <c r="E92" s="21" t="inlineStr">
        <is>
          <t>CfD Active Flag</t>
        </is>
      </c>
      <c r="F92" s="29" t="n"/>
      <c r="G92" s="29" t="inlineStr">
        <is>
          <t>kEUR</t>
        </is>
      </c>
      <c r="H92" s="29" t="n"/>
      <c r="I92" s="29" t="n"/>
      <c r="J92" s="32" t="n"/>
      <c r="K92" s="29" t="n"/>
      <c r="L92" s="33" t="n"/>
      <c r="M92" s="33" t="n"/>
      <c r="N92" s="33" t="n"/>
      <c r="O92" s="33" t="n"/>
      <c r="P92" s="33" t="n"/>
      <c r="Q92" s="33" t="n"/>
      <c r="R92" s="33" t="n"/>
      <c r="S92" s="33" t="n"/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n"/>
      <c r="AF92" s="33" t="n"/>
      <c r="AG92" s="33" t="n"/>
      <c r="AH92" s="33" t="n"/>
      <c r="AI92" s="33" t="n"/>
      <c r="AJ92" s="33" t="n"/>
      <c r="AK92" s="33" t="n"/>
      <c r="AL92" s="33" t="n"/>
      <c r="AM92" s="33" t="n"/>
      <c r="AN92" s="33" t="n"/>
      <c r="AO92" s="33" t="n"/>
      <c r="AP92" s="33" t="n"/>
      <c r="AQ92" s="33" t="n"/>
      <c r="AR92" s="33" t="n"/>
      <c r="AS92" s="33" t="n"/>
      <c r="AT92" s="33" t="n"/>
      <c r="AU92" s="33" t="n"/>
      <c r="AV92" s="33" t="n"/>
      <c r="AW92" s="33" t="n"/>
      <c r="AX92" s="33" t="n"/>
      <c r="AY92" s="33" t="n"/>
      <c r="AZ92" s="33" t="n"/>
      <c r="BA92" s="33" t="n"/>
      <c r="BB92" s="33" t="n"/>
      <c r="BC92" s="33" t="n"/>
      <c r="BD92" s="33" t="n"/>
      <c r="BE92" s="33" t="n"/>
      <c r="BF92" s="33" t="n"/>
      <c r="BG92" s="33" t="n"/>
      <c r="BH92" s="33" t="n"/>
      <c r="BI92" s="33" t="n"/>
      <c r="BJ92" s="33" t="n"/>
      <c r="BK92" s="33" t="n"/>
      <c r="BL92" s="33" t="n"/>
      <c r="BM92" s="33" t="n"/>
      <c r="BN92" s="33" t="n"/>
      <c r="BO92" s="33" t="n"/>
      <c r="BP92" s="33" t="n"/>
      <c r="BQ92" s="33" t="n"/>
      <c r="BR92" s="33" t="n"/>
      <c r="BS92" s="33" t="n"/>
      <c r="BT92" s="33" t="n"/>
      <c r="BU92" s="33" t="n"/>
      <c r="BV92" s="33" t="n"/>
      <c r="BW92" s="33" t="n"/>
      <c r="BX92" s="33" t="n"/>
      <c r="BY92" s="33" t="n"/>
      <c r="BZ92" s="33" t="n"/>
      <c r="CA92" s="33" t="n"/>
      <c r="CB92" s="33" t="n"/>
      <c r="CC92" s="33" t="n"/>
      <c r="CD92" s="33" t="n"/>
      <c r="CE92" s="33" t="n"/>
      <c r="CF92" s="33" t="n"/>
      <c r="CG92" s="33" t="n"/>
      <c r="CH92" s="33" t="n"/>
      <c r="CI92" s="33" t="n"/>
      <c r="CJ92" s="33" t="n"/>
      <c r="CK92" s="33" t="n"/>
      <c r="CL92" s="33" t="n"/>
      <c r="CM92" s="33" t="n"/>
      <c r="CN92" s="33" t="n"/>
      <c r="CO92" s="33" t="n"/>
      <c r="CP92" s="33" t="n"/>
      <c r="CQ92" s="33" t="n"/>
      <c r="CR92" s="33" t="n"/>
      <c r="CS92" s="33" t="n"/>
      <c r="CT92" s="33" t="n"/>
      <c r="CU92" s="33" t="n"/>
      <c r="CV92" s="33" t="n"/>
      <c r="CW92" s="33" t="n"/>
      <c r="CX92" s="33" t="n"/>
      <c r="CY92" s="33" t="n"/>
      <c r="CZ92" s="33" t="n"/>
      <c r="DA92" s="33" t="n"/>
      <c r="DB92" s="33" t="n"/>
      <c r="DC92" s="33" t="n"/>
      <c r="DD92" s="33" t="n"/>
      <c r="DE92" s="33" t="n"/>
      <c r="DF92" s="33" t="n"/>
      <c r="DG92" s="33" t="n"/>
      <c r="DH92" s="33" t="n"/>
      <c r="DI92" s="33" t="n"/>
      <c r="DJ92" s="33" t="n"/>
      <c r="DK92" s="33" t="n"/>
      <c r="DL92" s="33" t="n"/>
      <c r="DM92" s="33" t="n"/>
      <c r="DN92" s="33" t="n"/>
      <c r="DO92" s="33" t="n"/>
      <c r="DP92" s="33" t="n"/>
      <c r="DQ92" s="33" t="n"/>
      <c r="DR92" s="33" t="n"/>
      <c r="DS92" s="33" t="n"/>
      <c r="DT92" s="33" t="n"/>
      <c r="DU92" s="33" t="n"/>
      <c r="DV92" s="33" t="n"/>
      <c r="DW92" s="33" t="n"/>
      <c r="DX92" s="33" t="n"/>
      <c r="DY92" s="33" t="n"/>
      <c r="DZ92" s="33" t="n"/>
      <c r="EA92" s="33" t="n"/>
      <c r="EB92" s="33" t="n"/>
      <c r="EC92" s="33" t="n"/>
      <c r="ED92" s="33" t="n"/>
      <c r="EE92" s="33" t="n"/>
      <c r="EF92" s="33" t="n"/>
      <c r="EG92" s="33" t="n"/>
      <c r="EH92" s="33" t="n"/>
      <c r="EI92" s="33" t="n"/>
      <c r="EJ92" s="33" t="n"/>
      <c r="EK92" s="33" t="n"/>
      <c r="EL92" s="33" t="n"/>
      <c r="EM92" s="33" t="n"/>
      <c r="EN92" s="33" t="n"/>
      <c r="EO92" s="33" t="n"/>
      <c r="EP92" s="33" t="n"/>
      <c r="EQ92" s="33" t="n"/>
      <c r="ER92" s="33" t="n"/>
      <c r="ES92" s="33" t="n"/>
      <c r="ET92" s="33" t="n"/>
      <c r="EU92" s="33" t="n"/>
      <c r="EV92" s="33" t="n"/>
      <c r="EW92" s="33" t="n"/>
      <c r="EX92" s="33" t="n"/>
      <c r="EY92" s="33" t="n"/>
      <c r="EZ92" s="33" t="n"/>
      <c r="FA92" s="33" t="n"/>
      <c r="FB92" s="33" t="n"/>
      <c r="FC92" s="33" t="n"/>
      <c r="FD92" s="33" t="n"/>
      <c r="FE92" s="33" t="n"/>
      <c r="FF92" s="33" t="n"/>
      <c r="FG92" s="33" t="n"/>
      <c r="FH92" s="33" t="n"/>
      <c r="FI92" s="33" t="n"/>
      <c r="FJ92" s="33" t="n"/>
      <c r="FK92" s="33" t="n"/>
      <c r="FL92" s="33" t="n"/>
      <c r="FM92" s="33" t="n"/>
      <c r="FN92" s="33" t="n"/>
      <c r="FO92" s="33" t="n"/>
      <c r="FP92" s="33" t="n"/>
      <c r="FQ92" s="33" t="n"/>
      <c r="FR92" s="33" t="n"/>
      <c r="FS92" s="33" t="n"/>
      <c r="FT92" s="33" t="n"/>
      <c r="FU92" s="33" t="n"/>
      <c r="FV92" s="33" t="n"/>
      <c r="FW92" s="33" t="n"/>
      <c r="FX92" s="33" t="n"/>
      <c r="FY92" s="33" t="n"/>
      <c r="FZ92" s="33" t="n"/>
      <c r="GA92" s="33" t="n"/>
      <c r="GB92" s="33" t="n"/>
      <c r="GC92" s="33" t="n"/>
      <c r="GD92" s="33" t="n"/>
      <c r="GE92" s="33" t="n"/>
      <c r="GF92" s="33" t="n"/>
      <c r="GG92" s="33" t="n"/>
      <c r="GH92" s="33" t="n"/>
      <c r="GI92" s="33" t="n"/>
      <c r="GJ92" s="33" t="n"/>
      <c r="GK92" s="33" t="n"/>
      <c r="GL92" s="33" t="n"/>
      <c r="GM92" s="33" t="n"/>
      <c r="GN92" s="33" t="n"/>
      <c r="GO92" s="33" t="n"/>
      <c r="GP92" s="33" t="n"/>
      <c r="GQ92" s="33" t="n"/>
      <c r="GR92" s="33" t="n"/>
      <c r="GS92" s="33" t="n"/>
      <c r="GT92" s="33" t="n"/>
      <c r="GU92" s="33" t="n"/>
      <c r="GV92" s="33" t="n"/>
      <c r="GW92" s="33" t="n"/>
      <c r="GX92" s="33" t="n"/>
      <c r="GY92" s="33" t="n"/>
      <c r="GZ92" s="33" t="n"/>
      <c r="HA92" s="33" t="n"/>
      <c r="HB92" s="33" t="n"/>
      <c r="HC92" s="33" t="n"/>
      <c r="HD92" s="33" t="n"/>
      <c r="HE92" s="33" t="n"/>
      <c r="HF92" s="33" t="n"/>
      <c r="HG92" s="33" t="n"/>
      <c r="HH92" s="33" t="n"/>
      <c r="HI92" s="33" t="n"/>
      <c r="HJ92" s="33" t="n"/>
      <c r="HK92" s="33" t="n"/>
      <c r="HL92" s="33" t="n"/>
      <c r="HM92" s="33" t="n"/>
      <c r="HN92" s="33" t="n"/>
      <c r="HO92" s="33" t="n"/>
      <c r="HP92" s="33" t="n"/>
      <c r="HQ92" s="33" t="n"/>
      <c r="HR92" s="33" t="n"/>
      <c r="HS92" s="33" t="n"/>
      <c r="HT92" s="33" t="n"/>
      <c r="HU92" s="33" t="n"/>
      <c r="HV92" s="33" t="n"/>
      <c r="HW92" s="33" t="n"/>
      <c r="HX92" s="33" t="n"/>
      <c r="HY92" s="33" t="n"/>
      <c r="HZ92" s="33" t="n"/>
      <c r="IA92" s="33" t="n"/>
      <c r="IB92" s="33" t="n"/>
      <c r="IC92" s="33" t="n"/>
      <c r="ID92" s="33" t="n"/>
      <c r="IE92" s="33" t="n"/>
      <c r="IF92" s="33" t="n"/>
      <c r="IG92" s="33" t="n"/>
      <c r="IH92" s="33" t="n"/>
      <c r="II92" s="33" t="n"/>
      <c r="IJ92" s="33" t="n"/>
      <c r="IK92" s="33" t="n"/>
      <c r="IL92" s="33" t="n"/>
      <c r="IM92" s="33" t="n"/>
      <c r="IN92" s="33" t="n"/>
      <c r="IO92" s="33" t="n"/>
      <c r="IP92" s="33" t="n"/>
      <c r="IQ92" s="33" t="n"/>
      <c r="IR92" s="33" t="n"/>
      <c r="IS92" s="33" t="n"/>
      <c r="IT92" s="33" t="n"/>
      <c r="IU92" s="33" t="n"/>
      <c r="IV92" s="33" t="n"/>
      <c r="IW92" s="33" t="n"/>
      <c r="IX92" s="33" t="n"/>
      <c r="IY92" s="33" t="n"/>
      <c r="IZ92" s="33" t="n"/>
      <c r="JA92" s="33" t="n"/>
      <c r="JB92" s="33" t="n"/>
      <c r="JC92" s="33" t="n"/>
      <c r="JD92" s="33" t="n"/>
      <c r="JE92" s="33" t="n"/>
      <c r="JF92" s="33" t="n"/>
      <c r="JG92" s="33" t="n"/>
      <c r="JH92" s="33" t="n"/>
      <c r="JI92" s="33" t="n"/>
      <c r="JJ92" s="33" t="n"/>
      <c r="JK92" s="33" t="n"/>
      <c r="JL92" s="33" t="n"/>
      <c r="JM92" s="33" t="n"/>
      <c r="JN92" s="33" t="n"/>
      <c r="JO92" s="33" t="n"/>
      <c r="JP92" s="33" t="n"/>
      <c r="JQ92" s="33" t="n"/>
      <c r="JR92" s="33" t="n"/>
      <c r="JS92" s="33" t="n"/>
      <c r="JT92" s="33" t="n"/>
      <c r="JU92" s="33" t="n"/>
      <c r="JV92" s="33" t="n"/>
      <c r="JW92" s="33" t="n"/>
      <c r="JX92" s="33" t="n"/>
      <c r="JY92" s="33" t="n"/>
      <c r="JZ92" s="33" t="n"/>
      <c r="KA92" s="33" t="n"/>
      <c r="KB92" s="33" t="n"/>
      <c r="KC92" s="33" t="n"/>
      <c r="KD92" s="33" t="n"/>
      <c r="KE92" s="33" t="n"/>
      <c r="KF92" s="33" t="n"/>
      <c r="KG92" s="33" t="n"/>
      <c r="KH92" s="33" t="n"/>
      <c r="KI92" s="33" t="n"/>
      <c r="KJ92" s="33" t="n"/>
      <c r="KK92" s="33" t="n"/>
      <c r="KL92" s="33" t="n"/>
      <c r="KM92" s="33" t="n"/>
      <c r="KN92" s="33" t="n"/>
      <c r="KO92" s="33" t="n"/>
      <c r="KP92" s="33" t="n"/>
      <c r="KQ92" s="33" t="n"/>
      <c r="KR92" s="33" t="n"/>
      <c r="KS92" s="33" t="n"/>
      <c r="KT92" s="33" t="n"/>
      <c r="KU92" s="33" t="n"/>
      <c r="KV92" s="33" t="n"/>
      <c r="KW92" s="33" t="n"/>
      <c r="KX92" s="33" t="n"/>
      <c r="KY92" s="33" t="n"/>
      <c r="KZ92" s="33" t="n"/>
      <c r="LA92" s="33" t="n"/>
      <c r="LB92" s="33" t="n"/>
      <c r="LC92" s="33" t="n"/>
      <c r="LD92" s="33" t="n"/>
      <c r="LE92" s="33" t="n"/>
      <c r="LF92" s="33" t="n"/>
      <c r="LG92" s="33" t="n"/>
      <c r="LH92" s="33" t="n"/>
      <c r="LI92" s="33" t="n"/>
      <c r="LJ92" s="33" t="n"/>
      <c r="LK92" s="33" t="n"/>
      <c r="LL92" s="33" t="n"/>
      <c r="LM92" s="33" t="n"/>
      <c r="LN92" s="33" t="n"/>
      <c r="LO92" s="33" t="n"/>
      <c r="LP92" s="33" t="n"/>
      <c r="LQ92" s="33" t="n"/>
      <c r="LR92" s="33" t="n"/>
      <c r="LS92" s="33" t="n"/>
      <c r="LT92" s="33" t="n"/>
      <c r="LU92" s="33" t="n"/>
      <c r="LV92" s="33" t="n"/>
      <c r="LW92" s="33" t="n"/>
      <c r="LX92" s="33" t="n"/>
      <c r="LY92" s="33" t="n"/>
      <c r="LZ92" s="33" t="n"/>
      <c r="MA92" s="33" t="n"/>
      <c r="MB92" s="33" t="n"/>
      <c r="MC92" s="33" t="n"/>
      <c r="MD92" s="33" t="n"/>
      <c r="ME92" s="33" t="n"/>
      <c r="MF92" s="33" t="n"/>
      <c r="MG92" s="33" t="n"/>
      <c r="MH92" s="33" t="n"/>
      <c r="MI92" s="33" t="n"/>
      <c r="MJ92" s="33" t="n"/>
      <c r="MK92" s="33" t="n"/>
      <c r="ML92" s="33" t="n"/>
      <c r="MM92" s="33" t="n"/>
      <c r="MN92" s="33" t="n"/>
      <c r="MO92" s="33" t="n"/>
      <c r="MP92" s="33" t="n"/>
      <c r="MQ92" s="33" t="n"/>
      <c r="MR92" s="33" t="n"/>
      <c r="MS92" s="33" t="n"/>
      <c r="MT92" s="33" t="n"/>
      <c r="MU92" s="33" t="n"/>
      <c r="MV92" s="33" t="n"/>
      <c r="MW92" s="33" t="n"/>
      <c r="MX92" s="33" t="n"/>
      <c r="MY92" s="33" t="n"/>
      <c r="MZ92" s="33" t="n"/>
      <c r="NA92" s="33" t="n"/>
      <c r="NB92" s="33" t="n"/>
      <c r="NC92" s="33" t="n"/>
      <c r="ND92" s="33" t="n"/>
      <c r="NE92" s="33" t="n"/>
      <c r="NF92" s="33" t="n"/>
      <c r="NG92" s="33" t="n"/>
      <c r="NH92" s="33" t="n"/>
      <c r="NI92" s="33" t="n"/>
      <c r="NJ92" s="33" t="n"/>
      <c r="NK92" s="33" t="n"/>
      <c r="NL92" s="33" t="n"/>
      <c r="NM92" s="33" t="n"/>
      <c r="NN92" s="33" t="n"/>
      <c r="NO92" s="33" t="n"/>
      <c r="NP92" s="33" t="n"/>
      <c r="NQ92" s="33" t="n"/>
      <c r="NR92" s="33" t="n"/>
      <c r="NS92" s="33" t="n"/>
      <c r="NT92" s="33" t="n"/>
      <c r="NU92" s="33" t="n"/>
      <c r="NV92" s="33" t="n"/>
      <c r="NW92" s="33" t="n"/>
      <c r="NX92" s="33" t="n"/>
      <c r="NY92" s="33" t="n"/>
      <c r="NZ92" s="33" t="n"/>
      <c r="OA92" s="33" t="n"/>
      <c r="OB92" s="33" t="n"/>
      <c r="OC92" s="33" t="n"/>
      <c r="OD92" s="33" t="n"/>
      <c r="OE92" s="33" t="n"/>
      <c r="OF92" s="33" t="n"/>
      <c r="OG92" s="33" t="n"/>
      <c r="OH92" s="33" t="n"/>
      <c r="OI92" s="33" t="n"/>
      <c r="OJ92" s="33" t="n"/>
      <c r="OK92" s="33" t="n"/>
      <c r="OL92" s="33" t="n"/>
      <c r="OM92" s="33" t="n"/>
      <c r="ON92" s="33" t="n"/>
      <c r="OO92" s="33" t="n"/>
      <c r="OP92" s="33" t="n"/>
      <c r="OQ92" s="33" t="n"/>
      <c r="OR92" s="33" t="n"/>
      <c r="OS92" s="33" t="n"/>
      <c r="OT92" s="33" t="n"/>
      <c r="OU92" s="33" t="n"/>
      <c r="OV92" s="33" t="n"/>
      <c r="OW92" s="33" t="n"/>
      <c r="OX92" s="33" t="n"/>
      <c r="OY92" s="33" t="n"/>
      <c r="OZ92" s="33" t="n"/>
      <c r="PA92" s="33" t="n"/>
      <c r="PB92" s="33" t="n"/>
      <c r="PC92" s="33" t="n"/>
      <c r="PD92" s="33" t="n"/>
      <c r="PE92" s="33" t="n"/>
      <c r="PF92" s="33" t="n"/>
      <c r="PG92" s="33" t="n"/>
      <c r="PH92" s="33" t="n"/>
      <c r="PI92" s="33" t="n"/>
      <c r="PJ92" s="33" t="n"/>
      <c r="PK92" s="33" t="n"/>
      <c r="PL92" s="33" t="n"/>
      <c r="PM92" s="33" t="n"/>
      <c r="PN92" s="33" t="n"/>
      <c r="PO92" s="33" t="n"/>
      <c r="PP92" s="33" t="n"/>
      <c r="PQ92" s="33" t="n"/>
      <c r="PR92" s="33" t="n"/>
      <c r="PS92" s="33" t="n"/>
      <c r="PT92" s="33" t="n"/>
      <c r="PU92" s="33" t="n"/>
      <c r="PV92" s="33" t="n"/>
      <c r="PW92" s="33" t="n"/>
      <c r="PX92" s="33" t="n"/>
      <c r="PY92" s="33" t="n"/>
      <c r="PZ92" s="33" t="n"/>
      <c r="QA92" s="33" t="n"/>
      <c r="QB92" s="33" t="n"/>
      <c r="QC92" s="33" t="n"/>
      <c r="QD92" s="33" t="n"/>
      <c r="QE92" s="33" t="n"/>
      <c r="QF92" s="33" t="n"/>
      <c r="QG92" s="33" t="n"/>
      <c r="QH92" s="33" t="n"/>
      <c r="QI92" s="33" t="n"/>
      <c r="QJ92" s="33" t="n"/>
      <c r="QK92" s="33" t="n"/>
      <c r="QL92" s="33" t="n"/>
      <c r="QM92" s="33" t="n"/>
      <c r="QN92" s="33" t="n"/>
      <c r="QO92" s="33" t="n"/>
      <c r="QP92" s="33" t="n"/>
      <c r="QQ92" s="33" t="n"/>
      <c r="QR92" s="33" t="n"/>
      <c r="QS92" s="33" t="n"/>
      <c r="QT92" s="33" t="n"/>
      <c r="QU92" s="33" t="n"/>
      <c r="QV92" s="33" t="n"/>
      <c r="QW92" s="33" t="n"/>
      <c r="QX92" s="33" t="n"/>
      <c r="QY92" s="33" t="n"/>
      <c r="QZ92" s="33" t="n"/>
      <c r="RA92" s="33" t="n"/>
      <c r="RB92" s="33" t="n"/>
      <c r="RC92" s="33" t="n"/>
      <c r="RD92" s="33" t="n"/>
      <c r="RE92" s="33" t="n"/>
      <c r="RF92" s="33" t="n"/>
      <c r="RG92" s="33" t="n"/>
      <c r="RH92" s="33" t="n"/>
      <c r="RI92" s="33" t="n"/>
      <c r="RJ92" s="33" t="n"/>
      <c r="RK92" s="33" t="n"/>
      <c r="RL92" s="33" t="n"/>
      <c r="RM92" s="33" t="n"/>
      <c r="RN92" s="33" t="n"/>
      <c r="RO92" s="33" t="n"/>
      <c r="RP92" s="33" t="n"/>
      <c r="RQ92" s="33" t="n"/>
      <c r="RR92" s="33" t="n"/>
      <c r="RS92" s="33" t="n"/>
      <c r="RT92" s="33" t="n"/>
      <c r="RU92" s="33" t="n"/>
      <c r="RV92" s="33" t="n"/>
      <c r="RW92" s="33" t="n"/>
    </row>
    <row r="93" ht="13.05" customHeight="1">
      <c r="E93" s="21" t="inlineStr">
        <is>
          <t>CfD Settlement</t>
        </is>
      </c>
      <c r="F93" s="29" t="n"/>
      <c r="G93" s="29" t="inlineStr">
        <is>
          <t>kEUR</t>
        </is>
      </c>
      <c r="H93" s="29" t="n"/>
      <c r="I93" s="29" t="n"/>
      <c r="J93" s="32" t="n"/>
      <c r="K93" s="29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33" t="n"/>
      <c r="AJ93" s="33" t="n"/>
      <c r="AK93" s="33" t="n"/>
      <c r="AL93" s="33" t="n"/>
      <c r="AM93" s="33" t="n"/>
      <c r="AN93" s="33" t="n"/>
      <c r="AO93" s="33" t="n"/>
      <c r="AP93" s="33" t="n"/>
      <c r="AQ93" s="33" t="n"/>
      <c r="AR93" s="33" t="n"/>
      <c r="AS93" s="33" t="n"/>
      <c r="AT93" s="33" t="n"/>
      <c r="AU93" s="33" t="n"/>
      <c r="AV93" s="33" t="n"/>
      <c r="AW93" s="33" t="n"/>
      <c r="AX93" s="33" t="n"/>
      <c r="AY93" s="33" t="n"/>
      <c r="AZ93" s="33" t="n"/>
      <c r="BA93" s="33" t="n"/>
      <c r="BB93" s="33" t="n"/>
      <c r="BC93" s="33" t="n"/>
      <c r="BD93" s="33" t="n"/>
      <c r="BE93" s="33" t="n"/>
      <c r="BF93" s="33" t="n"/>
      <c r="BG93" s="33" t="n"/>
      <c r="BH93" s="33" t="n"/>
      <c r="BI93" s="33" t="n"/>
      <c r="BJ93" s="33" t="n"/>
      <c r="BK93" s="33" t="n"/>
      <c r="BL93" s="33" t="n"/>
      <c r="BM93" s="33" t="n"/>
      <c r="BN93" s="33" t="n"/>
      <c r="BO93" s="33" t="n"/>
      <c r="BP93" s="33" t="n"/>
      <c r="BQ93" s="33" t="n"/>
      <c r="BR93" s="33" t="n"/>
      <c r="BS93" s="33" t="n"/>
      <c r="BT93" s="33" t="n"/>
      <c r="BU93" s="33" t="n"/>
      <c r="BV93" s="33" t="n"/>
      <c r="BW93" s="33" t="n"/>
      <c r="BX93" s="33" t="n"/>
      <c r="BY93" s="33" t="n"/>
      <c r="BZ93" s="33" t="n"/>
      <c r="CA93" s="33" t="n"/>
      <c r="CB93" s="33" t="n"/>
      <c r="CC93" s="33" t="n"/>
      <c r="CD93" s="33" t="n"/>
      <c r="CE93" s="33" t="n"/>
      <c r="CF93" s="33" t="n"/>
      <c r="CG93" s="33" t="n"/>
      <c r="CH93" s="33" t="n"/>
      <c r="CI93" s="33" t="n"/>
      <c r="CJ93" s="33" t="n"/>
      <c r="CK93" s="33" t="n"/>
      <c r="CL93" s="33" t="n"/>
      <c r="CM93" s="33" t="n"/>
      <c r="CN93" s="33" t="n"/>
      <c r="CO93" s="33" t="n"/>
      <c r="CP93" s="33" t="n"/>
      <c r="CQ93" s="33" t="n"/>
      <c r="CR93" s="33" t="n"/>
      <c r="CS93" s="33" t="n"/>
      <c r="CT93" s="33" t="n"/>
      <c r="CU93" s="33" t="n"/>
      <c r="CV93" s="33" t="n"/>
      <c r="CW93" s="33" t="n"/>
      <c r="CX93" s="33" t="n"/>
      <c r="CY93" s="33" t="n"/>
      <c r="CZ93" s="33" t="n"/>
      <c r="DA93" s="33" t="n"/>
      <c r="DB93" s="33" t="n"/>
      <c r="DC93" s="33" t="n"/>
      <c r="DD93" s="33" t="n"/>
      <c r="DE93" s="33" t="n"/>
      <c r="DF93" s="33" t="n"/>
      <c r="DG93" s="33" t="n"/>
      <c r="DH93" s="33" t="n"/>
      <c r="DI93" s="33" t="n"/>
      <c r="DJ93" s="33" t="n"/>
      <c r="DK93" s="33" t="n"/>
      <c r="DL93" s="33" t="n"/>
      <c r="DM93" s="33" t="n"/>
      <c r="DN93" s="33" t="n"/>
      <c r="DO93" s="33" t="n"/>
      <c r="DP93" s="33" t="n"/>
      <c r="DQ93" s="33" t="n"/>
      <c r="DR93" s="33" t="n"/>
      <c r="DS93" s="33" t="n"/>
      <c r="DT93" s="33" t="n"/>
      <c r="DU93" s="33" t="n"/>
      <c r="DV93" s="33" t="n"/>
      <c r="DW93" s="33" t="n"/>
      <c r="DX93" s="33" t="n"/>
      <c r="DY93" s="33" t="n"/>
      <c r="DZ93" s="33" t="n"/>
      <c r="EA93" s="33" t="n"/>
      <c r="EB93" s="33" t="n"/>
      <c r="EC93" s="33" t="n"/>
      <c r="ED93" s="33" t="n"/>
      <c r="EE93" s="33" t="n"/>
      <c r="EF93" s="33" t="n"/>
      <c r="EG93" s="33" t="n"/>
      <c r="EH93" s="33" t="n"/>
      <c r="EI93" s="33" t="n"/>
      <c r="EJ93" s="33" t="n"/>
      <c r="EK93" s="33" t="n"/>
      <c r="EL93" s="33" t="n"/>
      <c r="EM93" s="33" t="n"/>
      <c r="EN93" s="33" t="n"/>
      <c r="EO93" s="33" t="n"/>
      <c r="EP93" s="33" t="n"/>
      <c r="EQ93" s="33" t="n"/>
      <c r="ER93" s="33" t="n"/>
      <c r="ES93" s="33" t="n"/>
      <c r="ET93" s="33" t="n"/>
      <c r="EU93" s="33" t="n"/>
      <c r="EV93" s="33" t="n"/>
      <c r="EW93" s="33" t="n"/>
      <c r="EX93" s="33" t="n"/>
      <c r="EY93" s="33" t="n"/>
      <c r="EZ93" s="33" t="n"/>
      <c r="FA93" s="33" t="n"/>
      <c r="FB93" s="33" t="n"/>
      <c r="FC93" s="33" t="n"/>
      <c r="FD93" s="33" t="n"/>
      <c r="FE93" s="33" t="n"/>
      <c r="FF93" s="33" t="n"/>
      <c r="FG93" s="33" t="n"/>
      <c r="FH93" s="33" t="n"/>
      <c r="FI93" s="33" t="n"/>
      <c r="FJ93" s="33" t="n"/>
      <c r="FK93" s="33" t="n"/>
      <c r="FL93" s="33" t="n"/>
      <c r="FM93" s="33" t="n"/>
      <c r="FN93" s="33" t="n"/>
      <c r="FO93" s="33" t="n"/>
      <c r="FP93" s="33" t="n"/>
      <c r="FQ93" s="33" t="n"/>
      <c r="FR93" s="33" t="n"/>
      <c r="FS93" s="33" t="n"/>
      <c r="FT93" s="33" t="n"/>
      <c r="FU93" s="33" t="n"/>
      <c r="FV93" s="33" t="n"/>
      <c r="FW93" s="33" t="n"/>
      <c r="FX93" s="33" t="n"/>
      <c r="FY93" s="33" t="n"/>
      <c r="FZ93" s="33" t="n"/>
      <c r="GA93" s="33" t="n"/>
      <c r="GB93" s="33" t="n"/>
      <c r="GC93" s="33" t="n"/>
      <c r="GD93" s="33" t="n"/>
      <c r="GE93" s="33" t="n"/>
      <c r="GF93" s="33" t="n"/>
      <c r="GG93" s="33" t="n"/>
      <c r="GH93" s="33" t="n"/>
      <c r="GI93" s="33" t="n"/>
      <c r="GJ93" s="33" t="n"/>
      <c r="GK93" s="33" t="n"/>
      <c r="GL93" s="33" t="n"/>
      <c r="GM93" s="33" t="n"/>
      <c r="GN93" s="33" t="n"/>
      <c r="GO93" s="33" t="n"/>
      <c r="GP93" s="33" t="n"/>
      <c r="GQ93" s="33" t="n"/>
      <c r="GR93" s="33" t="n"/>
      <c r="GS93" s="33" t="n"/>
      <c r="GT93" s="33" t="n"/>
      <c r="GU93" s="33" t="n"/>
      <c r="GV93" s="33" t="n"/>
      <c r="GW93" s="33" t="n"/>
      <c r="GX93" s="33" t="n"/>
      <c r="GY93" s="33" t="n"/>
      <c r="GZ93" s="33" t="n"/>
      <c r="HA93" s="33" t="n"/>
      <c r="HB93" s="33" t="n"/>
      <c r="HC93" s="33" t="n"/>
      <c r="HD93" s="33" t="n"/>
      <c r="HE93" s="33" t="n"/>
      <c r="HF93" s="33" t="n"/>
      <c r="HG93" s="33" t="n"/>
      <c r="HH93" s="33" t="n"/>
      <c r="HI93" s="33" t="n"/>
      <c r="HJ93" s="33" t="n"/>
      <c r="HK93" s="33" t="n"/>
      <c r="HL93" s="33" t="n"/>
      <c r="HM93" s="33" t="n"/>
      <c r="HN93" s="33" t="n"/>
      <c r="HO93" s="33" t="n"/>
      <c r="HP93" s="33" t="n"/>
      <c r="HQ93" s="33" t="n"/>
      <c r="HR93" s="33" t="n"/>
      <c r="HS93" s="33" t="n"/>
      <c r="HT93" s="33" t="n"/>
      <c r="HU93" s="33" t="n"/>
      <c r="HV93" s="33" t="n"/>
      <c r="HW93" s="33" t="n"/>
      <c r="HX93" s="33" t="n"/>
      <c r="HY93" s="33" t="n"/>
      <c r="HZ93" s="33" t="n"/>
      <c r="IA93" s="33" t="n"/>
      <c r="IB93" s="33" t="n"/>
      <c r="IC93" s="33" t="n"/>
      <c r="ID93" s="33" t="n"/>
      <c r="IE93" s="33" t="n"/>
      <c r="IF93" s="33" t="n"/>
      <c r="IG93" s="33" t="n"/>
      <c r="IH93" s="33" t="n"/>
      <c r="II93" s="33" t="n"/>
      <c r="IJ93" s="33" t="n"/>
      <c r="IK93" s="33" t="n"/>
      <c r="IL93" s="33" t="n"/>
      <c r="IM93" s="33" t="n"/>
      <c r="IN93" s="33" t="n"/>
      <c r="IO93" s="33" t="n"/>
      <c r="IP93" s="33" t="n"/>
      <c r="IQ93" s="33" t="n"/>
      <c r="IR93" s="33" t="n"/>
      <c r="IS93" s="33" t="n"/>
      <c r="IT93" s="33" t="n"/>
      <c r="IU93" s="33" t="n"/>
      <c r="IV93" s="33" t="n"/>
      <c r="IW93" s="33" t="n"/>
      <c r="IX93" s="33" t="n"/>
      <c r="IY93" s="33" t="n"/>
      <c r="IZ93" s="33" t="n"/>
      <c r="JA93" s="33" t="n"/>
      <c r="JB93" s="33" t="n"/>
      <c r="JC93" s="33" t="n"/>
      <c r="JD93" s="33" t="n"/>
      <c r="JE93" s="33" t="n"/>
      <c r="JF93" s="33" t="n"/>
      <c r="JG93" s="33" t="n"/>
      <c r="JH93" s="33" t="n"/>
      <c r="JI93" s="33" t="n"/>
      <c r="JJ93" s="33" t="n"/>
      <c r="JK93" s="33" t="n"/>
      <c r="JL93" s="33" t="n"/>
      <c r="JM93" s="33" t="n"/>
      <c r="JN93" s="33" t="n"/>
      <c r="JO93" s="33" t="n"/>
      <c r="JP93" s="33" t="n"/>
      <c r="JQ93" s="33" t="n"/>
      <c r="JR93" s="33" t="n"/>
      <c r="JS93" s="33" t="n"/>
      <c r="JT93" s="33" t="n"/>
      <c r="JU93" s="33" t="n"/>
      <c r="JV93" s="33" t="n"/>
      <c r="JW93" s="33" t="n"/>
      <c r="JX93" s="33" t="n"/>
      <c r="JY93" s="33" t="n"/>
      <c r="JZ93" s="33" t="n"/>
      <c r="KA93" s="33" t="n"/>
      <c r="KB93" s="33" t="n"/>
      <c r="KC93" s="33" t="n"/>
      <c r="KD93" s="33" t="n"/>
      <c r="KE93" s="33" t="n"/>
      <c r="KF93" s="33" t="n"/>
      <c r="KG93" s="33" t="n"/>
      <c r="KH93" s="33" t="n"/>
      <c r="KI93" s="33" t="n"/>
      <c r="KJ93" s="33" t="n"/>
      <c r="KK93" s="33" t="n"/>
      <c r="KL93" s="33" t="n"/>
      <c r="KM93" s="33" t="n"/>
      <c r="KN93" s="33" t="n"/>
      <c r="KO93" s="33" t="n"/>
      <c r="KP93" s="33" t="n"/>
      <c r="KQ93" s="33" t="n"/>
      <c r="KR93" s="33" t="n"/>
      <c r="KS93" s="33" t="n"/>
      <c r="KT93" s="33" t="n"/>
      <c r="KU93" s="33" t="n"/>
      <c r="KV93" s="33" t="n"/>
      <c r="KW93" s="33" t="n"/>
      <c r="KX93" s="33" t="n"/>
      <c r="KY93" s="33" t="n"/>
      <c r="KZ93" s="33" t="n"/>
      <c r="LA93" s="33" t="n"/>
      <c r="LB93" s="33" t="n"/>
      <c r="LC93" s="33" t="n"/>
      <c r="LD93" s="33" t="n"/>
      <c r="LE93" s="33" t="n"/>
      <c r="LF93" s="33" t="n"/>
      <c r="LG93" s="33" t="n"/>
      <c r="LH93" s="33" t="n"/>
      <c r="LI93" s="33" t="n"/>
      <c r="LJ93" s="33" t="n"/>
      <c r="LK93" s="33" t="n"/>
      <c r="LL93" s="33" t="n"/>
      <c r="LM93" s="33" t="n"/>
      <c r="LN93" s="33" t="n"/>
      <c r="LO93" s="33" t="n"/>
      <c r="LP93" s="33" t="n"/>
      <c r="LQ93" s="33" t="n"/>
      <c r="LR93" s="33" t="n"/>
      <c r="LS93" s="33" t="n"/>
      <c r="LT93" s="33" t="n"/>
      <c r="LU93" s="33" t="n"/>
      <c r="LV93" s="33" t="n"/>
      <c r="LW93" s="33" t="n"/>
      <c r="LX93" s="33" t="n"/>
      <c r="LY93" s="33" t="n"/>
      <c r="LZ93" s="33" t="n"/>
      <c r="MA93" s="33" t="n"/>
      <c r="MB93" s="33" t="n"/>
      <c r="MC93" s="33" t="n"/>
      <c r="MD93" s="33" t="n"/>
      <c r="ME93" s="33" t="n"/>
      <c r="MF93" s="33" t="n"/>
      <c r="MG93" s="33" t="n"/>
      <c r="MH93" s="33" t="n"/>
      <c r="MI93" s="33" t="n"/>
      <c r="MJ93" s="33" t="n"/>
      <c r="MK93" s="33" t="n"/>
      <c r="ML93" s="33" t="n"/>
      <c r="MM93" s="33" t="n"/>
      <c r="MN93" s="33" t="n"/>
      <c r="MO93" s="33" t="n"/>
      <c r="MP93" s="33" t="n"/>
      <c r="MQ93" s="33" t="n"/>
      <c r="MR93" s="33" t="n"/>
      <c r="MS93" s="33" t="n"/>
      <c r="MT93" s="33" t="n"/>
      <c r="MU93" s="33" t="n"/>
      <c r="MV93" s="33" t="n"/>
      <c r="MW93" s="33" t="n"/>
      <c r="MX93" s="33" t="n"/>
      <c r="MY93" s="33" t="n"/>
      <c r="MZ93" s="33" t="n"/>
      <c r="NA93" s="33" t="n"/>
      <c r="NB93" s="33" t="n"/>
      <c r="NC93" s="33" t="n"/>
      <c r="ND93" s="33" t="n"/>
      <c r="NE93" s="33" t="n"/>
      <c r="NF93" s="33" t="n"/>
      <c r="NG93" s="33" t="n"/>
      <c r="NH93" s="33" t="n"/>
      <c r="NI93" s="33" t="n"/>
      <c r="NJ93" s="33" t="n"/>
      <c r="NK93" s="33" t="n"/>
      <c r="NL93" s="33" t="n"/>
      <c r="NM93" s="33" t="n"/>
      <c r="NN93" s="33" t="n"/>
      <c r="NO93" s="33" t="n"/>
      <c r="NP93" s="33" t="n"/>
      <c r="NQ93" s="33" t="n"/>
      <c r="NR93" s="33" t="n"/>
      <c r="NS93" s="33" t="n"/>
      <c r="NT93" s="33" t="n"/>
      <c r="NU93" s="33" t="n"/>
      <c r="NV93" s="33" t="n"/>
      <c r="NW93" s="33" t="n"/>
      <c r="NX93" s="33" t="n"/>
      <c r="NY93" s="33" t="n"/>
      <c r="NZ93" s="33" t="n"/>
      <c r="OA93" s="33" t="n"/>
      <c r="OB93" s="33" t="n"/>
      <c r="OC93" s="33" t="n"/>
      <c r="OD93" s="33" t="n"/>
      <c r="OE93" s="33" t="n"/>
      <c r="OF93" s="33" t="n"/>
      <c r="OG93" s="33" t="n"/>
      <c r="OH93" s="33" t="n"/>
      <c r="OI93" s="33" t="n"/>
      <c r="OJ93" s="33" t="n"/>
      <c r="OK93" s="33" t="n"/>
      <c r="OL93" s="33" t="n"/>
      <c r="OM93" s="33" t="n"/>
      <c r="ON93" s="33" t="n"/>
      <c r="OO93" s="33" t="n"/>
      <c r="OP93" s="33" t="n"/>
      <c r="OQ93" s="33" t="n"/>
      <c r="OR93" s="33" t="n"/>
      <c r="OS93" s="33" t="n"/>
      <c r="OT93" s="33" t="n"/>
      <c r="OU93" s="33" t="n"/>
      <c r="OV93" s="33" t="n"/>
      <c r="OW93" s="33" t="n"/>
      <c r="OX93" s="33" t="n"/>
      <c r="OY93" s="33" t="n"/>
      <c r="OZ93" s="33" t="n"/>
      <c r="PA93" s="33" t="n"/>
      <c r="PB93" s="33" t="n"/>
      <c r="PC93" s="33" t="n"/>
      <c r="PD93" s="33" t="n"/>
      <c r="PE93" s="33" t="n"/>
      <c r="PF93" s="33" t="n"/>
      <c r="PG93" s="33" t="n"/>
      <c r="PH93" s="33" t="n"/>
      <c r="PI93" s="33" t="n"/>
      <c r="PJ93" s="33" t="n"/>
      <c r="PK93" s="33" t="n"/>
      <c r="PL93" s="33" t="n"/>
      <c r="PM93" s="33" t="n"/>
      <c r="PN93" s="33" t="n"/>
      <c r="PO93" s="33" t="n"/>
      <c r="PP93" s="33" t="n"/>
      <c r="PQ93" s="33" t="n"/>
      <c r="PR93" s="33" t="n"/>
      <c r="PS93" s="33" t="n"/>
      <c r="PT93" s="33" t="n"/>
      <c r="PU93" s="33" t="n"/>
      <c r="PV93" s="33" t="n"/>
      <c r="PW93" s="33" t="n"/>
      <c r="PX93" s="33" t="n"/>
      <c r="PY93" s="33" t="n"/>
      <c r="PZ93" s="33" t="n"/>
      <c r="QA93" s="33" t="n"/>
      <c r="QB93" s="33" t="n"/>
      <c r="QC93" s="33" t="n"/>
      <c r="QD93" s="33" t="n"/>
      <c r="QE93" s="33" t="n"/>
      <c r="QF93" s="33" t="n"/>
      <c r="QG93" s="33" t="n"/>
      <c r="QH93" s="33" t="n"/>
      <c r="QI93" s="33" t="n"/>
      <c r="QJ93" s="33" t="n"/>
      <c r="QK93" s="33" t="n"/>
      <c r="QL93" s="33" t="n"/>
      <c r="QM93" s="33" t="n"/>
      <c r="QN93" s="33" t="n"/>
      <c r="QO93" s="33" t="n"/>
      <c r="QP93" s="33" t="n"/>
      <c r="QQ93" s="33" t="n"/>
      <c r="QR93" s="33" t="n"/>
      <c r="QS93" s="33" t="n"/>
      <c r="QT93" s="33" t="n"/>
      <c r="QU93" s="33" t="n"/>
      <c r="QV93" s="33" t="n"/>
      <c r="QW93" s="33" t="n"/>
      <c r="QX93" s="33" t="n"/>
      <c r="QY93" s="33" t="n"/>
      <c r="QZ93" s="33" t="n"/>
      <c r="RA93" s="33" t="n"/>
      <c r="RB93" s="33" t="n"/>
      <c r="RC93" s="33" t="n"/>
      <c r="RD93" s="33" t="n"/>
      <c r="RE93" s="33" t="n"/>
      <c r="RF93" s="33" t="n"/>
      <c r="RG93" s="33" t="n"/>
      <c r="RH93" s="33" t="n"/>
      <c r="RI93" s="33" t="n"/>
      <c r="RJ93" s="33" t="n"/>
      <c r="RK93" s="33" t="n"/>
      <c r="RL93" s="33" t="n"/>
      <c r="RM93" s="33" t="n"/>
      <c r="RN93" s="33" t="n"/>
      <c r="RO93" s="33" t="n"/>
      <c r="RP93" s="33" t="n"/>
      <c r="RQ93" s="33" t="n"/>
      <c r="RR93" s="33" t="n"/>
      <c r="RS93" s="33" t="n"/>
      <c r="RT93" s="33" t="n"/>
      <c r="RU93" s="33" t="n"/>
      <c r="RV93" s="33" t="n"/>
      <c r="RW93" s="33" t="n"/>
    </row>
    <row r="94" ht="13.05" customHeight="1">
      <c r="E94" s="21" t="inlineStr">
        <is>
          <t>Strike Price (indexed)</t>
        </is>
      </c>
      <c r="F94" s="29" t="n"/>
      <c r="G94" s="29" t="inlineStr">
        <is>
          <t>kEUR</t>
        </is>
      </c>
      <c r="H94" s="29" t="n"/>
      <c r="I94" s="29" t="n"/>
      <c r="J94" s="32" t="n"/>
      <c r="K94" s="29" t="n"/>
      <c r="L94" s="33" t="n"/>
      <c r="M94" s="33" t="n"/>
      <c r="N94" s="33" t="n"/>
      <c r="O94" s="33" t="n"/>
      <c r="P94" s="33" t="n"/>
      <c r="Q94" s="33" t="n"/>
      <c r="R94" s="33" t="n"/>
      <c r="S94" s="33" t="n"/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n"/>
      <c r="AF94" s="33" t="n"/>
      <c r="AG94" s="33" t="n"/>
      <c r="AH94" s="33" t="n"/>
      <c r="AI94" s="33" t="n"/>
      <c r="AJ94" s="33" t="n"/>
      <c r="AK94" s="33" t="n"/>
      <c r="AL94" s="33" t="n"/>
      <c r="AM94" s="33" t="n"/>
      <c r="AN94" s="33" t="n"/>
      <c r="AO94" s="33" t="n"/>
      <c r="AP94" s="33" t="n"/>
      <c r="AQ94" s="33" t="n"/>
      <c r="AR94" s="33" t="n"/>
      <c r="AS94" s="33" t="n"/>
      <c r="AT94" s="33" t="n"/>
      <c r="AU94" s="33" t="n"/>
      <c r="AV94" s="33" t="n"/>
      <c r="AW94" s="33" t="n"/>
      <c r="AX94" s="33" t="n"/>
      <c r="AY94" s="33" t="n"/>
      <c r="AZ94" s="33" t="n"/>
      <c r="BA94" s="33" t="n"/>
      <c r="BB94" s="33" t="n"/>
      <c r="BC94" s="33" t="n"/>
      <c r="BD94" s="33" t="n"/>
      <c r="BE94" s="33" t="n"/>
      <c r="BF94" s="33" t="n"/>
      <c r="BG94" s="33" t="n"/>
      <c r="BH94" s="33" t="n"/>
      <c r="BI94" s="33" t="n"/>
      <c r="BJ94" s="33" t="n"/>
      <c r="BK94" s="33" t="n"/>
      <c r="BL94" s="33" t="n"/>
      <c r="BM94" s="33" t="n"/>
      <c r="BN94" s="33" t="n"/>
      <c r="BO94" s="33" t="n"/>
      <c r="BP94" s="33" t="n"/>
      <c r="BQ94" s="33" t="n"/>
      <c r="BR94" s="33" t="n"/>
      <c r="BS94" s="33" t="n"/>
      <c r="BT94" s="33" t="n"/>
      <c r="BU94" s="33" t="n"/>
      <c r="BV94" s="33" t="n"/>
      <c r="BW94" s="33" t="n"/>
      <c r="BX94" s="33" t="n"/>
      <c r="BY94" s="33" t="n"/>
      <c r="BZ94" s="33" t="n"/>
      <c r="CA94" s="33" t="n"/>
      <c r="CB94" s="33" t="n"/>
      <c r="CC94" s="33" t="n"/>
      <c r="CD94" s="33" t="n"/>
      <c r="CE94" s="33" t="n"/>
      <c r="CF94" s="33" t="n"/>
      <c r="CG94" s="33" t="n"/>
      <c r="CH94" s="33" t="n"/>
      <c r="CI94" s="33" t="n"/>
      <c r="CJ94" s="33" t="n"/>
      <c r="CK94" s="33" t="n"/>
      <c r="CL94" s="33" t="n"/>
      <c r="CM94" s="33" t="n"/>
      <c r="CN94" s="33" t="n"/>
      <c r="CO94" s="33" t="n"/>
      <c r="CP94" s="33" t="n"/>
      <c r="CQ94" s="33" t="n"/>
      <c r="CR94" s="33" t="n"/>
      <c r="CS94" s="33" t="n"/>
      <c r="CT94" s="33" t="n"/>
      <c r="CU94" s="33" t="n"/>
      <c r="CV94" s="33" t="n"/>
      <c r="CW94" s="33" t="n"/>
      <c r="CX94" s="33" t="n"/>
      <c r="CY94" s="33" t="n"/>
      <c r="CZ94" s="33" t="n"/>
      <c r="DA94" s="33" t="n"/>
      <c r="DB94" s="33" t="n"/>
      <c r="DC94" s="33" t="n"/>
      <c r="DD94" s="33" t="n"/>
      <c r="DE94" s="33" t="n"/>
      <c r="DF94" s="33" t="n"/>
      <c r="DG94" s="33" t="n"/>
      <c r="DH94" s="33" t="n"/>
      <c r="DI94" s="33" t="n"/>
      <c r="DJ94" s="33" t="n"/>
      <c r="DK94" s="33" t="n"/>
      <c r="DL94" s="33" t="n"/>
      <c r="DM94" s="33" t="n"/>
      <c r="DN94" s="33" t="n"/>
      <c r="DO94" s="33" t="n"/>
      <c r="DP94" s="33" t="n"/>
      <c r="DQ94" s="33" t="n"/>
      <c r="DR94" s="33" t="n"/>
      <c r="DS94" s="33" t="n"/>
      <c r="DT94" s="33" t="n"/>
      <c r="DU94" s="33" t="n"/>
      <c r="DV94" s="33" t="n"/>
      <c r="DW94" s="33" t="n"/>
      <c r="DX94" s="33" t="n"/>
      <c r="DY94" s="33" t="n"/>
      <c r="DZ94" s="33" t="n"/>
      <c r="EA94" s="33" t="n"/>
      <c r="EB94" s="33" t="n"/>
      <c r="EC94" s="33" t="n"/>
      <c r="ED94" s="33" t="n"/>
      <c r="EE94" s="33" t="n"/>
      <c r="EF94" s="33" t="n"/>
      <c r="EG94" s="33" t="n"/>
      <c r="EH94" s="33" t="n"/>
      <c r="EI94" s="33" t="n"/>
      <c r="EJ94" s="33" t="n"/>
      <c r="EK94" s="33" t="n"/>
      <c r="EL94" s="33" t="n"/>
      <c r="EM94" s="33" t="n"/>
      <c r="EN94" s="33" t="n"/>
      <c r="EO94" s="33" t="n"/>
      <c r="EP94" s="33" t="n"/>
      <c r="EQ94" s="33" t="n"/>
      <c r="ER94" s="33" t="n"/>
      <c r="ES94" s="33" t="n"/>
      <c r="ET94" s="33" t="n"/>
      <c r="EU94" s="33" t="n"/>
      <c r="EV94" s="33" t="n"/>
      <c r="EW94" s="33" t="n"/>
      <c r="EX94" s="33" t="n"/>
      <c r="EY94" s="33" t="n"/>
      <c r="EZ94" s="33" t="n"/>
      <c r="FA94" s="33" t="n"/>
      <c r="FB94" s="33" t="n"/>
      <c r="FC94" s="33" t="n"/>
      <c r="FD94" s="33" t="n"/>
      <c r="FE94" s="33" t="n"/>
      <c r="FF94" s="33" t="n"/>
      <c r="FG94" s="33" t="n"/>
      <c r="FH94" s="33" t="n"/>
      <c r="FI94" s="33" t="n"/>
      <c r="FJ94" s="33" t="n"/>
      <c r="FK94" s="33" t="n"/>
      <c r="FL94" s="33" t="n"/>
      <c r="FM94" s="33" t="n"/>
      <c r="FN94" s="33" t="n"/>
      <c r="FO94" s="33" t="n"/>
      <c r="FP94" s="33" t="n"/>
      <c r="FQ94" s="33" t="n"/>
      <c r="FR94" s="33" t="n"/>
      <c r="FS94" s="33" t="n"/>
      <c r="FT94" s="33" t="n"/>
      <c r="FU94" s="33" t="n"/>
      <c r="FV94" s="33" t="n"/>
      <c r="FW94" s="33" t="n"/>
      <c r="FX94" s="33" t="n"/>
      <c r="FY94" s="33" t="n"/>
      <c r="FZ94" s="33" t="n"/>
      <c r="GA94" s="33" t="n"/>
      <c r="GB94" s="33" t="n"/>
      <c r="GC94" s="33" t="n"/>
      <c r="GD94" s="33" t="n"/>
      <c r="GE94" s="33" t="n"/>
      <c r="GF94" s="33" t="n"/>
      <c r="GG94" s="33" t="n"/>
      <c r="GH94" s="33" t="n"/>
      <c r="GI94" s="33" t="n"/>
      <c r="GJ94" s="33" t="n"/>
      <c r="GK94" s="33" t="n"/>
      <c r="GL94" s="33" t="n"/>
      <c r="GM94" s="33" t="n"/>
      <c r="GN94" s="33" t="n"/>
      <c r="GO94" s="33" t="n"/>
      <c r="GP94" s="33" t="n"/>
      <c r="GQ94" s="33" t="n"/>
      <c r="GR94" s="33" t="n"/>
      <c r="GS94" s="33" t="n"/>
      <c r="GT94" s="33" t="n"/>
      <c r="GU94" s="33" t="n"/>
      <c r="GV94" s="33" t="n"/>
      <c r="GW94" s="33" t="n"/>
      <c r="GX94" s="33" t="n"/>
      <c r="GY94" s="33" t="n"/>
      <c r="GZ94" s="33" t="n"/>
      <c r="HA94" s="33" t="n"/>
      <c r="HB94" s="33" t="n"/>
      <c r="HC94" s="33" t="n"/>
      <c r="HD94" s="33" t="n"/>
      <c r="HE94" s="33" t="n"/>
      <c r="HF94" s="33" t="n"/>
      <c r="HG94" s="33" t="n"/>
      <c r="HH94" s="33" t="n"/>
      <c r="HI94" s="33" t="n"/>
      <c r="HJ94" s="33" t="n"/>
      <c r="HK94" s="33" t="n"/>
      <c r="HL94" s="33" t="n"/>
      <c r="HM94" s="33" t="n"/>
      <c r="HN94" s="33" t="n"/>
      <c r="HO94" s="33" t="n"/>
      <c r="HP94" s="33" t="n"/>
      <c r="HQ94" s="33" t="n"/>
      <c r="HR94" s="33" t="n"/>
      <c r="HS94" s="33" t="n"/>
      <c r="HT94" s="33" t="n"/>
      <c r="HU94" s="33" t="n"/>
      <c r="HV94" s="33" t="n"/>
      <c r="HW94" s="33" t="n"/>
      <c r="HX94" s="33" t="n"/>
      <c r="HY94" s="33" t="n"/>
      <c r="HZ94" s="33" t="n"/>
      <c r="IA94" s="33" t="n"/>
      <c r="IB94" s="33" t="n"/>
      <c r="IC94" s="33" t="n"/>
      <c r="ID94" s="33" t="n"/>
      <c r="IE94" s="33" t="n"/>
      <c r="IF94" s="33" t="n"/>
      <c r="IG94" s="33" t="n"/>
      <c r="IH94" s="33" t="n"/>
      <c r="II94" s="33" t="n"/>
      <c r="IJ94" s="33" t="n"/>
      <c r="IK94" s="33" t="n"/>
      <c r="IL94" s="33" t="n"/>
      <c r="IM94" s="33" t="n"/>
      <c r="IN94" s="33" t="n"/>
      <c r="IO94" s="33" t="n"/>
      <c r="IP94" s="33" t="n"/>
      <c r="IQ94" s="33" t="n"/>
      <c r="IR94" s="33" t="n"/>
      <c r="IS94" s="33" t="n"/>
      <c r="IT94" s="33" t="n"/>
      <c r="IU94" s="33" t="n"/>
      <c r="IV94" s="33" t="n"/>
      <c r="IW94" s="33" t="n"/>
      <c r="IX94" s="33" t="n"/>
      <c r="IY94" s="33" t="n"/>
      <c r="IZ94" s="33" t="n"/>
      <c r="JA94" s="33" t="n"/>
      <c r="JB94" s="33" t="n"/>
      <c r="JC94" s="33" t="n"/>
      <c r="JD94" s="33" t="n"/>
      <c r="JE94" s="33" t="n"/>
      <c r="JF94" s="33" t="n"/>
      <c r="JG94" s="33" t="n"/>
      <c r="JH94" s="33" t="n"/>
      <c r="JI94" s="33" t="n"/>
      <c r="JJ94" s="33" t="n"/>
      <c r="JK94" s="33" t="n"/>
      <c r="JL94" s="33" t="n"/>
      <c r="JM94" s="33" t="n"/>
      <c r="JN94" s="33" t="n"/>
      <c r="JO94" s="33" t="n"/>
      <c r="JP94" s="33" t="n"/>
      <c r="JQ94" s="33" t="n"/>
      <c r="JR94" s="33" t="n"/>
      <c r="JS94" s="33" t="n"/>
      <c r="JT94" s="33" t="n"/>
      <c r="JU94" s="33" t="n"/>
      <c r="JV94" s="33" t="n"/>
      <c r="JW94" s="33" t="n"/>
      <c r="JX94" s="33" t="n"/>
      <c r="JY94" s="33" t="n"/>
      <c r="JZ94" s="33" t="n"/>
      <c r="KA94" s="33" t="n"/>
      <c r="KB94" s="33" t="n"/>
      <c r="KC94" s="33" t="n"/>
      <c r="KD94" s="33" t="n"/>
      <c r="KE94" s="33" t="n"/>
      <c r="KF94" s="33" t="n"/>
      <c r="KG94" s="33" t="n"/>
      <c r="KH94" s="33" t="n"/>
      <c r="KI94" s="33" t="n"/>
      <c r="KJ94" s="33" t="n"/>
      <c r="KK94" s="33" t="n"/>
      <c r="KL94" s="33" t="n"/>
      <c r="KM94" s="33" t="n"/>
      <c r="KN94" s="33" t="n"/>
      <c r="KO94" s="33" t="n"/>
      <c r="KP94" s="33" t="n"/>
      <c r="KQ94" s="33" t="n"/>
      <c r="KR94" s="33" t="n"/>
      <c r="KS94" s="33" t="n"/>
      <c r="KT94" s="33" t="n"/>
      <c r="KU94" s="33" t="n"/>
      <c r="KV94" s="33" t="n"/>
      <c r="KW94" s="33" t="n"/>
      <c r="KX94" s="33" t="n"/>
      <c r="KY94" s="33" t="n"/>
      <c r="KZ94" s="33" t="n"/>
      <c r="LA94" s="33" t="n"/>
      <c r="LB94" s="33" t="n"/>
      <c r="LC94" s="33" t="n"/>
      <c r="LD94" s="33" t="n"/>
      <c r="LE94" s="33" t="n"/>
      <c r="LF94" s="33" t="n"/>
      <c r="LG94" s="33" t="n"/>
      <c r="LH94" s="33" t="n"/>
      <c r="LI94" s="33" t="n"/>
      <c r="LJ94" s="33" t="n"/>
      <c r="LK94" s="33" t="n"/>
      <c r="LL94" s="33" t="n"/>
      <c r="LM94" s="33" t="n"/>
      <c r="LN94" s="33" t="n"/>
      <c r="LO94" s="33" t="n"/>
      <c r="LP94" s="33" t="n"/>
      <c r="LQ94" s="33" t="n"/>
      <c r="LR94" s="33" t="n"/>
      <c r="LS94" s="33" t="n"/>
      <c r="LT94" s="33" t="n"/>
      <c r="LU94" s="33" t="n"/>
      <c r="LV94" s="33" t="n"/>
      <c r="LW94" s="33" t="n"/>
      <c r="LX94" s="33" t="n"/>
      <c r="LY94" s="33" t="n"/>
      <c r="LZ94" s="33" t="n"/>
      <c r="MA94" s="33" t="n"/>
      <c r="MB94" s="33" t="n"/>
      <c r="MC94" s="33" t="n"/>
      <c r="MD94" s="33" t="n"/>
      <c r="ME94" s="33" t="n"/>
      <c r="MF94" s="33" t="n"/>
      <c r="MG94" s="33" t="n"/>
      <c r="MH94" s="33" t="n"/>
      <c r="MI94" s="33" t="n"/>
      <c r="MJ94" s="33" t="n"/>
      <c r="MK94" s="33" t="n"/>
      <c r="ML94" s="33" t="n"/>
      <c r="MM94" s="33" t="n"/>
      <c r="MN94" s="33" t="n"/>
      <c r="MO94" s="33" t="n"/>
      <c r="MP94" s="33" t="n"/>
      <c r="MQ94" s="33" t="n"/>
      <c r="MR94" s="33" t="n"/>
      <c r="MS94" s="33" t="n"/>
      <c r="MT94" s="33" t="n"/>
      <c r="MU94" s="33" t="n"/>
      <c r="MV94" s="33" t="n"/>
      <c r="MW94" s="33" t="n"/>
      <c r="MX94" s="33" t="n"/>
      <c r="MY94" s="33" t="n"/>
      <c r="MZ94" s="33" t="n"/>
      <c r="NA94" s="33" t="n"/>
      <c r="NB94" s="33" t="n"/>
      <c r="NC94" s="33" t="n"/>
      <c r="ND94" s="33" t="n"/>
      <c r="NE94" s="33" t="n"/>
      <c r="NF94" s="33" t="n"/>
      <c r="NG94" s="33" t="n"/>
      <c r="NH94" s="33" t="n"/>
      <c r="NI94" s="33" t="n"/>
      <c r="NJ94" s="33" t="n"/>
      <c r="NK94" s="33" t="n"/>
      <c r="NL94" s="33" t="n"/>
      <c r="NM94" s="33" t="n"/>
      <c r="NN94" s="33" t="n"/>
      <c r="NO94" s="33" t="n"/>
      <c r="NP94" s="33" t="n"/>
      <c r="NQ94" s="33" t="n"/>
      <c r="NR94" s="33" t="n"/>
      <c r="NS94" s="33" t="n"/>
      <c r="NT94" s="33" t="n"/>
      <c r="NU94" s="33" t="n"/>
      <c r="NV94" s="33" t="n"/>
      <c r="NW94" s="33" t="n"/>
      <c r="NX94" s="33" t="n"/>
      <c r="NY94" s="33" t="n"/>
      <c r="NZ94" s="33" t="n"/>
      <c r="OA94" s="33" t="n"/>
      <c r="OB94" s="33" t="n"/>
      <c r="OC94" s="33" t="n"/>
      <c r="OD94" s="33" t="n"/>
      <c r="OE94" s="33" t="n"/>
      <c r="OF94" s="33" t="n"/>
      <c r="OG94" s="33" t="n"/>
      <c r="OH94" s="33" t="n"/>
      <c r="OI94" s="33" t="n"/>
      <c r="OJ94" s="33" t="n"/>
      <c r="OK94" s="33" t="n"/>
      <c r="OL94" s="33" t="n"/>
      <c r="OM94" s="33" t="n"/>
      <c r="ON94" s="33" t="n"/>
      <c r="OO94" s="33" t="n"/>
      <c r="OP94" s="33" t="n"/>
      <c r="OQ94" s="33" t="n"/>
      <c r="OR94" s="33" t="n"/>
      <c r="OS94" s="33" t="n"/>
      <c r="OT94" s="33" t="n"/>
      <c r="OU94" s="33" t="n"/>
      <c r="OV94" s="33" t="n"/>
      <c r="OW94" s="33" t="n"/>
      <c r="OX94" s="33" t="n"/>
      <c r="OY94" s="33" t="n"/>
      <c r="OZ94" s="33" t="n"/>
      <c r="PA94" s="33" t="n"/>
      <c r="PB94" s="33" t="n"/>
      <c r="PC94" s="33" t="n"/>
      <c r="PD94" s="33" t="n"/>
      <c r="PE94" s="33" t="n"/>
      <c r="PF94" s="33" t="n"/>
      <c r="PG94" s="33" t="n"/>
      <c r="PH94" s="33" t="n"/>
      <c r="PI94" s="33" t="n"/>
      <c r="PJ94" s="33" t="n"/>
      <c r="PK94" s="33" t="n"/>
      <c r="PL94" s="33" t="n"/>
      <c r="PM94" s="33" t="n"/>
      <c r="PN94" s="33" t="n"/>
      <c r="PO94" s="33" t="n"/>
      <c r="PP94" s="33" t="n"/>
      <c r="PQ94" s="33" t="n"/>
      <c r="PR94" s="33" t="n"/>
      <c r="PS94" s="33" t="n"/>
      <c r="PT94" s="33" t="n"/>
      <c r="PU94" s="33" t="n"/>
      <c r="PV94" s="33" t="n"/>
      <c r="PW94" s="33" t="n"/>
      <c r="PX94" s="33" t="n"/>
      <c r="PY94" s="33" t="n"/>
      <c r="PZ94" s="33" t="n"/>
      <c r="QA94" s="33" t="n"/>
      <c r="QB94" s="33" t="n"/>
      <c r="QC94" s="33" t="n"/>
      <c r="QD94" s="33" t="n"/>
      <c r="QE94" s="33" t="n"/>
      <c r="QF94" s="33" t="n"/>
      <c r="QG94" s="33" t="n"/>
      <c r="QH94" s="33" t="n"/>
      <c r="QI94" s="33" t="n"/>
      <c r="QJ94" s="33" t="n"/>
      <c r="QK94" s="33" t="n"/>
      <c r="QL94" s="33" t="n"/>
      <c r="QM94" s="33" t="n"/>
      <c r="QN94" s="33" t="n"/>
      <c r="QO94" s="33" t="n"/>
      <c r="QP94" s="33" t="n"/>
      <c r="QQ94" s="33" t="n"/>
      <c r="QR94" s="33" t="n"/>
      <c r="QS94" s="33" t="n"/>
      <c r="QT94" s="33" t="n"/>
      <c r="QU94" s="33" t="n"/>
      <c r="QV94" s="33" t="n"/>
      <c r="QW94" s="33" t="n"/>
      <c r="QX94" s="33" t="n"/>
      <c r="QY94" s="33" t="n"/>
      <c r="QZ94" s="33" t="n"/>
      <c r="RA94" s="33" t="n"/>
      <c r="RB94" s="33" t="n"/>
      <c r="RC94" s="33" t="n"/>
      <c r="RD94" s="33" t="n"/>
      <c r="RE94" s="33" t="n"/>
      <c r="RF94" s="33" t="n"/>
      <c r="RG94" s="33" t="n"/>
      <c r="RH94" s="33" t="n"/>
      <c r="RI94" s="33" t="n"/>
      <c r="RJ94" s="33" t="n"/>
      <c r="RK94" s="33" t="n"/>
      <c r="RL94" s="33" t="n"/>
      <c r="RM94" s="33" t="n"/>
      <c r="RN94" s="33" t="n"/>
      <c r="RO94" s="33" t="n"/>
      <c r="RP94" s="33" t="n"/>
      <c r="RQ94" s="33" t="n"/>
      <c r="RR94" s="33" t="n"/>
      <c r="RS94" s="33" t="n"/>
      <c r="RT94" s="33" t="n"/>
      <c r="RU94" s="33" t="n"/>
      <c r="RV94" s="33" t="n"/>
      <c r="RW94" s="33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W55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Costs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1" t="inlineStr">
        <is>
          <t>O&amp;M</t>
        </is>
      </c>
      <c r="F6" s="29" t="n"/>
      <c r="G6" s="29" t="inlineStr">
        <is>
          <t>kEUR</t>
        </is>
      </c>
      <c r="H6" s="29" t="n"/>
      <c r="I6" s="29" t="n"/>
      <c r="J6" s="32" t="n">
        <v>524904.1232743652</v>
      </c>
      <c r="K6" s="29" t="n"/>
      <c r="L6" s="33" t="n">
        <v>762.6666666666666</v>
      </c>
      <c r="M6" s="33" t="n">
        <v>762.6666666666666</v>
      </c>
      <c r="N6" s="33" t="n">
        <v>762.6666666666666</v>
      </c>
      <c r="O6" s="33" t="n">
        <v>762.6666666666666</v>
      </c>
      <c r="P6" s="33" t="n">
        <v>762.6666666666666</v>
      </c>
      <c r="Q6" s="33" t="n">
        <v>762.6666666666666</v>
      </c>
      <c r="R6" s="33" t="n">
        <v>762.6666666666666</v>
      </c>
      <c r="S6" s="33" t="n">
        <v>762.6666666666666</v>
      </c>
      <c r="T6" s="33" t="n">
        <v>762.6666666666666</v>
      </c>
      <c r="U6" s="33" t="n">
        <v>762.6666666666666</v>
      </c>
      <c r="V6" s="33" t="n">
        <v>762.6666666666666</v>
      </c>
      <c r="W6" s="33" t="n">
        <v>762.6666666666666</v>
      </c>
      <c r="X6" s="33" t="n">
        <v>762.6666666666666</v>
      </c>
      <c r="Y6" s="33" t="n">
        <v>762.6666666666666</v>
      </c>
      <c r="Z6" s="33" t="n">
        <v>762.6666666666666</v>
      </c>
      <c r="AA6" s="33" t="n">
        <v>762.6666666666666</v>
      </c>
      <c r="AB6" s="33" t="n">
        <v>762.6666666666666</v>
      </c>
      <c r="AC6" s="33" t="n">
        <v>762.6666666666666</v>
      </c>
      <c r="AD6" s="33" t="n">
        <v>762.6666666666666</v>
      </c>
      <c r="AE6" s="33" t="n">
        <v>762.6666666666666</v>
      </c>
      <c r="AF6" s="33" t="n">
        <v>762.6666666666666</v>
      </c>
      <c r="AG6" s="33" t="n">
        <v>762.6666666666666</v>
      </c>
      <c r="AH6" s="33" t="n">
        <v>762.6666666666666</v>
      </c>
      <c r="AI6" s="33" t="n">
        <v>762.6666666666666</v>
      </c>
      <c r="AJ6" s="33" t="n">
        <v>762.6666666666666</v>
      </c>
      <c r="AK6" s="33" t="n">
        <v>762.6666666666666</v>
      </c>
      <c r="AL6" s="33" t="n">
        <v>762.6666666666666</v>
      </c>
      <c r="AM6" s="33" t="n">
        <v>762.6666666666666</v>
      </c>
      <c r="AN6" s="33" t="n">
        <v>762.6666666666666</v>
      </c>
      <c r="AO6" s="33" t="n">
        <v>762.6666666666666</v>
      </c>
      <c r="AP6" s="33" t="n">
        <v>762.6666666666666</v>
      </c>
      <c r="AQ6" s="33" t="n">
        <v>762.6666666666666</v>
      </c>
      <c r="AR6" s="33" t="n">
        <v>762.6666666666666</v>
      </c>
      <c r="AS6" s="33" t="n">
        <v>762.6666666666666</v>
      </c>
      <c r="AT6" s="33" t="n">
        <v>762.6666666666666</v>
      </c>
      <c r="AU6" s="33" t="n">
        <v>762.6666666666666</v>
      </c>
      <c r="AV6" s="33" t="n">
        <v>762.6666666666666</v>
      </c>
      <c r="AW6" s="33" t="n">
        <v>762.6666666666666</v>
      </c>
      <c r="AX6" s="33" t="n">
        <v>762.6666666666666</v>
      </c>
      <c r="AY6" s="33" t="n">
        <v>762.6666666666666</v>
      </c>
      <c r="AZ6" s="33" t="n">
        <v>762.6666666666666</v>
      </c>
      <c r="BA6" s="33" t="n">
        <v>762.6666666666666</v>
      </c>
      <c r="BB6" s="33" t="n">
        <v>762.6666666666666</v>
      </c>
      <c r="BC6" s="33" t="n">
        <v>762.6666666666666</v>
      </c>
      <c r="BD6" s="33" t="n">
        <v>762.6666666666666</v>
      </c>
      <c r="BE6" s="33" t="n">
        <v>762.6666666666666</v>
      </c>
      <c r="BF6" s="33" t="n">
        <v>762.6666666666666</v>
      </c>
      <c r="BG6" s="33" t="n">
        <v>762.6666666666666</v>
      </c>
      <c r="BH6" s="33" t="n">
        <v>762.6666666666666</v>
      </c>
      <c r="BI6" s="33" t="n">
        <v>762.6666666666666</v>
      </c>
      <c r="BJ6" s="33" t="n">
        <v>762.6666666666666</v>
      </c>
      <c r="BK6" s="33" t="n">
        <v>762.6666666666666</v>
      </c>
      <c r="BL6" s="33" t="n">
        <v>762.6666666666666</v>
      </c>
      <c r="BM6" s="33" t="n">
        <v>762.6666666666666</v>
      </c>
      <c r="BN6" s="33" t="n">
        <v>762.6666666666666</v>
      </c>
      <c r="BO6" s="33" t="n">
        <v>762.6666666666666</v>
      </c>
      <c r="BP6" s="33" t="n">
        <v>762.6666666666666</v>
      </c>
      <c r="BQ6" s="33" t="n">
        <v>762.6666666666666</v>
      </c>
      <c r="BR6" s="33" t="n">
        <v>762.6666666666666</v>
      </c>
      <c r="BS6" s="33" t="n">
        <v>762.6666666666666</v>
      </c>
      <c r="BT6" s="33" t="n">
        <v>762.6666666666666</v>
      </c>
      <c r="BU6" s="33" t="n">
        <v>762.6666666666666</v>
      </c>
      <c r="BV6" s="33" t="n">
        <v>762.6666666666666</v>
      </c>
      <c r="BW6" s="33" t="n">
        <v>762.6666666666666</v>
      </c>
      <c r="BX6" s="33" t="n">
        <v>762.6666666666666</v>
      </c>
      <c r="BY6" s="33" t="n">
        <v>762.6666666666666</v>
      </c>
      <c r="BZ6" s="33" t="n">
        <v>762.6666666666666</v>
      </c>
      <c r="CA6" s="33" t="n">
        <v>762.6666666666666</v>
      </c>
      <c r="CB6" s="33" t="n">
        <v>762.6666666666666</v>
      </c>
      <c r="CC6" s="33" t="n">
        <v>762.6666666666666</v>
      </c>
      <c r="CD6" s="33" t="n">
        <v>762.6666666666666</v>
      </c>
      <c r="CE6" s="33" t="n">
        <v>762.6666666666666</v>
      </c>
      <c r="CF6" s="33" t="n">
        <v>762.6666666666666</v>
      </c>
      <c r="CG6" s="33" t="n">
        <v>762.6666666666666</v>
      </c>
      <c r="CH6" s="33" t="n">
        <v>762.6666666666666</v>
      </c>
      <c r="CI6" s="33" t="n">
        <v>762.6666666666666</v>
      </c>
      <c r="CJ6" s="33" t="n">
        <v>762.6666666666666</v>
      </c>
      <c r="CK6" s="33" t="n">
        <v>762.6666666666666</v>
      </c>
      <c r="CL6" s="33" t="n">
        <v>762.6666666666666</v>
      </c>
      <c r="CM6" s="33" t="n">
        <v>762.6666666666666</v>
      </c>
      <c r="CN6" s="33" t="n">
        <v>762.6666666666666</v>
      </c>
      <c r="CO6" s="33" t="n">
        <v>762.6666666666666</v>
      </c>
      <c r="CP6" s="33" t="n">
        <v>762.6666666666666</v>
      </c>
      <c r="CQ6" s="33" t="n">
        <v>762.6666666666666</v>
      </c>
      <c r="CR6" s="33" t="n">
        <v>762.6666666666666</v>
      </c>
      <c r="CS6" s="33" t="n">
        <v>762.6666666666666</v>
      </c>
      <c r="CT6" s="33" t="n">
        <v>762.6666666666666</v>
      </c>
      <c r="CU6" s="33" t="n">
        <v>762.6666666666666</v>
      </c>
      <c r="CV6" s="33" t="n">
        <v>762.6666666666666</v>
      </c>
      <c r="CW6" s="33" t="n">
        <v>762.6666666666666</v>
      </c>
      <c r="CX6" s="33" t="n">
        <v>762.6666666666666</v>
      </c>
      <c r="CY6" s="33" t="n">
        <v>762.6666666666666</v>
      </c>
      <c r="CZ6" s="33" t="n">
        <v>762.6666666666666</v>
      </c>
      <c r="DA6" s="33" t="n">
        <v>762.6666666666666</v>
      </c>
      <c r="DB6" s="33" t="n">
        <v>762.6666666666666</v>
      </c>
      <c r="DC6" s="33" t="n">
        <v>762.6666666666666</v>
      </c>
      <c r="DD6" s="33" t="n">
        <v>781.7333333333332</v>
      </c>
      <c r="DE6" s="33" t="n">
        <v>781.7333333333332</v>
      </c>
      <c r="DF6" s="33" t="n">
        <v>781.7333333333332</v>
      </c>
      <c r="DG6" s="33" t="n">
        <v>781.7333333333332</v>
      </c>
      <c r="DH6" s="33" t="n">
        <v>781.7333333333332</v>
      </c>
      <c r="DI6" s="33" t="n">
        <v>781.7333333333332</v>
      </c>
      <c r="DJ6" s="33" t="n">
        <v>781.7333333333332</v>
      </c>
      <c r="DK6" s="33" t="n">
        <v>781.7333333333332</v>
      </c>
      <c r="DL6" s="33" t="n">
        <v>781.7333333333332</v>
      </c>
      <c r="DM6" s="33" t="n">
        <v>781.7333333333332</v>
      </c>
      <c r="DN6" s="33" t="n">
        <v>781.7333333333332</v>
      </c>
      <c r="DO6" s="33" t="n">
        <v>781.7333333333332</v>
      </c>
      <c r="DP6" s="33" t="n">
        <v>801.2766666666666</v>
      </c>
      <c r="DQ6" s="33" t="n">
        <v>801.2766666666666</v>
      </c>
      <c r="DR6" s="33" t="n">
        <v>801.2766666666666</v>
      </c>
      <c r="DS6" s="33" t="n">
        <v>801.2766666666666</v>
      </c>
      <c r="DT6" s="33" t="n">
        <v>801.2766666666666</v>
      </c>
      <c r="DU6" s="33" t="n">
        <v>801.2766666666666</v>
      </c>
      <c r="DV6" s="33" t="n">
        <v>801.2766666666666</v>
      </c>
      <c r="DW6" s="33" t="n">
        <v>801.2766666666666</v>
      </c>
      <c r="DX6" s="33" t="n">
        <v>801.2766666666666</v>
      </c>
      <c r="DY6" s="33" t="n">
        <v>801.2766666666666</v>
      </c>
      <c r="DZ6" s="33" t="n">
        <v>801.2766666666666</v>
      </c>
      <c r="EA6" s="33" t="n">
        <v>801.2766666666666</v>
      </c>
      <c r="EB6" s="33" t="n">
        <v>821.3085833333331</v>
      </c>
      <c r="EC6" s="33" t="n">
        <v>821.3085833333331</v>
      </c>
      <c r="ED6" s="33" t="n">
        <v>821.3085833333331</v>
      </c>
      <c r="EE6" s="33" t="n">
        <v>821.3085833333331</v>
      </c>
      <c r="EF6" s="33" t="n">
        <v>821.3085833333331</v>
      </c>
      <c r="EG6" s="33" t="n">
        <v>821.3085833333331</v>
      </c>
      <c r="EH6" s="33" t="n">
        <v>821.3085833333331</v>
      </c>
      <c r="EI6" s="33" t="n">
        <v>821.3085833333331</v>
      </c>
      <c r="EJ6" s="33" t="n">
        <v>821.3085833333331</v>
      </c>
      <c r="EK6" s="33" t="n">
        <v>821.3085833333331</v>
      </c>
      <c r="EL6" s="33" t="n">
        <v>821.3085833333331</v>
      </c>
      <c r="EM6" s="33" t="n">
        <v>821.3085833333331</v>
      </c>
      <c r="EN6" s="33" t="n">
        <v>841.8412979166663</v>
      </c>
      <c r="EO6" s="33" t="n">
        <v>841.8412979166663</v>
      </c>
      <c r="EP6" s="33" t="n">
        <v>841.8412979166663</v>
      </c>
      <c r="EQ6" s="33" t="n">
        <v>841.8412979166663</v>
      </c>
      <c r="ER6" s="33" t="n">
        <v>841.8412979166663</v>
      </c>
      <c r="ES6" s="33" t="n">
        <v>841.8412979166663</v>
      </c>
      <c r="ET6" s="33" t="n">
        <v>841.8412979166663</v>
      </c>
      <c r="EU6" s="33" t="n">
        <v>841.8412979166663</v>
      </c>
      <c r="EV6" s="33" t="n">
        <v>841.8412979166663</v>
      </c>
      <c r="EW6" s="33" t="n">
        <v>841.8412979166663</v>
      </c>
      <c r="EX6" s="33" t="n">
        <v>841.8412979166663</v>
      </c>
      <c r="EY6" s="33" t="n">
        <v>841.8412979166663</v>
      </c>
      <c r="EZ6" s="33" t="n">
        <v>862.8873303645829</v>
      </c>
      <c r="FA6" s="33" t="n">
        <v>862.8873303645829</v>
      </c>
      <c r="FB6" s="33" t="n">
        <v>862.8873303645829</v>
      </c>
      <c r="FC6" s="33" t="n">
        <v>862.8873303645829</v>
      </c>
      <c r="FD6" s="33" t="n">
        <v>862.8873303645829</v>
      </c>
      <c r="FE6" s="33" t="n">
        <v>862.8873303645829</v>
      </c>
      <c r="FF6" s="33" t="n">
        <v>862.8873303645829</v>
      </c>
      <c r="FG6" s="33" t="n">
        <v>862.8873303645829</v>
      </c>
      <c r="FH6" s="33" t="n">
        <v>862.8873303645829</v>
      </c>
      <c r="FI6" s="33" t="n">
        <v>862.8873303645829</v>
      </c>
      <c r="FJ6" s="33" t="n">
        <v>862.8873303645829</v>
      </c>
      <c r="FK6" s="33" t="n">
        <v>862.8873303645829</v>
      </c>
      <c r="FL6" s="33" t="n">
        <v>884.4595136236975</v>
      </c>
      <c r="FM6" s="33" t="n">
        <v>884.4595136236975</v>
      </c>
      <c r="FN6" s="33" t="n">
        <v>884.4595136236975</v>
      </c>
      <c r="FO6" s="33" t="n">
        <v>884.4595136236975</v>
      </c>
      <c r="FP6" s="33" t="n">
        <v>884.4595136236975</v>
      </c>
      <c r="FQ6" s="33" t="n">
        <v>884.4595136236975</v>
      </c>
      <c r="FR6" s="33" t="n">
        <v>884.4595136236975</v>
      </c>
      <c r="FS6" s="33" t="n">
        <v>884.4595136236975</v>
      </c>
      <c r="FT6" s="33" t="n">
        <v>884.4595136236975</v>
      </c>
      <c r="FU6" s="33" t="n">
        <v>884.4595136236975</v>
      </c>
      <c r="FV6" s="33" t="n">
        <v>884.4595136236975</v>
      </c>
      <c r="FW6" s="33" t="n">
        <v>884.4595136236975</v>
      </c>
      <c r="FX6" s="33" t="n">
        <v>906.5710014642899</v>
      </c>
      <c r="FY6" s="33" t="n">
        <v>906.5710014642899</v>
      </c>
      <c r="FZ6" s="33" t="n">
        <v>906.5710014642899</v>
      </c>
      <c r="GA6" s="33" t="n">
        <v>906.5710014642899</v>
      </c>
      <c r="GB6" s="33" t="n">
        <v>906.5710014642899</v>
      </c>
      <c r="GC6" s="33" t="n">
        <v>906.5710014642899</v>
      </c>
      <c r="GD6" s="33" t="n">
        <v>906.5710014642899</v>
      </c>
      <c r="GE6" s="33" t="n">
        <v>906.5710014642899</v>
      </c>
      <c r="GF6" s="33" t="n">
        <v>906.5710014642899</v>
      </c>
      <c r="GG6" s="33" t="n">
        <v>906.5710014642899</v>
      </c>
      <c r="GH6" s="33" t="n">
        <v>906.5710014642899</v>
      </c>
      <c r="GI6" s="33" t="n">
        <v>906.5710014642899</v>
      </c>
      <c r="GJ6" s="33" t="n">
        <v>929.2352765008969</v>
      </c>
      <c r="GK6" s="33" t="n">
        <v>929.2352765008969</v>
      </c>
      <c r="GL6" s="33" t="n">
        <v>929.2352765008969</v>
      </c>
      <c r="GM6" s="33" t="n">
        <v>929.2352765008969</v>
      </c>
      <c r="GN6" s="33" t="n">
        <v>929.2352765008969</v>
      </c>
      <c r="GO6" s="33" t="n">
        <v>929.2352765008969</v>
      </c>
      <c r="GP6" s="33" t="n">
        <v>929.2352765008969</v>
      </c>
      <c r="GQ6" s="33" t="n">
        <v>929.2352765008969</v>
      </c>
      <c r="GR6" s="33" t="n">
        <v>929.2352765008969</v>
      </c>
      <c r="GS6" s="33" t="n">
        <v>929.2352765008969</v>
      </c>
      <c r="GT6" s="33" t="n">
        <v>929.2352765008969</v>
      </c>
      <c r="GU6" s="33" t="n">
        <v>929.2352765008969</v>
      </c>
      <c r="GV6" s="33" t="n">
        <v>952.4661584134193</v>
      </c>
      <c r="GW6" s="33" t="n">
        <v>952.4661584134193</v>
      </c>
      <c r="GX6" s="33" t="n">
        <v>952.4661584134193</v>
      </c>
      <c r="GY6" s="33" t="n">
        <v>952.4661584134193</v>
      </c>
      <c r="GZ6" s="33" t="n">
        <v>952.4661584134193</v>
      </c>
      <c r="HA6" s="33" t="n">
        <v>952.4661584134193</v>
      </c>
      <c r="HB6" s="33" t="n">
        <v>952.4661584134193</v>
      </c>
      <c r="HC6" s="33" t="n">
        <v>952.4661584134193</v>
      </c>
      <c r="HD6" s="33" t="n">
        <v>952.4661584134193</v>
      </c>
      <c r="HE6" s="33" t="n">
        <v>952.4661584134193</v>
      </c>
      <c r="HF6" s="33" t="n">
        <v>952.4661584134193</v>
      </c>
      <c r="HG6" s="33" t="n">
        <v>952.4661584134193</v>
      </c>
      <c r="HH6" s="33" t="n">
        <v>976.2778123737547</v>
      </c>
      <c r="HI6" s="33" t="n">
        <v>976.2778123737547</v>
      </c>
      <c r="HJ6" s="33" t="n">
        <v>976.2778123737547</v>
      </c>
      <c r="HK6" s="33" t="n">
        <v>976.2778123737547</v>
      </c>
      <c r="HL6" s="33" t="n">
        <v>976.2778123737547</v>
      </c>
      <c r="HM6" s="33" t="n">
        <v>976.2778123737547</v>
      </c>
      <c r="HN6" s="33" t="n">
        <v>976.2778123737547</v>
      </c>
      <c r="HO6" s="33" t="n">
        <v>976.2778123737547</v>
      </c>
      <c r="HP6" s="33" t="n">
        <v>976.2778123737547</v>
      </c>
      <c r="HQ6" s="33" t="n">
        <v>976.2778123737547</v>
      </c>
      <c r="HR6" s="33" t="n">
        <v>976.2778123737547</v>
      </c>
      <c r="HS6" s="33" t="n">
        <v>976.2778123737547</v>
      </c>
      <c r="HT6" s="33" t="n">
        <v>1000.684757683099</v>
      </c>
      <c r="HU6" s="33" t="n">
        <v>1000.684757683099</v>
      </c>
      <c r="HV6" s="33" t="n">
        <v>1000.684757683099</v>
      </c>
      <c r="HW6" s="33" t="n">
        <v>1000.684757683099</v>
      </c>
      <c r="HX6" s="33" t="n">
        <v>1000.684757683099</v>
      </c>
      <c r="HY6" s="33" t="n">
        <v>1000.684757683099</v>
      </c>
      <c r="HZ6" s="33" t="n">
        <v>1000.684757683099</v>
      </c>
      <c r="IA6" s="33" t="n">
        <v>1000.684757683099</v>
      </c>
      <c r="IB6" s="33" t="n">
        <v>1000.684757683099</v>
      </c>
      <c r="IC6" s="33" t="n">
        <v>1000.684757683099</v>
      </c>
      <c r="ID6" s="33" t="n">
        <v>1000.684757683099</v>
      </c>
      <c r="IE6" s="33" t="n">
        <v>1000.684757683099</v>
      </c>
      <c r="IF6" s="33" t="n">
        <v>1025.701876625176</v>
      </c>
      <c r="IG6" s="33" t="n">
        <v>1025.701876625176</v>
      </c>
      <c r="IH6" s="33" t="n">
        <v>1025.701876625176</v>
      </c>
      <c r="II6" s="33" t="n">
        <v>1025.701876625176</v>
      </c>
      <c r="IJ6" s="33" t="n">
        <v>1025.701876625176</v>
      </c>
      <c r="IK6" s="33" t="n">
        <v>1025.701876625176</v>
      </c>
      <c r="IL6" s="33" t="n">
        <v>1025.701876625176</v>
      </c>
      <c r="IM6" s="33" t="n">
        <v>1025.701876625176</v>
      </c>
      <c r="IN6" s="33" t="n">
        <v>1025.701876625176</v>
      </c>
      <c r="IO6" s="33" t="n">
        <v>1025.701876625176</v>
      </c>
      <c r="IP6" s="33" t="n">
        <v>1025.701876625176</v>
      </c>
      <c r="IQ6" s="33" t="n">
        <v>1025.701876625176</v>
      </c>
      <c r="IR6" s="33" t="n">
        <v>1051.344423540805</v>
      </c>
      <c r="IS6" s="33" t="n">
        <v>1051.344423540805</v>
      </c>
      <c r="IT6" s="33" t="n">
        <v>1051.344423540805</v>
      </c>
      <c r="IU6" s="33" t="n">
        <v>1051.344423540805</v>
      </c>
      <c r="IV6" s="33" t="n">
        <v>1051.344423540805</v>
      </c>
      <c r="IW6" s="33" t="n">
        <v>1051.344423540805</v>
      </c>
      <c r="IX6" s="33" t="n">
        <v>1051.344423540805</v>
      </c>
      <c r="IY6" s="33" t="n">
        <v>1051.344423540805</v>
      </c>
      <c r="IZ6" s="33" t="n">
        <v>1051.344423540805</v>
      </c>
      <c r="JA6" s="33" t="n">
        <v>1051.344423540805</v>
      </c>
      <c r="JB6" s="33" t="n">
        <v>1051.344423540805</v>
      </c>
      <c r="JC6" s="33" t="n">
        <v>1051.344423540805</v>
      </c>
      <c r="JD6" s="33" t="n">
        <v>1077.628034129325</v>
      </c>
      <c r="JE6" s="33" t="n">
        <v>1077.628034129325</v>
      </c>
      <c r="JF6" s="33" t="n">
        <v>1077.628034129325</v>
      </c>
      <c r="JG6" s="33" t="n">
        <v>1077.628034129325</v>
      </c>
      <c r="JH6" s="33" t="n">
        <v>1077.628034129325</v>
      </c>
      <c r="JI6" s="33" t="n">
        <v>1077.628034129325</v>
      </c>
      <c r="JJ6" s="33" t="n">
        <v>1077.628034129325</v>
      </c>
      <c r="JK6" s="33" t="n">
        <v>1077.628034129325</v>
      </c>
      <c r="JL6" s="33" t="n">
        <v>1077.628034129325</v>
      </c>
      <c r="JM6" s="33" t="n">
        <v>1077.628034129325</v>
      </c>
      <c r="JN6" s="33" t="n">
        <v>1077.628034129325</v>
      </c>
      <c r="JO6" s="33" t="n">
        <v>1077.628034129325</v>
      </c>
      <c r="JP6" s="33" t="n">
        <v>1104.568734982558</v>
      </c>
      <c r="JQ6" s="33" t="n">
        <v>1104.568734982558</v>
      </c>
      <c r="JR6" s="33" t="n">
        <v>1104.568734982558</v>
      </c>
      <c r="JS6" s="33" t="n">
        <v>1104.568734982558</v>
      </c>
      <c r="JT6" s="33" t="n">
        <v>1104.568734982558</v>
      </c>
      <c r="JU6" s="33" t="n">
        <v>1104.568734982558</v>
      </c>
      <c r="JV6" s="33" t="n">
        <v>1104.568734982558</v>
      </c>
      <c r="JW6" s="33" t="n">
        <v>1104.568734982558</v>
      </c>
      <c r="JX6" s="33" t="n">
        <v>1104.568734982558</v>
      </c>
      <c r="JY6" s="33" t="n">
        <v>1104.568734982558</v>
      </c>
      <c r="JZ6" s="33" t="n">
        <v>1104.568734982558</v>
      </c>
      <c r="KA6" s="33" t="n">
        <v>1104.568734982558</v>
      </c>
      <c r="KB6" s="33" t="n">
        <v>1132.182953357122</v>
      </c>
      <c r="KC6" s="33" t="n">
        <v>1132.182953357122</v>
      </c>
      <c r="KD6" s="33" t="n">
        <v>1132.182953357122</v>
      </c>
      <c r="KE6" s="33" t="n">
        <v>1132.182953357122</v>
      </c>
      <c r="KF6" s="33" t="n">
        <v>1132.182953357122</v>
      </c>
      <c r="KG6" s="33" t="n">
        <v>1132.182953357122</v>
      </c>
      <c r="KH6" s="33" t="n">
        <v>1132.182953357122</v>
      </c>
      <c r="KI6" s="33" t="n">
        <v>1132.182953357122</v>
      </c>
      <c r="KJ6" s="33" t="n">
        <v>1132.182953357122</v>
      </c>
      <c r="KK6" s="33" t="n">
        <v>1132.182953357122</v>
      </c>
      <c r="KL6" s="33" t="n">
        <v>1132.182953357122</v>
      </c>
      <c r="KM6" s="33" t="n">
        <v>1132.182953357122</v>
      </c>
      <c r="KN6" s="33" t="n">
        <v>1160.48752719105</v>
      </c>
      <c r="KO6" s="33" t="n">
        <v>1160.48752719105</v>
      </c>
      <c r="KP6" s="33" t="n">
        <v>1160.48752719105</v>
      </c>
      <c r="KQ6" s="33" t="n">
        <v>1160.48752719105</v>
      </c>
      <c r="KR6" s="33" t="n">
        <v>1160.48752719105</v>
      </c>
      <c r="KS6" s="33" t="n">
        <v>1160.48752719105</v>
      </c>
      <c r="KT6" s="33" t="n">
        <v>1160.48752719105</v>
      </c>
      <c r="KU6" s="33" t="n">
        <v>1160.48752719105</v>
      </c>
      <c r="KV6" s="33" t="n">
        <v>1160.48752719105</v>
      </c>
      <c r="KW6" s="33" t="n">
        <v>1160.48752719105</v>
      </c>
      <c r="KX6" s="33" t="n">
        <v>1160.48752719105</v>
      </c>
      <c r="KY6" s="33" t="n">
        <v>1160.48752719105</v>
      </c>
      <c r="KZ6" s="33" t="n">
        <v>1189.499715370826</v>
      </c>
      <c r="LA6" s="33" t="n">
        <v>1189.499715370826</v>
      </c>
      <c r="LB6" s="33" t="n">
        <v>1189.499715370826</v>
      </c>
      <c r="LC6" s="33" t="n">
        <v>1189.499715370826</v>
      </c>
      <c r="LD6" s="33" t="n">
        <v>1189.499715370826</v>
      </c>
      <c r="LE6" s="33" t="n">
        <v>1189.499715370826</v>
      </c>
      <c r="LF6" s="33" t="n">
        <v>1189.499715370826</v>
      </c>
      <c r="LG6" s="33" t="n">
        <v>1189.499715370826</v>
      </c>
      <c r="LH6" s="33" t="n">
        <v>1189.499715370826</v>
      </c>
      <c r="LI6" s="33" t="n">
        <v>1189.499715370826</v>
      </c>
      <c r="LJ6" s="33" t="n">
        <v>1189.499715370826</v>
      </c>
      <c r="LK6" s="33" t="n">
        <v>1189.499715370826</v>
      </c>
      <c r="LL6" s="33" t="n">
        <v>1219.237208255097</v>
      </c>
      <c r="LM6" s="33" t="n">
        <v>1219.237208255097</v>
      </c>
      <c r="LN6" s="33" t="n">
        <v>1219.237208255097</v>
      </c>
      <c r="LO6" s="33" t="n">
        <v>1219.237208255097</v>
      </c>
      <c r="LP6" s="33" t="n">
        <v>1219.237208255097</v>
      </c>
      <c r="LQ6" s="33" t="n">
        <v>1219.237208255097</v>
      </c>
      <c r="LR6" s="33" t="n">
        <v>1219.237208255097</v>
      </c>
      <c r="LS6" s="33" t="n">
        <v>1219.237208255097</v>
      </c>
      <c r="LT6" s="33" t="n">
        <v>1219.237208255097</v>
      </c>
      <c r="LU6" s="33" t="n">
        <v>1219.237208255097</v>
      </c>
      <c r="LV6" s="33" t="n">
        <v>1219.237208255097</v>
      </c>
      <c r="LW6" s="33" t="n">
        <v>1219.237208255097</v>
      </c>
      <c r="LX6" s="33" t="n">
        <v>1249.718138461474</v>
      </c>
      <c r="LY6" s="33" t="n">
        <v>1249.718138461474</v>
      </c>
      <c r="LZ6" s="33" t="n">
        <v>1249.718138461474</v>
      </c>
      <c r="MA6" s="33" t="n">
        <v>1249.718138461474</v>
      </c>
      <c r="MB6" s="33" t="n">
        <v>1249.718138461474</v>
      </c>
      <c r="MC6" s="33" t="n">
        <v>1249.718138461474</v>
      </c>
      <c r="MD6" s="33" t="n">
        <v>1249.718138461474</v>
      </c>
      <c r="ME6" s="33" t="n">
        <v>1249.718138461474</v>
      </c>
      <c r="MF6" s="33" t="n">
        <v>1249.718138461474</v>
      </c>
      <c r="MG6" s="33" t="n">
        <v>1249.718138461474</v>
      </c>
      <c r="MH6" s="33" t="n">
        <v>1249.718138461474</v>
      </c>
      <c r="MI6" s="33" t="n">
        <v>1249.718138461474</v>
      </c>
      <c r="MJ6" s="33" t="n">
        <v>1280.961091923011</v>
      </c>
      <c r="MK6" s="33" t="n">
        <v>1280.961091923011</v>
      </c>
      <c r="ML6" s="33" t="n">
        <v>1280.961091923011</v>
      </c>
      <c r="MM6" s="33" t="n">
        <v>1280.961091923011</v>
      </c>
      <c r="MN6" s="33" t="n">
        <v>1280.961091923011</v>
      </c>
      <c r="MO6" s="33" t="n">
        <v>1280.961091923011</v>
      </c>
      <c r="MP6" s="33" t="n">
        <v>1280.961091923011</v>
      </c>
      <c r="MQ6" s="33" t="n">
        <v>1280.961091923011</v>
      </c>
      <c r="MR6" s="33" t="n">
        <v>1280.961091923011</v>
      </c>
      <c r="MS6" s="33" t="n">
        <v>1280.961091923011</v>
      </c>
      <c r="MT6" s="33" t="n">
        <v>1280.961091923011</v>
      </c>
      <c r="MU6" s="33" t="n">
        <v>1280.961091923011</v>
      </c>
      <c r="MV6" s="33" t="n">
        <v>1312.985119221086</v>
      </c>
      <c r="MW6" s="33" t="n">
        <v>1312.985119221086</v>
      </c>
      <c r="MX6" s="33" t="n">
        <v>1312.985119221086</v>
      </c>
      <c r="MY6" s="33" t="n">
        <v>1312.985119221086</v>
      </c>
      <c r="MZ6" s="33" t="n">
        <v>1312.985119221086</v>
      </c>
      <c r="NA6" s="33" t="n">
        <v>1312.985119221086</v>
      </c>
      <c r="NB6" s="33" t="n">
        <v>1312.985119221086</v>
      </c>
      <c r="NC6" s="33" t="n">
        <v>1312.985119221086</v>
      </c>
      <c r="ND6" s="33" t="n">
        <v>1312.985119221086</v>
      </c>
      <c r="NE6" s="33" t="n">
        <v>1312.985119221086</v>
      </c>
      <c r="NF6" s="33" t="n">
        <v>1312.985119221086</v>
      </c>
      <c r="NG6" s="33" t="n">
        <v>1312.985119221086</v>
      </c>
      <c r="NH6" s="33" t="n">
        <v>1345.809747201613</v>
      </c>
      <c r="NI6" s="33" t="n">
        <v>1345.809747201613</v>
      </c>
      <c r="NJ6" s="33" t="n">
        <v>1345.809747201613</v>
      </c>
      <c r="NK6" s="33" t="n">
        <v>1345.809747201613</v>
      </c>
      <c r="NL6" s="33" t="n">
        <v>1345.809747201613</v>
      </c>
      <c r="NM6" s="33" t="n">
        <v>1345.809747201613</v>
      </c>
      <c r="NN6" s="33" t="n">
        <v>1345.809747201613</v>
      </c>
      <c r="NO6" s="33" t="n">
        <v>1345.809747201613</v>
      </c>
      <c r="NP6" s="33" t="n">
        <v>1345.809747201613</v>
      </c>
      <c r="NQ6" s="33" t="n">
        <v>1345.809747201613</v>
      </c>
      <c r="NR6" s="33" t="n">
        <v>1345.809747201613</v>
      </c>
      <c r="NS6" s="33" t="n">
        <v>1345.809747201613</v>
      </c>
      <c r="NT6" s="33" t="n">
        <v>1379.454990881653</v>
      </c>
      <c r="NU6" s="33" t="n">
        <v>1379.454990881653</v>
      </c>
      <c r="NV6" s="33" t="n">
        <v>1379.454990881653</v>
      </c>
      <c r="NW6" s="33" t="n">
        <v>1379.454990881653</v>
      </c>
      <c r="NX6" s="33" t="n">
        <v>1379.454990881653</v>
      </c>
      <c r="NY6" s="33" t="n">
        <v>1379.454990881653</v>
      </c>
      <c r="NZ6" s="33" t="n">
        <v>1379.454990881653</v>
      </c>
      <c r="OA6" s="33" t="n">
        <v>1379.454990881653</v>
      </c>
      <c r="OB6" s="33" t="n">
        <v>1379.454990881653</v>
      </c>
      <c r="OC6" s="33" t="n">
        <v>1379.454990881653</v>
      </c>
      <c r="OD6" s="33" t="n">
        <v>1379.454990881653</v>
      </c>
      <c r="OE6" s="33" t="n">
        <v>1379.454990881653</v>
      </c>
      <c r="OF6" s="33" t="n">
        <v>1413.941365653694</v>
      </c>
      <c r="OG6" s="33" t="n">
        <v>1413.941365653694</v>
      </c>
      <c r="OH6" s="33" t="n">
        <v>1413.941365653694</v>
      </c>
      <c r="OI6" s="33" t="n">
        <v>1413.941365653694</v>
      </c>
      <c r="OJ6" s="33" t="n">
        <v>1413.941365653694</v>
      </c>
      <c r="OK6" s="33" t="n">
        <v>1413.941365653694</v>
      </c>
      <c r="OL6" s="33" t="n">
        <v>1413.941365653694</v>
      </c>
      <c r="OM6" s="33" t="n">
        <v>1413.941365653694</v>
      </c>
      <c r="ON6" s="33" t="n">
        <v>1413.941365653694</v>
      </c>
      <c r="OO6" s="33" t="n">
        <v>1413.941365653694</v>
      </c>
      <c r="OP6" s="33" t="n">
        <v>1413.941365653694</v>
      </c>
      <c r="OQ6" s="33" t="n">
        <v>1413.941365653694</v>
      </c>
      <c r="OR6" s="33" t="n">
        <v>1449.289899795037</v>
      </c>
      <c r="OS6" s="33" t="n">
        <v>1449.289899795037</v>
      </c>
      <c r="OT6" s="33" t="n">
        <v>1449.289899795037</v>
      </c>
      <c r="OU6" s="33" t="n">
        <v>1449.289899795037</v>
      </c>
      <c r="OV6" s="33" t="n">
        <v>1449.289899795037</v>
      </c>
      <c r="OW6" s="33" t="n">
        <v>1449.289899795037</v>
      </c>
      <c r="OX6" s="33" t="n">
        <v>1449.289899795037</v>
      </c>
      <c r="OY6" s="33" t="n">
        <v>1449.289899795037</v>
      </c>
      <c r="OZ6" s="33" t="n">
        <v>1449.289899795037</v>
      </c>
      <c r="PA6" s="33" t="n">
        <v>1449.289899795037</v>
      </c>
      <c r="PB6" s="33" t="n">
        <v>1449.289899795037</v>
      </c>
      <c r="PC6" s="33" t="n">
        <v>1449.289899795037</v>
      </c>
      <c r="PD6" s="33" t="n">
        <v>1485.522147289912</v>
      </c>
      <c r="PE6" s="33" t="n">
        <v>1485.522147289912</v>
      </c>
      <c r="PF6" s="33" t="n">
        <v>1485.522147289912</v>
      </c>
      <c r="PG6" s="33" t="n">
        <v>1485.522147289912</v>
      </c>
      <c r="PH6" s="33" t="n">
        <v>1485.522147289912</v>
      </c>
      <c r="PI6" s="33" t="n">
        <v>1485.522147289912</v>
      </c>
      <c r="PJ6" s="33" t="n">
        <v>1485.522147289912</v>
      </c>
      <c r="PK6" s="33" t="n">
        <v>1485.522147289912</v>
      </c>
      <c r="PL6" s="33" t="n">
        <v>1485.522147289912</v>
      </c>
      <c r="PM6" s="33" t="n">
        <v>1485.522147289912</v>
      </c>
      <c r="PN6" s="33" t="n">
        <v>1485.522147289912</v>
      </c>
      <c r="PO6" s="33" t="n">
        <v>1485.522147289912</v>
      </c>
      <c r="PP6" s="33" t="n">
        <v>1522.66020097216</v>
      </c>
      <c r="PQ6" s="33" t="n">
        <v>1522.66020097216</v>
      </c>
      <c r="PR6" s="33" t="n">
        <v>1522.66020097216</v>
      </c>
      <c r="PS6" s="33" t="n">
        <v>1522.66020097216</v>
      </c>
      <c r="PT6" s="33" t="n">
        <v>1522.66020097216</v>
      </c>
      <c r="PU6" s="33" t="n">
        <v>1522.66020097216</v>
      </c>
      <c r="PV6" s="33" t="n">
        <v>1522.66020097216</v>
      </c>
      <c r="PW6" s="33" t="n">
        <v>1522.66020097216</v>
      </c>
      <c r="PX6" s="33" t="n">
        <v>1522.66020097216</v>
      </c>
      <c r="PY6" s="33" t="n">
        <v>1522.66020097216</v>
      </c>
      <c r="PZ6" s="33" t="n">
        <v>1522.66020097216</v>
      </c>
      <c r="QA6" s="33" t="n">
        <v>1522.66020097216</v>
      </c>
      <c r="QB6" s="33" t="n">
        <v>1560.726705996464</v>
      </c>
      <c r="QC6" s="33" t="n">
        <v>1560.726705996464</v>
      </c>
      <c r="QD6" s="33" t="n">
        <v>1560.726705996464</v>
      </c>
      <c r="QE6" s="33" t="n">
        <v>1560.726705996464</v>
      </c>
      <c r="QF6" s="33" t="n">
        <v>1560.726705996464</v>
      </c>
      <c r="QG6" s="33" t="n">
        <v>1560.726705996464</v>
      </c>
      <c r="QH6" s="33" t="n">
        <v>1560.726705996464</v>
      </c>
      <c r="QI6" s="33" t="n">
        <v>1560.726705996464</v>
      </c>
      <c r="QJ6" s="33" t="n">
        <v>1560.726705996464</v>
      </c>
      <c r="QK6" s="33" t="n">
        <v>1560.726705996464</v>
      </c>
      <c r="QL6" s="33" t="n">
        <v>1560.726705996464</v>
      </c>
      <c r="QM6" s="33" t="n">
        <v>1560.726705996464</v>
      </c>
      <c r="QN6" s="33" t="n">
        <v>1599.744873646375</v>
      </c>
      <c r="QO6" s="33" t="n">
        <v>1599.744873646375</v>
      </c>
      <c r="QP6" s="33" t="n">
        <v>1599.744873646375</v>
      </c>
      <c r="QQ6" s="33" t="n">
        <v>1599.744873646375</v>
      </c>
      <c r="QR6" s="33" t="n">
        <v>1599.744873646375</v>
      </c>
      <c r="QS6" s="33" t="n">
        <v>1599.744873646375</v>
      </c>
      <c r="QT6" s="33" t="n">
        <v>1599.744873646375</v>
      </c>
      <c r="QU6" s="33" t="n">
        <v>1599.744873646375</v>
      </c>
      <c r="QV6" s="33" t="n">
        <v>1599.744873646375</v>
      </c>
      <c r="QW6" s="33" t="n">
        <v>1599.744873646375</v>
      </c>
      <c r="QX6" s="33" t="n">
        <v>1599.744873646375</v>
      </c>
      <c r="QY6" s="33" t="n">
        <v>1599.744873646375</v>
      </c>
      <c r="QZ6" s="33" t="n">
        <v>1639.738495487535</v>
      </c>
      <c r="RA6" s="33" t="n">
        <v>1639.738495487535</v>
      </c>
      <c r="RB6" s="33" t="n">
        <v>1639.738495487535</v>
      </c>
      <c r="RC6" s="33" t="n">
        <v>1639.738495487535</v>
      </c>
      <c r="RD6" s="33" t="n">
        <v>1639.738495487535</v>
      </c>
      <c r="RE6" s="33" t="n">
        <v>1639.738495487535</v>
      </c>
      <c r="RF6" s="33" t="n">
        <v>1639.738495487535</v>
      </c>
      <c r="RG6" s="33" t="n">
        <v>1639.738495487535</v>
      </c>
      <c r="RH6" s="33" t="n">
        <v>1639.738495487535</v>
      </c>
      <c r="RI6" s="33" t="n">
        <v>1639.738495487535</v>
      </c>
      <c r="RJ6" s="33" t="n">
        <v>1639.738495487535</v>
      </c>
      <c r="RK6" s="33" t="n">
        <v>1639.738495487535</v>
      </c>
      <c r="RL6" s="33" t="n">
        <v>1680.731957874723</v>
      </c>
      <c r="RM6" s="33" t="n">
        <v>1680.731957874723</v>
      </c>
      <c r="RN6" s="33" t="n">
        <v>1680.731957874723</v>
      </c>
      <c r="RO6" s="33" t="n">
        <v>1680.731957874723</v>
      </c>
      <c r="RP6" s="33" t="n">
        <v>1680.731957874723</v>
      </c>
      <c r="RQ6" s="33" t="n">
        <v>1680.731957874723</v>
      </c>
      <c r="RR6" s="33" t="n">
        <v>1680.731957874723</v>
      </c>
      <c r="RS6" s="33" t="n">
        <v>1680.731957874723</v>
      </c>
      <c r="RT6" s="33" t="n">
        <v>1680.731957874723</v>
      </c>
      <c r="RU6" s="33" t="n">
        <v>1680.731957874723</v>
      </c>
      <c r="RV6" s="33" t="n">
        <v>1680.731957874723</v>
      </c>
      <c r="RW6" s="33" t="n">
        <v>1680.731957874723</v>
      </c>
    </row>
    <row r="7" hidden="1" outlineLevel="1" ht="13.05" customHeight="1">
      <c r="E7" s="21" t="inlineStr">
        <is>
          <t>Commercial Management</t>
        </is>
      </c>
      <c r="F7" s="29" t="n"/>
      <c r="G7" s="29" t="inlineStr">
        <is>
          <t>kEUR</t>
        </is>
      </c>
      <c r="H7" s="29" t="n"/>
      <c r="I7" s="29" t="n"/>
      <c r="J7" s="32" t="n">
        <v>0</v>
      </c>
      <c r="K7" s="29" t="n"/>
      <c r="L7" s="33" t="n">
        <v>0</v>
      </c>
      <c r="M7" s="33" t="n">
        <v>0</v>
      </c>
      <c r="N7" s="33" t="n">
        <v>0</v>
      </c>
      <c r="O7" s="33" t="n">
        <v>0</v>
      </c>
      <c r="P7" s="33" t="n">
        <v>0</v>
      </c>
      <c r="Q7" s="33" t="n">
        <v>0</v>
      </c>
      <c r="R7" s="33" t="n">
        <v>0</v>
      </c>
      <c r="S7" s="33" t="n">
        <v>0</v>
      </c>
      <c r="T7" s="33" t="n">
        <v>0</v>
      </c>
      <c r="U7" s="33" t="n">
        <v>0</v>
      </c>
      <c r="V7" s="33" t="n">
        <v>0</v>
      </c>
      <c r="W7" s="33" t="n">
        <v>0</v>
      </c>
      <c r="X7" s="33" t="n">
        <v>0</v>
      </c>
      <c r="Y7" s="33" t="n">
        <v>0</v>
      </c>
      <c r="Z7" s="33" t="n">
        <v>0</v>
      </c>
      <c r="AA7" s="33" t="n">
        <v>0</v>
      </c>
      <c r="AB7" s="33" t="n">
        <v>0</v>
      </c>
      <c r="AC7" s="33" t="n">
        <v>0</v>
      </c>
      <c r="AD7" s="33" t="n">
        <v>0</v>
      </c>
      <c r="AE7" s="33" t="n">
        <v>0</v>
      </c>
      <c r="AF7" s="33" t="n">
        <v>0</v>
      </c>
      <c r="AG7" s="33" t="n">
        <v>0</v>
      </c>
      <c r="AH7" s="33" t="n">
        <v>0</v>
      </c>
      <c r="AI7" s="33" t="n">
        <v>0</v>
      </c>
      <c r="AJ7" s="33" t="n">
        <v>0</v>
      </c>
      <c r="AK7" s="33" t="n">
        <v>0</v>
      </c>
      <c r="AL7" s="33" t="n">
        <v>0</v>
      </c>
      <c r="AM7" s="33" t="n">
        <v>0</v>
      </c>
      <c r="AN7" s="33" t="n">
        <v>0</v>
      </c>
      <c r="AO7" s="33" t="n">
        <v>0</v>
      </c>
      <c r="AP7" s="33" t="n">
        <v>0</v>
      </c>
      <c r="AQ7" s="33" t="n">
        <v>0</v>
      </c>
      <c r="AR7" s="33" t="n">
        <v>0</v>
      </c>
      <c r="AS7" s="33" t="n">
        <v>0</v>
      </c>
      <c r="AT7" s="33" t="n">
        <v>0</v>
      </c>
      <c r="AU7" s="33" t="n">
        <v>0</v>
      </c>
      <c r="AV7" s="33" t="n">
        <v>0</v>
      </c>
      <c r="AW7" s="33" t="n">
        <v>0</v>
      </c>
      <c r="AX7" s="33" t="n">
        <v>0</v>
      </c>
      <c r="AY7" s="33" t="n">
        <v>0</v>
      </c>
      <c r="AZ7" s="33" t="n">
        <v>0</v>
      </c>
      <c r="BA7" s="33" t="n">
        <v>0</v>
      </c>
      <c r="BB7" s="33" t="n">
        <v>0</v>
      </c>
      <c r="BC7" s="33" t="n">
        <v>0</v>
      </c>
      <c r="BD7" s="33" t="n">
        <v>0</v>
      </c>
      <c r="BE7" s="33" t="n">
        <v>0</v>
      </c>
      <c r="BF7" s="33" t="n">
        <v>0</v>
      </c>
      <c r="BG7" s="33" t="n">
        <v>0</v>
      </c>
      <c r="BH7" s="33" t="n">
        <v>0</v>
      </c>
      <c r="BI7" s="33" t="n">
        <v>0</v>
      </c>
      <c r="BJ7" s="33" t="n">
        <v>0</v>
      </c>
      <c r="BK7" s="33" t="n">
        <v>0</v>
      </c>
      <c r="BL7" s="33" t="n">
        <v>0</v>
      </c>
      <c r="BM7" s="33" t="n">
        <v>0</v>
      </c>
      <c r="BN7" s="33" t="n">
        <v>0</v>
      </c>
      <c r="BO7" s="33" t="n">
        <v>0</v>
      </c>
      <c r="BP7" s="33" t="n">
        <v>0</v>
      </c>
      <c r="BQ7" s="33" t="n">
        <v>0</v>
      </c>
      <c r="BR7" s="33" t="n">
        <v>0</v>
      </c>
      <c r="BS7" s="33" t="n">
        <v>0</v>
      </c>
      <c r="BT7" s="33" t="n">
        <v>0</v>
      </c>
      <c r="BU7" s="33" t="n">
        <v>0</v>
      </c>
      <c r="BV7" s="33" t="n">
        <v>0</v>
      </c>
      <c r="BW7" s="33" t="n">
        <v>0</v>
      </c>
      <c r="BX7" s="33" t="n">
        <v>0</v>
      </c>
      <c r="BY7" s="33" t="n">
        <v>0</v>
      </c>
      <c r="BZ7" s="33" t="n">
        <v>0</v>
      </c>
      <c r="CA7" s="33" t="n">
        <v>0</v>
      </c>
      <c r="CB7" s="33" t="n">
        <v>0</v>
      </c>
      <c r="CC7" s="33" t="n">
        <v>0</v>
      </c>
      <c r="CD7" s="33" t="n">
        <v>0</v>
      </c>
      <c r="CE7" s="33" t="n">
        <v>0</v>
      </c>
      <c r="CF7" s="33" t="n">
        <v>0</v>
      </c>
      <c r="CG7" s="33" t="n">
        <v>0</v>
      </c>
      <c r="CH7" s="33" t="n">
        <v>0</v>
      </c>
      <c r="CI7" s="33" t="n">
        <v>0</v>
      </c>
      <c r="CJ7" s="33" t="n">
        <v>0</v>
      </c>
      <c r="CK7" s="33" t="n">
        <v>0</v>
      </c>
      <c r="CL7" s="33" t="n">
        <v>0</v>
      </c>
      <c r="CM7" s="33" t="n">
        <v>0</v>
      </c>
      <c r="CN7" s="33" t="n">
        <v>0</v>
      </c>
      <c r="CO7" s="33" t="n">
        <v>0</v>
      </c>
      <c r="CP7" s="33" t="n">
        <v>0</v>
      </c>
      <c r="CQ7" s="33" t="n">
        <v>0</v>
      </c>
      <c r="CR7" s="33" t="n">
        <v>0</v>
      </c>
      <c r="CS7" s="33" t="n">
        <v>0</v>
      </c>
      <c r="CT7" s="33" t="n">
        <v>0</v>
      </c>
      <c r="CU7" s="33" t="n">
        <v>0</v>
      </c>
      <c r="CV7" s="33" t="n">
        <v>0</v>
      </c>
      <c r="CW7" s="33" t="n">
        <v>0</v>
      </c>
      <c r="CX7" s="33" t="n">
        <v>0</v>
      </c>
      <c r="CY7" s="33" t="n">
        <v>0</v>
      </c>
      <c r="CZ7" s="33" t="n">
        <v>0</v>
      </c>
      <c r="DA7" s="33" t="n">
        <v>0</v>
      </c>
      <c r="DB7" s="33" t="n">
        <v>0</v>
      </c>
      <c r="DC7" s="33" t="n">
        <v>0</v>
      </c>
      <c r="DD7" s="33" t="n">
        <v>0</v>
      </c>
      <c r="DE7" s="33" t="n">
        <v>0</v>
      </c>
      <c r="DF7" s="33" t="n">
        <v>0</v>
      </c>
      <c r="DG7" s="33" t="n">
        <v>0</v>
      </c>
      <c r="DH7" s="33" t="n">
        <v>0</v>
      </c>
      <c r="DI7" s="33" t="n">
        <v>0</v>
      </c>
      <c r="DJ7" s="33" t="n">
        <v>0</v>
      </c>
      <c r="DK7" s="33" t="n">
        <v>0</v>
      </c>
      <c r="DL7" s="33" t="n">
        <v>0</v>
      </c>
      <c r="DM7" s="33" t="n">
        <v>0</v>
      </c>
      <c r="DN7" s="33" t="n">
        <v>0</v>
      </c>
      <c r="DO7" s="33" t="n">
        <v>0</v>
      </c>
      <c r="DP7" s="33" t="n">
        <v>0</v>
      </c>
      <c r="DQ7" s="33" t="n">
        <v>0</v>
      </c>
      <c r="DR7" s="33" t="n">
        <v>0</v>
      </c>
      <c r="DS7" s="33" t="n">
        <v>0</v>
      </c>
      <c r="DT7" s="33" t="n">
        <v>0</v>
      </c>
      <c r="DU7" s="33" t="n">
        <v>0</v>
      </c>
      <c r="DV7" s="33" t="n">
        <v>0</v>
      </c>
      <c r="DW7" s="33" t="n">
        <v>0</v>
      </c>
      <c r="DX7" s="33" t="n">
        <v>0</v>
      </c>
      <c r="DY7" s="33" t="n">
        <v>0</v>
      </c>
      <c r="DZ7" s="33" t="n">
        <v>0</v>
      </c>
      <c r="EA7" s="33" t="n">
        <v>0</v>
      </c>
      <c r="EB7" s="33" t="n">
        <v>0</v>
      </c>
      <c r="EC7" s="33" t="n">
        <v>0</v>
      </c>
      <c r="ED7" s="33" t="n">
        <v>0</v>
      </c>
      <c r="EE7" s="33" t="n">
        <v>0</v>
      </c>
      <c r="EF7" s="33" t="n">
        <v>0</v>
      </c>
      <c r="EG7" s="33" t="n">
        <v>0</v>
      </c>
      <c r="EH7" s="33" t="n">
        <v>0</v>
      </c>
      <c r="EI7" s="33" t="n">
        <v>0</v>
      </c>
      <c r="EJ7" s="33" t="n">
        <v>0</v>
      </c>
      <c r="EK7" s="33" t="n">
        <v>0</v>
      </c>
      <c r="EL7" s="33" t="n">
        <v>0</v>
      </c>
      <c r="EM7" s="33" t="n">
        <v>0</v>
      </c>
      <c r="EN7" s="33" t="n">
        <v>0</v>
      </c>
      <c r="EO7" s="33" t="n">
        <v>0</v>
      </c>
      <c r="EP7" s="33" t="n">
        <v>0</v>
      </c>
      <c r="EQ7" s="33" t="n">
        <v>0</v>
      </c>
      <c r="ER7" s="33" t="n">
        <v>0</v>
      </c>
      <c r="ES7" s="33" t="n">
        <v>0</v>
      </c>
      <c r="ET7" s="33" t="n">
        <v>0</v>
      </c>
      <c r="EU7" s="33" t="n">
        <v>0</v>
      </c>
      <c r="EV7" s="33" t="n">
        <v>0</v>
      </c>
      <c r="EW7" s="33" t="n">
        <v>0</v>
      </c>
      <c r="EX7" s="33" t="n">
        <v>0</v>
      </c>
      <c r="EY7" s="33" t="n">
        <v>0</v>
      </c>
      <c r="EZ7" s="33" t="n">
        <v>0</v>
      </c>
      <c r="FA7" s="33" t="n">
        <v>0</v>
      </c>
      <c r="FB7" s="33" t="n">
        <v>0</v>
      </c>
      <c r="FC7" s="33" t="n">
        <v>0</v>
      </c>
      <c r="FD7" s="33" t="n">
        <v>0</v>
      </c>
      <c r="FE7" s="33" t="n">
        <v>0</v>
      </c>
      <c r="FF7" s="33" t="n">
        <v>0</v>
      </c>
      <c r="FG7" s="33" t="n">
        <v>0</v>
      </c>
      <c r="FH7" s="33" t="n">
        <v>0</v>
      </c>
      <c r="FI7" s="33" t="n">
        <v>0</v>
      </c>
      <c r="FJ7" s="33" t="n">
        <v>0</v>
      </c>
      <c r="FK7" s="33" t="n">
        <v>0</v>
      </c>
      <c r="FL7" s="33" t="n">
        <v>0</v>
      </c>
      <c r="FM7" s="33" t="n">
        <v>0</v>
      </c>
      <c r="FN7" s="33" t="n">
        <v>0</v>
      </c>
      <c r="FO7" s="33" t="n">
        <v>0</v>
      </c>
      <c r="FP7" s="33" t="n">
        <v>0</v>
      </c>
      <c r="FQ7" s="33" t="n">
        <v>0</v>
      </c>
      <c r="FR7" s="33" t="n">
        <v>0</v>
      </c>
      <c r="FS7" s="33" t="n">
        <v>0</v>
      </c>
      <c r="FT7" s="33" t="n">
        <v>0</v>
      </c>
      <c r="FU7" s="33" t="n">
        <v>0</v>
      </c>
      <c r="FV7" s="33" t="n">
        <v>0</v>
      </c>
      <c r="FW7" s="33" t="n">
        <v>0</v>
      </c>
      <c r="FX7" s="33" t="n">
        <v>0</v>
      </c>
      <c r="FY7" s="33" t="n">
        <v>0</v>
      </c>
      <c r="FZ7" s="33" t="n">
        <v>0</v>
      </c>
      <c r="GA7" s="33" t="n">
        <v>0</v>
      </c>
      <c r="GB7" s="33" t="n">
        <v>0</v>
      </c>
      <c r="GC7" s="33" t="n">
        <v>0</v>
      </c>
      <c r="GD7" s="33" t="n">
        <v>0</v>
      </c>
      <c r="GE7" s="33" t="n">
        <v>0</v>
      </c>
      <c r="GF7" s="33" t="n">
        <v>0</v>
      </c>
      <c r="GG7" s="33" t="n">
        <v>0</v>
      </c>
      <c r="GH7" s="33" t="n">
        <v>0</v>
      </c>
      <c r="GI7" s="33" t="n">
        <v>0</v>
      </c>
      <c r="GJ7" s="33" t="n">
        <v>0</v>
      </c>
      <c r="GK7" s="33" t="n">
        <v>0</v>
      </c>
      <c r="GL7" s="33" t="n">
        <v>0</v>
      </c>
      <c r="GM7" s="33" t="n">
        <v>0</v>
      </c>
      <c r="GN7" s="33" t="n">
        <v>0</v>
      </c>
      <c r="GO7" s="33" t="n">
        <v>0</v>
      </c>
      <c r="GP7" s="33" t="n">
        <v>0</v>
      </c>
      <c r="GQ7" s="33" t="n">
        <v>0</v>
      </c>
      <c r="GR7" s="33" t="n">
        <v>0</v>
      </c>
      <c r="GS7" s="33" t="n">
        <v>0</v>
      </c>
      <c r="GT7" s="33" t="n">
        <v>0</v>
      </c>
      <c r="GU7" s="33" t="n">
        <v>0</v>
      </c>
      <c r="GV7" s="33" t="n">
        <v>0</v>
      </c>
      <c r="GW7" s="33" t="n">
        <v>0</v>
      </c>
      <c r="GX7" s="33" t="n">
        <v>0</v>
      </c>
      <c r="GY7" s="33" t="n">
        <v>0</v>
      </c>
      <c r="GZ7" s="33" t="n">
        <v>0</v>
      </c>
      <c r="HA7" s="33" t="n">
        <v>0</v>
      </c>
      <c r="HB7" s="33" t="n">
        <v>0</v>
      </c>
      <c r="HC7" s="33" t="n">
        <v>0</v>
      </c>
      <c r="HD7" s="33" t="n">
        <v>0</v>
      </c>
      <c r="HE7" s="33" t="n">
        <v>0</v>
      </c>
      <c r="HF7" s="33" t="n">
        <v>0</v>
      </c>
      <c r="HG7" s="33" t="n">
        <v>0</v>
      </c>
      <c r="HH7" s="33" t="n">
        <v>0</v>
      </c>
      <c r="HI7" s="33" t="n">
        <v>0</v>
      </c>
      <c r="HJ7" s="33" t="n">
        <v>0</v>
      </c>
      <c r="HK7" s="33" t="n">
        <v>0</v>
      </c>
      <c r="HL7" s="33" t="n">
        <v>0</v>
      </c>
      <c r="HM7" s="33" t="n">
        <v>0</v>
      </c>
      <c r="HN7" s="33" t="n">
        <v>0</v>
      </c>
      <c r="HO7" s="33" t="n">
        <v>0</v>
      </c>
      <c r="HP7" s="33" t="n">
        <v>0</v>
      </c>
      <c r="HQ7" s="33" t="n">
        <v>0</v>
      </c>
      <c r="HR7" s="33" t="n">
        <v>0</v>
      </c>
      <c r="HS7" s="33" t="n">
        <v>0</v>
      </c>
      <c r="HT7" s="33" t="n">
        <v>0</v>
      </c>
      <c r="HU7" s="33" t="n">
        <v>0</v>
      </c>
      <c r="HV7" s="33" t="n">
        <v>0</v>
      </c>
      <c r="HW7" s="33" t="n">
        <v>0</v>
      </c>
      <c r="HX7" s="33" t="n">
        <v>0</v>
      </c>
      <c r="HY7" s="33" t="n">
        <v>0</v>
      </c>
      <c r="HZ7" s="33" t="n">
        <v>0</v>
      </c>
      <c r="IA7" s="33" t="n">
        <v>0</v>
      </c>
      <c r="IB7" s="33" t="n">
        <v>0</v>
      </c>
      <c r="IC7" s="33" t="n">
        <v>0</v>
      </c>
      <c r="ID7" s="33" t="n">
        <v>0</v>
      </c>
      <c r="IE7" s="33" t="n">
        <v>0</v>
      </c>
      <c r="IF7" s="33" t="n">
        <v>0</v>
      </c>
      <c r="IG7" s="33" t="n">
        <v>0</v>
      </c>
      <c r="IH7" s="33" t="n">
        <v>0</v>
      </c>
      <c r="II7" s="33" t="n">
        <v>0</v>
      </c>
      <c r="IJ7" s="33" t="n">
        <v>0</v>
      </c>
      <c r="IK7" s="33" t="n">
        <v>0</v>
      </c>
      <c r="IL7" s="33" t="n">
        <v>0</v>
      </c>
      <c r="IM7" s="33" t="n">
        <v>0</v>
      </c>
      <c r="IN7" s="33" t="n">
        <v>0</v>
      </c>
      <c r="IO7" s="33" t="n">
        <v>0</v>
      </c>
      <c r="IP7" s="33" t="n">
        <v>0</v>
      </c>
      <c r="IQ7" s="33" t="n">
        <v>0</v>
      </c>
      <c r="IR7" s="33" t="n">
        <v>0</v>
      </c>
      <c r="IS7" s="33" t="n">
        <v>0</v>
      </c>
      <c r="IT7" s="33" t="n">
        <v>0</v>
      </c>
      <c r="IU7" s="33" t="n">
        <v>0</v>
      </c>
      <c r="IV7" s="33" t="n">
        <v>0</v>
      </c>
      <c r="IW7" s="33" t="n">
        <v>0</v>
      </c>
      <c r="IX7" s="33" t="n">
        <v>0</v>
      </c>
      <c r="IY7" s="33" t="n">
        <v>0</v>
      </c>
      <c r="IZ7" s="33" t="n">
        <v>0</v>
      </c>
      <c r="JA7" s="33" t="n">
        <v>0</v>
      </c>
      <c r="JB7" s="33" t="n">
        <v>0</v>
      </c>
      <c r="JC7" s="33" t="n">
        <v>0</v>
      </c>
      <c r="JD7" s="33" t="n">
        <v>0</v>
      </c>
      <c r="JE7" s="33" t="n">
        <v>0</v>
      </c>
      <c r="JF7" s="33" t="n">
        <v>0</v>
      </c>
      <c r="JG7" s="33" t="n">
        <v>0</v>
      </c>
      <c r="JH7" s="33" t="n">
        <v>0</v>
      </c>
      <c r="JI7" s="33" t="n">
        <v>0</v>
      </c>
      <c r="JJ7" s="33" t="n">
        <v>0</v>
      </c>
      <c r="JK7" s="33" t="n">
        <v>0</v>
      </c>
      <c r="JL7" s="33" t="n">
        <v>0</v>
      </c>
      <c r="JM7" s="33" t="n">
        <v>0</v>
      </c>
      <c r="JN7" s="33" t="n">
        <v>0</v>
      </c>
      <c r="JO7" s="33" t="n">
        <v>0</v>
      </c>
      <c r="JP7" s="33" t="n">
        <v>0</v>
      </c>
      <c r="JQ7" s="33" t="n">
        <v>0</v>
      </c>
      <c r="JR7" s="33" t="n">
        <v>0</v>
      </c>
      <c r="JS7" s="33" t="n">
        <v>0</v>
      </c>
      <c r="JT7" s="33" t="n">
        <v>0</v>
      </c>
      <c r="JU7" s="33" t="n">
        <v>0</v>
      </c>
      <c r="JV7" s="33" t="n">
        <v>0</v>
      </c>
      <c r="JW7" s="33" t="n">
        <v>0</v>
      </c>
      <c r="JX7" s="33" t="n">
        <v>0</v>
      </c>
      <c r="JY7" s="33" t="n">
        <v>0</v>
      </c>
      <c r="JZ7" s="33" t="n">
        <v>0</v>
      </c>
      <c r="KA7" s="33" t="n">
        <v>0</v>
      </c>
      <c r="KB7" s="33" t="n">
        <v>0</v>
      </c>
      <c r="KC7" s="33" t="n">
        <v>0</v>
      </c>
      <c r="KD7" s="33" t="n">
        <v>0</v>
      </c>
      <c r="KE7" s="33" t="n">
        <v>0</v>
      </c>
      <c r="KF7" s="33" t="n">
        <v>0</v>
      </c>
      <c r="KG7" s="33" t="n">
        <v>0</v>
      </c>
      <c r="KH7" s="33" t="n">
        <v>0</v>
      </c>
      <c r="KI7" s="33" t="n">
        <v>0</v>
      </c>
      <c r="KJ7" s="33" t="n">
        <v>0</v>
      </c>
      <c r="KK7" s="33" t="n">
        <v>0</v>
      </c>
      <c r="KL7" s="33" t="n">
        <v>0</v>
      </c>
      <c r="KM7" s="33" t="n">
        <v>0</v>
      </c>
      <c r="KN7" s="33" t="n">
        <v>0</v>
      </c>
      <c r="KO7" s="33" t="n">
        <v>0</v>
      </c>
      <c r="KP7" s="33" t="n">
        <v>0</v>
      </c>
      <c r="KQ7" s="33" t="n">
        <v>0</v>
      </c>
      <c r="KR7" s="33" t="n">
        <v>0</v>
      </c>
      <c r="KS7" s="33" t="n">
        <v>0</v>
      </c>
      <c r="KT7" s="33" t="n">
        <v>0</v>
      </c>
      <c r="KU7" s="33" t="n">
        <v>0</v>
      </c>
      <c r="KV7" s="33" t="n">
        <v>0</v>
      </c>
      <c r="KW7" s="33" t="n">
        <v>0</v>
      </c>
      <c r="KX7" s="33" t="n">
        <v>0</v>
      </c>
      <c r="KY7" s="33" t="n">
        <v>0</v>
      </c>
      <c r="KZ7" s="33" t="n">
        <v>0</v>
      </c>
      <c r="LA7" s="33" t="n">
        <v>0</v>
      </c>
      <c r="LB7" s="33" t="n">
        <v>0</v>
      </c>
      <c r="LC7" s="33" t="n">
        <v>0</v>
      </c>
      <c r="LD7" s="33" t="n">
        <v>0</v>
      </c>
      <c r="LE7" s="33" t="n">
        <v>0</v>
      </c>
      <c r="LF7" s="33" t="n">
        <v>0</v>
      </c>
      <c r="LG7" s="33" t="n">
        <v>0</v>
      </c>
      <c r="LH7" s="33" t="n">
        <v>0</v>
      </c>
      <c r="LI7" s="33" t="n">
        <v>0</v>
      </c>
      <c r="LJ7" s="33" t="n">
        <v>0</v>
      </c>
      <c r="LK7" s="33" t="n">
        <v>0</v>
      </c>
      <c r="LL7" s="33" t="n">
        <v>0</v>
      </c>
      <c r="LM7" s="33" t="n">
        <v>0</v>
      </c>
      <c r="LN7" s="33" t="n">
        <v>0</v>
      </c>
      <c r="LO7" s="33" t="n">
        <v>0</v>
      </c>
      <c r="LP7" s="33" t="n">
        <v>0</v>
      </c>
      <c r="LQ7" s="33" t="n">
        <v>0</v>
      </c>
      <c r="LR7" s="33" t="n">
        <v>0</v>
      </c>
      <c r="LS7" s="33" t="n">
        <v>0</v>
      </c>
      <c r="LT7" s="33" t="n">
        <v>0</v>
      </c>
      <c r="LU7" s="33" t="n">
        <v>0</v>
      </c>
      <c r="LV7" s="33" t="n">
        <v>0</v>
      </c>
      <c r="LW7" s="33" t="n">
        <v>0</v>
      </c>
      <c r="LX7" s="33" t="n">
        <v>0</v>
      </c>
      <c r="LY7" s="33" t="n">
        <v>0</v>
      </c>
      <c r="LZ7" s="33" t="n">
        <v>0</v>
      </c>
      <c r="MA7" s="33" t="n">
        <v>0</v>
      </c>
      <c r="MB7" s="33" t="n">
        <v>0</v>
      </c>
      <c r="MC7" s="33" t="n">
        <v>0</v>
      </c>
      <c r="MD7" s="33" t="n">
        <v>0</v>
      </c>
      <c r="ME7" s="33" t="n">
        <v>0</v>
      </c>
      <c r="MF7" s="33" t="n">
        <v>0</v>
      </c>
      <c r="MG7" s="33" t="n">
        <v>0</v>
      </c>
      <c r="MH7" s="33" t="n">
        <v>0</v>
      </c>
      <c r="MI7" s="33" t="n">
        <v>0</v>
      </c>
      <c r="MJ7" s="33" t="n">
        <v>0</v>
      </c>
      <c r="MK7" s="33" t="n">
        <v>0</v>
      </c>
      <c r="ML7" s="33" t="n">
        <v>0</v>
      </c>
      <c r="MM7" s="33" t="n">
        <v>0</v>
      </c>
      <c r="MN7" s="33" t="n">
        <v>0</v>
      </c>
      <c r="MO7" s="33" t="n">
        <v>0</v>
      </c>
      <c r="MP7" s="33" t="n">
        <v>0</v>
      </c>
      <c r="MQ7" s="33" t="n">
        <v>0</v>
      </c>
      <c r="MR7" s="33" t="n">
        <v>0</v>
      </c>
      <c r="MS7" s="33" t="n">
        <v>0</v>
      </c>
      <c r="MT7" s="33" t="n">
        <v>0</v>
      </c>
      <c r="MU7" s="33" t="n">
        <v>0</v>
      </c>
      <c r="MV7" s="33" t="n">
        <v>0</v>
      </c>
      <c r="MW7" s="33" t="n">
        <v>0</v>
      </c>
      <c r="MX7" s="33" t="n">
        <v>0</v>
      </c>
      <c r="MY7" s="33" t="n">
        <v>0</v>
      </c>
      <c r="MZ7" s="33" t="n">
        <v>0</v>
      </c>
      <c r="NA7" s="33" t="n">
        <v>0</v>
      </c>
      <c r="NB7" s="33" t="n">
        <v>0</v>
      </c>
      <c r="NC7" s="33" t="n">
        <v>0</v>
      </c>
      <c r="ND7" s="33" t="n">
        <v>0</v>
      </c>
      <c r="NE7" s="33" t="n">
        <v>0</v>
      </c>
      <c r="NF7" s="33" t="n">
        <v>0</v>
      </c>
      <c r="NG7" s="33" t="n">
        <v>0</v>
      </c>
      <c r="NH7" s="33" t="n">
        <v>0</v>
      </c>
      <c r="NI7" s="33" t="n">
        <v>0</v>
      </c>
      <c r="NJ7" s="33" t="n">
        <v>0</v>
      </c>
      <c r="NK7" s="33" t="n">
        <v>0</v>
      </c>
      <c r="NL7" s="33" t="n">
        <v>0</v>
      </c>
      <c r="NM7" s="33" t="n">
        <v>0</v>
      </c>
      <c r="NN7" s="33" t="n">
        <v>0</v>
      </c>
      <c r="NO7" s="33" t="n">
        <v>0</v>
      </c>
      <c r="NP7" s="33" t="n">
        <v>0</v>
      </c>
      <c r="NQ7" s="33" t="n">
        <v>0</v>
      </c>
      <c r="NR7" s="33" t="n">
        <v>0</v>
      </c>
      <c r="NS7" s="33" t="n">
        <v>0</v>
      </c>
      <c r="NT7" s="33" t="n">
        <v>0</v>
      </c>
      <c r="NU7" s="33" t="n">
        <v>0</v>
      </c>
      <c r="NV7" s="33" t="n">
        <v>0</v>
      </c>
      <c r="NW7" s="33" t="n">
        <v>0</v>
      </c>
      <c r="NX7" s="33" t="n">
        <v>0</v>
      </c>
      <c r="NY7" s="33" t="n">
        <v>0</v>
      </c>
      <c r="NZ7" s="33" t="n">
        <v>0</v>
      </c>
      <c r="OA7" s="33" t="n">
        <v>0</v>
      </c>
      <c r="OB7" s="33" t="n">
        <v>0</v>
      </c>
      <c r="OC7" s="33" t="n">
        <v>0</v>
      </c>
      <c r="OD7" s="33" t="n">
        <v>0</v>
      </c>
      <c r="OE7" s="33" t="n">
        <v>0</v>
      </c>
      <c r="OF7" s="33" t="n">
        <v>0</v>
      </c>
      <c r="OG7" s="33" t="n">
        <v>0</v>
      </c>
      <c r="OH7" s="33" t="n">
        <v>0</v>
      </c>
      <c r="OI7" s="33" t="n">
        <v>0</v>
      </c>
      <c r="OJ7" s="33" t="n">
        <v>0</v>
      </c>
      <c r="OK7" s="33" t="n">
        <v>0</v>
      </c>
      <c r="OL7" s="33" t="n">
        <v>0</v>
      </c>
      <c r="OM7" s="33" t="n">
        <v>0</v>
      </c>
      <c r="ON7" s="33" t="n">
        <v>0</v>
      </c>
      <c r="OO7" s="33" t="n">
        <v>0</v>
      </c>
      <c r="OP7" s="33" t="n">
        <v>0</v>
      </c>
      <c r="OQ7" s="33" t="n">
        <v>0</v>
      </c>
      <c r="OR7" s="33" t="n">
        <v>0</v>
      </c>
      <c r="OS7" s="33" t="n">
        <v>0</v>
      </c>
      <c r="OT7" s="33" t="n">
        <v>0</v>
      </c>
      <c r="OU7" s="33" t="n">
        <v>0</v>
      </c>
      <c r="OV7" s="33" t="n">
        <v>0</v>
      </c>
      <c r="OW7" s="33" t="n">
        <v>0</v>
      </c>
      <c r="OX7" s="33" t="n">
        <v>0</v>
      </c>
      <c r="OY7" s="33" t="n">
        <v>0</v>
      </c>
      <c r="OZ7" s="33" t="n">
        <v>0</v>
      </c>
      <c r="PA7" s="33" t="n">
        <v>0</v>
      </c>
      <c r="PB7" s="33" t="n">
        <v>0</v>
      </c>
      <c r="PC7" s="33" t="n">
        <v>0</v>
      </c>
      <c r="PD7" s="33" t="n">
        <v>0</v>
      </c>
      <c r="PE7" s="33" t="n">
        <v>0</v>
      </c>
      <c r="PF7" s="33" t="n">
        <v>0</v>
      </c>
      <c r="PG7" s="33" t="n">
        <v>0</v>
      </c>
      <c r="PH7" s="33" t="n">
        <v>0</v>
      </c>
      <c r="PI7" s="33" t="n">
        <v>0</v>
      </c>
      <c r="PJ7" s="33" t="n">
        <v>0</v>
      </c>
      <c r="PK7" s="33" t="n">
        <v>0</v>
      </c>
      <c r="PL7" s="33" t="n">
        <v>0</v>
      </c>
      <c r="PM7" s="33" t="n">
        <v>0</v>
      </c>
      <c r="PN7" s="33" t="n">
        <v>0</v>
      </c>
      <c r="PO7" s="33" t="n">
        <v>0</v>
      </c>
      <c r="PP7" s="33" t="n">
        <v>0</v>
      </c>
      <c r="PQ7" s="33" t="n">
        <v>0</v>
      </c>
      <c r="PR7" s="33" t="n">
        <v>0</v>
      </c>
      <c r="PS7" s="33" t="n">
        <v>0</v>
      </c>
      <c r="PT7" s="33" t="n">
        <v>0</v>
      </c>
      <c r="PU7" s="33" t="n">
        <v>0</v>
      </c>
      <c r="PV7" s="33" t="n">
        <v>0</v>
      </c>
      <c r="PW7" s="33" t="n">
        <v>0</v>
      </c>
      <c r="PX7" s="33" t="n">
        <v>0</v>
      </c>
      <c r="PY7" s="33" t="n">
        <v>0</v>
      </c>
      <c r="PZ7" s="33" t="n">
        <v>0</v>
      </c>
      <c r="QA7" s="33" t="n">
        <v>0</v>
      </c>
      <c r="QB7" s="33" t="n">
        <v>0</v>
      </c>
      <c r="QC7" s="33" t="n">
        <v>0</v>
      </c>
      <c r="QD7" s="33" t="n">
        <v>0</v>
      </c>
      <c r="QE7" s="33" t="n">
        <v>0</v>
      </c>
      <c r="QF7" s="33" t="n">
        <v>0</v>
      </c>
      <c r="QG7" s="33" t="n">
        <v>0</v>
      </c>
      <c r="QH7" s="33" t="n">
        <v>0</v>
      </c>
      <c r="QI7" s="33" t="n">
        <v>0</v>
      </c>
      <c r="QJ7" s="33" t="n">
        <v>0</v>
      </c>
      <c r="QK7" s="33" t="n">
        <v>0</v>
      </c>
      <c r="QL7" s="33" t="n">
        <v>0</v>
      </c>
      <c r="QM7" s="33" t="n">
        <v>0</v>
      </c>
      <c r="QN7" s="33" t="n">
        <v>0</v>
      </c>
      <c r="QO7" s="33" t="n">
        <v>0</v>
      </c>
      <c r="QP7" s="33" t="n">
        <v>0</v>
      </c>
      <c r="QQ7" s="33" t="n">
        <v>0</v>
      </c>
      <c r="QR7" s="33" t="n">
        <v>0</v>
      </c>
      <c r="QS7" s="33" t="n">
        <v>0</v>
      </c>
      <c r="QT7" s="33" t="n">
        <v>0</v>
      </c>
      <c r="QU7" s="33" t="n">
        <v>0</v>
      </c>
      <c r="QV7" s="33" t="n">
        <v>0</v>
      </c>
      <c r="QW7" s="33" t="n">
        <v>0</v>
      </c>
      <c r="QX7" s="33" t="n">
        <v>0</v>
      </c>
      <c r="QY7" s="33" t="n">
        <v>0</v>
      </c>
      <c r="QZ7" s="33" t="n">
        <v>0</v>
      </c>
      <c r="RA7" s="33" t="n">
        <v>0</v>
      </c>
      <c r="RB7" s="33" t="n">
        <v>0</v>
      </c>
      <c r="RC7" s="33" t="n">
        <v>0</v>
      </c>
      <c r="RD7" s="33" t="n">
        <v>0</v>
      </c>
      <c r="RE7" s="33" t="n">
        <v>0</v>
      </c>
      <c r="RF7" s="33" t="n">
        <v>0</v>
      </c>
      <c r="RG7" s="33" t="n">
        <v>0</v>
      </c>
      <c r="RH7" s="33" t="n">
        <v>0</v>
      </c>
      <c r="RI7" s="33" t="n">
        <v>0</v>
      </c>
      <c r="RJ7" s="33" t="n">
        <v>0</v>
      </c>
      <c r="RK7" s="33" t="n">
        <v>0</v>
      </c>
      <c r="RL7" s="33" t="n">
        <v>0</v>
      </c>
      <c r="RM7" s="33" t="n">
        <v>0</v>
      </c>
      <c r="RN7" s="33" t="n">
        <v>0</v>
      </c>
      <c r="RO7" s="33" t="n">
        <v>0</v>
      </c>
      <c r="RP7" s="33" t="n">
        <v>0</v>
      </c>
      <c r="RQ7" s="33" t="n">
        <v>0</v>
      </c>
      <c r="RR7" s="33" t="n">
        <v>0</v>
      </c>
      <c r="RS7" s="33" t="n">
        <v>0</v>
      </c>
      <c r="RT7" s="33" t="n">
        <v>0</v>
      </c>
      <c r="RU7" s="33" t="n">
        <v>0</v>
      </c>
      <c r="RV7" s="33" t="n">
        <v>0</v>
      </c>
      <c r="RW7" s="33" t="n">
        <v>0</v>
      </c>
    </row>
    <row r="8" hidden="1" outlineLevel="1" ht="13.05" customHeight="1">
      <c r="E8" s="21" t="inlineStr">
        <is>
          <t>Inverter Replacement</t>
        </is>
      </c>
      <c r="F8" s="29" t="n"/>
      <c r="G8" s="29" t="inlineStr">
        <is>
          <t>kEUR</t>
        </is>
      </c>
      <c r="H8" s="29" t="n"/>
      <c r="I8" s="29" t="n"/>
      <c r="J8" s="32" t="n">
        <v>0</v>
      </c>
      <c r="K8" s="29" t="n"/>
      <c r="L8" s="33" t="n">
        <v>0</v>
      </c>
      <c r="M8" s="33" t="n">
        <v>0</v>
      </c>
      <c r="N8" s="33" t="n">
        <v>0</v>
      </c>
      <c r="O8" s="33" t="n">
        <v>0</v>
      </c>
      <c r="P8" s="33" t="n">
        <v>0</v>
      </c>
      <c r="Q8" s="33" t="n">
        <v>0</v>
      </c>
      <c r="R8" s="33" t="n">
        <v>0</v>
      </c>
      <c r="S8" s="33" t="n">
        <v>0</v>
      </c>
      <c r="T8" s="33" t="n">
        <v>0</v>
      </c>
      <c r="U8" s="33" t="n">
        <v>0</v>
      </c>
      <c r="V8" s="33" t="n">
        <v>0</v>
      </c>
      <c r="W8" s="33" t="n">
        <v>0</v>
      </c>
      <c r="X8" s="33" t="n">
        <v>0</v>
      </c>
      <c r="Y8" s="33" t="n">
        <v>0</v>
      </c>
      <c r="Z8" s="33" t="n">
        <v>0</v>
      </c>
      <c r="AA8" s="33" t="n">
        <v>0</v>
      </c>
      <c r="AB8" s="33" t="n">
        <v>0</v>
      </c>
      <c r="AC8" s="33" t="n">
        <v>0</v>
      </c>
      <c r="AD8" s="33" t="n">
        <v>0</v>
      </c>
      <c r="AE8" s="33" t="n">
        <v>0</v>
      </c>
      <c r="AF8" s="33" t="n">
        <v>0</v>
      </c>
      <c r="AG8" s="33" t="n">
        <v>0</v>
      </c>
      <c r="AH8" s="33" t="n">
        <v>0</v>
      </c>
      <c r="AI8" s="33" t="n">
        <v>0</v>
      </c>
      <c r="AJ8" s="33" t="n">
        <v>0</v>
      </c>
      <c r="AK8" s="33" t="n">
        <v>0</v>
      </c>
      <c r="AL8" s="33" t="n">
        <v>0</v>
      </c>
      <c r="AM8" s="33" t="n">
        <v>0</v>
      </c>
      <c r="AN8" s="33" t="n">
        <v>0</v>
      </c>
      <c r="AO8" s="33" t="n">
        <v>0</v>
      </c>
      <c r="AP8" s="33" t="n">
        <v>0</v>
      </c>
      <c r="AQ8" s="33" t="n">
        <v>0</v>
      </c>
      <c r="AR8" s="33" t="n">
        <v>0</v>
      </c>
      <c r="AS8" s="33" t="n">
        <v>0</v>
      </c>
      <c r="AT8" s="33" t="n">
        <v>0</v>
      </c>
      <c r="AU8" s="33" t="n">
        <v>0</v>
      </c>
      <c r="AV8" s="33" t="n">
        <v>0</v>
      </c>
      <c r="AW8" s="33" t="n">
        <v>0</v>
      </c>
      <c r="AX8" s="33" t="n">
        <v>0</v>
      </c>
      <c r="AY8" s="33" t="n">
        <v>0</v>
      </c>
      <c r="AZ8" s="33" t="n">
        <v>0</v>
      </c>
      <c r="BA8" s="33" t="n">
        <v>0</v>
      </c>
      <c r="BB8" s="33" t="n">
        <v>0</v>
      </c>
      <c r="BC8" s="33" t="n">
        <v>0</v>
      </c>
      <c r="BD8" s="33" t="n">
        <v>0</v>
      </c>
      <c r="BE8" s="33" t="n">
        <v>0</v>
      </c>
      <c r="BF8" s="33" t="n">
        <v>0</v>
      </c>
      <c r="BG8" s="33" t="n">
        <v>0</v>
      </c>
      <c r="BH8" s="33" t="n">
        <v>0</v>
      </c>
      <c r="BI8" s="33" t="n">
        <v>0</v>
      </c>
      <c r="BJ8" s="33" t="n">
        <v>0</v>
      </c>
      <c r="BK8" s="33" t="n">
        <v>0</v>
      </c>
      <c r="BL8" s="33" t="n">
        <v>0</v>
      </c>
      <c r="BM8" s="33" t="n">
        <v>0</v>
      </c>
      <c r="BN8" s="33" t="n">
        <v>0</v>
      </c>
      <c r="BO8" s="33" t="n">
        <v>0</v>
      </c>
      <c r="BP8" s="33" t="n">
        <v>0</v>
      </c>
      <c r="BQ8" s="33" t="n">
        <v>0</v>
      </c>
      <c r="BR8" s="33" t="n">
        <v>0</v>
      </c>
      <c r="BS8" s="33" t="n">
        <v>0</v>
      </c>
      <c r="BT8" s="33" t="n">
        <v>0</v>
      </c>
      <c r="BU8" s="33" t="n">
        <v>0</v>
      </c>
      <c r="BV8" s="33" t="n">
        <v>0</v>
      </c>
      <c r="BW8" s="33" t="n">
        <v>0</v>
      </c>
      <c r="BX8" s="33" t="n">
        <v>0</v>
      </c>
      <c r="BY8" s="33" t="n">
        <v>0</v>
      </c>
      <c r="BZ8" s="33" t="n">
        <v>0</v>
      </c>
      <c r="CA8" s="33" t="n">
        <v>0</v>
      </c>
      <c r="CB8" s="33" t="n">
        <v>0</v>
      </c>
      <c r="CC8" s="33" t="n">
        <v>0</v>
      </c>
      <c r="CD8" s="33" t="n">
        <v>0</v>
      </c>
      <c r="CE8" s="33" t="n">
        <v>0</v>
      </c>
      <c r="CF8" s="33" t="n">
        <v>0</v>
      </c>
      <c r="CG8" s="33" t="n">
        <v>0</v>
      </c>
      <c r="CH8" s="33" t="n">
        <v>0</v>
      </c>
      <c r="CI8" s="33" t="n">
        <v>0</v>
      </c>
      <c r="CJ8" s="33" t="n">
        <v>0</v>
      </c>
      <c r="CK8" s="33" t="n">
        <v>0</v>
      </c>
      <c r="CL8" s="33" t="n">
        <v>0</v>
      </c>
      <c r="CM8" s="33" t="n">
        <v>0</v>
      </c>
      <c r="CN8" s="33" t="n">
        <v>0</v>
      </c>
      <c r="CO8" s="33" t="n">
        <v>0</v>
      </c>
      <c r="CP8" s="33" t="n">
        <v>0</v>
      </c>
      <c r="CQ8" s="33" t="n">
        <v>0</v>
      </c>
      <c r="CR8" s="33" t="n">
        <v>0</v>
      </c>
      <c r="CS8" s="33" t="n">
        <v>0</v>
      </c>
      <c r="CT8" s="33" t="n">
        <v>0</v>
      </c>
      <c r="CU8" s="33" t="n">
        <v>0</v>
      </c>
      <c r="CV8" s="33" t="n">
        <v>0</v>
      </c>
      <c r="CW8" s="33" t="n">
        <v>0</v>
      </c>
      <c r="CX8" s="33" t="n">
        <v>0</v>
      </c>
      <c r="CY8" s="33" t="n">
        <v>0</v>
      </c>
      <c r="CZ8" s="33" t="n">
        <v>0</v>
      </c>
      <c r="DA8" s="33" t="n">
        <v>0</v>
      </c>
      <c r="DB8" s="33" t="n">
        <v>0</v>
      </c>
      <c r="DC8" s="33" t="n">
        <v>0</v>
      </c>
      <c r="DD8" s="33" t="n">
        <v>0</v>
      </c>
      <c r="DE8" s="33" t="n">
        <v>0</v>
      </c>
      <c r="DF8" s="33" t="n">
        <v>0</v>
      </c>
      <c r="DG8" s="33" t="n">
        <v>0</v>
      </c>
      <c r="DH8" s="33" t="n">
        <v>0</v>
      </c>
      <c r="DI8" s="33" t="n">
        <v>0</v>
      </c>
      <c r="DJ8" s="33" t="n">
        <v>0</v>
      </c>
      <c r="DK8" s="33" t="n">
        <v>0</v>
      </c>
      <c r="DL8" s="33" t="n">
        <v>0</v>
      </c>
      <c r="DM8" s="33" t="n">
        <v>0</v>
      </c>
      <c r="DN8" s="33" t="n">
        <v>0</v>
      </c>
      <c r="DO8" s="33" t="n">
        <v>0</v>
      </c>
      <c r="DP8" s="33" t="n">
        <v>0</v>
      </c>
      <c r="DQ8" s="33" t="n">
        <v>0</v>
      </c>
      <c r="DR8" s="33" t="n">
        <v>0</v>
      </c>
      <c r="DS8" s="33" t="n">
        <v>0</v>
      </c>
      <c r="DT8" s="33" t="n">
        <v>0</v>
      </c>
      <c r="DU8" s="33" t="n">
        <v>0</v>
      </c>
      <c r="DV8" s="33" t="n">
        <v>0</v>
      </c>
      <c r="DW8" s="33" t="n">
        <v>0</v>
      </c>
      <c r="DX8" s="33" t="n">
        <v>0</v>
      </c>
      <c r="DY8" s="33" t="n">
        <v>0</v>
      </c>
      <c r="DZ8" s="33" t="n">
        <v>0</v>
      </c>
      <c r="EA8" s="33" t="n">
        <v>0</v>
      </c>
      <c r="EB8" s="33" t="n">
        <v>0</v>
      </c>
      <c r="EC8" s="33" t="n">
        <v>0</v>
      </c>
      <c r="ED8" s="33" t="n">
        <v>0</v>
      </c>
      <c r="EE8" s="33" t="n">
        <v>0</v>
      </c>
      <c r="EF8" s="33" t="n">
        <v>0</v>
      </c>
      <c r="EG8" s="33" t="n">
        <v>0</v>
      </c>
      <c r="EH8" s="33" t="n">
        <v>0</v>
      </c>
      <c r="EI8" s="33" t="n">
        <v>0</v>
      </c>
      <c r="EJ8" s="33" t="n">
        <v>0</v>
      </c>
      <c r="EK8" s="33" t="n">
        <v>0</v>
      </c>
      <c r="EL8" s="33" t="n">
        <v>0</v>
      </c>
      <c r="EM8" s="33" t="n">
        <v>0</v>
      </c>
      <c r="EN8" s="33" t="n">
        <v>0</v>
      </c>
      <c r="EO8" s="33" t="n">
        <v>0</v>
      </c>
      <c r="EP8" s="33" t="n">
        <v>0</v>
      </c>
      <c r="EQ8" s="33" t="n">
        <v>0</v>
      </c>
      <c r="ER8" s="33" t="n">
        <v>0</v>
      </c>
      <c r="ES8" s="33" t="n">
        <v>0</v>
      </c>
      <c r="ET8" s="33" t="n">
        <v>0</v>
      </c>
      <c r="EU8" s="33" t="n">
        <v>0</v>
      </c>
      <c r="EV8" s="33" t="n">
        <v>0</v>
      </c>
      <c r="EW8" s="33" t="n">
        <v>0</v>
      </c>
      <c r="EX8" s="33" t="n">
        <v>0</v>
      </c>
      <c r="EY8" s="33" t="n">
        <v>0</v>
      </c>
      <c r="EZ8" s="33" t="n">
        <v>0</v>
      </c>
      <c r="FA8" s="33" t="n">
        <v>0</v>
      </c>
      <c r="FB8" s="33" t="n">
        <v>0</v>
      </c>
      <c r="FC8" s="33" t="n">
        <v>0</v>
      </c>
      <c r="FD8" s="33" t="n">
        <v>0</v>
      </c>
      <c r="FE8" s="33" t="n">
        <v>0</v>
      </c>
      <c r="FF8" s="33" t="n">
        <v>0</v>
      </c>
      <c r="FG8" s="33" t="n">
        <v>0</v>
      </c>
      <c r="FH8" s="33" t="n">
        <v>0</v>
      </c>
      <c r="FI8" s="33" t="n">
        <v>0</v>
      </c>
      <c r="FJ8" s="33" t="n">
        <v>0</v>
      </c>
      <c r="FK8" s="33" t="n">
        <v>0</v>
      </c>
      <c r="FL8" s="33" t="n">
        <v>0</v>
      </c>
      <c r="FM8" s="33" t="n">
        <v>0</v>
      </c>
      <c r="FN8" s="33" t="n">
        <v>0</v>
      </c>
      <c r="FO8" s="33" t="n">
        <v>0</v>
      </c>
      <c r="FP8" s="33" t="n">
        <v>0</v>
      </c>
      <c r="FQ8" s="33" t="n">
        <v>0</v>
      </c>
      <c r="FR8" s="33" t="n">
        <v>0</v>
      </c>
      <c r="FS8" s="33" t="n">
        <v>0</v>
      </c>
      <c r="FT8" s="33" t="n">
        <v>0</v>
      </c>
      <c r="FU8" s="33" t="n">
        <v>0</v>
      </c>
      <c r="FV8" s="33" t="n">
        <v>0</v>
      </c>
      <c r="FW8" s="33" t="n">
        <v>0</v>
      </c>
      <c r="FX8" s="33" t="n">
        <v>0</v>
      </c>
      <c r="FY8" s="33" t="n">
        <v>0</v>
      </c>
      <c r="FZ8" s="33" t="n">
        <v>0</v>
      </c>
      <c r="GA8" s="33" t="n">
        <v>0</v>
      </c>
      <c r="GB8" s="33" t="n">
        <v>0</v>
      </c>
      <c r="GC8" s="33" t="n">
        <v>0</v>
      </c>
      <c r="GD8" s="33" t="n">
        <v>0</v>
      </c>
      <c r="GE8" s="33" t="n">
        <v>0</v>
      </c>
      <c r="GF8" s="33" t="n">
        <v>0</v>
      </c>
      <c r="GG8" s="33" t="n">
        <v>0</v>
      </c>
      <c r="GH8" s="33" t="n">
        <v>0</v>
      </c>
      <c r="GI8" s="33" t="n">
        <v>0</v>
      </c>
      <c r="GJ8" s="33" t="n">
        <v>0</v>
      </c>
      <c r="GK8" s="33" t="n">
        <v>0</v>
      </c>
      <c r="GL8" s="33" t="n">
        <v>0</v>
      </c>
      <c r="GM8" s="33" t="n">
        <v>0</v>
      </c>
      <c r="GN8" s="33" t="n">
        <v>0</v>
      </c>
      <c r="GO8" s="33" t="n">
        <v>0</v>
      </c>
      <c r="GP8" s="33" t="n">
        <v>0</v>
      </c>
      <c r="GQ8" s="33" t="n">
        <v>0</v>
      </c>
      <c r="GR8" s="33" t="n">
        <v>0</v>
      </c>
      <c r="GS8" s="33" t="n">
        <v>0</v>
      </c>
      <c r="GT8" s="33" t="n">
        <v>0</v>
      </c>
      <c r="GU8" s="33" t="n">
        <v>0</v>
      </c>
      <c r="GV8" s="33" t="n">
        <v>0</v>
      </c>
      <c r="GW8" s="33" t="n">
        <v>0</v>
      </c>
      <c r="GX8" s="33" t="n">
        <v>0</v>
      </c>
      <c r="GY8" s="33" t="n">
        <v>0</v>
      </c>
      <c r="GZ8" s="33" t="n">
        <v>0</v>
      </c>
      <c r="HA8" s="33" t="n">
        <v>0</v>
      </c>
      <c r="HB8" s="33" t="n">
        <v>0</v>
      </c>
      <c r="HC8" s="33" t="n">
        <v>0</v>
      </c>
      <c r="HD8" s="33" t="n">
        <v>0</v>
      </c>
      <c r="HE8" s="33" t="n">
        <v>0</v>
      </c>
      <c r="HF8" s="33" t="n">
        <v>0</v>
      </c>
      <c r="HG8" s="33" t="n">
        <v>0</v>
      </c>
      <c r="HH8" s="33" t="n">
        <v>0</v>
      </c>
      <c r="HI8" s="33" t="n">
        <v>0</v>
      </c>
      <c r="HJ8" s="33" t="n">
        <v>0</v>
      </c>
      <c r="HK8" s="33" t="n">
        <v>0</v>
      </c>
      <c r="HL8" s="33" t="n">
        <v>0</v>
      </c>
      <c r="HM8" s="33" t="n">
        <v>0</v>
      </c>
      <c r="HN8" s="33" t="n">
        <v>0</v>
      </c>
      <c r="HO8" s="33" t="n">
        <v>0</v>
      </c>
      <c r="HP8" s="33" t="n">
        <v>0</v>
      </c>
      <c r="HQ8" s="33" t="n">
        <v>0</v>
      </c>
      <c r="HR8" s="33" t="n">
        <v>0</v>
      </c>
      <c r="HS8" s="33" t="n">
        <v>0</v>
      </c>
      <c r="HT8" s="33" t="n">
        <v>0</v>
      </c>
      <c r="HU8" s="33" t="n">
        <v>0</v>
      </c>
      <c r="HV8" s="33" t="n">
        <v>0</v>
      </c>
      <c r="HW8" s="33" t="n">
        <v>0</v>
      </c>
      <c r="HX8" s="33" t="n">
        <v>0</v>
      </c>
      <c r="HY8" s="33" t="n">
        <v>0</v>
      </c>
      <c r="HZ8" s="33" t="n">
        <v>0</v>
      </c>
      <c r="IA8" s="33" t="n">
        <v>0</v>
      </c>
      <c r="IB8" s="33" t="n">
        <v>0</v>
      </c>
      <c r="IC8" s="33" t="n">
        <v>0</v>
      </c>
      <c r="ID8" s="33" t="n">
        <v>0</v>
      </c>
      <c r="IE8" s="33" t="n">
        <v>0</v>
      </c>
      <c r="IF8" s="33" t="n">
        <v>0</v>
      </c>
      <c r="IG8" s="33" t="n">
        <v>0</v>
      </c>
      <c r="IH8" s="33" t="n">
        <v>0</v>
      </c>
      <c r="II8" s="33" t="n">
        <v>0</v>
      </c>
      <c r="IJ8" s="33" t="n">
        <v>0</v>
      </c>
      <c r="IK8" s="33" t="n">
        <v>0</v>
      </c>
      <c r="IL8" s="33" t="n">
        <v>0</v>
      </c>
      <c r="IM8" s="33" t="n">
        <v>0</v>
      </c>
      <c r="IN8" s="33" t="n">
        <v>0</v>
      </c>
      <c r="IO8" s="33" t="n">
        <v>0</v>
      </c>
      <c r="IP8" s="33" t="n">
        <v>0</v>
      </c>
      <c r="IQ8" s="33" t="n">
        <v>0</v>
      </c>
      <c r="IR8" s="33" t="n">
        <v>0</v>
      </c>
      <c r="IS8" s="33" t="n">
        <v>0</v>
      </c>
      <c r="IT8" s="33" t="n">
        <v>0</v>
      </c>
      <c r="IU8" s="33" t="n">
        <v>0</v>
      </c>
      <c r="IV8" s="33" t="n">
        <v>0</v>
      </c>
      <c r="IW8" s="33" t="n">
        <v>0</v>
      </c>
      <c r="IX8" s="33" t="n">
        <v>0</v>
      </c>
      <c r="IY8" s="33" t="n">
        <v>0</v>
      </c>
      <c r="IZ8" s="33" t="n">
        <v>0</v>
      </c>
      <c r="JA8" s="33" t="n">
        <v>0</v>
      </c>
      <c r="JB8" s="33" t="n">
        <v>0</v>
      </c>
      <c r="JC8" s="33" t="n">
        <v>0</v>
      </c>
      <c r="JD8" s="33" t="n">
        <v>0</v>
      </c>
      <c r="JE8" s="33" t="n">
        <v>0</v>
      </c>
      <c r="JF8" s="33" t="n">
        <v>0</v>
      </c>
      <c r="JG8" s="33" t="n">
        <v>0</v>
      </c>
      <c r="JH8" s="33" t="n">
        <v>0</v>
      </c>
      <c r="JI8" s="33" t="n">
        <v>0</v>
      </c>
      <c r="JJ8" s="33" t="n">
        <v>0</v>
      </c>
      <c r="JK8" s="33" t="n">
        <v>0</v>
      </c>
      <c r="JL8" s="33" t="n">
        <v>0</v>
      </c>
      <c r="JM8" s="33" t="n">
        <v>0</v>
      </c>
      <c r="JN8" s="33" t="n">
        <v>0</v>
      </c>
      <c r="JO8" s="33" t="n">
        <v>0</v>
      </c>
      <c r="JP8" s="33" t="n">
        <v>0</v>
      </c>
      <c r="JQ8" s="33" t="n">
        <v>0</v>
      </c>
      <c r="JR8" s="33" t="n">
        <v>0</v>
      </c>
      <c r="JS8" s="33" t="n">
        <v>0</v>
      </c>
      <c r="JT8" s="33" t="n">
        <v>0</v>
      </c>
      <c r="JU8" s="33" t="n">
        <v>0</v>
      </c>
      <c r="JV8" s="33" t="n">
        <v>0</v>
      </c>
      <c r="JW8" s="33" t="n">
        <v>0</v>
      </c>
      <c r="JX8" s="33" t="n">
        <v>0</v>
      </c>
      <c r="JY8" s="33" t="n">
        <v>0</v>
      </c>
      <c r="JZ8" s="33" t="n">
        <v>0</v>
      </c>
      <c r="KA8" s="33" t="n">
        <v>0</v>
      </c>
      <c r="KB8" s="33" t="n">
        <v>0</v>
      </c>
      <c r="KC8" s="33" t="n">
        <v>0</v>
      </c>
      <c r="KD8" s="33" t="n">
        <v>0</v>
      </c>
      <c r="KE8" s="33" t="n">
        <v>0</v>
      </c>
      <c r="KF8" s="33" t="n">
        <v>0</v>
      </c>
      <c r="KG8" s="33" t="n">
        <v>0</v>
      </c>
      <c r="KH8" s="33" t="n">
        <v>0</v>
      </c>
      <c r="KI8" s="33" t="n">
        <v>0</v>
      </c>
      <c r="KJ8" s="33" t="n">
        <v>0</v>
      </c>
      <c r="KK8" s="33" t="n">
        <v>0</v>
      </c>
      <c r="KL8" s="33" t="n">
        <v>0</v>
      </c>
      <c r="KM8" s="33" t="n">
        <v>0</v>
      </c>
      <c r="KN8" s="33" t="n">
        <v>0</v>
      </c>
      <c r="KO8" s="33" t="n">
        <v>0</v>
      </c>
      <c r="KP8" s="33" t="n">
        <v>0</v>
      </c>
      <c r="KQ8" s="33" t="n">
        <v>0</v>
      </c>
      <c r="KR8" s="33" t="n">
        <v>0</v>
      </c>
      <c r="KS8" s="33" t="n">
        <v>0</v>
      </c>
      <c r="KT8" s="33" t="n">
        <v>0</v>
      </c>
      <c r="KU8" s="33" t="n">
        <v>0</v>
      </c>
      <c r="KV8" s="33" t="n">
        <v>0</v>
      </c>
      <c r="KW8" s="33" t="n">
        <v>0</v>
      </c>
      <c r="KX8" s="33" t="n">
        <v>0</v>
      </c>
      <c r="KY8" s="33" t="n">
        <v>0</v>
      </c>
      <c r="KZ8" s="33" t="n">
        <v>0</v>
      </c>
      <c r="LA8" s="33" t="n">
        <v>0</v>
      </c>
      <c r="LB8" s="33" t="n">
        <v>0</v>
      </c>
      <c r="LC8" s="33" t="n">
        <v>0</v>
      </c>
      <c r="LD8" s="33" t="n">
        <v>0</v>
      </c>
      <c r="LE8" s="33" t="n">
        <v>0</v>
      </c>
      <c r="LF8" s="33" t="n">
        <v>0</v>
      </c>
      <c r="LG8" s="33" t="n">
        <v>0</v>
      </c>
      <c r="LH8" s="33" t="n">
        <v>0</v>
      </c>
      <c r="LI8" s="33" t="n">
        <v>0</v>
      </c>
      <c r="LJ8" s="33" t="n">
        <v>0</v>
      </c>
      <c r="LK8" s="33" t="n">
        <v>0</v>
      </c>
      <c r="LL8" s="33" t="n">
        <v>0</v>
      </c>
      <c r="LM8" s="33" t="n">
        <v>0</v>
      </c>
      <c r="LN8" s="33" t="n">
        <v>0</v>
      </c>
      <c r="LO8" s="33" t="n">
        <v>0</v>
      </c>
      <c r="LP8" s="33" t="n">
        <v>0</v>
      </c>
      <c r="LQ8" s="33" t="n">
        <v>0</v>
      </c>
      <c r="LR8" s="33" t="n">
        <v>0</v>
      </c>
      <c r="LS8" s="33" t="n">
        <v>0</v>
      </c>
      <c r="LT8" s="33" t="n">
        <v>0</v>
      </c>
      <c r="LU8" s="33" t="n">
        <v>0</v>
      </c>
      <c r="LV8" s="33" t="n">
        <v>0</v>
      </c>
      <c r="LW8" s="33" t="n">
        <v>0</v>
      </c>
      <c r="LX8" s="33" t="n">
        <v>0</v>
      </c>
      <c r="LY8" s="33" t="n">
        <v>0</v>
      </c>
      <c r="LZ8" s="33" t="n">
        <v>0</v>
      </c>
      <c r="MA8" s="33" t="n">
        <v>0</v>
      </c>
      <c r="MB8" s="33" t="n">
        <v>0</v>
      </c>
      <c r="MC8" s="33" t="n">
        <v>0</v>
      </c>
      <c r="MD8" s="33" t="n">
        <v>0</v>
      </c>
      <c r="ME8" s="33" t="n">
        <v>0</v>
      </c>
      <c r="MF8" s="33" t="n">
        <v>0</v>
      </c>
      <c r="MG8" s="33" t="n">
        <v>0</v>
      </c>
      <c r="MH8" s="33" t="n">
        <v>0</v>
      </c>
      <c r="MI8" s="33" t="n">
        <v>0</v>
      </c>
      <c r="MJ8" s="33" t="n">
        <v>0</v>
      </c>
      <c r="MK8" s="33" t="n">
        <v>0</v>
      </c>
      <c r="ML8" s="33" t="n">
        <v>0</v>
      </c>
      <c r="MM8" s="33" t="n">
        <v>0</v>
      </c>
      <c r="MN8" s="33" t="n">
        <v>0</v>
      </c>
      <c r="MO8" s="33" t="n">
        <v>0</v>
      </c>
      <c r="MP8" s="33" t="n">
        <v>0</v>
      </c>
      <c r="MQ8" s="33" t="n">
        <v>0</v>
      </c>
      <c r="MR8" s="33" t="n">
        <v>0</v>
      </c>
      <c r="MS8" s="33" t="n">
        <v>0</v>
      </c>
      <c r="MT8" s="33" t="n">
        <v>0</v>
      </c>
      <c r="MU8" s="33" t="n">
        <v>0</v>
      </c>
      <c r="MV8" s="33" t="n">
        <v>0</v>
      </c>
      <c r="MW8" s="33" t="n">
        <v>0</v>
      </c>
      <c r="MX8" s="33" t="n">
        <v>0</v>
      </c>
      <c r="MY8" s="33" t="n">
        <v>0</v>
      </c>
      <c r="MZ8" s="33" t="n">
        <v>0</v>
      </c>
      <c r="NA8" s="33" t="n">
        <v>0</v>
      </c>
      <c r="NB8" s="33" t="n">
        <v>0</v>
      </c>
      <c r="NC8" s="33" t="n">
        <v>0</v>
      </c>
      <c r="ND8" s="33" t="n">
        <v>0</v>
      </c>
      <c r="NE8" s="33" t="n">
        <v>0</v>
      </c>
      <c r="NF8" s="33" t="n">
        <v>0</v>
      </c>
      <c r="NG8" s="33" t="n">
        <v>0</v>
      </c>
      <c r="NH8" s="33" t="n">
        <v>0</v>
      </c>
      <c r="NI8" s="33" t="n">
        <v>0</v>
      </c>
      <c r="NJ8" s="33" t="n">
        <v>0</v>
      </c>
      <c r="NK8" s="33" t="n">
        <v>0</v>
      </c>
      <c r="NL8" s="33" t="n">
        <v>0</v>
      </c>
      <c r="NM8" s="33" t="n">
        <v>0</v>
      </c>
      <c r="NN8" s="33" t="n">
        <v>0</v>
      </c>
      <c r="NO8" s="33" t="n">
        <v>0</v>
      </c>
      <c r="NP8" s="33" t="n">
        <v>0</v>
      </c>
      <c r="NQ8" s="33" t="n">
        <v>0</v>
      </c>
      <c r="NR8" s="33" t="n">
        <v>0</v>
      </c>
      <c r="NS8" s="33" t="n">
        <v>0</v>
      </c>
      <c r="NT8" s="33" t="n">
        <v>0</v>
      </c>
      <c r="NU8" s="33" t="n">
        <v>0</v>
      </c>
      <c r="NV8" s="33" t="n">
        <v>0</v>
      </c>
      <c r="NW8" s="33" t="n">
        <v>0</v>
      </c>
      <c r="NX8" s="33" t="n">
        <v>0</v>
      </c>
      <c r="NY8" s="33" t="n">
        <v>0</v>
      </c>
      <c r="NZ8" s="33" t="n">
        <v>0</v>
      </c>
      <c r="OA8" s="33" t="n">
        <v>0</v>
      </c>
      <c r="OB8" s="33" t="n">
        <v>0</v>
      </c>
      <c r="OC8" s="33" t="n">
        <v>0</v>
      </c>
      <c r="OD8" s="33" t="n">
        <v>0</v>
      </c>
      <c r="OE8" s="33" t="n">
        <v>0</v>
      </c>
      <c r="OF8" s="33" t="n">
        <v>0</v>
      </c>
      <c r="OG8" s="33" t="n">
        <v>0</v>
      </c>
      <c r="OH8" s="33" t="n">
        <v>0</v>
      </c>
      <c r="OI8" s="33" t="n">
        <v>0</v>
      </c>
      <c r="OJ8" s="33" t="n">
        <v>0</v>
      </c>
      <c r="OK8" s="33" t="n">
        <v>0</v>
      </c>
      <c r="OL8" s="33" t="n">
        <v>0</v>
      </c>
      <c r="OM8" s="33" t="n">
        <v>0</v>
      </c>
      <c r="ON8" s="33" t="n">
        <v>0</v>
      </c>
      <c r="OO8" s="33" t="n">
        <v>0</v>
      </c>
      <c r="OP8" s="33" t="n">
        <v>0</v>
      </c>
      <c r="OQ8" s="33" t="n">
        <v>0</v>
      </c>
      <c r="OR8" s="33" t="n">
        <v>0</v>
      </c>
      <c r="OS8" s="33" t="n">
        <v>0</v>
      </c>
      <c r="OT8" s="33" t="n">
        <v>0</v>
      </c>
      <c r="OU8" s="33" t="n">
        <v>0</v>
      </c>
      <c r="OV8" s="33" t="n">
        <v>0</v>
      </c>
      <c r="OW8" s="33" t="n">
        <v>0</v>
      </c>
      <c r="OX8" s="33" t="n">
        <v>0</v>
      </c>
      <c r="OY8" s="33" t="n">
        <v>0</v>
      </c>
      <c r="OZ8" s="33" t="n">
        <v>0</v>
      </c>
      <c r="PA8" s="33" t="n">
        <v>0</v>
      </c>
      <c r="PB8" s="33" t="n">
        <v>0</v>
      </c>
      <c r="PC8" s="33" t="n">
        <v>0</v>
      </c>
      <c r="PD8" s="33" t="n">
        <v>0</v>
      </c>
      <c r="PE8" s="33" t="n">
        <v>0</v>
      </c>
      <c r="PF8" s="33" t="n">
        <v>0</v>
      </c>
      <c r="PG8" s="33" t="n">
        <v>0</v>
      </c>
      <c r="PH8" s="33" t="n">
        <v>0</v>
      </c>
      <c r="PI8" s="33" t="n">
        <v>0</v>
      </c>
      <c r="PJ8" s="33" t="n">
        <v>0</v>
      </c>
      <c r="PK8" s="33" t="n">
        <v>0</v>
      </c>
      <c r="PL8" s="33" t="n">
        <v>0</v>
      </c>
      <c r="PM8" s="33" t="n">
        <v>0</v>
      </c>
      <c r="PN8" s="33" t="n">
        <v>0</v>
      </c>
      <c r="PO8" s="33" t="n">
        <v>0</v>
      </c>
      <c r="PP8" s="33" t="n">
        <v>0</v>
      </c>
      <c r="PQ8" s="33" t="n">
        <v>0</v>
      </c>
      <c r="PR8" s="33" t="n">
        <v>0</v>
      </c>
      <c r="PS8" s="33" t="n">
        <v>0</v>
      </c>
      <c r="PT8" s="33" t="n">
        <v>0</v>
      </c>
      <c r="PU8" s="33" t="n">
        <v>0</v>
      </c>
      <c r="PV8" s="33" t="n">
        <v>0</v>
      </c>
      <c r="PW8" s="33" t="n">
        <v>0</v>
      </c>
      <c r="PX8" s="33" t="n">
        <v>0</v>
      </c>
      <c r="PY8" s="33" t="n">
        <v>0</v>
      </c>
      <c r="PZ8" s="33" t="n">
        <v>0</v>
      </c>
      <c r="QA8" s="33" t="n">
        <v>0</v>
      </c>
      <c r="QB8" s="33" t="n">
        <v>0</v>
      </c>
      <c r="QC8" s="33" t="n">
        <v>0</v>
      </c>
      <c r="QD8" s="33" t="n">
        <v>0</v>
      </c>
      <c r="QE8" s="33" t="n">
        <v>0</v>
      </c>
      <c r="QF8" s="33" t="n">
        <v>0</v>
      </c>
      <c r="QG8" s="33" t="n">
        <v>0</v>
      </c>
      <c r="QH8" s="33" t="n">
        <v>0</v>
      </c>
      <c r="QI8" s="33" t="n">
        <v>0</v>
      </c>
      <c r="QJ8" s="33" t="n">
        <v>0</v>
      </c>
      <c r="QK8" s="33" t="n">
        <v>0</v>
      </c>
      <c r="QL8" s="33" t="n">
        <v>0</v>
      </c>
      <c r="QM8" s="33" t="n">
        <v>0</v>
      </c>
      <c r="QN8" s="33" t="n">
        <v>0</v>
      </c>
      <c r="QO8" s="33" t="n">
        <v>0</v>
      </c>
      <c r="QP8" s="33" t="n">
        <v>0</v>
      </c>
      <c r="QQ8" s="33" t="n">
        <v>0</v>
      </c>
      <c r="QR8" s="33" t="n">
        <v>0</v>
      </c>
      <c r="QS8" s="33" t="n">
        <v>0</v>
      </c>
      <c r="QT8" s="33" t="n">
        <v>0</v>
      </c>
      <c r="QU8" s="33" t="n">
        <v>0</v>
      </c>
      <c r="QV8" s="33" t="n">
        <v>0</v>
      </c>
      <c r="QW8" s="33" t="n">
        <v>0</v>
      </c>
      <c r="QX8" s="33" t="n">
        <v>0</v>
      </c>
      <c r="QY8" s="33" t="n">
        <v>0</v>
      </c>
      <c r="QZ8" s="33" t="n">
        <v>0</v>
      </c>
      <c r="RA8" s="33" t="n">
        <v>0</v>
      </c>
      <c r="RB8" s="33" t="n">
        <v>0</v>
      </c>
      <c r="RC8" s="33" t="n">
        <v>0</v>
      </c>
      <c r="RD8" s="33" t="n">
        <v>0</v>
      </c>
      <c r="RE8" s="33" t="n">
        <v>0</v>
      </c>
      <c r="RF8" s="33" t="n">
        <v>0</v>
      </c>
      <c r="RG8" s="33" t="n">
        <v>0</v>
      </c>
      <c r="RH8" s="33" t="n">
        <v>0</v>
      </c>
      <c r="RI8" s="33" t="n">
        <v>0</v>
      </c>
      <c r="RJ8" s="33" t="n">
        <v>0</v>
      </c>
      <c r="RK8" s="33" t="n">
        <v>0</v>
      </c>
      <c r="RL8" s="33" t="n">
        <v>0</v>
      </c>
      <c r="RM8" s="33" t="n">
        <v>0</v>
      </c>
      <c r="RN8" s="33" t="n">
        <v>0</v>
      </c>
      <c r="RO8" s="33" t="n">
        <v>0</v>
      </c>
      <c r="RP8" s="33" t="n">
        <v>0</v>
      </c>
      <c r="RQ8" s="33" t="n">
        <v>0</v>
      </c>
      <c r="RR8" s="33" t="n">
        <v>0</v>
      </c>
      <c r="RS8" s="33" t="n">
        <v>0</v>
      </c>
      <c r="RT8" s="33" t="n">
        <v>0</v>
      </c>
      <c r="RU8" s="33" t="n">
        <v>0</v>
      </c>
      <c r="RV8" s="33" t="n">
        <v>0</v>
      </c>
      <c r="RW8" s="33" t="n">
        <v>0</v>
      </c>
    </row>
    <row r="9" hidden="1" outlineLevel="1" ht="13.05" customHeight="1">
      <c r="E9" s="21" t="inlineStr">
        <is>
          <t>Land Lease (rented)</t>
        </is>
      </c>
      <c r="F9" s="29" t="n"/>
      <c r="G9" s="29" t="inlineStr">
        <is>
          <t>kEUR</t>
        </is>
      </c>
      <c r="H9" s="29" t="n"/>
      <c r="I9" s="29" t="n"/>
      <c r="J9" s="32" t="n">
        <v>0</v>
      </c>
      <c r="K9" s="29" t="n"/>
      <c r="L9" s="33" t="n">
        <v>0</v>
      </c>
      <c r="M9" s="33" t="n">
        <v>0</v>
      </c>
      <c r="N9" s="33" t="n">
        <v>0</v>
      </c>
      <c r="O9" s="33" t="n">
        <v>0</v>
      </c>
      <c r="P9" s="33" t="n">
        <v>0</v>
      </c>
      <c r="Q9" s="33" t="n">
        <v>0</v>
      </c>
      <c r="R9" s="33" t="n">
        <v>0</v>
      </c>
      <c r="S9" s="33" t="n">
        <v>0</v>
      </c>
      <c r="T9" s="33" t="n">
        <v>0</v>
      </c>
      <c r="U9" s="33" t="n">
        <v>0</v>
      </c>
      <c r="V9" s="33" t="n">
        <v>0</v>
      </c>
      <c r="W9" s="33" t="n">
        <v>0</v>
      </c>
      <c r="X9" s="33" t="n">
        <v>0</v>
      </c>
      <c r="Y9" s="33" t="n">
        <v>0</v>
      </c>
      <c r="Z9" s="33" t="n">
        <v>0</v>
      </c>
      <c r="AA9" s="33" t="n">
        <v>0</v>
      </c>
      <c r="AB9" s="33" t="n">
        <v>0</v>
      </c>
      <c r="AC9" s="33" t="n">
        <v>0</v>
      </c>
      <c r="AD9" s="33" t="n">
        <v>0</v>
      </c>
      <c r="AE9" s="33" t="n">
        <v>0</v>
      </c>
      <c r="AF9" s="33" t="n">
        <v>0</v>
      </c>
      <c r="AG9" s="33" t="n">
        <v>0</v>
      </c>
      <c r="AH9" s="33" t="n">
        <v>0</v>
      </c>
      <c r="AI9" s="33" t="n">
        <v>0</v>
      </c>
      <c r="AJ9" s="33" t="n">
        <v>0</v>
      </c>
      <c r="AK9" s="33" t="n">
        <v>0</v>
      </c>
      <c r="AL9" s="33" t="n">
        <v>0</v>
      </c>
      <c r="AM9" s="33" t="n">
        <v>0</v>
      </c>
      <c r="AN9" s="33" t="n">
        <v>0</v>
      </c>
      <c r="AO9" s="33" t="n">
        <v>0</v>
      </c>
      <c r="AP9" s="33" t="n">
        <v>0</v>
      </c>
      <c r="AQ9" s="33" t="n">
        <v>0</v>
      </c>
      <c r="AR9" s="33" t="n">
        <v>0</v>
      </c>
      <c r="AS9" s="33" t="n">
        <v>0</v>
      </c>
      <c r="AT9" s="33" t="n">
        <v>0</v>
      </c>
      <c r="AU9" s="33" t="n">
        <v>0</v>
      </c>
      <c r="AV9" s="33" t="n">
        <v>0</v>
      </c>
      <c r="AW9" s="33" t="n">
        <v>0</v>
      </c>
      <c r="AX9" s="33" t="n">
        <v>0</v>
      </c>
      <c r="AY9" s="33" t="n">
        <v>0</v>
      </c>
      <c r="AZ9" s="33" t="n">
        <v>0</v>
      </c>
      <c r="BA9" s="33" t="n">
        <v>0</v>
      </c>
      <c r="BB9" s="33" t="n">
        <v>0</v>
      </c>
      <c r="BC9" s="33" t="n">
        <v>0</v>
      </c>
      <c r="BD9" s="33" t="n">
        <v>0</v>
      </c>
      <c r="BE9" s="33" t="n">
        <v>0</v>
      </c>
      <c r="BF9" s="33" t="n">
        <v>0</v>
      </c>
      <c r="BG9" s="33" t="n">
        <v>0</v>
      </c>
      <c r="BH9" s="33" t="n">
        <v>0</v>
      </c>
      <c r="BI9" s="33" t="n">
        <v>0</v>
      </c>
      <c r="BJ9" s="33" t="n">
        <v>0</v>
      </c>
      <c r="BK9" s="33" t="n">
        <v>0</v>
      </c>
      <c r="BL9" s="33" t="n">
        <v>0</v>
      </c>
      <c r="BM9" s="33" t="n">
        <v>0</v>
      </c>
      <c r="BN9" s="33" t="n">
        <v>0</v>
      </c>
      <c r="BO9" s="33" t="n">
        <v>0</v>
      </c>
      <c r="BP9" s="33" t="n">
        <v>0</v>
      </c>
      <c r="BQ9" s="33" t="n">
        <v>0</v>
      </c>
      <c r="BR9" s="33" t="n">
        <v>0</v>
      </c>
      <c r="BS9" s="33" t="n">
        <v>0</v>
      </c>
      <c r="BT9" s="33" t="n">
        <v>0</v>
      </c>
      <c r="BU9" s="33" t="n">
        <v>0</v>
      </c>
      <c r="BV9" s="33" t="n">
        <v>0</v>
      </c>
      <c r="BW9" s="33" t="n">
        <v>0</v>
      </c>
      <c r="BX9" s="33" t="n">
        <v>0</v>
      </c>
      <c r="BY9" s="33" t="n">
        <v>0</v>
      </c>
      <c r="BZ9" s="33" t="n">
        <v>0</v>
      </c>
      <c r="CA9" s="33" t="n">
        <v>0</v>
      </c>
      <c r="CB9" s="33" t="n">
        <v>0</v>
      </c>
      <c r="CC9" s="33" t="n">
        <v>0</v>
      </c>
      <c r="CD9" s="33" t="n">
        <v>0</v>
      </c>
      <c r="CE9" s="33" t="n">
        <v>0</v>
      </c>
      <c r="CF9" s="33" t="n">
        <v>0</v>
      </c>
      <c r="CG9" s="33" t="n">
        <v>0</v>
      </c>
      <c r="CH9" s="33" t="n">
        <v>0</v>
      </c>
      <c r="CI9" s="33" t="n">
        <v>0</v>
      </c>
      <c r="CJ9" s="33" t="n">
        <v>0</v>
      </c>
      <c r="CK9" s="33" t="n">
        <v>0</v>
      </c>
      <c r="CL9" s="33" t="n">
        <v>0</v>
      </c>
      <c r="CM9" s="33" t="n">
        <v>0</v>
      </c>
      <c r="CN9" s="33" t="n">
        <v>0</v>
      </c>
      <c r="CO9" s="33" t="n">
        <v>0</v>
      </c>
      <c r="CP9" s="33" t="n">
        <v>0</v>
      </c>
      <c r="CQ9" s="33" t="n">
        <v>0</v>
      </c>
      <c r="CR9" s="33" t="n">
        <v>0</v>
      </c>
      <c r="CS9" s="33" t="n">
        <v>0</v>
      </c>
      <c r="CT9" s="33" t="n">
        <v>0</v>
      </c>
      <c r="CU9" s="33" t="n">
        <v>0</v>
      </c>
      <c r="CV9" s="33" t="n">
        <v>0</v>
      </c>
      <c r="CW9" s="33" t="n">
        <v>0</v>
      </c>
      <c r="CX9" s="33" t="n">
        <v>0</v>
      </c>
      <c r="CY9" s="33" t="n">
        <v>0</v>
      </c>
      <c r="CZ9" s="33" t="n">
        <v>0</v>
      </c>
      <c r="DA9" s="33" t="n">
        <v>0</v>
      </c>
      <c r="DB9" s="33" t="n">
        <v>0</v>
      </c>
      <c r="DC9" s="33" t="n">
        <v>0</v>
      </c>
      <c r="DD9" s="33" t="n">
        <v>0</v>
      </c>
      <c r="DE9" s="33" t="n">
        <v>0</v>
      </c>
      <c r="DF9" s="33" t="n">
        <v>0</v>
      </c>
      <c r="DG9" s="33" t="n">
        <v>0</v>
      </c>
      <c r="DH9" s="33" t="n">
        <v>0</v>
      </c>
      <c r="DI9" s="33" t="n">
        <v>0</v>
      </c>
      <c r="DJ9" s="33" t="n">
        <v>0</v>
      </c>
      <c r="DK9" s="33" t="n">
        <v>0</v>
      </c>
      <c r="DL9" s="33" t="n">
        <v>0</v>
      </c>
      <c r="DM9" s="33" t="n">
        <v>0</v>
      </c>
      <c r="DN9" s="33" t="n">
        <v>0</v>
      </c>
      <c r="DO9" s="33" t="n">
        <v>0</v>
      </c>
      <c r="DP9" s="33" t="n">
        <v>0</v>
      </c>
      <c r="DQ9" s="33" t="n">
        <v>0</v>
      </c>
      <c r="DR9" s="33" t="n">
        <v>0</v>
      </c>
      <c r="DS9" s="33" t="n">
        <v>0</v>
      </c>
      <c r="DT9" s="33" t="n">
        <v>0</v>
      </c>
      <c r="DU9" s="33" t="n">
        <v>0</v>
      </c>
      <c r="DV9" s="33" t="n">
        <v>0</v>
      </c>
      <c r="DW9" s="33" t="n">
        <v>0</v>
      </c>
      <c r="DX9" s="33" t="n">
        <v>0</v>
      </c>
      <c r="DY9" s="33" t="n">
        <v>0</v>
      </c>
      <c r="DZ9" s="33" t="n">
        <v>0</v>
      </c>
      <c r="EA9" s="33" t="n">
        <v>0</v>
      </c>
      <c r="EB9" s="33" t="n">
        <v>0</v>
      </c>
      <c r="EC9" s="33" t="n">
        <v>0</v>
      </c>
      <c r="ED9" s="33" t="n">
        <v>0</v>
      </c>
      <c r="EE9" s="33" t="n">
        <v>0</v>
      </c>
      <c r="EF9" s="33" t="n">
        <v>0</v>
      </c>
      <c r="EG9" s="33" t="n">
        <v>0</v>
      </c>
      <c r="EH9" s="33" t="n">
        <v>0</v>
      </c>
      <c r="EI9" s="33" t="n">
        <v>0</v>
      </c>
      <c r="EJ9" s="33" t="n">
        <v>0</v>
      </c>
      <c r="EK9" s="33" t="n">
        <v>0</v>
      </c>
      <c r="EL9" s="33" t="n">
        <v>0</v>
      </c>
      <c r="EM9" s="33" t="n">
        <v>0</v>
      </c>
      <c r="EN9" s="33" t="n">
        <v>0</v>
      </c>
      <c r="EO9" s="33" t="n">
        <v>0</v>
      </c>
      <c r="EP9" s="33" t="n">
        <v>0</v>
      </c>
      <c r="EQ9" s="33" t="n">
        <v>0</v>
      </c>
      <c r="ER9" s="33" t="n">
        <v>0</v>
      </c>
      <c r="ES9" s="33" t="n">
        <v>0</v>
      </c>
      <c r="ET9" s="33" t="n">
        <v>0</v>
      </c>
      <c r="EU9" s="33" t="n">
        <v>0</v>
      </c>
      <c r="EV9" s="33" t="n">
        <v>0</v>
      </c>
      <c r="EW9" s="33" t="n">
        <v>0</v>
      </c>
      <c r="EX9" s="33" t="n">
        <v>0</v>
      </c>
      <c r="EY9" s="33" t="n">
        <v>0</v>
      </c>
      <c r="EZ9" s="33" t="n">
        <v>0</v>
      </c>
      <c r="FA9" s="33" t="n">
        <v>0</v>
      </c>
      <c r="FB9" s="33" t="n">
        <v>0</v>
      </c>
      <c r="FC9" s="33" t="n">
        <v>0</v>
      </c>
      <c r="FD9" s="33" t="n">
        <v>0</v>
      </c>
      <c r="FE9" s="33" t="n">
        <v>0</v>
      </c>
      <c r="FF9" s="33" t="n">
        <v>0</v>
      </c>
      <c r="FG9" s="33" t="n">
        <v>0</v>
      </c>
      <c r="FH9" s="33" t="n">
        <v>0</v>
      </c>
      <c r="FI9" s="33" t="n">
        <v>0</v>
      </c>
      <c r="FJ9" s="33" t="n">
        <v>0</v>
      </c>
      <c r="FK9" s="33" t="n">
        <v>0</v>
      </c>
      <c r="FL9" s="33" t="n">
        <v>0</v>
      </c>
      <c r="FM9" s="33" t="n">
        <v>0</v>
      </c>
      <c r="FN9" s="33" t="n">
        <v>0</v>
      </c>
      <c r="FO9" s="33" t="n">
        <v>0</v>
      </c>
      <c r="FP9" s="33" t="n">
        <v>0</v>
      </c>
      <c r="FQ9" s="33" t="n">
        <v>0</v>
      </c>
      <c r="FR9" s="33" t="n">
        <v>0</v>
      </c>
      <c r="FS9" s="33" t="n">
        <v>0</v>
      </c>
      <c r="FT9" s="33" t="n">
        <v>0</v>
      </c>
      <c r="FU9" s="33" t="n">
        <v>0</v>
      </c>
      <c r="FV9" s="33" t="n">
        <v>0</v>
      </c>
      <c r="FW9" s="33" t="n">
        <v>0</v>
      </c>
      <c r="FX9" s="33" t="n">
        <v>0</v>
      </c>
      <c r="FY9" s="33" t="n">
        <v>0</v>
      </c>
      <c r="FZ9" s="33" t="n">
        <v>0</v>
      </c>
      <c r="GA9" s="33" t="n">
        <v>0</v>
      </c>
      <c r="GB9" s="33" t="n">
        <v>0</v>
      </c>
      <c r="GC9" s="33" t="n">
        <v>0</v>
      </c>
      <c r="GD9" s="33" t="n">
        <v>0</v>
      </c>
      <c r="GE9" s="33" t="n">
        <v>0</v>
      </c>
      <c r="GF9" s="33" t="n">
        <v>0</v>
      </c>
      <c r="GG9" s="33" t="n">
        <v>0</v>
      </c>
      <c r="GH9" s="33" t="n">
        <v>0</v>
      </c>
      <c r="GI9" s="33" t="n">
        <v>0</v>
      </c>
      <c r="GJ9" s="33" t="n">
        <v>0</v>
      </c>
      <c r="GK9" s="33" t="n">
        <v>0</v>
      </c>
      <c r="GL9" s="33" t="n">
        <v>0</v>
      </c>
      <c r="GM9" s="33" t="n">
        <v>0</v>
      </c>
      <c r="GN9" s="33" t="n">
        <v>0</v>
      </c>
      <c r="GO9" s="33" t="n">
        <v>0</v>
      </c>
      <c r="GP9" s="33" t="n">
        <v>0</v>
      </c>
      <c r="GQ9" s="33" t="n">
        <v>0</v>
      </c>
      <c r="GR9" s="33" t="n">
        <v>0</v>
      </c>
      <c r="GS9" s="33" t="n">
        <v>0</v>
      </c>
      <c r="GT9" s="33" t="n">
        <v>0</v>
      </c>
      <c r="GU9" s="33" t="n">
        <v>0</v>
      </c>
      <c r="GV9" s="33" t="n">
        <v>0</v>
      </c>
      <c r="GW9" s="33" t="n">
        <v>0</v>
      </c>
      <c r="GX9" s="33" t="n">
        <v>0</v>
      </c>
      <c r="GY9" s="33" t="n">
        <v>0</v>
      </c>
      <c r="GZ9" s="33" t="n">
        <v>0</v>
      </c>
      <c r="HA9" s="33" t="n">
        <v>0</v>
      </c>
      <c r="HB9" s="33" t="n">
        <v>0</v>
      </c>
      <c r="HC9" s="33" t="n">
        <v>0</v>
      </c>
      <c r="HD9" s="33" t="n">
        <v>0</v>
      </c>
      <c r="HE9" s="33" t="n">
        <v>0</v>
      </c>
      <c r="HF9" s="33" t="n">
        <v>0</v>
      </c>
      <c r="HG9" s="33" t="n">
        <v>0</v>
      </c>
      <c r="HH9" s="33" t="n">
        <v>0</v>
      </c>
      <c r="HI9" s="33" t="n">
        <v>0</v>
      </c>
      <c r="HJ9" s="33" t="n">
        <v>0</v>
      </c>
      <c r="HK9" s="33" t="n">
        <v>0</v>
      </c>
      <c r="HL9" s="33" t="n">
        <v>0</v>
      </c>
      <c r="HM9" s="33" t="n">
        <v>0</v>
      </c>
      <c r="HN9" s="33" t="n">
        <v>0</v>
      </c>
      <c r="HO9" s="33" t="n">
        <v>0</v>
      </c>
      <c r="HP9" s="33" t="n">
        <v>0</v>
      </c>
      <c r="HQ9" s="33" t="n">
        <v>0</v>
      </c>
      <c r="HR9" s="33" t="n">
        <v>0</v>
      </c>
      <c r="HS9" s="33" t="n">
        <v>0</v>
      </c>
      <c r="HT9" s="33" t="n">
        <v>0</v>
      </c>
      <c r="HU9" s="33" t="n">
        <v>0</v>
      </c>
      <c r="HV9" s="33" t="n">
        <v>0</v>
      </c>
      <c r="HW9" s="33" t="n">
        <v>0</v>
      </c>
      <c r="HX9" s="33" t="n">
        <v>0</v>
      </c>
      <c r="HY9" s="33" t="n">
        <v>0</v>
      </c>
      <c r="HZ9" s="33" t="n">
        <v>0</v>
      </c>
      <c r="IA9" s="33" t="n">
        <v>0</v>
      </c>
      <c r="IB9" s="33" t="n">
        <v>0</v>
      </c>
      <c r="IC9" s="33" t="n">
        <v>0</v>
      </c>
      <c r="ID9" s="33" t="n">
        <v>0</v>
      </c>
      <c r="IE9" s="33" t="n">
        <v>0</v>
      </c>
      <c r="IF9" s="33" t="n">
        <v>0</v>
      </c>
      <c r="IG9" s="33" t="n">
        <v>0</v>
      </c>
      <c r="IH9" s="33" t="n">
        <v>0</v>
      </c>
      <c r="II9" s="33" t="n">
        <v>0</v>
      </c>
      <c r="IJ9" s="33" t="n">
        <v>0</v>
      </c>
      <c r="IK9" s="33" t="n">
        <v>0</v>
      </c>
      <c r="IL9" s="33" t="n">
        <v>0</v>
      </c>
      <c r="IM9" s="33" t="n">
        <v>0</v>
      </c>
      <c r="IN9" s="33" t="n">
        <v>0</v>
      </c>
      <c r="IO9" s="33" t="n">
        <v>0</v>
      </c>
      <c r="IP9" s="33" t="n">
        <v>0</v>
      </c>
      <c r="IQ9" s="33" t="n">
        <v>0</v>
      </c>
      <c r="IR9" s="33" t="n">
        <v>0</v>
      </c>
      <c r="IS9" s="33" t="n">
        <v>0</v>
      </c>
      <c r="IT9" s="33" t="n">
        <v>0</v>
      </c>
      <c r="IU9" s="33" t="n">
        <v>0</v>
      </c>
      <c r="IV9" s="33" t="n">
        <v>0</v>
      </c>
      <c r="IW9" s="33" t="n">
        <v>0</v>
      </c>
      <c r="IX9" s="33" t="n">
        <v>0</v>
      </c>
      <c r="IY9" s="33" t="n">
        <v>0</v>
      </c>
      <c r="IZ9" s="33" t="n">
        <v>0</v>
      </c>
      <c r="JA9" s="33" t="n">
        <v>0</v>
      </c>
      <c r="JB9" s="33" t="n">
        <v>0</v>
      </c>
      <c r="JC9" s="33" t="n">
        <v>0</v>
      </c>
      <c r="JD9" s="33" t="n">
        <v>0</v>
      </c>
      <c r="JE9" s="33" t="n">
        <v>0</v>
      </c>
      <c r="JF9" s="33" t="n">
        <v>0</v>
      </c>
      <c r="JG9" s="33" t="n">
        <v>0</v>
      </c>
      <c r="JH9" s="33" t="n">
        <v>0</v>
      </c>
      <c r="JI9" s="33" t="n">
        <v>0</v>
      </c>
      <c r="JJ9" s="33" t="n">
        <v>0</v>
      </c>
      <c r="JK9" s="33" t="n">
        <v>0</v>
      </c>
      <c r="JL9" s="33" t="n">
        <v>0</v>
      </c>
      <c r="JM9" s="33" t="n">
        <v>0</v>
      </c>
      <c r="JN9" s="33" t="n">
        <v>0</v>
      </c>
      <c r="JO9" s="33" t="n">
        <v>0</v>
      </c>
      <c r="JP9" s="33" t="n">
        <v>0</v>
      </c>
      <c r="JQ9" s="33" t="n">
        <v>0</v>
      </c>
      <c r="JR9" s="33" t="n">
        <v>0</v>
      </c>
      <c r="JS9" s="33" t="n">
        <v>0</v>
      </c>
      <c r="JT9" s="33" t="n">
        <v>0</v>
      </c>
      <c r="JU9" s="33" t="n">
        <v>0</v>
      </c>
      <c r="JV9" s="33" t="n">
        <v>0</v>
      </c>
      <c r="JW9" s="33" t="n">
        <v>0</v>
      </c>
      <c r="JX9" s="33" t="n">
        <v>0</v>
      </c>
      <c r="JY9" s="33" t="n">
        <v>0</v>
      </c>
      <c r="JZ9" s="33" t="n">
        <v>0</v>
      </c>
      <c r="KA9" s="33" t="n">
        <v>0</v>
      </c>
      <c r="KB9" s="33" t="n">
        <v>0</v>
      </c>
      <c r="KC9" s="33" t="n">
        <v>0</v>
      </c>
      <c r="KD9" s="33" t="n">
        <v>0</v>
      </c>
      <c r="KE9" s="33" t="n">
        <v>0</v>
      </c>
      <c r="KF9" s="33" t="n">
        <v>0</v>
      </c>
      <c r="KG9" s="33" t="n">
        <v>0</v>
      </c>
      <c r="KH9" s="33" t="n">
        <v>0</v>
      </c>
      <c r="KI9" s="33" t="n">
        <v>0</v>
      </c>
      <c r="KJ9" s="33" t="n">
        <v>0</v>
      </c>
      <c r="KK9" s="33" t="n">
        <v>0</v>
      </c>
      <c r="KL9" s="33" t="n">
        <v>0</v>
      </c>
      <c r="KM9" s="33" t="n">
        <v>0</v>
      </c>
      <c r="KN9" s="33" t="n">
        <v>0</v>
      </c>
      <c r="KO9" s="33" t="n">
        <v>0</v>
      </c>
      <c r="KP9" s="33" t="n">
        <v>0</v>
      </c>
      <c r="KQ9" s="33" t="n">
        <v>0</v>
      </c>
      <c r="KR9" s="33" t="n">
        <v>0</v>
      </c>
      <c r="KS9" s="33" t="n">
        <v>0</v>
      </c>
      <c r="KT9" s="33" t="n">
        <v>0</v>
      </c>
      <c r="KU9" s="33" t="n">
        <v>0</v>
      </c>
      <c r="KV9" s="33" t="n">
        <v>0</v>
      </c>
      <c r="KW9" s="33" t="n">
        <v>0</v>
      </c>
      <c r="KX9" s="33" t="n">
        <v>0</v>
      </c>
      <c r="KY9" s="33" t="n">
        <v>0</v>
      </c>
      <c r="KZ9" s="33" t="n">
        <v>0</v>
      </c>
      <c r="LA9" s="33" t="n">
        <v>0</v>
      </c>
      <c r="LB9" s="33" t="n">
        <v>0</v>
      </c>
      <c r="LC9" s="33" t="n">
        <v>0</v>
      </c>
      <c r="LD9" s="33" t="n">
        <v>0</v>
      </c>
      <c r="LE9" s="33" t="n">
        <v>0</v>
      </c>
      <c r="LF9" s="33" t="n">
        <v>0</v>
      </c>
      <c r="LG9" s="33" t="n">
        <v>0</v>
      </c>
      <c r="LH9" s="33" t="n">
        <v>0</v>
      </c>
      <c r="LI9" s="33" t="n">
        <v>0</v>
      </c>
      <c r="LJ9" s="33" t="n">
        <v>0</v>
      </c>
      <c r="LK9" s="33" t="n">
        <v>0</v>
      </c>
      <c r="LL9" s="33" t="n">
        <v>0</v>
      </c>
      <c r="LM9" s="33" t="n">
        <v>0</v>
      </c>
      <c r="LN9" s="33" t="n">
        <v>0</v>
      </c>
      <c r="LO9" s="33" t="n">
        <v>0</v>
      </c>
      <c r="LP9" s="33" t="n">
        <v>0</v>
      </c>
      <c r="LQ9" s="33" t="n">
        <v>0</v>
      </c>
      <c r="LR9" s="33" t="n">
        <v>0</v>
      </c>
      <c r="LS9" s="33" t="n">
        <v>0</v>
      </c>
      <c r="LT9" s="33" t="n">
        <v>0</v>
      </c>
      <c r="LU9" s="33" t="n">
        <v>0</v>
      </c>
      <c r="LV9" s="33" t="n">
        <v>0</v>
      </c>
      <c r="LW9" s="33" t="n">
        <v>0</v>
      </c>
      <c r="LX9" s="33" t="n">
        <v>0</v>
      </c>
      <c r="LY9" s="33" t="n">
        <v>0</v>
      </c>
      <c r="LZ9" s="33" t="n">
        <v>0</v>
      </c>
      <c r="MA9" s="33" t="n">
        <v>0</v>
      </c>
      <c r="MB9" s="33" t="n">
        <v>0</v>
      </c>
      <c r="MC9" s="33" t="n">
        <v>0</v>
      </c>
      <c r="MD9" s="33" t="n">
        <v>0</v>
      </c>
      <c r="ME9" s="33" t="n">
        <v>0</v>
      </c>
      <c r="MF9" s="33" t="n">
        <v>0</v>
      </c>
      <c r="MG9" s="33" t="n">
        <v>0</v>
      </c>
      <c r="MH9" s="33" t="n">
        <v>0</v>
      </c>
      <c r="MI9" s="33" t="n">
        <v>0</v>
      </c>
      <c r="MJ9" s="33" t="n">
        <v>0</v>
      </c>
      <c r="MK9" s="33" t="n">
        <v>0</v>
      </c>
      <c r="ML9" s="33" t="n">
        <v>0</v>
      </c>
      <c r="MM9" s="33" t="n">
        <v>0</v>
      </c>
      <c r="MN9" s="33" t="n">
        <v>0</v>
      </c>
      <c r="MO9" s="33" t="n">
        <v>0</v>
      </c>
      <c r="MP9" s="33" t="n">
        <v>0</v>
      </c>
      <c r="MQ9" s="33" t="n">
        <v>0</v>
      </c>
      <c r="MR9" s="33" t="n">
        <v>0</v>
      </c>
      <c r="MS9" s="33" t="n">
        <v>0</v>
      </c>
      <c r="MT9" s="33" t="n">
        <v>0</v>
      </c>
      <c r="MU9" s="33" t="n">
        <v>0</v>
      </c>
      <c r="MV9" s="33" t="n">
        <v>0</v>
      </c>
      <c r="MW9" s="33" t="n">
        <v>0</v>
      </c>
      <c r="MX9" s="33" t="n">
        <v>0</v>
      </c>
      <c r="MY9" s="33" t="n">
        <v>0</v>
      </c>
      <c r="MZ9" s="33" t="n">
        <v>0</v>
      </c>
      <c r="NA9" s="33" t="n">
        <v>0</v>
      </c>
      <c r="NB9" s="33" t="n">
        <v>0</v>
      </c>
      <c r="NC9" s="33" t="n">
        <v>0</v>
      </c>
      <c r="ND9" s="33" t="n">
        <v>0</v>
      </c>
      <c r="NE9" s="33" t="n">
        <v>0</v>
      </c>
      <c r="NF9" s="33" t="n">
        <v>0</v>
      </c>
      <c r="NG9" s="33" t="n">
        <v>0</v>
      </c>
      <c r="NH9" s="33" t="n">
        <v>0</v>
      </c>
      <c r="NI9" s="33" t="n">
        <v>0</v>
      </c>
      <c r="NJ9" s="33" t="n">
        <v>0</v>
      </c>
      <c r="NK9" s="33" t="n">
        <v>0</v>
      </c>
      <c r="NL9" s="33" t="n">
        <v>0</v>
      </c>
      <c r="NM9" s="33" t="n">
        <v>0</v>
      </c>
      <c r="NN9" s="33" t="n">
        <v>0</v>
      </c>
      <c r="NO9" s="33" t="n">
        <v>0</v>
      </c>
      <c r="NP9" s="33" t="n">
        <v>0</v>
      </c>
      <c r="NQ9" s="33" t="n">
        <v>0</v>
      </c>
      <c r="NR9" s="33" t="n">
        <v>0</v>
      </c>
      <c r="NS9" s="33" t="n">
        <v>0</v>
      </c>
      <c r="NT9" s="33" t="n">
        <v>0</v>
      </c>
      <c r="NU9" s="33" t="n">
        <v>0</v>
      </c>
      <c r="NV9" s="33" t="n">
        <v>0</v>
      </c>
      <c r="NW9" s="33" t="n">
        <v>0</v>
      </c>
      <c r="NX9" s="33" t="n">
        <v>0</v>
      </c>
      <c r="NY9" s="33" t="n">
        <v>0</v>
      </c>
      <c r="NZ9" s="33" t="n">
        <v>0</v>
      </c>
      <c r="OA9" s="33" t="n">
        <v>0</v>
      </c>
      <c r="OB9" s="33" t="n">
        <v>0</v>
      </c>
      <c r="OC9" s="33" t="n">
        <v>0</v>
      </c>
      <c r="OD9" s="33" t="n">
        <v>0</v>
      </c>
      <c r="OE9" s="33" t="n">
        <v>0</v>
      </c>
      <c r="OF9" s="33" t="n">
        <v>0</v>
      </c>
      <c r="OG9" s="33" t="n">
        <v>0</v>
      </c>
      <c r="OH9" s="33" t="n">
        <v>0</v>
      </c>
      <c r="OI9" s="33" t="n">
        <v>0</v>
      </c>
      <c r="OJ9" s="33" t="n">
        <v>0</v>
      </c>
      <c r="OK9" s="33" t="n">
        <v>0</v>
      </c>
      <c r="OL9" s="33" t="n">
        <v>0</v>
      </c>
      <c r="OM9" s="33" t="n">
        <v>0</v>
      </c>
      <c r="ON9" s="33" t="n">
        <v>0</v>
      </c>
      <c r="OO9" s="33" t="n">
        <v>0</v>
      </c>
      <c r="OP9" s="33" t="n">
        <v>0</v>
      </c>
      <c r="OQ9" s="33" t="n">
        <v>0</v>
      </c>
      <c r="OR9" s="33" t="n">
        <v>0</v>
      </c>
      <c r="OS9" s="33" t="n">
        <v>0</v>
      </c>
      <c r="OT9" s="33" t="n">
        <v>0</v>
      </c>
      <c r="OU9" s="33" t="n">
        <v>0</v>
      </c>
      <c r="OV9" s="33" t="n">
        <v>0</v>
      </c>
      <c r="OW9" s="33" t="n">
        <v>0</v>
      </c>
      <c r="OX9" s="33" t="n">
        <v>0</v>
      </c>
      <c r="OY9" s="33" t="n">
        <v>0</v>
      </c>
      <c r="OZ9" s="33" t="n">
        <v>0</v>
      </c>
      <c r="PA9" s="33" t="n">
        <v>0</v>
      </c>
      <c r="PB9" s="33" t="n">
        <v>0</v>
      </c>
      <c r="PC9" s="33" t="n">
        <v>0</v>
      </c>
      <c r="PD9" s="33" t="n">
        <v>0</v>
      </c>
      <c r="PE9" s="33" t="n">
        <v>0</v>
      </c>
      <c r="PF9" s="33" t="n">
        <v>0</v>
      </c>
      <c r="PG9" s="33" t="n">
        <v>0</v>
      </c>
      <c r="PH9" s="33" t="n">
        <v>0</v>
      </c>
      <c r="PI9" s="33" t="n">
        <v>0</v>
      </c>
      <c r="PJ9" s="33" t="n">
        <v>0</v>
      </c>
      <c r="PK9" s="33" t="n">
        <v>0</v>
      </c>
      <c r="PL9" s="33" t="n">
        <v>0</v>
      </c>
      <c r="PM9" s="33" t="n">
        <v>0</v>
      </c>
      <c r="PN9" s="33" t="n">
        <v>0</v>
      </c>
      <c r="PO9" s="33" t="n">
        <v>0</v>
      </c>
      <c r="PP9" s="33" t="n">
        <v>0</v>
      </c>
      <c r="PQ9" s="33" t="n">
        <v>0</v>
      </c>
      <c r="PR9" s="33" t="n">
        <v>0</v>
      </c>
      <c r="PS9" s="33" t="n">
        <v>0</v>
      </c>
      <c r="PT9" s="33" t="n">
        <v>0</v>
      </c>
      <c r="PU9" s="33" t="n">
        <v>0</v>
      </c>
      <c r="PV9" s="33" t="n">
        <v>0</v>
      </c>
      <c r="PW9" s="33" t="n">
        <v>0</v>
      </c>
      <c r="PX9" s="33" t="n">
        <v>0</v>
      </c>
      <c r="PY9" s="33" t="n">
        <v>0</v>
      </c>
      <c r="PZ9" s="33" t="n">
        <v>0</v>
      </c>
      <c r="QA9" s="33" t="n">
        <v>0</v>
      </c>
      <c r="QB9" s="33" t="n">
        <v>0</v>
      </c>
      <c r="QC9" s="33" t="n">
        <v>0</v>
      </c>
      <c r="QD9" s="33" t="n">
        <v>0</v>
      </c>
      <c r="QE9" s="33" t="n">
        <v>0</v>
      </c>
      <c r="QF9" s="33" t="n">
        <v>0</v>
      </c>
      <c r="QG9" s="33" t="n">
        <v>0</v>
      </c>
      <c r="QH9" s="33" t="n">
        <v>0</v>
      </c>
      <c r="QI9" s="33" t="n">
        <v>0</v>
      </c>
      <c r="QJ9" s="33" t="n">
        <v>0</v>
      </c>
      <c r="QK9" s="33" t="n">
        <v>0</v>
      </c>
      <c r="QL9" s="33" t="n">
        <v>0</v>
      </c>
      <c r="QM9" s="33" t="n">
        <v>0</v>
      </c>
      <c r="QN9" s="33" t="n">
        <v>0</v>
      </c>
      <c r="QO9" s="33" t="n">
        <v>0</v>
      </c>
      <c r="QP9" s="33" t="n">
        <v>0</v>
      </c>
      <c r="QQ9" s="33" t="n">
        <v>0</v>
      </c>
      <c r="QR9" s="33" t="n">
        <v>0</v>
      </c>
      <c r="QS9" s="33" t="n">
        <v>0</v>
      </c>
      <c r="QT9" s="33" t="n">
        <v>0</v>
      </c>
      <c r="QU9" s="33" t="n">
        <v>0</v>
      </c>
      <c r="QV9" s="33" t="n">
        <v>0</v>
      </c>
      <c r="QW9" s="33" t="n">
        <v>0</v>
      </c>
      <c r="QX9" s="33" t="n">
        <v>0</v>
      </c>
      <c r="QY9" s="33" t="n">
        <v>0</v>
      </c>
      <c r="QZ9" s="33" t="n">
        <v>0</v>
      </c>
      <c r="RA9" s="33" t="n">
        <v>0</v>
      </c>
      <c r="RB9" s="33" t="n">
        <v>0</v>
      </c>
      <c r="RC9" s="33" t="n">
        <v>0</v>
      </c>
      <c r="RD9" s="33" t="n">
        <v>0</v>
      </c>
      <c r="RE9" s="33" t="n">
        <v>0</v>
      </c>
      <c r="RF9" s="33" t="n">
        <v>0</v>
      </c>
      <c r="RG9" s="33" t="n">
        <v>0</v>
      </c>
      <c r="RH9" s="33" t="n">
        <v>0</v>
      </c>
      <c r="RI9" s="33" t="n">
        <v>0</v>
      </c>
      <c r="RJ9" s="33" t="n">
        <v>0</v>
      </c>
      <c r="RK9" s="33" t="n">
        <v>0</v>
      </c>
      <c r="RL9" s="33" t="n">
        <v>0</v>
      </c>
      <c r="RM9" s="33" t="n">
        <v>0</v>
      </c>
      <c r="RN9" s="33" t="n">
        <v>0</v>
      </c>
      <c r="RO9" s="33" t="n">
        <v>0</v>
      </c>
      <c r="RP9" s="33" t="n">
        <v>0</v>
      </c>
      <c r="RQ9" s="33" t="n">
        <v>0</v>
      </c>
      <c r="RR9" s="33" t="n">
        <v>0</v>
      </c>
      <c r="RS9" s="33" t="n">
        <v>0</v>
      </c>
      <c r="RT9" s="33" t="n">
        <v>0</v>
      </c>
      <c r="RU9" s="33" t="n">
        <v>0</v>
      </c>
      <c r="RV9" s="33" t="n">
        <v>0</v>
      </c>
      <c r="RW9" s="33" t="n">
        <v>0</v>
      </c>
    </row>
    <row r="10" hidden="1" outlineLevel="1" ht="13.05" customHeight="1">
      <c r="E10" s="21" t="inlineStr">
        <is>
          <t>Land Lease (owned)</t>
        </is>
      </c>
      <c r="F10" s="29" t="n"/>
      <c r="G10" s="29" t="inlineStr">
        <is>
          <t>kEUR</t>
        </is>
      </c>
      <c r="H10" s="29" t="n"/>
      <c r="I10" s="29" t="n"/>
      <c r="J10" s="32" t="n">
        <v>0</v>
      </c>
      <c r="K10" s="29" t="n"/>
      <c r="L10" s="33" t="n">
        <v>0</v>
      </c>
      <c r="M10" s="33" t="n">
        <v>0</v>
      </c>
      <c r="N10" s="33" t="n">
        <v>0</v>
      </c>
      <c r="O10" s="33" t="n">
        <v>0</v>
      </c>
      <c r="P10" s="33" t="n">
        <v>0</v>
      </c>
      <c r="Q10" s="33" t="n">
        <v>0</v>
      </c>
      <c r="R10" s="33" t="n">
        <v>0</v>
      </c>
      <c r="S10" s="33" t="n">
        <v>0</v>
      </c>
      <c r="T10" s="33" t="n">
        <v>0</v>
      </c>
      <c r="U10" s="33" t="n">
        <v>0</v>
      </c>
      <c r="V10" s="33" t="n">
        <v>0</v>
      </c>
      <c r="W10" s="33" t="n">
        <v>0</v>
      </c>
      <c r="X10" s="33" t="n">
        <v>0</v>
      </c>
      <c r="Y10" s="33" t="n">
        <v>0</v>
      </c>
      <c r="Z10" s="33" t="n">
        <v>0</v>
      </c>
      <c r="AA10" s="33" t="n">
        <v>0</v>
      </c>
      <c r="AB10" s="33" t="n">
        <v>0</v>
      </c>
      <c r="AC10" s="33" t="n">
        <v>0</v>
      </c>
      <c r="AD10" s="33" t="n">
        <v>0</v>
      </c>
      <c r="AE10" s="33" t="n">
        <v>0</v>
      </c>
      <c r="AF10" s="33" t="n">
        <v>0</v>
      </c>
      <c r="AG10" s="33" t="n">
        <v>0</v>
      </c>
      <c r="AH10" s="33" t="n">
        <v>0</v>
      </c>
      <c r="AI10" s="33" t="n">
        <v>0</v>
      </c>
      <c r="AJ10" s="33" t="n">
        <v>0</v>
      </c>
      <c r="AK10" s="33" t="n">
        <v>0</v>
      </c>
      <c r="AL10" s="33" t="n">
        <v>0</v>
      </c>
      <c r="AM10" s="33" t="n">
        <v>0</v>
      </c>
      <c r="AN10" s="33" t="n">
        <v>0</v>
      </c>
      <c r="AO10" s="33" t="n">
        <v>0</v>
      </c>
      <c r="AP10" s="33" t="n">
        <v>0</v>
      </c>
      <c r="AQ10" s="33" t="n">
        <v>0</v>
      </c>
      <c r="AR10" s="33" t="n">
        <v>0</v>
      </c>
      <c r="AS10" s="33" t="n">
        <v>0</v>
      </c>
      <c r="AT10" s="33" t="n">
        <v>0</v>
      </c>
      <c r="AU10" s="33" t="n">
        <v>0</v>
      </c>
      <c r="AV10" s="33" t="n">
        <v>0</v>
      </c>
      <c r="AW10" s="33" t="n">
        <v>0</v>
      </c>
      <c r="AX10" s="33" t="n">
        <v>0</v>
      </c>
      <c r="AY10" s="33" t="n">
        <v>0</v>
      </c>
      <c r="AZ10" s="33" t="n">
        <v>0</v>
      </c>
      <c r="BA10" s="33" t="n">
        <v>0</v>
      </c>
      <c r="BB10" s="33" t="n">
        <v>0</v>
      </c>
      <c r="BC10" s="33" t="n">
        <v>0</v>
      </c>
      <c r="BD10" s="33" t="n">
        <v>0</v>
      </c>
      <c r="BE10" s="33" t="n">
        <v>0</v>
      </c>
      <c r="BF10" s="33" t="n">
        <v>0</v>
      </c>
      <c r="BG10" s="33" t="n">
        <v>0</v>
      </c>
      <c r="BH10" s="33" t="n">
        <v>0</v>
      </c>
      <c r="BI10" s="33" t="n">
        <v>0</v>
      </c>
      <c r="BJ10" s="33" t="n">
        <v>0</v>
      </c>
      <c r="BK10" s="33" t="n">
        <v>0</v>
      </c>
      <c r="BL10" s="33" t="n">
        <v>0</v>
      </c>
      <c r="BM10" s="33" t="n">
        <v>0</v>
      </c>
      <c r="BN10" s="33" t="n">
        <v>0</v>
      </c>
      <c r="BO10" s="33" t="n">
        <v>0</v>
      </c>
      <c r="BP10" s="33" t="n">
        <v>0</v>
      </c>
      <c r="BQ10" s="33" t="n">
        <v>0</v>
      </c>
      <c r="BR10" s="33" t="n">
        <v>0</v>
      </c>
      <c r="BS10" s="33" t="n">
        <v>0</v>
      </c>
      <c r="BT10" s="33" t="n">
        <v>0</v>
      </c>
      <c r="BU10" s="33" t="n">
        <v>0</v>
      </c>
      <c r="BV10" s="33" t="n">
        <v>0</v>
      </c>
      <c r="BW10" s="33" t="n">
        <v>0</v>
      </c>
      <c r="BX10" s="33" t="n">
        <v>0</v>
      </c>
      <c r="BY10" s="33" t="n">
        <v>0</v>
      </c>
      <c r="BZ10" s="33" t="n">
        <v>0</v>
      </c>
      <c r="CA10" s="33" t="n">
        <v>0</v>
      </c>
      <c r="CB10" s="33" t="n">
        <v>0</v>
      </c>
      <c r="CC10" s="33" t="n">
        <v>0</v>
      </c>
      <c r="CD10" s="33" t="n">
        <v>0</v>
      </c>
      <c r="CE10" s="33" t="n">
        <v>0</v>
      </c>
      <c r="CF10" s="33" t="n">
        <v>0</v>
      </c>
      <c r="CG10" s="33" t="n">
        <v>0</v>
      </c>
      <c r="CH10" s="33" t="n">
        <v>0</v>
      </c>
      <c r="CI10" s="33" t="n">
        <v>0</v>
      </c>
      <c r="CJ10" s="33" t="n">
        <v>0</v>
      </c>
      <c r="CK10" s="33" t="n">
        <v>0</v>
      </c>
      <c r="CL10" s="33" t="n">
        <v>0</v>
      </c>
      <c r="CM10" s="33" t="n">
        <v>0</v>
      </c>
      <c r="CN10" s="33" t="n">
        <v>0</v>
      </c>
      <c r="CO10" s="33" t="n">
        <v>0</v>
      </c>
      <c r="CP10" s="33" t="n">
        <v>0</v>
      </c>
      <c r="CQ10" s="33" t="n">
        <v>0</v>
      </c>
      <c r="CR10" s="33" t="n">
        <v>0</v>
      </c>
      <c r="CS10" s="33" t="n">
        <v>0</v>
      </c>
      <c r="CT10" s="33" t="n">
        <v>0</v>
      </c>
      <c r="CU10" s="33" t="n">
        <v>0</v>
      </c>
      <c r="CV10" s="33" t="n">
        <v>0</v>
      </c>
      <c r="CW10" s="33" t="n">
        <v>0</v>
      </c>
      <c r="CX10" s="33" t="n">
        <v>0</v>
      </c>
      <c r="CY10" s="33" t="n">
        <v>0</v>
      </c>
      <c r="CZ10" s="33" t="n">
        <v>0</v>
      </c>
      <c r="DA10" s="33" t="n">
        <v>0</v>
      </c>
      <c r="DB10" s="33" t="n">
        <v>0</v>
      </c>
      <c r="DC10" s="33" t="n">
        <v>0</v>
      </c>
      <c r="DD10" s="33" t="n">
        <v>0</v>
      </c>
      <c r="DE10" s="33" t="n">
        <v>0</v>
      </c>
      <c r="DF10" s="33" t="n">
        <v>0</v>
      </c>
      <c r="DG10" s="33" t="n">
        <v>0</v>
      </c>
      <c r="DH10" s="33" t="n">
        <v>0</v>
      </c>
      <c r="DI10" s="33" t="n">
        <v>0</v>
      </c>
      <c r="DJ10" s="33" t="n">
        <v>0</v>
      </c>
      <c r="DK10" s="33" t="n">
        <v>0</v>
      </c>
      <c r="DL10" s="33" t="n">
        <v>0</v>
      </c>
      <c r="DM10" s="33" t="n">
        <v>0</v>
      </c>
      <c r="DN10" s="33" t="n">
        <v>0</v>
      </c>
      <c r="DO10" s="33" t="n">
        <v>0</v>
      </c>
      <c r="DP10" s="33" t="n">
        <v>0</v>
      </c>
      <c r="DQ10" s="33" t="n">
        <v>0</v>
      </c>
      <c r="DR10" s="33" t="n">
        <v>0</v>
      </c>
      <c r="DS10" s="33" t="n">
        <v>0</v>
      </c>
      <c r="DT10" s="33" t="n">
        <v>0</v>
      </c>
      <c r="DU10" s="33" t="n">
        <v>0</v>
      </c>
      <c r="DV10" s="33" t="n">
        <v>0</v>
      </c>
      <c r="DW10" s="33" t="n">
        <v>0</v>
      </c>
      <c r="DX10" s="33" t="n">
        <v>0</v>
      </c>
      <c r="DY10" s="33" t="n">
        <v>0</v>
      </c>
      <c r="DZ10" s="33" t="n">
        <v>0</v>
      </c>
      <c r="EA10" s="33" t="n">
        <v>0</v>
      </c>
      <c r="EB10" s="33" t="n">
        <v>0</v>
      </c>
      <c r="EC10" s="33" t="n">
        <v>0</v>
      </c>
      <c r="ED10" s="33" t="n">
        <v>0</v>
      </c>
      <c r="EE10" s="33" t="n">
        <v>0</v>
      </c>
      <c r="EF10" s="33" t="n">
        <v>0</v>
      </c>
      <c r="EG10" s="33" t="n">
        <v>0</v>
      </c>
      <c r="EH10" s="33" t="n">
        <v>0</v>
      </c>
      <c r="EI10" s="33" t="n">
        <v>0</v>
      </c>
      <c r="EJ10" s="33" t="n">
        <v>0</v>
      </c>
      <c r="EK10" s="33" t="n">
        <v>0</v>
      </c>
      <c r="EL10" s="33" t="n">
        <v>0</v>
      </c>
      <c r="EM10" s="33" t="n">
        <v>0</v>
      </c>
      <c r="EN10" s="33" t="n">
        <v>0</v>
      </c>
      <c r="EO10" s="33" t="n">
        <v>0</v>
      </c>
      <c r="EP10" s="33" t="n">
        <v>0</v>
      </c>
      <c r="EQ10" s="33" t="n">
        <v>0</v>
      </c>
      <c r="ER10" s="33" t="n">
        <v>0</v>
      </c>
      <c r="ES10" s="33" t="n">
        <v>0</v>
      </c>
      <c r="ET10" s="33" t="n">
        <v>0</v>
      </c>
      <c r="EU10" s="33" t="n">
        <v>0</v>
      </c>
      <c r="EV10" s="33" t="n">
        <v>0</v>
      </c>
      <c r="EW10" s="33" t="n">
        <v>0</v>
      </c>
      <c r="EX10" s="33" t="n">
        <v>0</v>
      </c>
      <c r="EY10" s="33" t="n">
        <v>0</v>
      </c>
      <c r="EZ10" s="33" t="n">
        <v>0</v>
      </c>
      <c r="FA10" s="33" t="n">
        <v>0</v>
      </c>
      <c r="FB10" s="33" t="n">
        <v>0</v>
      </c>
      <c r="FC10" s="33" t="n">
        <v>0</v>
      </c>
      <c r="FD10" s="33" t="n">
        <v>0</v>
      </c>
      <c r="FE10" s="33" t="n">
        <v>0</v>
      </c>
      <c r="FF10" s="33" t="n">
        <v>0</v>
      </c>
      <c r="FG10" s="33" t="n">
        <v>0</v>
      </c>
      <c r="FH10" s="33" t="n">
        <v>0</v>
      </c>
      <c r="FI10" s="33" t="n">
        <v>0</v>
      </c>
      <c r="FJ10" s="33" t="n">
        <v>0</v>
      </c>
      <c r="FK10" s="33" t="n">
        <v>0</v>
      </c>
      <c r="FL10" s="33" t="n">
        <v>0</v>
      </c>
      <c r="FM10" s="33" t="n">
        <v>0</v>
      </c>
      <c r="FN10" s="33" t="n">
        <v>0</v>
      </c>
      <c r="FO10" s="33" t="n">
        <v>0</v>
      </c>
      <c r="FP10" s="33" t="n">
        <v>0</v>
      </c>
      <c r="FQ10" s="33" t="n">
        <v>0</v>
      </c>
      <c r="FR10" s="33" t="n">
        <v>0</v>
      </c>
      <c r="FS10" s="33" t="n">
        <v>0</v>
      </c>
      <c r="FT10" s="33" t="n">
        <v>0</v>
      </c>
      <c r="FU10" s="33" t="n">
        <v>0</v>
      </c>
      <c r="FV10" s="33" t="n">
        <v>0</v>
      </c>
      <c r="FW10" s="33" t="n">
        <v>0</v>
      </c>
      <c r="FX10" s="33" t="n">
        <v>0</v>
      </c>
      <c r="FY10" s="33" t="n">
        <v>0</v>
      </c>
      <c r="FZ10" s="33" t="n">
        <v>0</v>
      </c>
      <c r="GA10" s="33" t="n">
        <v>0</v>
      </c>
      <c r="GB10" s="33" t="n">
        <v>0</v>
      </c>
      <c r="GC10" s="33" t="n">
        <v>0</v>
      </c>
      <c r="GD10" s="33" t="n">
        <v>0</v>
      </c>
      <c r="GE10" s="33" t="n">
        <v>0</v>
      </c>
      <c r="GF10" s="33" t="n">
        <v>0</v>
      </c>
      <c r="GG10" s="33" t="n">
        <v>0</v>
      </c>
      <c r="GH10" s="33" t="n">
        <v>0</v>
      </c>
      <c r="GI10" s="33" t="n">
        <v>0</v>
      </c>
      <c r="GJ10" s="33" t="n">
        <v>0</v>
      </c>
      <c r="GK10" s="33" t="n">
        <v>0</v>
      </c>
      <c r="GL10" s="33" t="n">
        <v>0</v>
      </c>
      <c r="GM10" s="33" t="n">
        <v>0</v>
      </c>
      <c r="GN10" s="33" t="n">
        <v>0</v>
      </c>
      <c r="GO10" s="33" t="n">
        <v>0</v>
      </c>
      <c r="GP10" s="33" t="n">
        <v>0</v>
      </c>
      <c r="GQ10" s="33" t="n">
        <v>0</v>
      </c>
      <c r="GR10" s="33" t="n">
        <v>0</v>
      </c>
      <c r="GS10" s="33" t="n">
        <v>0</v>
      </c>
      <c r="GT10" s="33" t="n">
        <v>0</v>
      </c>
      <c r="GU10" s="33" t="n">
        <v>0</v>
      </c>
      <c r="GV10" s="33" t="n">
        <v>0</v>
      </c>
      <c r="GW10" s="33" t="n">
        <v>0</v>
      </c>
      <c r="GX10" s="33" t="n">
        <v>0</v>
      </c>
      <c r="GY10" s="33" t="n">
        <v>0</v>
      </c>
      <c r="GZ10" s="33" t="n">
        <v>0</v>
      </c>
      <c r="HA10" s="33" t="n">
        <v>0</v>
      </c>
      <c r="HB10" s="33" t="n">
        <v>0</v>
      </c>
      <c r="HC10" s="33" t="n">
        <v>0</v>
      </c>
      <c r="HD10" s="33" t="n">
        <v>0</v>
      </c>
      <c r="HE10" s="33" t="n">
        <v>0</v>
      </c>
      <c r="HF10" s="33" t="n">
        <v>0</v>
      </c>
      <c r="HG10" s="33" t="n">
        <v>0</v>
      </c>
      <c r="HH10" s="33" t="n">
        <v>0</v>
      </c>
      <c r="HI10" s="33" t="n">
        <v>0</v>
      </c>
      <c r="HJ10" s="33" t="n">
        <v>0</v>
      </c>
      <c r="HK10" s="33" t="n">
        <v>0</v>
      </c>
      <c r="HL10" s="33" t="n">
        <v>0</v>
      </c>
      <c r="HM10" s="33" t="n">
        <v>0</v>
      </c>
      <c r="HN10" s="33" t="n">
        <v>0</v>
      </c>
      <c r="HO10" s="33" t="n">
        <v>0</v>
      </c>
      <c r="HP10" s="33" t="n">
        <v>0</v>
      </c>
      <c r="HQ10" s="33" t="n">
        <v>0</v>
      </c>
      <c r="HR10" s="33" t="n">
        <v>0</v>
      </c>
      <c r="HS10" s="33" t="n">
        <v>0</v>
      </c>
      <c r="HT10" s="33" t="n">
        <v>0</v>
      </c>
      <c r="HU10" s="33" t="n">
        <v>0</v>
      </c>
      <c r="HV10" s="33" t="n">
        <v>0</v>
      </c>
      <c r="HW10" s="33" t="n">
        <v>0</v>
      </c>
      <c r="HX10" s="33" t="n">
        <v>0</v>
      </c>
      <c r="HY10" s="33" t="n">
        <v>0</v>
      </c>
      <c r="HZ10" s="33" t="n">
        <v>0</v>
      </c>
      <c r="IA10" s="33" t="n">
        <v>0</v>
      </c>
      <c r="IB10" s="33" t="n">
        <v>0</v>
      </c>
      <c r="IC10" s="33" t="n">
        <v>0</v>
      </c>
      <c r="ID10" s="33" t="n">
        <v>0</v>
      </c>
      <c r="IE10" s="33" t="n">
        <v>0</v>
      </c>
      <c r="IF10" s="33" t="n">
        <v>0</v>
      </c>
      <c r="IG10" s="33" t="n">
        <v>0</v>
      </c>
      <c r="IH10" s="33" t="n">
        <v>0</v>
      </c>
      <c r="II10" s="33" t="n">
        <v>0</v>
      </c>
      <c r="IJ10" s="33" t="n">
        <v>0</v>
      </c>
      <c r="IK10" s="33" t="n">
        <v>0</v>
      </c>
      <c r="IL10" s="33" t="n">
        <v>0</v>
      </c>
      <c r="IM10" s="33" t="n">
        <v>0</v>
      </c>
      <c r="IN10" s="33" t="n">
        <v>0</v>
      </c>
      <c r="IO10" s="33" t="n">
        <v>0</v>
      </c>
      <c r="IP10" s="33" t="n">
        <v>0</v>
      </c>
      <c r="IQ10" s="33" t="n">
        <v>0</v>
      </c>
      <c r="IR10" s="33" t="n">
        <v>0</v>
      </c>
      <c r="IS10" s="33" t="n">
        <v>0</v>
      </c>
      <c r="IT10" s="33" t="n">
        <v>0</v>
      </c>
      <c r="IU10" s="33" t="n">
        <v>0</v>
      </c>
      <c r="IV10" s="33" t="n">
        <v>0</v>
      </c>
      <c r="IW10" s="33" t="n">
        <v>0</v>
      </c>
      <c r="IX10" s="33" t="n">
        <v>0</v>
      </c>
      <c r="IY10" s="33" t="n">
        <v>0</v>
      </c>
      <c r="IZ10" s="33" t="n">
        <v>0</v>
      </c>
      <c r="JA10" s="33" t="n">
        <v>0</v>
      </c>
      <c r="JB10" s="33" t="n">
        <v>0</v>
      </c>
      <c r="JC10" s="33" t="n">
        <v>0</v>
      </c>
      <c r="JD10" s="33" t="n">
        <v>0</v>
      </c>
      <c r="JE10" s="33" t="n">
        <v>0</v>
      </c>
      <c r="JF10" s="33" t="n">
        <v>0</v>
      </c>
      <c r="JG10" s="33" t="n">
        <v>0</v>
      </c>
      <c r="JH10" s="33" t="n">
        <v>0</v>
      </c>
      <c r="JI10" s="33" t="n">
        <v>0</v>
      </c>
      <c r="JJ10" s="33" t="n">
        <v>0</v>
      </c>
      <c r="JK10" s="33" t="n">
        <v>0</v>
      </c>
      <c r="JL10" s="33" t="n">
        <v>0</v>
      </c>
      <c r="JM10" s="33" t="n">
        <v>0</v>
      </c>
      <c r="JN10" s="33" t="n">
        <v>0</v>
      </c>
      <c r="JO10" s="33" t="n">
        <v>0</v>
      </c>
      <c r="JP10" s="33" t="n">
        <v>0</v>
      </c>
      <c r="JQ10" s="33" t="n">
        <v>0</v>
      </c>
      <c r="JR10" s="33" t="n">
        <v>0</v>
      </c>
      <c r="JS10" s="33" t="n">
        <v>0</v>
      </c>
      <c r="JT10" s="33" t="n">
        <v>0</v>
      </c>
      <c r="JU10" s="33" t="n">
        <v>0</v>
      </c>
      <c r="JV10" s="33" t="n">
        <v>0</v>
      </c>
      <c r="JW10" s="33" t="n">
        <v>0</v>
      </c>
      <c r="JX10" s="33" t="n">
        <v>0</v>
      </c>
      <c r="JY10" s="33" t="n">
        <v>0</v>
      </c>
      <c r="JZ10" s="33" t="n">
        <v>0</v>
      </c>
      <c r="KA10" s="33" t="n">
        <v>0</v>
      </c>
      <c r="KB10" s="33" t="n">
        <v>0</v>
      </c>
      <c r="KC10" s="33" t="n">
        <v>0</v>
      </c>
      <c r="KD10" s="33" t="n">
        <v>0</v>
      </c>
      <c r="KE10" s="33" t="n">
        <v>0</v>
      </c>
      <c r="KF10" s="33" t="n">
        <v>0</v>
      </c>
      <c r="KG10" s="33" t="n">
        <v>0</v>
      </c>
      <c r="KH10" s="33" t="n">
        <v>0</v>
      </c>
      <c r="KI10" s="33" t="n">
        <v>0</v>
      </c>
      <c r="KJ10" s="33" t="n">
        <v>0</v>
      </c>
      <c r="KK10" s="33" t="n">
        <v>0</v>
      </c>
      <c r="KL10" s="33" t="n">
        <v>0</v>
      </c>
      <c r="KM10" s="33" t="n">
        <v>0</v>
      </c>
      <c r="KN10" s="33" t="n">
        <v>0</v>
      </c>
      <c r="KO10" s="33" t="n">
        <v>0</v>
      </c>
      <c r="KP10" s="33" t="n">
        <v>0</v>
      </c>
      <c r="KQ10" s="33" t="n">
        <v>0</v>
      </c>
      <c r="KR10" s="33" t="n">
        <v>0</v>
      </c>
      <c r="KS10" s="33" t="n">
        <v>0</v>
      </c>
      <c r="KT10" s="33" t="n">
        <v>0</v>
      </c>
      <c r="KU10" s="33" t="n">
        <v>0</v>
      </c>
      <c r="KV10" s="33" t="n">
        <v>0</v>
      </c>
      <c r="KW10" s="33" t="n">
        <v>0</v>
      </c>
      <c r="KX10" s="33" t="n">
        <v>0</v>
      </c>
      <c r="KY10" s="33" t="n">
        <v>0</v>
      </c>
      <c r="KZ10" s="33" t="n">
        <v>0</v>
      </c>
      <c r="LA10" s="33" t="n">
        <v>0</v>
      </c>
      <c r="LB10" s="33" t="n">
        <v>0</v>
      </c>
      <c r="LC10" s="33" t="n">
        <v>0</v>
      </c>
      <c r="LD10" s="33" t="n">
        <v>0</v>
      </c>
      <c r="LE10" s="33" t="n">
        <v>0</v>
      </c>
      <c r="LF10" s="33" t="n">
        <v>0</v>
      </c>
      <c r="LG10" s="33" t="n">
        <v>0</v>
      </c>
      <c r="LH10" s="33" t="n">
        <v>0</v>
      </c>
      <c r="LI10" s="33" t="n">
        <v>0</v>
      </c>
      <c r="LJ10" s="33" t="n">
        <v>0</v>
      </c>
      <c r="LK10" s="33" t="n">
        <v>0</v>
      </c>
      <c r="LL10" s="33" t="n">
        <v>0</v>
      </c>
      <c r="LM10" s="33" t="n">
        <v>0</v>
      </c>
      <c r="LN10" s="33" t="n">
        <v>0</v>
      </c>
      <c r="LO10" s="33" t="n">
        <v>0</v>
      </c>
      <c r="LP10" s="33" t="n">
        <v>0</v>
      </c>
      <c r="LQ10" s="33" t="n">
        <v>0</v>
      </c>
      <c r="LR10" s="33" t="n">
        <v>0</v>
      </c>
      <c r="LS10" s="33" t="n">
        <v>0</v>
      </c>
      <c r="LT10" s="33" t="n">
        <v>0</v>
      </c>
      <c r="LU10" s="33" t="n">
        <v>0</v>
      </c>
      <c r="LV10" s="33" t="n">
        <v>0</v>
      </c>
      <c r="LW10" s="33" t="n">
        <v>0</v>
      </c>
      <c r="LX10" s="33" t="n">
        <v>0</v>
      </c>
      <c r="LY10" s="33" t="n">
        <v>0</v>
      </c>
      <c r="LZ10" s="33" t="n">
        <v>0</v>
      </c>
      <c r="MA10" s="33" t="n">
        <v>0</v>
      </c>
      <c r="MB10" s="33" t="n">
        <v>0</v>
      </c>
      <c r="MC10" s="33" t="n">
        <v>0</v>
      </c>
      <c r="MD10" s="33" t="n">
        <v>0</v>
      </c>
      <c r="ME10" s="33" t="n">
        <v>0</v>
      </c>
      <c r="MF10" s="33" t="n">
        <v>0</v>
      </c>
      <c r="MG10" s="33" t="n">
        <v>0</v>
      </c>
      <c r="MH10" s="33" t="n">
        <v>0</v>
      </c>
      <c r="MI10" s="33" t="n">
        <v>0</v>
      </c>
      <c r="MJ10" s="33" t="n">
        <v>0</v>
      </c>
      <c r="MK10" s="33" t="n">
        <v>0</v>
      </c>
      <c r="ML10" s="33" t="n">
        <v>0</v>
      </c>
      <c r="MM10" s="33" t="n">
        <v>0</v>
      </c>
      <c r="MN10" s="33" t="n">
        <v>0</v>
      </c>
      <c r="MO10" s="33" t="n">
        <v>0</v>
      </c>
      <c r="MP10" s="33" t="n">
        <v>0</v>
      </c>
      <c r="MQ10" s="33" t="n">
        <v>0</v>
      </c>
      <c r="MR10" s="33" t="n">
        <v>0</v>
      </c>
      <c r="MS10" s="33" t="n">
        <v>0</v>
      </c>
      <c r="MT10" s="33" t="n">
        <v>0</v>
      </c>
      <c r="MU10" s="33" t="n">
        <v>0</v>
      </c>
      <c r="MV10" s="33" t="n">
        <v>0</v>
      </c>
      <c r="MW10" s="33" t="n">
        <v>0</v>
      </c>
      <c r="MX10" s="33" t="n">
        <v>0</v>
      </c>
      <c r="MY10" s="33" t="n">
        <v>0</v>
      </c>
      <c r="MZ10" s="33" t="n">
        <v>0</v>
      </c>
      <c r="NA10" s="33" t="n">
        <v>0</v>
      </c>
      <c r="NB10" s="33" t="n">
        <v>0</v>
      </c>
      <c r="NC10" s="33" t="n">
        <v>0</v>
      </c>
      <c r="ND10" s="33" t="n">
        <v>0</v>
      </c>
      <c r="NE10" s="33" t="n">
        <v>0</v>
      </c>
      <c r="NF10" s="33" t="n">
        <v>0</v>
      </c>
      <c r="NG10" s="33" t="n">
        <v>0</v>
      </c>
      <c r="NH10" s="33" t="n">
        <v>0</v>
      </c>
      <c r="NI10" s="33" t="n">
        <v>0</v>
      </c>
      <c r="NJ10" s="33" t="n">
        <v>0</v>
      </c>
      <c r="NK10" s="33" t="n">
        <v>0</v>
      </c>
      <c r="NL10" s="33" t="n">
        <v>0</v>
      </c>
      <c r="NM10" s="33" t="n">
        <v>0</v>
      </c>
      <c r="NN10" s="33" t="n">
        <v>0</v>
      </c>
      <c r="NO10" s="33" t="n">
        <v>0</v>
      </c>
      <c r="NP10" s="33" t="n">
        <v>0</v>
      </c>
      <c r="NQ10" s="33" t="n">
        <v>0</v>
      </c>
      <c r="NR10" s="33" t="n">
        <v>0</v>
      </c>
      <c r="NS10" s="33" t="n">
        <v>0</v>
      </c>
      <c r="NT10" s="33" t="n">
        <v>0</v>
      </c>
      <c r="NU10" s="33" t="n">
        <v>0</v>
      </c>
      <c r="NV10" s="33" t="n">
        <v>0</v>
      </c>
      <c r="NW10" s="33" t="n">
        <v>0</v>
      </c>
      <c r="NX10" s="33" t="n">
        <v>0</v>
      </c>
      <c r="NY10" s="33" t="n">
        <v>0</v>
      </c>
      <c r="NZ10" s="33" t="n">
        <v>0</v>
      </c>
      <c r="OA10" s="33" t="n">
        <v>0</v>
      </c>
      <c r="OB10" s="33" t="n">
        <v>0</v>
      </c>
      <c r="OC10" s="33" t="n">
        <v>0</v>
      </c>
      <c r="OD10" s="33" t="n">
        <v>0</v>
      </c>
      <c r="OE10" s="33" t="n">
        <v>0</v>
      </c>
      <c r="OF10" s="33" t="n">
        <v>0</v>
      </c>
      <c r="OG10" s="33" t="n">
        <v>0</v>
      </c>
      <c r="OH10" s="33" t="n">
        <v>0</v>
      </c>
      <c r="OI10" s="33" t="n">
        <v>0</v>
      </c>
      <c r="OJ10" s="33" t="n">
        <v>0</v>
      </c>
      <c r="OK10" s="33" t="n">
        <v>0</v>
      </c>
      <c r="OL10" s="33" t="n">
        <v>0</v>
      </c>
      <c r="OM10" s="33" t="n">
        <v>0</v>
      </c>
      <c r="ON10" s="33" t="n">
        <v>0</v>
      </c>
      <c r="OO10" s="33" t="n">
        <v>0</v>
      </c>
      <c r="OP10" s="33" t="n">
        <v>0</v>
      </c>
      <c r="OQ10" s="33" t="n">
        <v>0</v>
      </c>
      <c r="OR10" s="33" t="n">
        <v>0</v>
      </c>
      <c r="OS10" s="33" t="n">
        <v>0</v>
      </c>
      <c r="OT10" s="33" t="n">
        <v>0</v>
      </c>
      <c r="OU10" s="33" t="n">
        <v>0</v>
      </c>
      <c r="OV10" s="33" t="n">
        <v>0</v>
      </c>
      <c r="OW10" s="33" t="n">
        <v>0</v>
      </c>
      <c r="OX10" s="33" t="n">
        <v>0</v>
      </c>
      <c r="OY10" s="33" t="n">
        <v>0</v>
      </c>
      <c r="OZ10" s="33" t="n">
        <v>0</v>
      </c>
      <c r="PA10" s="33" t="n">
        <v>0</v>
      </c>
      <c r="PB10" s="33" t="n">
        <v>0</v>
      </c>
      <c r="PC10" s="33" t="n">
        <v>0</v>
      </c>
      <c r="PD10" s="33" t="n">
        <v>0</v>
      </c>
      <c r="PE10" s="33" t="n">
        <v>0</v>
      </c>
      <c r="PF10" s="33" t="n">
        <v>0</v>
      </c>
      <c r="PG10" s="33" t="n">
        <v>0</v>
      </c>
      <c r="PH10" s="33" t="n">
        <v>0</v>
      </c>
      <c r="PI10" s="33" t="n">
        <v>0</v>
      </c>
      <c r="PJ10" s="33" t="n">
        <v>0</v>
      </c>
      <c r="PK10" s="33" t="n">
        <v>0</v>
      </c>
      <c r="PL10" s="33" t="n">
        <v>0</v>
      </c>
      <c r="PM10" s="33" t="n">
        <v>0</v>
      </c>
      <c r="PN10" s="33" t="n">
        <v>0</v>
      </c>
      <c r="PO10" s="33" t="n">
        <v>0</v>
      </c>
      <c r="PP10" s="33" t="n">
        <v>0</v>
      </c>
      <c r="PQ10" s="33" t="n">
        <v>0</v>
      </c>
      <c r="PR10" s="33" t="n">
        <v>0</v>
      </c>
      <c r="PS10" s="33" t="n">
        <v>0</v>
      </c>
      <c r="PT10" s="33" t="n">
        <v>0</v>
      </c>
      <c r="PU10" s="33" t="n">
        <v>0</v>
      </c>
      <c r="PV10" s="33" t="n">
        <v>0</v>
      </c>
      <c r="PW10" s="33" t="n">
        <v>0</v>
      </c>
      <c r="PX10" s="33" t="n">
        <v>0</v>
      </c>
      <c r="PY10" s="33" t="n">
        <v>0</v>
      </c>
      <c r="PZ10" s="33" t="n">
        <v>0</v>
      </c>
      <c r="QA10" s="33" t="n">
        <v>0</v>
      </c>
      <c r="QB10" s="33" t="n">
        <v>0</v>
      </c>
      <c r="QC10" s="33" t="n">
        <v>0</v>
      </c>
      <c r="QD10" s="33" t="n">
        <v>0</v>
      </c>
      <c r="QE10" s="33" t="n">
        <v>0</v>
      </c>
      <c r="QF10" s="33" t="n">
        <v>0</v>
      </c>
      <c r="QG10" s="33" t="n">
        <v>0</v>
      </c>
      <c r="QH10" s="33" t="n">
        <v>0</v>
      </c>
      <c r="QI10" s="33" t="n">
        <v>0</v>
      </c>
      <c r="QJ10" s="33" t="n">
        <v>0</v>
      </c>
      <c r="QK10" s="33" t="n">
        <v>0</v>
      </c>
      <c r="QL10" s="33" t="n">
        <v>0</v>
      </c>
      <c r="QM10" s="33" t="n">
        <v>0</v>
      </c>
      <c r="QN10" s="33" t="n">
        <v>0</v>
      </c>
      <c r="QO10" s="33" t="n">
        <v>0</v>
      </c>
      <c r="QP10" s="33" t="n">
        <v>0</v>
      </c>
      <c r="QQ10" s="33" t="n">
        <v>0</v>
      </c>
      <c r="QR10" s="33" t="n">
        <v>0</v>
      </c>
      <c r="QS10" s="33" t="n">
        <v>0</v>
      </c>
      <c r="QT10" s="33" t="n">
        <v>0</v>
      </c>
      <c r="QU10" s="33" t="n">
        <v>0</v>
      </c>
      <c r="QV10" s="33" t="n">
        <v>0</v>
      </c>
      <c r="QW10" s="33" t="n">
        <v>0</v>
      </c>
      <c r="QX10" s="33" t="n">
        <v>0</v>
      </c>
      <c r="QY10" s="33" t="n">
        <v>0</v>
      </c>
      <c r="QZ10" s="33" t="n">
        <v>0</v>
      </c>
      <c r="RA10" s="33" t="n">
        <v>0</v>
      </c>
      <c r="RB10" s="33" t="n">
        <v>0</v>
      </c>
      <c r="RC10" s="33" t="n">
        <v>0</v>
      </c>
      <c r="RD10" s="33" t="n">
        <v>0</v>
      </c>
      <c r="RE10" s="33" t="n">
        <v>0</v>
      </c>
      <c r="RF10" s="33" t="n">
        <v>0</v>
      </c>
      <c r="RG10" s="33" t="n">
        <v>0</v>
      </c>
      <c r="RH10" s="33" t="n">
        <v>0</v>
      </c>
      <c r="RI10" s="33" t="n">
        <v>0</v>
      </c>
      <c r="RJ10" s="33" t="n">
        <v>0</v>
      </c>
      <c r="RK10" s="33" t="n">
        <v>0</v>
      </c>
      <c r="RL10" s="33" t="n">
        <v>0</v>
      </c>
      <c r="RM10" s="33" t="n">
        <v>0</v>
      </c>
      <c r="RN10" s="33" t="n">
        <v>0</v>
      </c>
      <c r="RO10" s="33" t="n">
        <v>0</v>
      </c>
      <c r="RP10" s="33" t="n">
        <v>0</v>
      </c>
      <c r="RQ10" s="33" t="n">
        <v>0</v>
      </c>
      <c r="RR10" s="33" t="n">
        <v>0</v>
      </c>
      <c r="RS10" s="33" t="n">
        <v>0</v>
      </c>
      <c r="RT10" s="33" t="n">
        <v>0</v>
      </c>
      <c r="RU10" s="33" t="n">
        <v>0</v>
      </c>
      <c r="RV10" s="33" t="n">
        <v>0</v>
      </c>
      <c r="RW10" s="33" t="n">
        <v>0</v>
      </c>
    </row>
    <row r="11" hidden="1" outlineLevel="1" ht="13.05" customHeight="1">
      <c r="E11" s="21" t="inlineStr">
        <is>
          <t>Lease Tax</t>
        </is>
      </c>
      <c r="F11" s="29" t="n"/>
      <c r="G11" s="29" t="inlineStr">
        <is>
          <t>kEUR</t>
        </is>
      </c>
      <c r="H11" s="29" t="n"/>
      <c r="I11" s="29" t="n"/>
      <c r="J11" s="32" t="n">
        <v>0</v>
      </c>
      <c r="K11" s="29" t="n"/>
      <c r="L11" s="33" t="n">
        <v>0</v>
      </c>
      <c r="M11" s="33" t="n">
        <v>0</v>
      </c>
      <c r="N11" s="33" t="n">
        <v>0</v>
      </c>
      <c r="O11" s="33" t="n">
        <v>0</v>
      </c>
      <c r="P11" s="33" t="n">
        <v>0</v>
      </c>
      <c r="Q11" s="33" t="n">
        <v>0</v>
      </c>
      <c r="R11" s="33" t="n">
        <v>0</v>
      </c>
      <c r="S11" s="33" t="n">
        <v>0</v>
      </c>
      <c r="T11" s="33" t="n">
        <v>0</v>
      </c>
      <c r="U11" s="33" t="n">
        <v>0</v>
      </c>
      <c r="V11" s="33" t="n">
        <v>0</v>
      </c>
      <c r="W11" s="33" t="n">
        <v>0</v>
      </c>
      <c r="X11" s="33" t="n">
        <v>0</v>
      </c>
      <c r="Y11" s="33" t="n">
        <v>0</v>
      </c>
      <c r="Z11" s="33" t="n">
        <v>0</v>
      </c>
      <c r="AA11" s="33" t="n">
        <v>0</v>
      </c>
      <c r="AB11" s="33" t="n">
        <v>0</v>
      </c>
      <c r="AC11" s="33" t="n">
        <v>0</v>
      </c>
      <c r="AD11" s="33" t="n">
        <v>0</v>
      </c>
      <c r="AE11" s="33" t="n">
        <v>0</v>
      </c>
      <c r="AF11" s="33" t="n">
        <v>0</v>
      </c>
      <c r="AG11" s="33" t="n">
        <v>0</v>
      </c>
      <c r="AH11" s="33" t="n">
        <v>0</v>
      </c>
      <c r="AI11" s="33" t="n">
        <v>0</v>
      </c>
      <c r="AJ11" s="33" t="n">
        <v>0</v>
      </c>
      <c r="AK11" s="33" t="n">
        <v>0</v>
      </c>
      <c r="AL11" s="33" t="n">
        <v>0</v>
      </c>
      <c r="AM11" s="33" t="n">
        <v>0</v>
      </c>
      <c r="AN11" s="33" t="n">
        <v>0</v>
      </c>
      <c r="AO11" s="33" t="n">
        <v>0</v>
      </c>
      <c r="AP11" s="33" t="n">
        <v>0</v>
      </c>
      <c r="AQ11" s="33" t="n">
        <v>0</v>
      </c>
      <c r="AR11" s="33" t="n">
        <v>0</v>
      </c>
      <c r="AS11" s="33" t="n">
        <v>0</v>
      </c>
      <c r="AT11" s="33" t="n">
        <v>0</v>
      </c>
      <c r="AU11" s="33" t="n">
        <v>0</v>
      </c>
      <c r="AV11" s="33" t="n">
        <v>0</v>
      </c>
      <c r="AW11" s="33" t="n">
        <v>0</v>
      </c>
      <c r="AX11" s="33" t="n">
        <v>0</v>
      </c>
      <c r="AY11" s="33" t="n">
        <v>0</v>
      </c>
      <c r="AZ11" s="33" t="n">
        <v>0</v>
      </c>
      <c r="BA11" s="33" t="n">
        <v>0</v>
      </c>
      <c r="BB11" s="33" t="n">
        <v>0</v>
      </c>
      <c r="BC11" s="33" t="n">
        <v>0</v>
      </c>
      <c r="BD11" s="33" t="n">
        <v>0</v>
      </c>
      <c r="BE11" s="33" t="n">
        <v>0</v>
      </c>
      <c r="BF11" s="33" t="n">
        <v>0</v>
      </c>
      <c r="BG11" s="33" t="n">
        <v>0</v>
      </c>
      <c r="BH11" s="33" t="n">
        <v>0</v>
      </c>
      <c r="BI11" s="33" t="n">
        <v>0</v>
      </c>
      <c r="BJ11" s="33" t="n">
        <v>0</v>
      </c>
      <c r="BK11" s="33" t="n">
        <v>0</v>
      </c>
      <c r="BL11" s="33" t="n">
        <v>0</v>
      </c>
      <c r="BM11" s="33" t="n">
        <v>0</v>
      </c>
      <c r="BN11" s="33" t="n">
        <v>0</v>
      </c>
      <c r="BO11" s="33" t="n">
        <v>0</v>
      </c>
      <c r="BP11" s="33" t="n">
        <v>0</v>
      </c>
      <c r="BQ11" s="33" t="n">
        <v>0</v>
      </c>
      <c r="BR11" s="33" t="n">
        <v>0</v>
      </c>
      <c r="BS11" s="33" t="n">
        <v>0</v>
      </c>
      <c r="BT11" s="33" t="n">
        <v>0</v>
      </c>
      <c r="BU11" s="33" t="n">
        <v>0</v>
      </c>
      <c r="BV11" s="33" t="n">
        <v>0</v>
      </c>
      <c r="BW11" s="33" t="n">
        <v>0</v>
      </c>
      <c r="BX11" s="33" t="n">
        <v>0</v>
      </c>
      <c r="BY11" s="33" t="n">
        <v>0</v>
      </c>
      <c r="BZ11" s="33" t="n">
        <v>0</v>
      </c>
      <c r="CA11" s="33" t="n">
        <v>0</v>
      </c>
      <c r="CB11" s="33" t="n">
        <v>0</v>
      </c>
      <c r="CC11" s="33" t="n">
        <v>0</v>
      </c>
      <c r="CD11" s="33" t="n">
        <v>0</v>
      </c>
      <c r="CE11" s="33" t="n">
        <v>0</v>
      </c>
      <c r="CF11" s="33" t="n">
        <v>0</v>
      </c>
      <c r="CG11" s="33" t="n">
        <v>0</v>
      </c>
      <c r="CH11" s="33" t="n">
        <v>0</v>
      </c>
      <c r="CI11" s="33" t="n">
        <v>0</v>
      </c>
      <c r="CJ11" s="33" t="n">
        <v>0</v>
      </c>
      <c r="CK11" s="33" t="n">
        <v>0</v>
      </c>
      <c r="CL11" s="33" t="n">
        <v>0</v>
      </c>
      <c r="CM11" s="33" t="n">
        <v>0</v>
      </c>
      <c r="CN11" s="33" t="n">
        <v>0</v>
      </c>
      <c r="CO11" s="33" t="n">
        <v>0</v>
      </c>
      <c r="CP11" s="33" t="n">
        <v>0</v>
      </c>
      <c r="CQ11" s="33" t="n">
        <v>0</v>
      </c>
      <c r="CR11" s="33" t="n">
        <v>0</v>
      </c>
      <c r="CS11" s="33" t="n">
        <v>0</v>
      </c>
      <c r="CT11" s="33" t="n">
        <v>0</v>
      </c>
      <c r="CU11" s="33" t="n">
        <v>0</v>
      </c>
      <c r="CV11" s="33" t="n">
        <v>0</v>
      </c>
      <c r="CW11" s="33" t="n">
        <v>0</v>
      </c>
      <c r="CX11" s="33" t="n">
        <v>0</v>
      </c>
      <c r="CY11" s="33" t="n">
        <v>0</v>
      </c>
      <c r="CZ11" s="33" t="n">
        <v>0</v>
      </c>
      <c r="DA11" s="33" t="n">
        <v>0</v>
      </c>
      <c r="DB11" s="33" t="n">
        <v>0</v>
      </c>
      <c r="DC11" s="33" t="n">
        <v>0</v>
      </c>
      <c r="DD11" s="33" t="n">
        <v>0</v>
      </c>
      <c r="DE11" s="33" t="n">
        <v>0</v>
      </c>
      <c r="DF11" s="33" t="n">
        <v>0</v>
      </c>
      <c r="DG11" s="33" t="n">
        <v>0</v>
      </c>
      <c r="DH11" s="33" t="n">
        <v>0</v>
      </c>
      <c r="DI11" s="33" t="n">
        <v>0</v>
      </c>
      <c r="DJ11" s="33" t="n">
        <v>0</v>
      </c>
      <c r="DK11" s="33" t="n">
        <v>0</v>
      </c>
      <c r="DL11" s="33" t="n">
        <v>0</v>
      </c>
      <c r="DM11" s="33" t="n">
        <v>0</v>
      </c>
      <c r="DN11" s="33" t="n">
        <v>0</v>
      </c>
      <c r="DO11" s="33" t="n">
        <v>0</v>
      </c>
      <c r="DP11" s="33" t="n">
        <v>0</v>
      </c>
      <c r="DQ11" s="33" t="n">
        <v>0</v>
      </c>
      <c r="DR11" s="33" t="n">
        <v>0</v>
      </c>
      <c r="DS11" s="33" t="n">
        <v>0</v>
      </c>
      <c r="DT11" s="33" t="n">
        <v>0</v>
      </c>
      <c r="DU11" s="33" t="n">
        <v>0</v>
      </c>
      <c r="DV11" s="33" t="n">
        <v>0</v>
      </c>
      <c r="DW11" s="33" t="n">
        <v>0</v>
      </c>
      <c r="DX11" s="33" t="n">
        <v>0</v>
      </c>
      <c r="DY11" s="33" t="n">
        <v>0</v>
      </c>
      <c r="DZ11" s="33" t="n">
        <v>0</v>
      </c>
      <c r="EA11" s="33" t="n">
        <v>0</v>
      </c>
      <c r="EB11" s="33" t="n">
        <v>0</v>
      </c>
      <c r="EC11" s="33" t="n">
        <v>0</v>
      </c>
      <c r="ED11" s="33" t="n">
        <v>0</v>
      </c>
      <c r="EE11" s="33" t="n">
        <v>0</v>
      </c>
      <c r="EF11" s="33" t="n">
        <v>0</v>
      </c>
      <c r="EG11" s="33" t="n">
        <v>0</v>
      </c>
      <c r="EH11" s="33" t="n">
        <v>0</v>
      </c>
      <c r="EI11" s="33" t="n">
        <v>0</v>
      </c>
      <c r="EJ11" s="33" t="n">
        <v>0</v>
      </c>
      <c r="EK11" s="33" t="n">
        <v>0</v>
      </c>
      <c r="EL11" s="33" t="n">
        <v>0</v>
      </c>
      <c r="EM11" s="33" t="n">
        <v>0</v>
      </c>
      <c r="EN11" s="33" t="n">
        <v>0</v>
      </c>
      <c r="EO11" s="33" t="n">
        <v>0</v>
      </c>
      <c r="EP11" s="33" t="n">
        <v>0</v>
      </c>
      <c r="EQ11" s="33" t="n">
        <v>0</v>
      </c>
      <c r="ER11" s="33" t="n">
        <v>0</v>
      </c>
      <c r="ES11" s="33" t="n">
        <v>0</v>
      </c>
      <c r="ET11" s="33" t="n">
        <v>0</v>
      </c>
      <c r="EU11" s="33" t="n">
        <v>0</v>
      </c>
      <c r="EV11" s="33" t="n">
        <v>0</v>
      </c>
      <c r="EW11" s="33" t="n">
        <v>0</v>
      </c>
      <c r="EX11" s="33" t="n">
        <v>0</v>
      </c>
      <c r="EY11" s="33" t="n">
        <v>0</v>
      </c>
      <c r="EZ11" s="33" t="n">
        <v>0</v>
      </c>
      <c r="FA11" s="33" t="n">
        <v>0</v>
      </c>
      <c r="FB11" s="33" t="n">
        <v>0</v>
      </c>
      <c r="FC11" s="33" t="n">
        <v>0</v>
      </c>
      <c r="FD11" s="33" t="n">
        <v>0</v>
      </c>
      <c r="FE11" s="33" t="n">
        <v>0</v>
      </c>
      <c r="FF11" s="33" t="n">
        <v>0</v>
      </c>
      <c r="FG11" s="33" t="n">
        <v>0</v>
      </c>
      <c r="FH11" s="33" t="n">
        <v>0</v>
      </c>
      <c r="FI11" s="33" t="n">
        <v>0</v>
      </c>
      <c r="FJ11" s="33" t="n">
        <v>0</v>
      </c>
      <c r="FK11" s="33" t="n">
        <v>0</v>
      </c>
      <c r="FL11" s="33" t="n">
        <v>0</v>
      </c>
      <c r="FM11" s="33" t="n">
        <v>0</v>
      </c>
      <c r="FN11" s="33" t="n">
        <v>0</v>
      </c>
      <c r="FO11" s="33" t="n">
        <v>0</v>
      </c>
      <c r="FP11" s="33" t="n">
        <v>0</v>
      </c>
      <c r="FQ11" s="33" t="n">
        <v>0</v>
      </c>
      <c r="FR11" s="33" t="n">
        <v>0</v>
      </c>
      <c r="FS11" s="33" t="n">
        <v>0</v>
      </c>
      <c r="FT11" s="33" t="n">
        <v>0</v>
      </c>
      <c r="FU11" s="33" t="n">
        <v>0</v>
      </c>
      <c r="FV11" s="33" t="n">
        <v>0</v>
      </c>
      <c r="FW11" s="33" t="n">
        <v>0</v>
      </c>
      <c r="FX11" s="33" t="n">
        <v>0</v>
      </c>
      <c r="FY11" s="33" t="n">
        <v>0</v>
      </c>
      <c r="FZ11" s="33" t="n">
        <v>0</v>
      </c>
      <c r="GA11" s="33" t="n">
        <v>0</v>
      </c>
      <c r="GB11" s="33" t="n">
        <v>0</v>
      </c>
      <c r="GC11" s="33" t="n">
        <v>0</v>
      </c>
      <c r="GD11" s="33" t="n">
        <v>0</v>
      </c>
      <c r="GE11" s="33" t="n">
        <v>0</v>
      </c>
      <c r="GF11" s="33" t="n">
        <v>0</v>
      </c>
      <c r="GG11" s="33" t="n">
        <v>0</v>
      </c>
      <c r="GH11" s="33" t="n">
        <v>0</v>
      </c>
      <c r="GI11" s="33" t="n">
        <v>0</v>
      </c>
      <c r="GJ11" s="33" t="n">
        <v>0</v>
      </c>
      <c r="GK11" s="33" t="n">
        <v>0</v>
      </c>
      <c r="GL11" s="33" t="n">
        <v>0</v>
      </c>
      <c r="GM11" s="33" t="n">
        <v>0</v>
      </c>
      <c r="GN11" s="33" t="n">
        <v>0</v>
      </c>
      <c r="GO11" s="33" t="n">
        <v>0</v>
      </c>
      <c r="GP11" s="33" t="n">
        <v>0</v>
      </c>
      <c r="GQ11" s="33" t="n">
        <v>0</v>
      </c>
      <c r="GR11" s="33" t="n">
        <v>0</v>
      </c>
      <c r="GS11" s="33" t="n">
        <v>0</v>
      </c>
      <c r="GT11" s="33" t="n">
        <v>0</v>
      </c>
      <c r="GU11" s="33" t="n">
        <v>0</v>
      </c>
      <c r="GV11" s="33" t="n">
        <v>0</v>
      </c>
      <c r="GW11" s="33" t="n">
        <v>0</v>
      </c>
      <c r="GX11" s="33" t="n">
        <v>0</v>
      </c>
      <c r="GY11" s="33" t="n">
        <v>0</v>
      </c>
      <c r="GZ11" s="33" t="n">
        <v>0</v>
      </c>
      <c r="HA11" s="33" t="n">
        <v>0</v>
      </c>
      <c r="HB11" s="33" t="n">
        <v>0</v>
      </c>
      <c r="HC11" s="33" t="n">
        <v>0</v>
      </c>
      <c r="HD11" s="33" t="n">
        <v>0</v>
      </c>
      <c r="HE11" s="33" t="n">
        <v>0</v>
      </c>
      <c r="HF11" s="33" t="n">
        <v>0</v>
      </c>
      <c r="HG11" s="33" t="n">
        <v>0</v>
      </c>
      <c r="HH11" s="33" t="n">
        <v>0</v>
      </c>
      <c r="HI11" s="33" t="n">
        <v>0</v>
      </c>
      <c r="HJ11" s="33" t="n">
        <v>0</v>
      </c>
      <c r="HK11" s="33" t="n">
        <v>0</v>
      </c>
      <c r="HL11" s="33" t="n">
        <v>0</v>
      </c>
      <c r="HM11" s="33" t="n">
        <v>0</v>
      </c>
      <c r="HN11" s="33" t="n">
        <v>0</v>
      </c>
      <c r="HO11" s="33" t="n">
        <v>0</v>
      </c>
      <c r="HP11" s="33" t="n">
        <v>0</v>
      </c>
      <c r="HQ11" s="33" t="n">
        <v>0</v>
      </c>
      <c r="HR11" s="33" t="n">
        <v>0</v>
      </c>
      <c r="HS11" s="33" t="n">
        <v>0</v>
      </c>
      <c r="HT11" s="33" t="n">
        <v>0</v>
      </c>
      <c r="HU11" s="33" t="n">
        <v>0</v>
      </c>
      <c r="HV11" s="33" t="n">
        <v>0</v>
      </c>
      <c r="HW11" s="33" t="n">
        <v>0</v>
      </c>
      <c r="HX11" s="33" t="n">
        <v>0</v>
      </c>
      <c r="HY11" s="33" t="n">
        <v>0</v>
      </c>
      <c r="HZ11" s="33" t="n">
        <v>0</v>
      </c>
      <c r="IA11" s="33" t="n">
        <v>0</v>
      </c>
      <c r="IB11" s="33" t="n">
        <v>0</v>
      </c>
      <c r="IC11" s="33" t="n">
        <v>0</v>
      </c>
      <c r="ID11" s="33" t="n">
        <v>0</v>
      </c>
      <c r="IE11" s="33" t="n">
        <v>0</v>
      </c>
      <c r="IF11" s="33" t="n">
        <v>0</v>
      </c>
      <c r="IG11" s="33" t="n">
        <v>0</v>
      </c>
      <c r="IH11" s="33" t="n">
        <v>0</v>
      </c>
      <c r="II11" s="33" t="n">
        <v>0</v>
      </c>
      <c r="IJ11" s="33" t="n">
        <v>0</v>
      </c>
      <c r="IK11" s="33" t="n">
        <v>0</v>
      </c>
      <c r="IL11" s="33" t="n">
        <v>0</v>
      </c>
      <c r="IM11" s="33" t="n">
        <v>0</v>
      </c>
      <c r="IN11" s="33" t="n">
        <v>0</v>
      </c>
      <c r="IO11" s="33" t="n">
        <v>0</v>
      </c>
      <c r="IP11" s="33" t="n">
        <v>0</v>
      </c>
      <c r="IQ11" s="33" t="n">
        <v>0</v>
      </c>
      <c r="IR11" s="33" t="n">
        <v>0</v>
      </c>
      <c r="IS11" s="33" t="n">
        <v>0</v>
      </c>
      <c r="IT11" s="33" t="n">
        <v>0</v>
      </c>
      <c r="IU11" s="33" t="n">
        <v>0</v>
      </c>
      <c r="IV11" s="33" t="n">
        <v>0</v>
      </c>
      <c r="IW11" s="33" t="n">
        <v>0</v>
      </c>
      <c r="IX11" s="33" t="n">
        <v>0</v>
      </c>
      <c r="IY11" s="33" t="n">
        <v>0</v>
      </c>
      <c r="IZ11" s="33" t="n">
        <v>0</v>
      </c>
      <c r="JA11" s="33" t="n">
        <v>0</v>
      </c>
      <c r="JB11" s="33" t="n">
        <v>0</v>
      </c>
      <c r="JC11" s="33" t="n">
        <v>0</v>
      </c>
      <c r="JD11" s="33" t="n">
        <v>0</v>
      </c>
      <c r="JE11" s="33" t="n">
        <v>0</v>
      </c>
      <c r="JF11" s="33" t="n">
        <v>0</v>
      </c>
      <c r="JG11" s="33" t="n">
        <v>0</v>
      </c>
      <c r="JH11" s="33" t="n">
        <v>0</v>
      </c>
      <c r="JI11" s="33" t="n">
        <v>0</v>
      </c>
      <c r="JJ11" s="33" t="n">
        <v>0</v>
      </c>
      <c r="JK11" s="33" t="n">
        <v>0</v>
      </c>
      <c r="JL11" s="33" t="n">
        <v>0</v>
      </c>
      <c r="JM11" s="33" t="n">
        <v>0</v>
      </c>
      <c r="JN11" s="33" t="n">
        <v>0</v>
      </c>
      <c r="JO11" s="33" t="n">
        <v>0</v>
      </c>
      <c r="JP11" s="33" t="n">
        <v>0</v>
      </c>
      <c r="JQ11" s="33" t="n">
        <v>0</v>
      </c>
      <c r="JR11" s="33" t="n">
        <v>0</v>
      </c>
      <c r="JS11" s="33" t="n">
        <v>0</v>
      </c>
      <c r="JT11" s="33" t="n">
        <v>0</v>
      </c>
      <c r="JU11" s="33" t="n">
        <v>0</v>
      </c>
      <c r="JV11" s="33" t="n">
        <v>0</v>
      </c>
      <c r="JW11" s="33" t="n">
        <v>0</v>
      </c>
      <c r="JX11" s="33" t="n">
        <v>0</v>
      </c>
      <c r="JY11" s="33" t="n">
        <v>0</v>
      </c>
      <c r="JZ11" s="33" t="n">
        <v>0</v>
      </c>
      <c r="KA11" s="33" t="n">
        <v>0</v>
      </c>
      <c r="KB11" s="33" t="n">
        <v>0</v>
      </c>
      <c r="KC11" s="33" t="n">
        <v>0</v>
      </c>
      <c r="KD11" s="33" t="n">
        <v>0</v>
      </c>
      <c r="KE11" s="33" t="n">
        <v>0</v>
      </c>
      <c r="KF11" s="33" t="n">
        <v>0</v>
      </c>
      <c r="KG11" s="33" t="n">
        <v>0</v>
      </c>
      <c r="KH11" s="33" t="n">
        <v>0</v>
      </c>
      <c r="KI11" s="33" t="n">
        <v>0</v>
      </c>
      <c r="KJ11" s="33" t="n">
        <v>0</v>
      </c>
      <c r="KK11" s="33" t="n">
        <v>0</v>
      </c>
      <c r="KL11" s="33" t="n">
        <v>0</v>
      </c>
      <c r="KM11" s="33" t="n">
        <v>0</v>
      </c>
      <c r="KN11" s="33" t="n">
        <v>0</v>
      </c>
      <c r="KO11" s="33" t="n">
        <v>0</v>
      </c>
      <c r="KP11" s="33" t="n">
        <v>0</v>
      </c>
      <c r="KQ11" s="33" t="n">
        <v>0</v>
      </c>
      <c r="KR11" s="33" t="n">
        <v>0</v>
      </c>
      <c r="KS11" s="33" t="n">
        <v>0</v>
      </c>
      <c r="KT11" s="33" t="n">
        <v>0</v>
      </c>
      <c r="KU11" s="33" t="n">
        <v>0</v>
      </c>
      <c r="KV11" s="33" t="n">
        <v>0</v>
      </c>
      <c r="KW11" s="33" t="n">
        <v>0</v>
      </c>
      <c r="KX11" s="33" t="n">
        <v>0</v>
      </c>
      <c r="KY11" s="33" t="n">
        <v>0</v>
      </c>
      <c r="KZ11" s="33" t="n">
        <v>0</v>
      </c>
      <c r="LA11" s="33" t="n">
        <v>0</v>
      </c>
      <c r="LB11" s="33" t="n">
        <v>0</v>
      </c>
      <c r="LC11" s="33" t="n">
        <v>0</v>
      </c>
      <c r="LD11" s="33" t="n">
        <v>0</v>
      </c>
      <c r="LE11" s="33" t="n">
        <v>0</v>
      </c>
      <c r="LF11" s="33" t="n">
        <v>0</v>
      </c>
      <c r="LG11" s="33" t="n">
        <v>0</v>
      </c>
      <c r="LH11" s="33" t="n">
        <v>0</v>
      </c>
      <c r="LI11" s="33" t="n">
        <v>0</v>
      </c>
      <c r="LJ11" s="33" t="n">
        <v>0</v>
      </c>
      <c r="LK11" s="33" t="n">
        <v>0</v>
      </c>
      <c r="LL11" s="33" t="n">
        <v>0</v>
      </c>
      <c r="LM11" s="33" t="n">
        <v>0</v>
      </c>
      <c r="LN11" s="33" t="n">
        <v>0</v>
      </c>
      <c r="LO11" s="33" t="n">
        <v>0</v>
      </c>
      <c r="LP11" s="33" t="n">
        <v>0</v>
      </c>
      <c r="LQ11" s="33" t="n">
        <v>0</v>
      </c>
      <c r="LR11" s="33" t="n">
        <v>0</v>
      </c>
      <c r="LS11" s="33" t="n">
        <v>0</v>
      </c>
      <c r="LT11" s="33" t="n">
        <v>0</v>
      </c>
      <c r="LU11" s="33" t="n">
        <v>0</v>
      </c>
      <c r="LV11" s="33" t="n">
        <v>0</v>
      </c>
      <c r="LW11" s="33" t="n">
        <v>0</v>
      </c>
      <c r="LX11" s="33" t="n">
        <v>0</v>
      </c>
      <c r="LY11" s="33" t="n">
        <v>0</v>
      </c>
      <c r="LZ11" s="33" t="n">
        <v>0</v>
      </c>
      <c r="MA11" s="33" t="n">
        <v>0</v>
      </c>
      <c r="MB11" s="33" t="n">
        <v>0</v>
      </c>
      <c r="MC11" s="33" t="n">
        <v>0</v>
      </c>
      <c r="MD11" s="33" t="n">
        <v>0</v>
      </c>
      <c r="ME11" s="33" t="n">
        <v>0</v>
      </c>
      <c r="MF11" s="33" t="n">
        <v>0</v>
      </c>
      <c r="MG11" s="33" t="n">
        <v>0</v>
      </c>
      <c r="MH11" s="33" t="n">
        <v>0</v>
      </c>
      <c r="MI11" s="33" t="n">
        <v>0</v>
      </c>
      <c r="MJ11" s="33" t="n">
        <v>0</v>
      </c>
      <c r="MK11" s="33" t="n">
        <v>0</v>
      </c>
      <c r="ML11" s="33" t="n">
        <v>0</v>
      </c>
      <c r="MM11" s="33" t="n">
        <v>0</v>
      </c>
      <c r="MN11" s="33" t="n">
        <v>0</v>
      </c>
      <c r="MO11" s="33" t="n">
        <v>0</v>
      </c>
      <c r="MP11" s="33" t="n">
        <v>0</v>
      </c>
      <c r="MQ11" s="33" t="n">
        <v>0</v>
      </c>
      <c r="MR11" s="33" t="n">
        <v>0</v>
      </c>
      <c r="MS11" s="33" t="n">
        <v>0</v>
      </c>
      <c r="MT11" s="33" t="n">
        <v>0</v>
      </c>
      <c r="MU11" s="33" t="n">
        <v>0</v>
      </c>
      <c r="MV11" s="33" t="n">
        <v>0</v>
      </c>
      <c r="MW11" s="33" t="n">
        <v>0</v>
      </c>
      <c r="MX11" s="33" t="n">
        <v>0</v>
      </c>
      <c r="MY11" s="33" t="n">
        <v>0</v>
      </c>
      <c r="MZ11" s="33" t="n">
        <v>0</v>
      </c>
      <c r="NA11" s="33" t="n">
        <v>0</v>
      </c>
      <c r="NB11" s="33" t="n">
        <v>0</v>
      </c>
      <c r="NC11" s="33" t="n">
        <v>0</v>
      </c>
      <c r="ND11" s="33" t="n">
        <v>0</v>
      </c>
      <c r="NE11" s="33" t="n">
        <v>0</v>
      </c>
      <c r="NF11" s="33" t="n">
        <v>0</v>
      </c>
      <c r="NG11" s="33" t="n">
        <v>0</v>
      </c>
      <c r="NH11" s="33" t="n">
        <v>0</v>
      </c>
      <c r="NI11" s="33" t="n">
        <v>0</v>
      </c>
      <c r="NJ11" s="33" t="n">
        <v>0</v>
      </c>
      <c r="NK11" s="33" t="n">
        <v>0</v>
      </c>
      <c r="NL11" s="33" t="n">
        <v>0</v>
      </c>
      <c r="NM11" s="33" t="n">
        <v>0</v>
      </c>
      <c r="NN11" s="33" t="n">
        <v>0</v>
      </c>
      <c r="NO11" s="33" t="n">
        <v>0</v>
      </c>
      <c r="NP11" s="33" t="n">
        <v>0</v>
      </c>
      <c r="NQ11" s="33" t="n">
        <v>0</v>
      </c>
      <c r="NR11" s="33" t="n">
        <v>0</v>
      </c>
      <c r="NS11" s="33" t="n">
        <v>0</v>
      </c>
      <c r="NT11" s="33" t="n">
        <v>0</v>
      </c>
      <c r="NU11" s="33" t="n">
        <v>0</v>
      </c>
      <c r="NV11" s="33" t="n">
        <v>0</v>
      </c>
      <c r="NW11" s="33" t="n">
        <v>0</v>
      </c>
      <c r="NX11" s="33" t="n">
        <v>0</v>
      </c>
      <c r="NY11" s="33" t="n">
        <v>0</v>
      </c>
      <c r="NZ11" s="33" t="n">
        <v>0</v>
      </c>
      <c r="OA11" s="33" t="n">
        <v>0</v>
      </c>
      <c r="OB11" s="33" t="n">
        <v>0</v>
      </c>
      <c r="OC11" s="33" t="n">
        <v>0</v>
      </c>
      <c r="OD11" s="33" t="n">
        <v>0</v>
      </c>
      <c r="OE11" s="33" t="n">
        <v>0</v>
      </c>
      <c r="OF11" s="33" t="n">
        <v>0</v>
      </c>
      <c r="OG11" s="33" t="n">
        <v>0</v>
      </c>
      <c r="OH11" s="33" t="n">
        <v>0</v>
      </c>
      <c r="OI11" s="33" t="n">
        <v>0</v>
      </c>
      <c r="OJ11" s="33" t="n">
        <v>0</v>
      </c>
      <c r="OK11" s="33" t="n">
        <v>0</v>
      </c>
      <c r="OL11" s="33" t="n">
        <v>0</v>
      </c>
      <c r="OM11" s="33" t="n">
        <v>0</v>
      </c>
      <c r="ON11" s="33" t="n">
        <v>0</v>
      </c>
      <c r="OO11" s="33" t="n">
        <v>0</v>
      </c>
      <c r="OP11" s="33" t="n">
        <v>0</v>
      </c>
      <c r="OQ11" s="33" t="n">
        <v>0</v>
      </c>
      <c r="OR11" s="33" t="n">
        <v>0</v>
      </c>
      <c r="OS11" s="33" t="n">
        <v>0</v>
      </c>
      <c r="OT11" s="33" t="n">
        <v>0</v>
      </c>
      <c r="OU11" s="33" t="n">
        <v>0</v>
      </c>
      <c r="OV11" s="33" t="n">
        <v>0</v>
      </c>
      <c r="OW11" s="33" t="n">
        <v>0</v>
      </c>
      <c r="OX11" s="33" t="n">
        <v>0</v>
      </c>
      <c r="OY11" s="33" t="n">
        <v>0</v>
      </c>
      <c r="OZ11" s="33" t="n">
        <v>0</v>
      </c>
      <c r="PA11" s="33" t="n">
        <v>0</v>
      </c>
      <c r="PB11" s="33" t="n">
        <v>0</v>
      </c>
      <c r="PC11" s="33" t="n">
        <v>0</v>
      </c>
      <c r="PD11" s="33" t="n">
        <v>0</v>
      </c>
      <c r="PE11" s="33" t="n">
        <v>0</v>
      </c>
      <c r="PF11" s="33" t="n">
        <v>0</v>
      </c>
      <c r="PG11" s="33" t="n">
        <v>0</v>
      </c>
      <c r="PH11" s="33" t="n">
        <v>0</v>
      </c>
      <c r="PI11" s="33" t="n">
        <v>0</v>
      </c>
      <c r="PJ11" s="33" t="n">
        <v>0</v>
      </c>
      <c r="PK11" s="33" t="n">
        <v>0</v>
      </c>
      <c r="PL11" s="33" t="n">
        <v>0</v>
      </c>
      <c r="PM11" s="33" t="n">
        <v>0</v>
      </c>
      <c r="PN11" s="33" t="n">
        <v>0</v>
      </c>
      <c r="PO11" s="33" t="n">
        <v>0</v>
      </c>
      <c r="PP11" s="33" t="n">
        <v>0</v>
      </c>
      <c r="PQ11" s="33" t="n">
        <v>0</v>
      </c>
      <c r="PR11" s="33" t="n">
        <v>0</v>
      </c>
      <c r="PS11" s="33" t="n">
        <v>0</v>
      </c>
      <c r="PT11" s="33" t="n">
        <v>0</v>
      </c>
      <c r="PU11" s="33" t="n">
        <v>0</v>
      </c>
      <c r="PV11" s="33" t="n">
        <v>0</v>
      </c>
      <c r="PW11" s="33" t="n">
        <v>0</v>
      </c>
      <c r="PX11" s="33" t="n">
        <v>0</v>
      </c>
      <c r="PY11" s="33" t="n">
        <v>0</v>
      </c>
      <c r="PZ11" s="33" t="n">
        <v>0</v>
      </c>
      <c r="QA11" s="33" t="n">
        <v>0</v>
      </c>
      <c r="QB11" s="33" t="n">
        <v>0</v>
      </c>
      <c r="QC11" s="33" t="n">
        <v>0</v>
      </c>
      <c r="QD11" s="33" t="n">
        <v>0</v>
      </c>
      <c r="QE11" s="33" t="n">
        <v>0</v>
      </c>
      <c r="QF11" s="33" t="n">
        <v>0</v>
      </c>
      <c r="QG11" s="33" t="n">
        <v>0</v>
      </c>
      <c r="QH11" s="33" t="n">
        <v>0</v>
      </c>
      <c r="QI11" s="33" t="n">
        <v>0</v>
      </c>
      <c r="QJ11" s="33" t="n">
        <v>0</v>
      </c>
      <c r="QK11" s="33" t="n">
        <v>0</v>
      </c>
      <c r="QL11" s="33" t="n">
        <v>0</v>
      </c>
      <c r="QM11" s="33" t="n">
        <v>0</v>
      </c>
      <c r="QN11" s="33" t="n">
        <v>0</v>
      </c>
      <c r="QO11" s="33" t="n">
        <v>0</v>
      </c>
      <c r="QP11" s="33" t="n">
        <v>0</v>
      </c>
      <c r="QQ11" s="33" t="n">
        <v>0</v>
      </c>
      <c r="QR11" s="33" t="n">
        <v>0</v>
      </c>
      <c r="QS11" s="33" t="n">
        <v>0</v>
      </c>
      <c r="QT11" s="33" t="n">
        <v>0</v>
      </c>
      <c r="QU11" s="33" t="n">
        <v>0</v>
      </c>
      <c r="QV11" s="33" t="n">
        <v>0</v>
      </c>
      <c r="QW11" s="33" t="n">
        <v>0</v>
      </c>
      <c r="QX11" s="33" t="n">
        <v>0</v>
      </c>
      <c r="QY11" s="33" t="n">
        <v>0</v>
      </c>
      <c r="QZ11" s="33" t="n">
        <v>0</v>
      </c>
      <c r="RA11" s="33" t="n">
        <v>0</v>
      </c>
      <c r="RB11" s="33" t="n">
        <v>0</v>
      </c>
      <c r="RC11" s="33" t="n">
        <v>0</v>
      </c>
      <c r="RD11" s="33" t="n">
        <v>0</v>
      </c>
      <c r="RE11" s="33" t="n">
        <v>0</v>
      </c>
      <c r="RF11" s="33" t="n">
        <v>0</v>
      </c>
      <c r="RG11" s="33" t="n">
        <v>0</v>
      </c>
      <c r="RH11" s="33" t="n">
        <v>0</v>
      </c>
      <c r="RI11" s="33" t="n">
        <v>0</v>
      </c>
      <c r="RJ11" s="33" t="n">
        <v>0</v>
      </c>
      <c r="RK11" s="33" t="n">
        <v>0</v>
      </c>
      <c r="RL11" s="33" t="n">
        <v>0</v>
      </c>
      <c r="RM11" s="33" t="n">
        <v>0</v>
      </c>
      <c r="RN11" s="33" t="n">
        <v>0</v>
      </c>
      <c r="RO11" s="33" t="n">
        <v>0</v>
      </c>
      <c r="RP11" s="33" t="n">
        <v>0</v>
      </c>
      <c r="RQ11" s="33" t="n">
        <v>0</v>
      </c>
      <c r="RR11" s="33" t="n">
        <v>0</v>
      </c>
      <c r="RS11" s="33" t="n">
        <v>0</v>
      </c>
      <c r="RT11" s="33" t="n">
        <v>0</v>
      </c>
      <c r="RU11" s="33" t="n">
        <v>0</v>
      </c>
      <c r="RV11" s="33" t="n">
        <v>0</v>
      </c>
      <c r="RW11" s="33" t="n">
        <v>0</v>
      </c>
    </row>
    <row r="12" hidden="1" outlineLevel="1" ht="13.05" customHeight="1">
      <c r="E12" s="21" t="inlineStr">
        <is>
          <t>Insurance</t>
        </is>
      </c>
      <c r="F12" s="29" t="n"/>
      <c r="G12" s="29" t="inlineStr">
        <is>
          <t>kEUR</t>
        </is>
      </c>
      <c r="H12" s="29" t="n"/>
      <c r="I12" s="29" t="n"/>
      <c r="J12" s="32" t="n">
        <v>0</v>
      </c>
      <c r="K12" s="29" t="n"/>
      <c r="L12" s="33" t="n">
        <v>0</v>
      </c>
      <c r="M12" s="33" t="n">
        <v>0</v>
      </c>
      <c r="N12" s="33" t="n">
        <v>0</v>
      </c>
      <c r="O12" s="33" t="n">
        <v>0</v>
      </c>
      <c r="P12" s="33" t="n">
        <v>0</v>
      </c>
      <c r="Q12" s="33" t="n">
        <v>0</v>
      </c>
      <c r="R12" s="33" t="n">
        <v>0</v>
      </c>
      <c r="S12" s="33" t="n">
        <v>0</v>
      </c>
      <c r="T12" s="33" t="n">
        <v>0</v>
      </c>
      <c r="U12" s="33" t="n">
        <v>0</v>
      </c>
      <c r="V12" s="33" t="n">
        <v>0</v>
      </c>
      <c r="W12" s="33" t="n">
        <v>0</v>
      </c>
      <c r="X12" s="33" t="n">
        <v>0</v>
      </c>
      <c r="Y12" s="33" t="n">
        <v>0</v>
      </c>
      <c r="Z12" s="33" t="n">
        <v>0</v>
      </c>
      <c r="AA12" s="33" t="n">
        <v>0</v>
      </c>
      <c r="AB12" s="33" t="n">
        <v>0</v>
      </c>
      <c r="AC12" s="33" t="n">
        <v>0</v>
      </c>
      <c r="AD12" s="33" t="n">
        <v>0</v>
      </c>
      <c r="AE12" s="33" t="n">
        <v>0</v>
      </c>
      <c r="AF12" s="33" t="n">
        <v>0</v>
      </c>
      <c r="AG12" s="33" t="n">
        <v>0</v>
      </c>
      <c r="AH12" s="33" t="n">
        <v>0</v>
      </c>
      <c r="AI12" s="33" t="n">
        <v>0</v>
      </c>
      <c r="AJ12" s="33" t="n">
        <v>0</v>
      </c>
      <c r="AK12" s="33" t="n">
        <v>0</v>
      </c>
      <c r="AL12" s="33" t="n">
        <v>0</v>
      </c>
      <c r="AM12" s="33" t="n">
        <v>0</v>
      </c>
      <c r="AN12" s="33" t="n">
        <v>0</v>
      </c>
      <c r="AO12" s="33" t="n">
        <v>0</v>
      </c>
      <c r="AP12" s="33" t="n">
        <v>0</v>
      </c>
      <c r="AQ12" s="33" t="n">
        <v>0</v>
      </c>
      <c r="AR12" s="33" t="n">
        <v>0</v>
      </c>
      <c r="AS12" s="33" t="n">
        <v>0</v>
      </c>
      <c r="AT12" s="33" t="n">
        <v>0</v>
      </c>
      <c r="AU12" s="33" t="n">
        <v>0</v>
      </c>
      <c r="AV12" s="33" t="n">
        <v>0</v>
      </c>
      <c r="AW12" s="33" t="n">
        <v>0</v>
      </c>
      <c r="AX12" s="33" t="n">
        <v>0</v>
      </c>
      <c r="AY12" s="33" t="n">
        <v>0</v>
      </c>
      <c r="AZ12" s="33" t="n">
        <v>0</v>
      </c>
      <c r="BA12" s="33" t="n">
        <v>0</v>
      </c>
      <c r="BB12" s="33" t="n">
        <v>0</v>
      </c>
      <c r="BC12" s="33" t="n">
        <v>0</v>
      </c>
      <c r="BD12" s="33" t="n">
        <v>0</v>
      </c>
      <c r="BE12" s="33" t="n">
        <v>0</v>
      </c>
      <c r="BF12" s="33" t="n">
        <v>0</v>
      </c>
      <c r="BG12" s="33" t="n">
        <v>0</v>
      </c>
      <c r="BH12" s="33" t="n">
        <v>0</v>
      </c>
      <c r="BI12" s="33" t="n">
        <v>0</v>
      </c>
      <c r="BJ12" s="33" t="n">
        <v>0</v>
      </c>
      <c r="BK12" s="33" t="n">
        <v>0</v>
      </c>
      <c r="BL12" s="33" t="n">
        <v>0</v>
      </c>
      <c r="BM12" s="33" t="n">
        <v>0</v>
      </c>
      <c r="BN12" s="33" t="n">
        <v>0</v>
      </c>
      <c r="BO12" s="33" t="n">
        <v>0</v>
      </c>
      <c r="BP12" s="33" t="n">
        <v>0</v>
      </c>
      <c r="BQ12" s="33" t="n">
        <v>0</v>
      </c>
      <c r="BR12" s="33" t="n">
        <v>0</v>
      </c>
      <c r="BS12" s="33" t="n">
        <v>0</v>
      </c>
      <c r="BT12" s="33" t="n">
        <v>0</v>
      </c>
      <c r="BU12" s="33" t="n">
        <v>0</v>
      </c>
      <c r="BV12" s="33" t="n">
        <v>0</v>
      </c>
      <c r="BW12" s="33" t="n">
        <v>0</v>
      </c>
      <c r="BX12" s="33" t="n">
        <v>0</v>
      </c>
      <c r="BY12" s="33" t="n">
        <v>0</v>
      </c>
      <c r="BZ12" s="33" t="n">
        <v>0</v>
      </c>
      <c r="CA12" s="33" t="n">
        <v>0</v>
      </c>
      <c r="CB12" s="33" t="n">
        <v>0</v>
      </c>
      <c r="CC12" s="33" t="n">
        <v>0</v>
      </c>
      <c r="CD12" s="33" t="n">
        <v>0</v>
      </c>
      <c r="CE12" s="33" t="n">
        <v>0</v>
      </c>
      <c r="CF12" s="33" t="n">
        <v>0</v>
      </c>
      <c r="CG12" s="33" t="n">
        <v>0</v>
      </c>
      <c r="CH12" s="33" t="n">
        <v>0</v>
      </c>
      <c r="CI12" s="33" t="n">
        <v>0</v>
      </c>
      <c r="CJ12" s="33" t="n">
        <v>0</v>
      </c>
      <c r="CK12" s="33" t="n">
        <v>0</v>
      </c>
      <c r="CL12" s="33" t="n">
        <v>0</v>
      </c>
      <c r="CM12" s="33" t="n">
        <v>0</v>
      </c>
      <c r="CN12" s="33" t="n">
        <v>0</v>
      </c>
      <c r="CO12" s="33" t="n">
        <v>0</v>
      </c>
      <c r="CP12" s="33" t="n">
        <v>0</v>
      </c>
      <c r="CQ12" s="33" t="n">
        <v>0</v>
      </c>
      <c r="CR12" s="33" t="n">
        <v>0</v>
      </c>
      <c r="CS12" s="33" t="n">
        <v>0</v>
      </c>
      <c r="CT12" s="33" t="n">
        <v>0</v>
      </c>
      <c r="CU12" s="33" t="n">
        <v>0</v>
      </c>
      <c r="CV12" s="33" t="n">
        <v>0</v>
      </c>
      <c r="CW12" s="33" t="n">
        <v>0</v>
      </c>
      <c r="CX12" s="33" t="n">
        <v>0</v>
      </c>
      <c r="CY12" s="33" t="n">
        <v>0</v>
      </c>
      <c r="CZ12" s="33" t="n">
        <v>0</v>
      </c>
      <c r="DA12" s="33" t="n">
        <v>0</v>
      </c>
      <c r="DB12" s="33" t="n">
        <v>0</v>
      </c>
      <c r="DC12" s="33" t="n">
        <v>0</v>
      </c>
      <c r="DD12" s="33" t="n">
        <v>0</v>
      </c>
      <c r="DE12" s="33" t="n">
        <v>0</v>
      </c>
      <c r="DF12" s="33" t="n">
        <v>0</v>
      </c>
      <c r="DG12" s="33" t="n">
        <v>0</v>
      </c>
      <c r="DH12" s="33" t="n">
        <v>0</v>
      </c>
      <c r="DI12" s="33" t="n">
        <v>0</v>
      </c>
      <c r="DJ12" s="33" t="n">
        <v>0</v>
      </c>
      <c r="DK12" s="33" t="n">
        <v>0</v>
      </c>
      <c r="DL12" s="33" t="n">
        <v>0</v>
      </c>
      <c r="DM12" s="33" t="n">
        <v>0</v>
      </c>
      <c r="DN12" s="33" t="n">
        <v>0</v>
      </c>
      <c r="DO12" s="33" t="n">
        <v>0</v>
      </c>
      <c r="DP12" s="33" t="n">
        <v>0</v>
      </c>
      <c r="DQ12" s="33" t="n">
        <v>0</v>
      </c>
      <c r="DR12" s="33" t="n">
        <v>0</v>
      </c>
      <c r="DS12" s="33" t="n">
        <v>0</v>
      </c>
      <c r="DT12" s="33" t="n">
        <v>0</v>
      </c>
      <c r="DU12" s="33" t="n">
        <v>0</v>
      </c>
      <c r="DV12" s="33" t="n">
        <v>0</v>
      </c>
      <c r="DW12" s="33" t="n">
        <v>0</v>
      </c>
      <c r="DX12" s="33" t="n">
        <v>0</v>
      </c>
      <c r="DY12" s="33" t="n">
        <v>0</v>
      </c>
      <c r="DZ12" s="33" t="n">
        <v>0</v>
      </c>
      <c r="EA12" s="33" t="n">
        <v>0</v>
      </c>
      <c r="EB12" s="33" t="n">
        <v>0</v>
      </c>
      <c r="EC12" s="33" t="n">
        <v>0</v>
      </c>
      <c r="ED12" s="33" t="n">
        <v>0</v>
      </c>
      <c r="EE12" s="33" t="n">
        <v>0</v>
      </c>
      <c r="EF12" s="33" t="n">
        <v>0</v>
      </c>
      <c r="EG12" s="33" t="n">
        <v>0</v>
      </c>
      <c r="EH12" s="33" t="n">
        <v>0</v>
      </c>
      <c r="EI12" s="33" t="n">
        <v>0</v>
      </c>
      <c r="EJ12" s="33" t="n">
        <v>0</v>
      </c>
      <c r="EK12" s="33" t="n">
        <v>0</v>
      </c>
      <c r="EL12" s="33" t="n">
        <v>0</v>
      </c>
      <c r="EM12" s="33" t="n">
        <v>0</v>
      </c>
      <c r="EN12" s="33" t="n">
        <v>0</v>
      </c>
      <c r="EO12" s="33" t="n">
        <v>0</v>
      </c>
      <c r="EP12" s="33" t="n">
        <v>0</v>
      </c>
      <c r="EQ12" s="33" t="n">
        <v>0</v>
      </c>
      <c r="ER12" s="33" t="n">
        <v>0</v>
      </c>
      <c r="ES12" s="33" t="n">
        <v>0</v>
      </c>
      <c r="ET12" s="33" t="n">
        <v>0</v>
      </c>
      <c r="EU12" s="33" t="n">
        <v>0</v>
      </c>
      <c r="EV12" s="33" t="n">
        <v>0</v>
      </c>
      <c r="EW12" s="33" t="n">
        <v>0</v>
      </c>
      <c r="EX12" s="33" t="n">
        <v>0</v>
      </c>
      <c r="EY12" s="33" t="n">
        <v>0</v>
      </c>
      <c r="EZ12" s="33" t="n">
        <v>0</v>
      </c>
      <c r="FA12" s="33" t="n">
        <v>0</v>
      </c>
      <c r="FB12" s="33" t="n">
        <v>0</v>
      </c>
      <c r="FC12" s="33" t="n">
        <v>0</v>
      </c>
      <c r="FD12" s="33" t="n">
        <v>0</v>
      </c>
      <c r="FE12" s="33" t="n">
        <v>0</v>
      </c>
      <c r="FF12" s="33" t="n">
        <v>0</v>
      </c>
      <c r="FG12" s="33" t="n">
        <v>0</v>
      </c>
      <c r="FH12" s="33" t="n">
        <v>0</v>
      </c>
      <c r="FI12" s="33" t="n">
        <v>0</v>
      </c>
      <c r="FJ12" s="33" t="n">
        <v>0</v>
      </c>
      <c r="FK12" s="33" t="n">
        <v>0</v>
      </c>
      <c r="FL12" s="33" t="n">
        <v>0</v>
      </c>
      <c r="FM12" s="33" t="n">
        <v>0</v>
      </c>
      <c r="FN12" s="33" t="n">
        <v>0</v>
      </c>
      <c r="FO12" s="33" t="n">
        <v>0</v>
      </c>
      <c r="FP12" s="33" t="n">
        <v>0</v>
      </c>
      <c r="FQ12" s="33" t="n">
        <v>0</v>
      </c>
      <c r="FR12" s="33" t="n">
        <v>0</v>
      </c>
      <c r="FS12" s="33" t="n">
        <v>0</v>
      </c>
      <c r="FT12" s="33" t="n">
        <v>0</v>
      </c>
      <c r="FU12" s="33" t="n">
        <v>0</v>
      </c>
      <c r="FV12" s="33" t="n">
        <v>0</v>
      </c>
      <c r="FW12" s="33" t="n">
        <v>0</v>
      </c>
      <c r="FX12" s="33" t="n">
        <v>0</v>
      </c>
      <c r="FY12" s="33" t="n">
        <v>0</v>
      </c>
      <c r="FZ12" s="33" t="n">
        <v>0</v>
      </c>
      <c r="GA12" s="33" t="n">
        <v>0</v>
      </c>
      <c r="GB12" s="33" t="n">
        <v>0</v>
      </c>
      <c r="GC12" s="33" t="n">
        <v>0</v>
      </c>
      <c r="GD12" s="33" t="n">
        <v>0</v>
      </c>
      <c r="GE12" s="33" t="n">
        <v>0</v>
      </c>
      <c r="GF12" s="33" t="n">
        <v>0</v>
      </c>
      <c r="GG12" s="33" t="n">
        <v>0</v>
      </c>
      <c r="GH12" s="33" t="n">
        <v>0</v>
      </c>
      <c r="GI12" s="33" t="n">
        <v>0</v>
      </c>
      <c r="GJ12" s="33" t="n">
        <v>0</v>
      </c>
      <c r="GK12" s="33" t="n">
        <v>0</v>
      </c>
      <c r="GL12" s="33" t="n">
        <v>0</v>
      </c>
      <c r="GM12" s="33" t="n">
        <v>0</v>
      </c>
      <c r="GN12" s="33" t="n">
        <v>0</v>
      </c>
      <c r="GO12" s="33" t="n">
        <v>0</v>
      </c>
      <c r="GP12" s="33" t="n">
        <v>0</v>
      </c>
      <c r="GQ12" s="33" t="n">
        <v>0</v>
      </c>
      <c r="GR12" s="33" t="n">
        <v>0</v>
      </c>
      <c r="GS12" s="33" t="n">
        <v>0</v>
      </c>
      <c r="GT12" s="33" t="n">
        <v>0</v>
      </c>
      <c r="GU12" s="33" t="n">
        <v>0</v>
      </c>
      <c r="GV12" s="33" t="n">
        <v>0</v>
      </c>
      <c r="GW12" s="33" t="n">
        <v>0</v>
      </c>
      <c r="GX12" s="33" t="n">
        <v>0</v>
      </c>
      <c r="GY12" s="33" t="n">
        <v>0</v>
      </c>
      <c r="GZ12" s="33" t="n">
        <v>0</v>
      </c>
      <c r="HA12" s="33" t="n">
        <v>0</v>
      </c>
      <c r="HB12" s="33" t="n">
        <v>0</v>
      </c>
      <c r="HC12" s="33" t="n">
        <v>0</v>
      </c>
      <c r="HD12" s="33" t="n">
        <v>0</v>
      </c>
      <c r="HE12" s="33" t="n">
        <v>0</v>
      </c>
      <c r="HF12" s="33" t="n">
        <v>0</v>
      </c>
      <c r="HG12" s="33" t="n">
        <v>0</v>
      </c>
      <c r="HH12" s="33" t="n">
        <v>0</v>
      </c>
      <c r="HI12" s="33" t="n">
        <v>0</v>
      </c>
      <c r="HJ12" s="33" t="n">
        <v>0</v>
      </c>
      <c r="HK12" s="33" t="n">
        <v>0</v>
      </c>
      <c r="HL12" s="33" t="n">
        <v>0</v>
      </c>
      <c r="HM12" s="33" t="n">
        <v>0</v>
      </c>
      <c r="HN12" s="33" t="n">
        <v>0</v>
      </c>
      <c r="HO12" s="33" t="n">
        <v>0</v>
      </c>
      <c r="HP12" s="33" t="n">
        <v>0</v>
      </c>
      <c r="HQ12" s="33" t="n">
        <v>0</v>
      </c>
      <c r="HR12" s="33" t="n">
        <v>0</v>
      </c>
      <c r="HS12" s="33" t="n">
        <v>0</v>
      </c>
      <c r="HT12" s="33" t="n">
        <v>0</v>
      </c>
      <c r="HU12" s="33" t="n">
        <v>0</v>
      </c>
      <c r="HV12" s="33" t="n">
        <v>0</v>
      </c>
      <c r="HW12" s="33" t="n">
        <v>0</v>
      </c>
      <c r="HX12" s="33" t="n">
        <v>0</v>
      </c>
      <c r="HY12" s="33" t="n">
        <v>0</v>
      </c>
      <c r="HZ12" s="33" t="n">
        <v>0</v>
      </c>
      <c r="IA12" s="33" t="n">
        <v>0</v>
      </c>
      <c r="IB12" s="33" t="n">
        <v>0</v>
      </c>
      <c r="IC12" s="33" t="n">
        <v>0</v>
      </c>
      <c r="ID12" s="33" t="n">
        <v>0</v>
      </c>
      <c r="IE12" s="33" t="n">
        <v>0</v>
      </c>
      <c r="IF12" s="33" t="n">
        <v>0</v>
      </c>
      <c r="IG12" s="33" t="n">
        <v>0</v>
      </c>
      <c r="IH12" s="33" t="n">
        <v>0</v>
      </c>
      <c r="II12" s="33" t="n">
        <v>0</v>
      </c>
      <c r="IJ12" s="33" t="n">
        <v>0</v>
      </c>
      <c r="IK12" s="33" t="n">
        <v>0</v>
      </c>
      <c r="IL12" s="33" t="n">
        <v>0</v>
      </c>
      <c r="IM12" s="33" t="n">
        <v>0</v>
      </c>
      <c r="IN12" s="33" t="n">
        <v>0</v>
      </c>
      <c r="IO12" s="33" t="n">
        <v>0</v>
      </c>
      <c r="IP12" s="33" t="n">
        <v>0</v>
      </c>
      <c r="IQ12" s="33" t="n">
        <v>0</v>
      </c>
      <c r="IR12" s="33" t="n">
        <v>0</v>
      </c>
      <c r="IS12" s="33" t="n">
        <v>0</v>
      </c>
      <c r="IT12" s="33" t="n">
        <v>0</v>
      </c>
      <c r="IU12" s="33" t="n">
        <v>0</v>
      </c>
      <c r="IV12" s="33" t="n">
        <v>0</v>
      </c>
      <c r="IW12" s="33" t="n">
        <v>0</v>
      </c>
      <c r="IX12" s="33" t="n">
        <v>0</v>
      </c>
      <c r="IY12" s="33" t="n">
        <v>0</v>
      </c>
      <c r="IZ12" s="33" t="n">
        <v>0</v>
      </c>
      <c r="JA12" s="33" t="n">
        <v>0</v>
      </c>
      <c r="JB12" s="33" t="n">
        <v>0</v>
      </c>
      <c r="JC12" s="33" t="n">
        <v>0</v>
      </c>
      <c r="JD12" s="33" t="n">
        <v>0</v>
      </c>
      <c r="JE12" s="33" t="n">
        <v>0</v>
      </c>
      <c r="JF12" s="33" t="n">
        <v>0</v>
      </c>
      <c r="JG12" s="33" t="n">
        <v>0</v>
      </c>
      <c r="JH12" s="33" t="n">
        <v>0</v>
      </c>
      <c r="JI12" s="33" t="n">
        <v>0</v>
      </c>
      <c r="JJ12" s="33" t="n">
        <v>0</v>
      </c>
      <c r="JK12" s="33" t="n">
        <v>0</v>
      </c>
      <c r="JL12" s="33" t="n">
        <v>0</v>
      </c>
      <c r="JM12" s="33" t="n">
        <v>0</v>
      </c>
      <c r="JN12" s="33" t="n">
        <v>0</v>
      </c>
      <c r="JO12" s="33" t="n">
        <v>0</v>
      </c>
      <c r="JP12" s="33" t="n">
        <v>0</v>
      </c>
      <c r="JQ12" s="33" t="n">
        <v>0</v>
      </c>
      <c r="JR12" s="33" t="n">
        <v>0</v>
      </c>
      <c r="JS12" s="33" t="n">
        <v>0</v>
      </c>
      <c r="JT12" s="33" t="n">
        <v>0</v>
      </c>
      <c r="JU12" s="33" t="n">
        <v>0</v>
      </c>
      <c r="JV12" s="33" t="n">
        <v>0</v>
      </c>
      <c r="JW12" s="33" t="n">
        <v>0</v>
      </c>
      <c r="JX12" s="33" t="n">
        <v>0</v>
      </c>
      <c r="JY12" s="33" t="n">
        <v>0</v>
      </c>
      <c r="JZ12" s="33" t="n">
        <v>0</v>
      </c>
      <c r="KA12" s="33" t="n">
        <v>0</v>
      </c>
      <c r="KB12" s="33" t="n">
        <v>0</v>
      </c>
      <c r="KC12" s="33" t="n">
        <v>0</v>
      </c>
      <c r="KD12" s="33" t="n">
        <v>0</v>
      </c>
      <c r="KE12" s="33" t="n">
        <v>0</v>
      </c>
      <c r="KF12" s="33" t="n">
        <v>0</v>
      </c>
      <c r="KG12" s="33" t="n">
        <v>0</v>
      </c>
      <c r="KH12" s="33" t="n">
        <v>0</v>
      </c>
      <c r="KI12" s="33" t="n">
        <v>0</v>
      </c>
      <c r="KJ12" s="33" t="n">
        <v>0</v>
      </c>
      <c r="KK12" s="33" t="n">
        <v>0</v>
      </c>
      <c r="KL12" s="33" t="n">
        <v>0</v>
      </c>
      <c r="KM12" s="33" t="n">
        <v>0</v>
      </c>
      <c r="KN12" s="33" t="n">
        <v>0</v>
      </c>
      <c r="KO12" s="33" t="n">
        <v>0</v>
      </c>
      <c r="KP12" s="33" t="n">
        <v>0</v>
      </c>
      <c r="KQ12" s="33" t="n">
        <v>0</v>
      </c>
      <c r="KR12" s="33" t="n">
        <v>0</v>
      </c>
      <c r="KS12" s="33" t="n">
        <v>0</v>
      </c>
      <c r="KT12" s="33" t="n">
        <v>0</v>
      </c>
      <c r="KU12" s="33" t="n">
        <v>0</v>
      </c>
      <c r="KV12" s="33" t="n">
        <v>0</v>
      </c>
      <c r="KW12" s="33" t="n">
        <v>0</v>
      </c>
      <c r="KX12" s="33" t="n">
        <v>0</v>
      </c>
      <c r="KY12" s="33" t="n">
        <v>0</v>
      </c>
      <c r="KZ12" s="33" t="n">
        <v>0</v>
      </c>
      <c r="LA12" s="33" t="n">
        <v>0</v>
      </c>
      <c r="LB12" s="33" t="n">
        <v>0</v>
      </c>
      <c r="LC12" s="33" t="n">
        <v>0</v>
      </c>
      <c r="LD12" s="33" t="n">
        <v>0</v>
      </c>
      <c r="LE12" s="33" t="n">
        <v>0</v>
      </c>
      <c r="LF12" s="33" t="n">
        <v>0</v>
      </c>
      <c r="LG12" s="33" t="n">
        <v>0</v>
      </c>
      <c r="LH12" s="33" t="n">
        <v>0</v>
      </c>
      <c r="LI12" s="33" t="n">
        <v>0</v>
      </c>
      <c r="LJ12" s="33" t="n">
        <v>0</v>
      </c>
      <c r="LK12" s="33" t="n">
        <v>0</v>
      </c>
      <c r="LL12" s="33" t="n">
        <v>0</v>
      </c>
      <c r="LM12" s="33" t="n">
        <v>0</v>
      </c>
      <c r="LN12" s="33" t="n">
        <v>0</v>
      </c>
      <c r="LO12" s="33" t="n">
        <v>0</v>
      </c>
      <c r="LP12" s="33" t="n">
        <v>0</v>
      </c>
      <c r="LQ12" s="33" t="n">
        <v>0</v>
      </c>
      <c r="LR12" s="33" t="n">
        <v>0</v>
      </c>
      <c r="LS12" s="33" t="n">
        <v>0</v>
      </c>
      <c r="LT12" s="33" t="n">
        <v>0</v>
      </c>
      <c r="LU12" s="33" t="n">
        <v>0</v>
      </c>
      <c r="LV12" s="33" t="n">
        <v>0</v>
      </c>
      <c r="LW12" s="33" t="n">
        <v>0</v>
      </c>
      <c r="LX12" s="33" t="n">
        <v>0</v>
      </c>
      <c r="LY12" s="33" t="n">
        <v>0</v>
      </c>
      <c r="LZ12" s="33" t="n">
        <v>0</v>
      </c>
      <c r="MA12" s="33" t="n">
        <v>0</v>
      </c>
      <c r="MB12" s="33" t="n">
        <v>0</v>
      </c>
      <c r="MC12" s="33" t="n">
        <v>0</v>
      </c>
      <c r="MD12" s="33" t="n">
        <v>0</v>
      </c>
      <c r="ME12" s="33" t="n">
        <v>0</v>
      </c>
      <c r="MF12" s="33" t="n">
        <v>0</v>
      </c>
      <c r="MG12" s="33" t="n">
        <v>0</v>
      </c>
      <c r="MH12" s="33" t="n">
        <v>0</v>
      </c>
      <c r="MI12" s="33" t="n">
        <v>0</v>
      </c>
      <c r="MJ12" s="33" t="n">
        <v>0</v>
      </c>
      <c r="MK12" s="33" t="n">
        <v>0</v>
      </c>
      <c r="ML12" s="33" t="n">
        <v>0</v>
      </c>
      <c r="MM12" s="33" t="n">
        <v>0</v>
      </c>
      <c r="MN12" s="33" t="n">
        <v>0</v>
      </c>
      <c r="MO12" s="33" t="n">
        <v>0</v>
      </c>
      <c r="MP12" s="33" t="n">
        <v>0</v>
      </c>
      <c r="MQ12" s="33" t="n">
        <v>0</v>
      </c>
      <c r="MR12" s="33" t="n">
        <v>0</v>
      </c>
      <c r="MS12" s="33" t="n">
        <v>0</v>
      </c>
      <c r="MT12" s="33" t="n">
        <v>0</v>
      </c>
      <c r="MU12" s="33" t="n">
        <v>0</v>
      </c>
      <c r="MV12" s="33" t="n">
        <v>0</v>
      </c>
      <c r="MW12" s="33" t="n">
        <v>0</v>
      </c>
      <c r="MX12" s="33" t="n">
        <v>0</v>
      </c>
      <c r="MY12" s="33" t="n">
        <v>0</v>
      </c>
      <c r="MZ12" s="33" t="n">
        <v>0</v>
      </c>
      <c r="NA12" s="33" t="n">
        <v>0</v>
      </c>
      <c r="NB12" s="33" t="n">
        <v>0</v>
      </c>
      <c r="NC12" s="33" t="n">
        <v>0</v>
      </c>
      <c r="ND12" s="33" t="n">
        <v>0</v>
      </c>
      <c r="NE12" s="33" t="n">
        <v>0</v>
      </c>
      <c r="NF12" s="33" t="n">
        <v>0</v>
      </c>
      <c r="NG12" s="33" t="n">
        <v>0</v>
      </c>
      <c r="NH12" s="33" t="n">
        <v>0</v>
      </c>
      <c r="NI12" s="33" t="n">
        <v>0</v>
      </c>
      <c r="NJ12" s="33" t="n">
        <v>0</v>
      </c>
      <c r="NK12" s="33" t="n">
        <v>0</v>
      </c>
      <c r="NL12" s="33" t="n">
        <v>0</v>
      </c>
      <c r="NM12" s="33" t="n">
        <v>0</v>
      </c>
      <c r="NN12" s="33" t="n">
        <v>0</v>
      </c>
      <c r="NO12" s="33" t="n">
        <v>0</v>
      </c>
      <c r="NP12" s="33" t="n">
        <v>0</v>
      </c>
      <c r="NQ12" s="33" t="n">
        <v>0</v>
      </c>
      <c r="NR12" s="33" t="n">
        <v>0</v>
      </c>
      <c r="NS12" s="33" t="n">
        <v>0</v>
      </c>
      <c r="NT12" s="33" t="n">
        <v>0</v>
      </c>
      <c r="NU12" s="33" t="n">
        <v>0</v>
      </c>
      <c r="NV12" s="33" t="n">
        <v>0</v>
      </c>
      <c r="NW12" s="33" t="n">
        <v>0</v>
      </c>
      <c r="NX12" s="33" t="n">
        <v>0</v>
      </c>
      <c r="NY12" s="33" t="n">
        <v>0</v>
      </c>
      <c r="NZ12" s="33" t="n">
        <v>0</v>
      </c>
      <c r="OA12" s="33" t="n">
        <v>0</v>
      </c>
      <c r="OB12" s="33" t="n">
        <v>0</v>
      </c>
      <c r="OC12" s="33" t="n">
        <v>0</v>
      </c>
      <c r="OD12" s="33" t="n">
        <v>0</v>
      </c>
      <c r="OE12" s="33" t="n">
        <v>0</v>
      </c>
      <c r="OF12" s="33" t="n">
        <v>0</v>
      </c>
      <c r="OG12" s="33" t="n">
        <v>0</v>
      </c>
      <c r="OH12" s="33" t="n">
        <v>0</v>
      </c>
      <c r="OI12" s="33" t="n">
        <v>0</v>
      </c>
      <c r="OJ12" s="33" t="n">
        <v>0</v>
      </c>
      <c r="OK12" s="33" t="n">
        <v>0</v>
      </c>
      <c r="OL12" s="33" t="n">
        <v>0</v>
      </c>
      <c r="OM12" s="33" t="n">
        <v>0</v>
      </c>
      <c r="ON12" s="33" t="n">
        <v>0</v>
      </c>
      <c r="OO12" s="33" t="n">
        <v>0</v>
      </c>
      <c r="OP12" s="33" t="n">
        <v>0</v>
      </c>
      <c r="OQ12" s="33" t="n">
        <v>0</v>
      </c>
      <c r="OR12" s="33" t="n">
        <v>0</v>
      </c>
      <c r="OS12" s="33" t="n">
        <v>0</v>
      </c>
      <c r="OT12" s="33" t="n">
        <v>0</v>
      </c>
      <c r="OU12" s="33" t="n">
        <v>0</v>
      </c>
      <c r="OV12" s="33" t="n">
        <v>0</v>
      </c>
      <c r="OW12" s="33" t="n">
        <v>0</v>
      </c>
      <c r="OX12" s="33" t="n">
        <v>0</v>
      </c>
      <c r="OY12" s="33" t="n">
        <v>0</v>
      </c>
      <c r="OZ12" s="33" t="n">
        <v>0</v>
      </c>
      <c r="PA12" s="33" t="n">
        <v>0</v>
      </c>
      <c r="PB12" s="33" t="n">
        <v>0</v>
      </c>
      <c r="PC12" s="33" t="n">
        <v>0</v>
      </c>
      <c r="PD12" s="33" t="n">
        <v>0</v>
      </c>
      <c r="PE12" s="33" t="n">
        <v>0</v>
      </c>
      <c r="PF12" s="33" t="n">
        <v>0</v>
      </c>
      <c r="PG12" s="33" t="n">
        <v>0</v>
      </c>
      <c r="PH12" s="33" t="n">
        <v>0</v>
      </c>
      <c r="PI12" s="33" t="n">
        <v>0</v>
      </c>
      <c r="PJ12" s="33" t="n">
        <v>0</v>
      </c>
      <c r="PK12" s="33" t="n">
        <v>0</v>
      </c>
      <c r="PL12" s="33" t="n">
        <v>0</v>
      </c>
      <c r="PM12" s="33" t="n">
        <v>0</v>
      </c>
      <c r="PN12" s="33" t="n">
        <v>0</v>
      </c>
      <c r="PO12" s="33" t="n">
        <v>0</v>
      </c>
      <c r="PP12" s="33" t="n">
        <v>0</v>
      </c>
      <c r="PQ12" s="33" t="n">
        <v>0</v>
      </c>
      <c r="PR12" s="33" t="n">
        <v>0</v>
      </c>
      <c r="PS12" s="33" t="n">
        <v>0</v>
      </c>
      <c r="PT12" s="33" t="n">
        <v>0</v>
      </c>
      <c r="PU12" s="33" t="n">
        <v>0</v>
      </c>
      <c r="PV12" s="33" t="n">
        <v>0</v>
      </c>
      <c r="PW12" s="33" t="n">
        <v>0</v>
      </c>
      <c r="PX12" s="33" t="n">
        <v>0</v>
      </c>
      <c r="PY12" s="33" t="n">
        <v>0</v>
      </c>
      <c r="PZ12" s="33" t="n">
        <v>0</v>
      </c>
      <c r="QA12" s="33" t="n">
        <v>0</v>
      </c>
      <c r="QB12" s="33" t="n">
        <v>0</v>
      </c>
      <c r="QC12" s="33" t="n">
        <v>0</v>
      </c>
      <c r="QD12" s="33" t="n">
        <v>0</v>
      </c>
      <c r="QE12" s="33" t="n">
        <v>0</v>
      </c>
      <c r="QF12" s="33" t="n">
        <v>0</v>
      </c>
      <c r="QG12" s="33" t="n">
        <v>0</v>
      </c>
      <c r="QH12" s="33" t="n">
        <v>0</v>
      </c>
      <c r="QI12" s="33" t="n">
        <v>0</v>
      </c>
      <c r="QJ12" s="33" t="n">
        <v>0</v>
      </c>
      <c r="QK12" s="33" t="n">
        <v>0</v>
      </c>
      <c r="QL12" s="33" t="n">
        <v>0</v>
      </c>
      <c r="QM12" s="33" t="n">
        <v>0</v>
      </c>
      <c r="QN12" s="33" t="n">
        <v>0</v>
      </c>
      <c r="QO12" s="33" t="n">
        <v>0</v>
      </c>
      <c r="QP12" s="33" t="n">
        <v>0</v>
      </c>
      <c r="QQ12" s="33" t="n">
        <v>0</v>
      </c>
      <c r="QR12" s="33" t="n">
        <v>0</v>
      </c>
      <c r="QS12" s="33" t="n">
        <v>0</v>
      </c>
      <c r="QT12" s="33" t="n">
        <v>0</v>
      </c>
      <c r="QU12" s="33" t="n">
        <v>0</v>
      </c>
      <c r="QV12" s="33" t="n">
        <v>0</v>
      </c>
      <c r="QW12" s="33" t="n">
        <v>0</v>
      </c>
      <c r="QX12" s="33" t="n">
        <v>0</v>
      </c>
      <c r="QY12" s="33" t="n">
        <v>0</v>
      </c>
      <c r="QZ12" s="33" t="n">
        <v>0</v>
      </c>
      <c r="RA12" s="33" t="n">
        <v>0</v>
      </c>
      <c r="RB12" s="33" t="n">
        <v>0</v>
      </c>
      <c r="RC12" s="33" t="n">
        <v>0</v>
      </c>
      <c r="RD12" s="33" t="n">
        <v>0</v>
      </c>
      <c r="RE12" s="33" t="n">
        <v>0</v>
      </c>
      <c r="RF12" s="33" t="n">
        <v>0</v>
      </c>
      <c r="RG12" s="33" t="n">
        <v>0</v>
      </c>
      <c r="RH12" s="33" t="n">
        <v>0</v>
      </c>
      <c r="RI12" s="33" t="n">
        <v>0</v>
      </c>
      <c r="RJ12" s="33" t="n">
        <v>0</v>
      </c>
      <c r="RK12" s="33" t="n">
        <v>0</v>
      </c>
      <c r="RL12" s="33" t="n">
        <v>0</v>
      </c>
      <c r="RM12" s="33" t="n">
        <v>0</v>
      </c>
      <c r="RN12" s="33" t="n">
        <v>0</v>
      </c>
      <c r="RO12" s="33" t="n">
        <v>0</v>
      </c>
      <c r="RP12" s="33" t="n">
        <v>0</v>
      </c>
      <c r="RQ12" s="33" t="n">
        <v>0</v>
      </c>
      <c r="RR12" s="33" t="n">
        <v>0</v>
      </c>
      <c r="RS12" s="33" t="n">
        <v>0</v>
      </c>
      <c r="RT12" s="33" t="n">
        <v>0</v>
      </c>
      <c r="RU12" s="33" t="n">
        <v>0</v>
      </c>
      <c r="RV12" s="33" t="n">
        <v>0</v>
      </c>
      <c r="RW12" s="33" t="n">
        <v>0</v>
      </c>
    </row>
    <row r="13" hidden="1" outlineLevel="1" ht="13.05" customHeight="1">
      <c r="E13" s="21" t="inlineStr">
        <is>
          <t>Bank Guarantee</t>
        </is>
      </c>
      <c r="F13" s="29" t="n"/>
      <c r="G13" s="29" t="inlineStr">
        <is>
          <t>kEUR</t>
        </is>
      </c>
      <c r="H13" s="29" t="n"/>
      <c r="I13" s="29" t="n"/>
      <c r="J13" s="32" t="n">
        <v>0</v>
      </c>
      <c r="K13" s="29" t="n"/>
      <c r="L13" s="33" t="n">
        <v>0</v>
      </c>
      <c r="M13" s="33" t="n">
        <v>0</v>
      </c>
      <c r="N13" s="33" t="n">
        <v>0</v>
      </c>
      <c r="O13" s="33" t="n">
        <v>0</v>
      </c>
      <c r="P13" s="33" t="n">
        <v>0</v>
      </c>
      <c r="Q13" s="33" t="n">
        <v>0</v>
      </c>
      <c r="R13" s="33" t="n">
        <v>0</v>
      </c>
      <c r="S13" s="33" t="n">
        <v>0</v>
      </c>
      <c r="T13" s="33" t="n">
        <v>0</v>
      </c>
      <c r="U13" s="33" t="n">
        <v>0</v>
      </c>
      <c r="V13" s="33" t="n">
        <v>0</v>
      </c>
      <c r="W13" s="33" t="n">
        <v>0</v>
      </c>
      <c r="X13" s="33" t="n">
        <v>0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  <c r="AE13" s="33" t="n">
        <v>0</v>
      </c>
      <c r="AF13" s="33" t="n">
        <v>0</v>
      </c>
      <c r="AG13" s="33" t="n">
        <v>0</v>
      </c>
      <c r="AH13" s="33" t="n">
        <v>0</v>
      </c>
      <c r="AI13" s="33" t="n">
        <v>0</v>
      </c>
      <c r="AJ13" s="33" t="n">
        <v>0</v>
      </c>
      <c r="AK13" s="33" t="n">
        <v>0</v>
      </c>
      <c r="AL13" s="33" t="n">
        <v>0</v>
      </c>
      <c r="AM13" s="33" t="n">
        <v>0</v>
      </c>
      <c r="AN13" s="33" t="n">
        <v>0</v>
      </c>
      <c r="AO13" s="33" t="n">
        <v>0</v>
      </c>
      <c r="AP13" s="33" t="n">
        <v>0</v>
      </c>
      <c r="AQ13" s="33" t="n">
        <v>0</v>
      </c>
      <c r="AR13" s="33" t="n">
        <v>0</v>
      </c>
      <c r="AS13" s="33" t="n">
        <v>0</v>
      </c>
      <c r="AT13" s="33" t="n">
        <v>0</v>
      </c>
      <c r="AU13" s="33" t="n">
        <v>0</v>
      </c>
      <c r="AV13" s="33" t="n">
        <v>0</v>
      </c>
      <c r="AW13" s="33" t="n">
        <v>0</v>
      </c>
      <c r="AX13" s="33" t="n">
        <v>0</v>
      </c>
      <c r="AY13" s="33" t="n">
        <v>0</v>
      </c>
      <c r="AZ13" s="33" t="n">
        <v>0</v>
      </c>
      <c r="BA13" s="33" t="n">
        <v>0</v>
      </c>
      <c r="BB13" s="33" t="n">
        <v>0</v>
      </c>
      <c r="BC13" s="33" t="n">
        <v>0</v>
      </c>
      <c r="BD13" s="33" t="n">
        <v>0</v>
      </c>
      <c r="BE13" s="33" t="n">
        <v>0</v>
      </c>
      <c r="BF13" s="33" t="n">
        <v>0</v>
      </c>
      <c r="BG13" s="33" t="n">
        <v>0</v>
      </c>
      <c r="BH13" s="33" t="n">
        <v>0</v>
      </c>
      <c r="BI13" s="33" t="n">
        <v>0</v>
      </c>
      <c r="BJ13" s="33" t="n">
        <v>0</v>
      </c>
      <c r="BK13" s="33" t="n">
        <v>0</v>
      </c>
      <c r="BL13" s="33" t="n">
        <v>0</v>
      </c>
      <c r="BM13" s="33" t="n">
        <v>0</v>
      </c>
      <c r="BN13" s="33" t="n">
        <v>0</v>
      </c>
      <c r="BO13" s="33" t="n">
        <v>0</v>
      </c>
      <c r="BP13" s="33" t="n">
        <v>0</v>
      </c>
      <c r="BQ13" s="33" t="n">
        <v>0</v>
      </c>
      <c r="BR13" s="33" t="n">
        <v>0</v>
      </c>
      <c r="BS13" s="33" t="n">
        <v>0</v>
      </c>
      <c r="BT13" s="33" t="n">
        <v>0</v>
      </c>
      <c r="BU13" s="33" t="n">
        <v>0</v>
      </c>
      <c r="BV13" s="33" t="n">
        <v>0</v>
      </c>
      <c r="BW13" s="33" t="n">
        <v>0</v>
      </c>
      <c r="BX13" s="33" t="n">
        <v>0</v>
      </c>
      <c r="BY13" s="33" t="n">
        <v>0</v>
      </c>
      <c r="BZ13" s="33" t="n">
        <v>0</v>
      </c>
      <c r="CA13" s="33" t="n">
        <v>0</v>
      </c>
      <c r="CB13" s="33" t="n">
        <v>0</v>
      </c>
      <c r="CC13" s="33" t="n">
        <v>0</v>
      </c>
      <c r="CD13" s="33" t="n">
        <v>0</v>
      </c>
      <c r="CE13" s="33" t="n">
        <v>0</v>
      </c>
      <c r="CF13" s="33" t="n">
        <v>0</v>
      </c>
      <c r="CG13" s="33" t="n">
        <v>0</v>
      </c>
      <c r="CH13" s="33" t="n">
        <v>0</v>
      </c>
      <c r="CI13" s="33" t="n">
        <v>0</v>
      </c>
      <c r="CJ13" s="33" t="n">
        <v>0</v>
      </c>
      <c r="CK13" s="33" t="n">
        <v>0</v>
      </c>
      <c r="CL13" s="33" t="n">
        <v>0</v>
      </c>
      <c r="CM13" s="33" t="n">
        <v>0</v>
      </c>
      <c r="CN13" s="33" t="n">
        <v>0</v>
      </c>
      <c r="CO13" s="33" t="n">
        <v>0</v>
      </c>
      <c r="CP13" s="33" t="n">
        <v>0</v>
      </c>
      <c r="CQ13" s="33" t="n">
        <v>0</v>
      </c>
      <c r="CR13" s="33" t="n">
        <v>0</v>
      </c>
      <c r="CS13" s="33" t="n">
        <v>0</v>
      </c>
      <c r="CT13" s="33" t="n">
        <v>0</v>
      </c>
      <c r="CU13" s="33" t="n">
        <v>0</v>
      </c>
      <c r="CV13" s="33" t="n">
        <v>0</v>
      </c>
      <c r="CW13" s="33" t="n">
        <v>0</v>
      </c>
      <c r="CX13" s="33" t="n">
        <v>0</v>
      </c>
      <c r="CY13" s="33" t="n">
        <v>0</v>
      </c>
      <c r="CZ13" s="33" t="n">
        <v>0</v>
      </c>
      <c r="DA13" s="33" t="n">
        <v>0</v>
      </c>
      <c r="DB13" s="33" t="n">
        <v>0</v>
      </c>
      <c r="DC13" s="33" t="n">
        <v>0</v>
      </c>
      <c r="DD13" s="33" t="n">
        <v>0</v>
      </c>
      <c r="DE13" s="33" t="n">
        <v>0</v>
      </c>
      <c r="DF13" s="33" t="n">
        <v>0</v>
      </c>
      <c r="DG13" s="33" t="n">
        <v>0</v>
      </c>
      <c r="DH13" s="33" t="n">
        <v>0</v>
      </c>
      <c r="DI13" s="33" t="n">
        <v>0</v>
      </c>
      <c r="DJ13" s="33" t="n">
        <v>0</v>
      </c>
      <c r="DK13" s="33" t="n">
        <v>0</v>
      </c>
      <c r="DL13" s="33" t="n">
        <v>0</v>
      </c>
      <c r="DM13" s="33" t="n">
        <v>0</v>
      </c>
      <c r="DN13" s="33" t="n">
        <v>0</v>
      </c>
      <c r="DO13" s="33" t="n">
        <v>0</v>
      </c>
      <c r="DP13" s="33" t="n">
        <v>0</v>
      </c>
      <c r="DQ13" s="33" t="n">
        <v>0</v>
      </c>
      <c r="DR13" s="33" t="n">
        <v>0</v>
      </c>
      <c r="DS13" s="33" t="n">
        <v>0</v>
      </c>
      <c r="DT13" s="33" t="n">
        <v>0</v>
      </c>
      <c r="DU13" s="33" t="n">
        <v>0</v>
      </c>
      <c r="DV13" s="33" t="n">
        <v>0</v>
      </c>
      <c r="DW13" s="33" t="n">
        <v>0</v>
      </c>
      <c r="DX13" s="33" t="n">
        <v>0</v>
      </c>
      <c r="DY13" s="33" t="n">
        <v>0</v>
      </c>
      <c r="DZ13" s="33" t="n">
        <v>0</v>
      </c>
      <c r="EA13" s="33" t="n">
        <v>0</v>
      </c>
      <c r="EB13" s="33" t="n">
        <v>0</v>
      </c>
      <c r="EC13" s="33" t="n">
        <v>0</v>
      </c>
      <c r="ED13" s="33" t="n">
        <v>0</v>
      </c>
      <c r="EE13" s="33" t="n">
        <v>0</v>
      </c>
      <c r="EF13" s="33" t="n">
        <v>0</v>
      </c>
      <c r="EG13" s="33" t="n">
        <v>0</v>
      </c>
      <c r="EH13" s="33" t="n">
        <v>0</v>
      </c>
      <c r="EI13" s="33" t="n">
        <v>0</v>
      </c>
      <c r="EJ13" s="33" t="n">
        <v>0</v>
      </c>
      <c r="EK13" s="33" t="n">
        <v>0</v>
      </c>
      <c r="EL13" s="33" t="n">
        <v>0</v>
      </c>
      <c r="EM13" s="33" t="n">
        <v>0</v>
      </c>
      <c r="EN13" s="33" t="n">
        <v>0</v>
      </c>
      <c r="EO13" s="33" t="n">
        <v>0</v>
      </c>
      <c r="EP13" s="33" t="n">
        <v>0</v>
      </c>
      <c r="EQ13" s="33" t="n">
        <v>0</v>
      </c>
      <c r="ER13" s="33" t="n">
        <v>0</v>
      </c>
      <c r="ES13" s="33" t="n">
        <v>0</v>
      </c>
      <c r="ET13" s="33" t="n">
        <v>0</v>
      </c>
      <c r="EU13" s="33" t="n">
        <v>0</v>
      </c>
      <c r="EV13" s="33" t="n">
        <v>0</v>
      </c>
      <c r="EW13" s="33" t="n">
        <v>0</v>
      </c>
      <c r="EX13" s="33" t="n">
        <v>0</v>
      </c>
      <c r="EY13" s="33" t="n">
        <v>0</v>
      </c>
      <c r="EZ13" s="33" t="n">
        <v>0</v>
      </c>
      <c r="FA13" s="33" t="n">
        <v>0</v>
      </c>
      <c r="FB13" s="33" t="n">
        <v>0</v>
      </c>
      <c r="FC13" s="33" t="n">
        <v>0</v>
      </c>
      <c r="FD13" s="33" t="n">
        <v>0</v>
      </c>
      <c r="FE13" s="33" t="n">
        <v>0</v>
      </c>
      <c r="FF13" s="33" t="n">
        <v>0</v>
      </c>
      <c r="FG13" s="33" t="n">
        <v>0</v>
      </c>
      <c r="FH13" s="33" t="n">
        <v>0</v>
      </c>
      <c r="FI13" s="33" t="n">
        <v>0</v>
      </c>
      <c r="FJ13" s="33" t="n">
        <v>0</v>
      </c>
      <c r="FK13" s="33" t="n">
        <v>0</v>
      </c>
      <c r="FL13" s="33" t="n">
        <v>0</v>
      </c>
      <c r="FM13" s="33" t="n">
        <v>0</v>
      </c>
      <c r="FN13" s="33" t="n">
        <v>0</v>
      </c>
      <c r="FO13" s="33" t="n">
        <v>0</v>
      </c>
      <c r="FP13" s="33" t="n">
        <v>0</v>
      </c>
      <c r="FQ13" s="33" t="n">
        <v>0</v>
      </c>
      <c r="FR13" s="33" t="n">
        <v>0</v>
      </c>
      <c r="FS13" s="33" t="n">
        <v>0</v>
      </c>
      <c r="FT13" s="33" t="n">
        <v>0</v>
      </c>
      <c r="FU13" s="33" t="n">
        <v>0</v>
      </c>
      <c r="FV13" s="33" t="n">
        <v>0</v>
      </c>
      <c r="FW13" s="33" t="n">
        <v>0</v>
      </c>
      <c r="FX13" s="33" t="n">
        <v>0</v>
      </c>
      <c r="FY13" s="33" t="n">
        <v>0</v>
      </c>
      <c r="FZ13" s="33" t="n">
        <v>0</v>
      </c>
      <c r="GA13" s="33" t="n">
        <v>0</v>
      </c>
      <c r="GB13" s="33" t="n">
        <v>0</v>
      </c>
      <c r="GC13" s="33" t="n">
        <v>0</v>
      </c>
      <c r="GD13" s="33" t="n">
        <v>0</v>
      </c>
      <c r="GE13" s="33" t="n">
        <v>0</v>
      </c>
      <c r="GF13" s="33" t="n">
        <v>0</v>
      </c>
      <c r="GG13" s="33" t="n">
        <v>0</v>
      </c>
      <c r="GH13" s="33" t="n">
        <v>0</v>
      </c>
      <c r="GI13" s="33" t="n">
        <v>0</v>
      </c>
      <c r="GJ13" s="33" t="n">
        <v>0</v>
      </c>
      <c r="GK13" s="33" t="n">
        <v>0</v>
      </c>
      <c r="GL13" s="33" t="n">
        <v>0</v>
      </c>
      <c r="GM13" s="33" t="n">
        <v>0</v>
      </c>
      <c r="GN13" s="33" t="n">
        <v>0</v>
      </c>
      <c r="GO13" s="33" t="n">
        <v>0</v>
      </c>
      <c r="GP13" s="33" t="n">
        <v>0</v>
      </c>
      <c r="GQ13" s="33" t="n">
        <v>0</v>
      </c>
      <c r="GR13" s="33" t="n">
        <v>0</v>
      </c>
      <c r="GS13" s="33" t="n">
        <v>0</v>
      </c>
      <c r="GT13" s="33" t="n">
        <v>0</v>
      </c>
      <c r="GU13" s="33" t="n">
        <v>0</v>
      </c>
      <c r="GV13" s="33" t="n">
        <v>0</v>
      </c>
      <c r="GW13" s="33" t="n">
        <v>0</v>
      </c>
      <c r="GX13" s="33" t="n">
        <v>0</v>
      </c>
      <c r="GY13" s="33" t="n">
        <v>0</v>
      </c>
      <c r="GZ13" s="33" t="n">
        <v>0</v>
      </c>
      <c r="HA13" s="33" t="n">
        <v>0</v>
      </c>
      <c r="HB13" s="33" t="n">
        <v>0</v>
      </c>
      <c r="HC13" s="33" t="n">
        <v>0</v>
      </c>
      <c r="HD13" s="33" t="n">
        <v>0</v>
      </c>
      <c r="HE13" s="33" t="n">
        <v>0</v>
      </c>
      <c r="HF13" s="33" t="n">
        <v>0</v>
      </c>
      <c r="HG13" s="33" t="n">
        <v>0</v>
      </c>
      <c r="HH13" s="33" t="n">
        <v>0</v>
      </c>
      <c r="HI13" s="33" t="n">
        <v>0</v>
      </c>
      <c r="HJ13" s="33" t="n">
        <v>0</v>
      </c>
      <c r="HK13" s="33" t="n">
        <v>0</v>
      </c>
      <c r="HL13" s="33" t="n">
        <v>0</v>
      </c>
      <c r="HM13" s="33" t="n">
        <v>0</v>
      </c>
      <c r="HN13" s="33" t="n">
        <v>0</v>
      </c>
      <c r="HO13" s="33" t="n">
        <v>0</v>
      </c>
      <c r="HP13" s="33" t="n">
        <v>0</v>
      </c>
      <c r="HQ13" s="33" t="n">
        <v>0</v>
      </c>
      <c r="HR13" s="33" t="n">
        <v>0</v>
      </c>
      <c r="HS13" s="33" t="n">
        <v>0</v>
      </c>
      <c r="HT13" s="33" t="n">
        <v>0</v>
      </c>
      <c r="HU13" s="33" t="n">
        <v>0</v>
      </c>
      <c r="HV13" s="33" t="n">
        <v>0</v>
      </c>
      <c r="HW13" s="33" t="n">
        <v>0</v>
      </c>
      <c r="HX13" s="33" t="n">
        <v>0</v>
      </c>
      <c r="HY13" s="33" t="n">
        <v>0</v>
      </c>
      <c r="HZ13" s="33" t="n">
        <v>0</v>
      </c>
      <c r="IA13" s="33" t="n">
        <v>0</v>
      </c>
      <c r="IB13" s="33" t="n">
        <v>0</v>
      </c>
      <c r="IC13" s="33" t="n">
        <v>0</v>
      </c>
      <c r="ID13" s="33" t="n">
        <v>0</v>
      </c>
      <c r="IE13" s="33" t="n">
        <v>0</v>
      </c>
      <c r="IF13" s="33" t="n">
        <v>0</v>
      </c>
      <c r="IG13" s="33" t="n">
        <v>0</v>
      </c>
      <c r="IH13" s="33" t="n">
        <v>0</v>
      </c>
      <c r="II13" s="33" t="n">
        <v>0</v>
      </c>
      <c r="IJ13" s="33" t="n">
        <v>0</v>
      </c>
      <c r="IK13" s="33" t="n">
        <v>0</v>
      </c>
      <c r="IL13" s="33" t="n">
        <v>0</v>
      </c>
      <c r="IM13" s="33" t="n">
        <v>0</v>
      </c>
      <c r="IN13" s="33" t="n">
        <v>0</v>
      </c>
      <c r="IO13" s="33" t="n">
        <v>0</v>
      </c>
      <c r="IP13" s="33" t="n">
        <v>0</v>
      </c>
      <c r="IQ13" s="33" t="n">
        <v>0</v>
      </c>
      <c r="IR13" s="33" t="n">
        <v>0</v>
      </c>
      <c r="IS13" s="33" t="n">
        <v>0</v>
      </c>
      <c r="IT13" s="33" t="n">
        <v>0</v>
      </c>
      <c r="IU13" s="33" t="n">
        <v>0</v>
      </c>
      <c r="IV13" s="33" t="n">
        <v>0</v>
      </c>
      <c r="IW13" s="33" t="n">
        <v>0</v>
      </c>
      <c r="IX13" s="33" t="n">
        <v>0</v>
      </c>
      <c r="IY13" s="33" t="n">
        <v>0</v>
      </c>
      <c r="IZ13" s="33" t="n">
        <v>0</v>
      </c>
      <c r="JA13" s="33" t="n">
        <v>0</v>
      </c>
      <c r="JB13" s="33" t="n">
        <v>0</v>
      </c>
      <c r="JC13" s="33" t="n">
        <v>0</v>
      </c>
      <c r="JD13" s="33" t="n">
        <v>0</v>
      </c>
      <c r="JE13" s="33" t="n">
        <v>0</v>
      </c>
      <c r="JF13" s="33" t="n">
        <v>0</v>
      </c>
      <c r="JG13" s="33" t="n">
        <v>0</v>
      </c>
      <c r="JH13" s="33" t="n">
        <v>0</v>
      </c>
      <c r="JI13" s="33" t="n">
        <v>0</v>
      </c>
      <c r="JJ13" s="33" t="n">
        <v>0</v>
      </c>
      <c r="JK13" s="33" t="n">
        <v>0</v>
      </c>
      <c r="JL13" s="33" t="n">
        <v>0</v>
      </c>
      <c r="JM13" s="33" t="n">
        <v>0</v>
      </c>
      <c r="JN13" s="33" t="n">
        <v>0</v>
      </c>
      <c r="JO13" s="33" t="n">
        <v>0</v>
      </c>
      <c r="JP13" s="33" t="n">
        <v>0</v>
      </c>
      <c r="JQ13" s="33" t="n">
        <v>0</v>
      </c>
      <c r="JR13" s="33" t="n">
        <v>0</v>
      </c>
      <c r="JS13" s="33" t="n">
        <v>0</v>
      </c>
      <c r="JT13" s="33" t="n">
        <v>0</v>
      </c>
      <c r="JU13" s="33" t="n">
        <v>0</v>
      </c>
      <c r="JV13" s="33" t="n">
        <v>0</v>
      </c>
      <c r="JW13" s="33" t="n">
        <v>0</v>
      </c>
      <c r="JX13" s="33" t="n">
        <v>0</v>
      </c>
      <c r="JY13" s="33" t="n">
        <v>0</v>
      </c>
      <c r="JZ13" s="33" t="n">
        <v>0</v>
      </c>
      <c r="KA13" s="33" t="n">
        <v>0</v>
      </c>
      <c r="KB13" s="33" t="n">
        <v>0</v>
      </c>
      <c r="KC13" s="33" t="n">
        <v>0</v>
      </c>
      <c r="KD13" s="33" t="n">
        <v>0</v>
      </c>
      <c r="KE13" s="33" t="n">
        <v>0</v>
      </c>
      <c r="KF13" s="33" t="n">
        <v>0</v>
      </c>
      <c r="KG13" s="33" t="n">
        <v>0</v>
      </c>
      <c r="KH13" s="33" t="n">
        <v>0</v>
      </c>
      <c r="KI13" s="33" t="n">
        <v>0</v>
      </c>
      <c r="KJ13" s="33" t="n">
        <v>0</v>
      </c>
      <c r="KK13" s="33" t="n">
        <v>0</v>
      </c>
      <c r="KL13" s="33" t="n">
        <v>0</v>
      </c>
      <c r="KM13" s="33" t="n">
        <v>0</v>
      </c>
      <c r="KN13" s="33" t="n">
        <v>0</v>
      </c>
      <c r="KO13" s="33" t="n">
        <v>0</v>
      </c>
      <c r="KP13" s="33" t="n">
        <v>0</v>
      </c>
      <c r="KQ13" s="33" t="n">
        <v>0</v>
      </c>
      <c r="KR13" s="33" t="n">
        <v>0</v>
      </c>
      <c r="KS13" s="33" t="n">
        <v>0</v>
      </c>
      <c r="KT13" s="33" t="n">
        <v>0</v>
      </c>
      <c r="KU13" s="33" t="n">
        <v>0</v>
      </c>
      <c r="KV13" s="33" t="n">
        <v>0</v>
      </c>
      <c r="KW13" s="33" t="n">
        <v>0</v>
      </c>
      <c r="KX13" s="33" t="n">
        <v>0</v>
      </c>
      <c r="KY13" s="33" t="n">
        <v>0</v>
      </c>
      <c r="KZ13" s="33" t="n">
        <v>0</v>
      </c>
      <c r="LA13" s="33" t="n">
        <v>0</v>
      </c>
      <c r="LB13" s="33" t="n">
        <v>0</v>
      </c>
      <c r="LC13" s="33" t="n">
        <v>0</v>
      </c>
      <c r="LD13" s="33" t="n">
        <v>0</v>
      </c>
      <c r="LE13" s="33" t="n">
        <v>0</v>
      </c>
      <c r="LF13" s="33" t="n">
        <v>0</v>
      </c>
      <c r="LG13" s="33" t="n">
        <v>0</v>
      </c>
      <c r="LH13" s="33" t="n">
        <v>0</v>
      </c>
      <c r="LI13" s="33" t="n">
        <v>0</v>
      </c>
      <c r="LJ13" s="33" t="n">
        <v>0</v>
      </c>
      <c r="LK13" s="33" t="n">
        <v>0</v>
      </c>
      <c r="LL13" s="33" t="n">
        <v>0</v>
      </c>
      <c r="LM13" s="33" t="n">
        <v>0</v>
      </c>
      <c r="LN13" s="33" t="n">
        <v>0</v>
      </c>
      <c r="LO13" s="33" t="n">
        <v>0</v>
      </c>
      <c r="LP13" s="33" t="n">
        <v>0</v>
      </c>
      <c r="LQ13" s="33" t="n">
        <v>0</v>
      </c>
      <c r="LR13" s="33" t="n">
        <v>0</v>
      </c>
      <c r="LS13" s="33" t="n">
        <v>0</v>
      </c>
      <c r="LT13" s="33" t="n">
        <v>0</v>
      </c>
      <c r="LU13" s="33" t="n">
        <v>0</v>
      </c>
      <c r="LV13" s="33" t="n">
        <v>0</v>
      </c>
      <c r="LW13" s="33" t="n">
        <v>0</v>
      </c>
      <c r="LX13" s="33" t="n">
        <v>0</v>
      </c>
      <c r="LY13" s="33" t="n">
        <v>0</v>
      </c>
      <c r="LZ13" s="33" t="n">
        <v>0</v>
      </c>
      <c r="MA13" s="33" t="n">
        <v>0</v>
      </c>
      <c r="MB13" s="33" t="n">
        <v>0</v>
      </c>
      <c r="MC13" s="33" t="n">
        <v>0</v>
      </c>
      <c r="MD13" s="33" t="n">
        <v>0</v>
      </c>
      <c r="ME13" s="33" t="n">
        <v>0</v>
      </c>
      <c r="MF13" s="33" t="n">
        <v>0</v>
      </c>
      <c r="MG13" s="33" t="n">
        <v>0</v>
      </c>
      <c r="MH13" s="33" t="n">
        <v>0</v>
      </c>
      <c r="MI13" s="33" t="n">
        <v>0</v>
      </c>
      <c r="MJ13" s="33" t="n">
        <v>0</v>
      </c>
      <c r="MK13" s="33" t="n">
        <v>0</v>
      </c>
      <c r="ML13" s="33" t="n">
        <v>0</v>
      </c>
      <c r="MM13" s="33" t="n">
        <v>0</v>
      </c>
      <c r="MN13" s="33" t="n">
        <v>0</v>
      </c>
      <c r="MO13" s="33" t="n">
        <v>0</v>
      </c>
      <c r="MP13" s="33" t="n">
        <v>0</v>
      </c>
      <c r="MQ13" s="33" t="n">
        <v>0</v>
      </c>
      <c r="MR13" s="33" t="n">
        <v>0</v>
      </c>
      <c r="MS13" s="33" t="n">
        <v>0</v>
      </c>
      <c r="MT13" s="33" t="n">
        <v>0</v>
      </c>
      <c r="MU13" s="33" t="n">
        <v>0</v>
      </c>
      <c r="MV13" s="33" t="n">
        <v>0</v>
      </c>
      <c r="MW13" s="33" t="n">
        <v>0</v>
      </c>
      <c r="MX13" s="33" t="n">
        <v>0</v>
      </c>
      <c r="MY13" s="33" t="n">
        <v>0</v>
      </c>
      <c r="MZ13" s="33" t="n">
        <v>0</v>
      </c>
      <c r="NA13" s="33" t="n">
        <v>0</v>
      </c>
      <c r="NB13" s="33" t="n">
        <v>0</v>
      </c>
      <c r="NC13" s="33" t="n">
        <v>0</v>
      </c>
      <c r="ND13" s="33" t="n">
        <v>0</v>
      </c>
      <c r="NE13" s="33" t="n">
        <v>0</v>
      </c>
      <c r="NF13" s="33" t="n">
        <v>0</v>
      </c>
      <c r="NG13" s="33" t="n">
        <v>0</v>
      </c>
      <c r="NH13" s="33" t="n">
        <v>0</v>
      </c>
      <c r="NI13" s="33" t="n">
        <v>0</v>
      </c>
      <c r="NJ13" s="33" t="n">
        <v>0</v>
      </c>
      <c r="NK13" s="33" t="n">
        <v>0</v>
      </c>
      <c r="NL13" s="33" t="n">
        <v>0</v>
      </c>
      <c r="NM13" s="33" t="n">
        <v>0</v>
      </c>
      <c r="NN13" s="33" t="n">
        <v>0</v>
      </c>
      <c r="NO13" s="33" t="n">
        <v>0</v>
      </c>
      <c r="NP13" s="33" t="n">
        <v>0</v>
      </c>
      <c r="NQ13" s="33" t="n">
        <v>0</v>
      </c>
      <c r="NR13" s="33" t="n">
        <v>0</v>
      </c>
      <c r="NS13" s="33" t="n">
        <v>0</v>
      </c>
      <c r="NT13" s="33" t="n">
        <v>0</v>
      </c>
      <c r="NU13" s="33" t="n">
        <v>0</v>
      </c>
      <c r="NV13" s="33" t="n">
        <v>0</v>
      </c>
      <c r="NW13" s="33" t="n">
        <v>0</v>
      </c>
      <c r="NX13" s="33" t="n">
        <v>0</v>
      </c>
      <c r="NY13" s="33" t="n">
        <v>0</v>
      </c>
      <c r="NZ13" s="33" t="n">
        <v>0</v>
      </c>
      <c r="OA13" s="33" t="n">
        <v>0</v>
      </c>
      <c r="OB13" s="33" t="n">
        <v>0</v>
      </c>
      <c r="OC13" s="33" t="n">
        <v>0</v>
      </c>
      <c r="OD13" s="33" t="n">
        <v>0</v>
      </c>
      <c r="OE13" s="33" t="n">
        <v>0</v>
      </c>
      <c r="OF13" s="33" t="n">
        <v>0</v>
      </c>
      <c r="OG13" s="33" t="n">
        <v>0</v>
      </c>
      <c r="OH13" s="33" t="n">
        <v>0</v>
      </c>
      <c r="OI13" s="33" t="n">
        <v>0</v>
      </c>
      <c r="OJ13" s="33" t="n">
        <v>0</v>
      </c>
      <c r="OK13" s="33" t="n">
        <v>0</v>
      </c>
      <c r="OL13" s="33" t="n">
        <v>0</v>
      </c>
      <c r="OM13" s="33" t="n">
        <v>0</v>
      </c>
      <c r="ON13" s="33" t="n">
        <v>0</v>
      </c>
      <c r="OO13" s="33" t="n">
        <v>0</v>
      </c>
      <c r="OP13" s="33" t="n">
        <v>0</v>
      </c>
      <c r="OQ13" s="33" t="n">
        <v>0</v>
      </c>
      <c r="OR13" s="33" t="n">
        <v>0</v>
      </c>
      <c r="OS13" s="33" t="n">
        <v>0</v>
      </c>
      <c r="OT13" s="33" t="n">
        <v>0</v>
      </c>
      <c r="OU13" s="33" t="n">
        <v>0</v>
      </c>
      <c r="OV13" s="33" t="n">
        <v>0</v>
      </c>
      <c r="OW13" s="33" t="n">
        <v>0</v>
      </c>
      <c r="OX13" s="33" t="n">
        <v>0</v>
      </c>
      <c r="OY13" s="33" t="n">
        <v>0</v>
      </c>
      <c r="OZ13" s="33" t="n">
        <v>0</v>
      </c>
      <c r="PA13" s="33" t="n">
        <v>0</v>
      </c>
      <c r="PB13" s="33" t="n">
        <v>0</v>
      </c>
      <c r="PC13" s="33" t="n">
        <v>0</v>
      </c>
      <c r="PD13" s="33" t="n">
        <v>0</v>
      </c>
      <c r="PE13" s="33" t="n">
        <v>0</v>
      </c>
      <c r="PF13" s="33" t="n">
        <v>0</v>
      </c>
      <c r="PG13" s="33" t="n">
        <v>0</v>
      </c>
      <c r="PH13" s="33" t="n">
        <v>0</v>
      </c>
      <c r="PI13" s="33" t="n">
        <v>0</v>
      </c>
      <c r="PJ13" s="33" t="n">
        <v>0</v>
      </c>
      <c r="PK13" s="33" t="n">
        <v>0</v>
      </c>
      <c r="PL13" s="33" t="n">
        <v>0</v>
      </c>
      <c r="PM13" s="33" t="n">
        <v>0</v>
      </c>
      <c r="PN13" s="33" t="n">
        <v>0</v>
      </c>
      <c r="PO13" s="33" t="n">
        <v>0</v>
      </c>
      <c r="PP13" s="33" t="n">
        <v>0</v>
      </c>
      <c r="PQ13" s="33" t="n">
        <v>0</v>
      </c>
      <c r="PR13" s="33" t="n">
        <v>0</v>
      </c>
      <c r="PS13" s="33" t="n">
        <v>0</v>
      </c>
      <c r="PT13" s="33" t="n">
        <v>0</v>
      </c>
      <c r="PU13" s="33" t="n">
        <v>0</v>
      </c>
      <c r="PV13" s="33" t="n">
        <v>0</v>
      </c>
      <c r="PW13" s="33" t="n">
        <v>0</v>
      </c>
      <c r="PX13" s="33" t="n">
        <v>0</v>
      </c>
      <c r="PY13" s="33" t="n">
        <v>0</v>
      </c>
      <c r="PZ13" s="33" t="n">
        <v>0</v>
      </c>
      <c r="QA13" s="33" t="n">
        <v>0</v>
      </c>
      <c r="QB13" s="33" t="n">
        <v>0</v>
      </c>
      <c r="QC13" s="33" t="n">
        <v>0</v>
      </c>
      <c r="QD13" s="33" t="n">
        <v>0</v>
      </c>
      <c r="QE13" s="33" t="n">
        <v>0</v>
      </c>
      <c r="QF13" s="33" t="n">
        <v>0</v>
      </c>
      <c r="QG13" s="33" t="n">
        <v>0</v>
      </c>
      <c r="QH13" s="33" t="n">
        <v>0</v>
      </c>
      <c r="QI13" s="33" t="n">
        <v>0</v>
      </c>
      <c r="QJ13" s="33" t="n">
        <v>0</v>
      </c>
      <c r="QK13" s="33" t="n">
        <v>0</v>
      </c>
      <c r="QL13" s="33" t="n">
        <v>0</v>
      </c>
      <c r="QM13" s="33" t="n">
        <v>0</v>
      </c>
      <c r="QN13" s="33" t="n">
        <v>0</v>
      </c>
      <c r="QO13" s="33" t="n">
        <v>0</v>
      </c>
      <c r="QP13" s="33" t="n">
        <v>0</v>
      </c>
      <c r="QQ13" s="33" t="n">
        <v>0</v>
      </c>
      <c r="QR13" s="33" t="n">
        <v>0</v>
      </c>
      <c r="QS13" s="33" t="n">
        <v>0</v>
      </c>
      <c r="QT13" s="33" t="n">
        <v>0</v>
      </c>
      <c r="QU13" s="33" t="n">
        <v>0</v>
      </c>
      <c r="QV13" s="33" t="n">
        <v>0</v>
      </c>
      <c r="QW13" s="33" t="n">
        <v>0</v>
      </c>
      <c r="QX13" s="33" t="n">
        <v>0</v>
      </c>
      <c r="QY13" s="33" t="n">
        <v>0</v>
      </c>
      <c r="QZ13" s="33" t="n">
        <v>0</v>
      </c>
      <c r="RA13" s="33" t="n">
        <v>0</v>
      </c>
      <c r="RB13" s="33" t="n">
        <v>0</v>
      </c>
      <c r="RC13" s="33" t="n">
        <v>0</v>
      </c>
      <c r="RD13" s="33" t="n">
        <v>0</v>
      </c>
      <c r="RE13" s="33" t="n">
        <v>0</v>
      </c>
      <c r="RF13" s="33" t="n">
        <v>0</v>
      </c>
      <c r="RG13" s="33" t="n">
        <v>0</v>
      </c>
      <c r="RH13" s="33" t="n">
        <v>0</v>
      </c>
      <c r="RI13" s="33" t="n">
        <v>0</v>
      </c>
      <c r="RJ13" s="33" t="n">
        <v>0</v>
      </c>
      <c r="RK13" s="33" t="n">
        <v>0</v>
      </c>
      <c r="RL13" s="33" t="n">
        <v>0</v>
      </c>
      <c r="RM13" s="33" t="n">
        <v>0</v>
      </c>
      <c r="RN13" s="33" t="n">
        <v>0</v>
      </c>
      <c r="RO13" s="33" t="n">
        <v>0</v>
      </c>
      <c r="RP13" s="33" t="n">
        <v>0</v>
      </c>
      <c r="RQ13" s="33" t="n">
        <v>0</v>
      </c>
      <c r="RR13" s="33" t="n">
        <v>0</v>
      </c>
      <c r="RS13" s="33" t="n">
        <v>0</v>
      </c>
      <c r="RT13" s="33" t="n">
        <v>0</v>
      </c>
      <c r="RU13" s="33" t="n">
        <v>0</v>
      </c>
      <c r="RV13" s="33" t="n">
        <v>0</v>
      </c>
      <c r="RW13" s="33" t="n">
        <v>0</v>
      </c>
    </row>
    <row r="14" hidden="1" outlineLevel="1" ht="13.05" customHeight="1">
      <c r="E14" s="21" t="inlineStr">
        <is>
          <t>VE-Bonus</t>
        </is>
      </c>
      <c r="F14" s="29" t="n"/>
      <c r="G14" s="29" t="inlineStr">
        <is>
          <t>kEUR</t>
        </is>
      </c>
      <c r="H14" s="29" t="n"/>
      <c r="I14" s="29" t="n"/>
      <c r="J14" s="32" t="n">
        <v>0</v>
      </c>
      <c r="K14" s="29" t="n"/>
      <c r="L14" s="33" t="n">
        <v>0</v>
      </c>
      <c r="M14" s="33" t="n">
        <v>0</v>
      </c>
      <c r="N14" s="33" t="n">
        <v>0</v>
      </c>
      <c r="O14" s="33" t="n">
        <v>0</v>
      </c>
      <c r="P14" s="33" t="n">
        <v>0</v>
      </c>
      <c r="Q14" s="33" t="n">
        <v>0</v>
      </c>
      <c r="R14" s="33" t="n">
        <v>0</v>
      </c>
      <c r="S14" s="33" t="n">
        <v>0</v>
      </c>
      <c r="T14" s="33" t="n">
        <v>0</v>
      </c>
      <c r="U14" s="33" t="n">
        <v>0</v>
      </c>
      <c r="V14" s="33" t="n">
        <v>0</v>
      </c>
      <c r="W14" s="33" t="n">
        <v>0</v>
      </c>
      <c r="X14" s="33" t="n">
        <v>0</v>
      </c>
      <c r="Y14" s="33" t="n">
        <v>0</v>
      </c>
      <c r="Z14" s="33" t="n">
        <v>0</v>
      </c>
      <c r="AA14" s="33" t="n">
        <v>0</v>
      </c>
      <c r="AB14" s="33" t="n">
        <v>0</v>
      </c>
      <c r="AC14" s="33" t="n">
        <v>0</v>
      </c>
      <c r="AD14" s="33" t="n">
        <v>0</v>
      </c>
      <c r="AE14" s="33" t="n">
        <v>0</v>
      </c>
      <c r="AF14" s="33" t="n">
        <v>0</v>
      </c>
      <c r="AG14" s="33" t="n">
        <v>0</v>
      </c>
      <c r="AH14" s="33" t="n">
        <v>0</v>
      </c>
      <c r="AI14" s="33" t="n">
        <v>0</v>
      </c>
      <c r="AJ14" s="33" t="n">
        <v>0</v>
      </c>
      <c r="AK14" s="33" t="n">
        <v>0</v>
      </c>
      <c r="AL14" s="33" t="n">
        <v>0</v>
      </c>
      <c r="AM14" s="33" t="n">
        <v>0</v>
      </c>
      <c r="AN14" s="33" t="n">
        <v>0</v>
      </c>
      <c r="AO14" s="33" t="n">
        <v>0</v>
      </c>
      <c r="AP14" s="33" t="n">
        <v>0</v>
      </c>
      <c r="AQ14" s="33" t="n">
        <v>0</v>
      </c>
      <c r="AR14" s="33" t="n">
        <v>0</v>
      </c>
      <c r="AS14" s="33" t="n">
        <v>0</v>
      </c>
      <c r="AT14" s="33" t="n">
        <v>0</v>
      </c>
      <c r="AU14" s="33" t="n">
        <v>0</v>
      </c>
      <c r="AV14" s="33" t="n">
        <v>0</v>
      </c>
      <c r="AW14" s="33" t="n">
        <v>0</v>
      </c>
      <c r="AX14" s="33" t="n">
        <v>0</v>
      </c>
      <c r="AY14" s="33" t="n">
        <v>0</v>
      </c>
      <c r="AZ14" s="33" t="n">
        <v>0</v>
      </c>
      <c r="BA14" s="33" t="n">
        <v>0</v>
      </c>
      <c r="BB14" s="33" t="n">
        <v>0</v>
      </c>
      <c r="BC14" s="33" t="n">
        <v>0</v>
      </c>
      <c r="BD14" s="33" t="n">
        <v>0</v>
      </c>
      <c r="BE14" s="33" t="n">
        <v>0</v>
      </c>
      <c r="BF14" s="33" t="n">
        <v>0</v>
      </c>
      <c r="BG14" s="33" t="n">
        <v>0</v>
      </c>
      <c r="BH14" s="33" t="n">
        <v>0</v>
      </c>
      <c r="BI14" s="33" t="n">
        <v>0</v>
      </c>
      <c r="BJ14" s="33" t="n">
        <v>0</v>
      </c>
      <c r="BK14" s="33" t="n">
        <v>0</v>
      </c>
      <c r="BL14" s="33" t="n">
        <v>0</v>
      </c>
      <c r="BM14" s="33" t="n">
        <v>0</v>
      </c>
      <c r="BN14" s="33" t="n">
        <v>0</v>
      </c>
      <c r="BO14" s="33" t="n">
        <v>0</v>
      </c>
      <c r="BP14" s="33" t="n">
        <v>0</v>
      </c>
      <c r="BQ14" s="33" t="n">
        <v>0</v>
      </c>
      <c r="BR14" s="33" t="n">
        <v>0</v>
      </c>
      <c r="BS14" s="33" t="n">
        <v>0</v>
      </c>
      <c r="BT14" s="33" t="n">
        <v>0</v>
      </c>
      <c r="BU14" s="33" t="n">
        <v>0</v>
      </c>
      <c r="BV14" s="33" t="n">
        <v>0</v>
      </c>
      <c r="BW14" s="33" t="n">
        <v>0</v>
      </c>
      <c r="BX14" s="33" t="n">
        <v>0</v>
      </c>
      <c r="BY14" s="33" t="n">
        <v>0</v>
      </c>
      <c r="BZ14" s="33" t="n">
        <v>0</v>
      </c>
      <c r="CA14" s="33" t="n">
        <v>0</v>
      </c>
      <c r="CB14" s="33" t="n">
        <v>0</v>
      </c>
      <c r="CC14" s="33" t="n">
        <v>0</v>
      </c>
      <c r="CD14" s="33" t="n">
        <v>0</v>
      </c>
      <c r="CE14" s="33" t="n">
        <v>0</v>
      </c>
      <c r="CF14" s="33" t="n">
        <v>0</v>
      </c>
      <c r="CG14" s="33" t="n">
        <v>0</v>
      </c>
      <c r="CH14" s="33" t="n">
        <v>0</v>
      </c>
      <c r="CI14" s="33" t="n">
        <v>0</v>
      </c>
      <c r="CJ14" s="33" t="n">
        <v>0</v>
      </c>
      <c r="CK14" s="33" t="n">
        <v>0</v>
      </c>
      <c r="CL14" s="33" t="n">
        <v>0</v>
      </c>
      <c r="CM14" s="33" t="n">
        <v>0</v>
      </c>
      <c r="CN14" s="33" t="n">
        <v>0</v>
      </c>
      <c r="CO14" s="33" t="n">
        <v>0</v>
      </c>
      <c r="CP14" s="33" t="n">
        <v>0</v>
      </c>
      <c r="CQ14" s="33" t="n">
        <v>0</v>
      </c>
      <c r="CR14" s="33" t="n">
        <v>0</v>
      </c>
      <c r="CS14" s="33" t="n">
        <v>0</v>
      </c>
      <c r="CT14" s="33" t="n">
        <v>0</v>
      </c>
      <c r="CU14" s="33" t="n">
        <v>0</v>
      </c>
      <c r="CV14" s="33" t="n">
        <v>0</v>
      </c>
      <c r="CW14" s="33" t="n">
        <v>0</v>
      </c>
      <c r="CX14" s="33" t="n">
        <v>0</v>
      </c>
      <c r="CY14" s="33" t="n">
        <v>0</v>
      </c>
      <c r="CZ14" s="33" t="n">
        <v>0</v>
      </c>
      <c r="DA14" s="33" t="n">
        <v>0</v>
      </c>
      <c r="DB14" s="33" t="n">
        <v>0</v>
      </c>
      <c r="DC14" s="33" t="n">
        <v>0</v>
      </c>
      <c r="DD14" s="33" t="n">
        <v>0</v>
      </c>
      <c r="DE14" s="33" t="n">
        <v>0</v>
      </c>
      <c r="DF14" s="33" t="n">
        <v>0</v>
      </c>
      <c r="DG14" s="33" t="n">
        <v>0</v>
      </c>
      <c r="DH14" s="33" t="n">
        <v>0</v>
      </c>
      <c r="DI14" s="33" t="n">
        <v>0</v>
      </c>
      <c r="DJ14" s="33" t="n">
        <v>0</v>
      </c>
      <c r="DK14" s="33" t="n">
        <v>0</v>
      </c>
      <c r="DL14" s="33" t="n">
        <v>0</v>
      </c>
      <c r="DM14" s="33" t="n">
        <v>0</v>
      </c>
      <c r="DN14" s="33" t="n">
        <v>0</v>
      </c>
      <c r="DO14" s="33" t="n">
        <v>0</v>
      </c>
      <c r="DP14" s="33" t="n">
        <v>0</v>
      </c>
      <c r="DQ14" s="33" t="n">
        <v>0</v>
      </c>
      <c r="DR14" s="33" t="n">
        <v>0</v>
      </c>
      <c r="DS14" s="33" t="n">
        <v>0</v>
      </c>
      <c r="DT14" s="33" t="n">
        <v>0</v>
      </c>
      <c r="DU14" s="33" t="n">
        <v>0</v>
      </c>
      <c r="DV14" s="33" t="n">
        <v>0</v>
      </c>
      <c r="DW14" s="33" t="n">
        <v>0</v>
      </c>
      <c r="DX14" s="33" t="n">
        <v>0</v>
      </c>
      <c r="DY14" s="33" t="n">
        <v>0</v>
      </c>
      <c r="DZ14" s="33" t="n">
        <v>0</v>
      </c>
      <c r="EA14" s="33" t="n">
        <v>0</v>
      </c>
      <c r="EB14" s="33" t="n">
        <v>0</v>
      </c>
      <c r="EC14" s="33" t="n">
        <v>0</v>
      </c>
      <c r="ED14" s="33" t="n">
        <v>0</v>
      </c>
      <c r="EE14" s="33" t="n">
        <v>0</v>
      </c>
      <c r="EF14" s="33" t="n">
        <v>0</v>
      </c>
      <c r="EG14" s="33" t="n">
        <v>0</v>
      </c>
      <c r="EH14" s="33" t="n">
        <v>0</v>
      </c>
      <c r="EI14" s="33" t="n">
        <v>0</v>
      </c>
      <c r="EJ14" s="33" t="n">
        <v>0</v>
      </c>
      <c r="EK14" s="33" t="n">
        <v>0</v>
      </c>
      <c r="EL14" s="33" t="n">
        <v>0</v>
      </c>
      <c r="EM14" s="33" t="n">
        <v>0</v>
      </c>
      <c r="EN14" s="33" t="n">
        <v>0</v>
      </c>
      <c r="EO14" s="33" t="n">
        <v>0</v>
      </c>
      <c r="EP14" s="33" t="n">
        <v>0</v>
      </c>
      <c r="EQ14" s="33" t="n">
        <v>0</v>
      </c>
      <c r="ER14" s="33" t="n">
        <v>0</v>
      </c>
      <c r="ES14" s="33" t="n">
        <v>0</v>
      </c>
      <c r="ET14" s="33" t="n">
        <v>0</v>
      </c>
      <c r="EU14" s="33" t="n">
        <v>0</v>
      </c>
      <c r="EV14" s="33" t="n">
        <v>0</v>
      </c>
      <c r="EW14" s="33" t="n">
        <v>0</v>
      </c>
      <c r="EX14" s="33" t="n">
        <v>0</v>
      </c>
      <c r="EY14" s="33" t="n">
        <v>0</v>
      </c>
      <c r="EZ14" s="33" t="n">
        <v>0</v>
      </c>
      <c r="FA14" s="33" t="n">
        <v>0</v>
      </c>
      <c r="FB14" s="33" t="n">
        <v>0</v>
      </c>
      <c r="FC14" s="33" t="n">
        <v>0</v>
      </c>
      <c r="FD14" s="33" t="n">
        <v>0</v>
      </c>
      <c r="FE14" s="33" t="n">
        <v>0</v>
      </c>
      <c r="FF14" s="33" t="n">
        <v>0</v>
      </c>
      <c r="FG14" s="33" t="n">
        <v>0</v>
      </c>
      <c r="FH14" s="33" t="n">
        <v>0</v>
      </c>
      <c r="FI14" s="33" t="n">
        <v>0</v>
      </c>
      <c r="FJ14" s="33" t="n">
        <v>0</v>
      </c>
      <c r="FK14" s="33" t="n">
        <v>0</v>
      </c>
      <c r="FL14" s="33" t="n">
        <v>0</v>
      </c>
      <c r="FM14" s="33" t="n">
        <v>0</v>
      </c>
      <c r="FN14" s="33" t="n">
        <v>0</v>
      </c>
      <c r="FO14" s="33" t="n">
        <v>0</v>
      </c>
      <c r="FP14" s="33" t="n">
        <v>0</v>
      </c>
      <c r="FQ14" s="33" t="n">
        <v>0</v>
      </c>
      <c r="FR14" s="33" t="n">
        <v>0</v>
      </c>
      <c r="FS14" s="33" t="n">
        <v>0</v>
      </c>
      <c r="FT14" s="33" t="n">
        <v>0</v>
      </c>
      <c r="FU14" s="33" t="n">
        <v>0</v>
      </c>
      <c r="FV14" s="33" t="n">
        <v>0</v>
      </c>
      <c r="FW14" s="33" t="n">
        <v>0</v>
      </c>
      <c r="FX14" s="33" t="n">
        <v>0</v>
      </c>
      <c r="FY14" s="33" t="n">
        <v>0</v>
      </c>
      <c r="FZ14" s="33" t="n">
        <v>0</v>
      </c>
      <c r="GA14" s="33" t="n">
        <v>0</v>
      </c>
      <c r="GB14" s="33" t="n">
        <v>0</v>
      </c>
      <c r="GC14" s="33" t="n">
        <v>0</v>
      </c>
      <c r="GD14" s="33" t="n">
        <v>0</v>
      </c>
      <c r="GE14" s="33" t="n">
        <v>0</v>
      </c>
      <c r="GF14" s="33" t="n">
        <v>0</v>
      </c>
      <c r="GG14" s="33" t="n">
        <v>0</v>
      </c>
      <c r="GH14" s="33" t="n">
        <v>0</v>
      </c>
      <c r="GI14" s="33" t="n">
        <v>0</v>
      </c>
      <c r="GJ14" s="33" t="n">
        <v>0</v>
      </c>
      <c r="GK14" s="33" t="n">
        <v>0</v>
      </c>
      <c r="GL14" s="33" t="n">
        <v>0</v>
      </c>
      <c r="GM14" s="33" t="n">
        <v>0</v>
      </c>
      <c r="GN14" s="33" t="n">
        <v>0</v>
      </c>
      <c r="GO14" s="33" t="n">
        <v>0</v>
      </c>
      <c r="GP14" s="33" t="n">
        <v>0</v>
      </c>
      <c r="GQ14" s="33" t="n">
        <v>0</v>
      </c>
      <c r="GR14" s="33" t="n">
        <v>0</v>
      </c>
      <c r="GS14" s="33" t="n">
        <v>0</v>
      </c>
      <c r="GT14" s="33" t="n">
        <v>0</v>
      </c>
      <c r="GU14" s="33" t="n">
        <v>0</v>
      </c>
      <c r="GV14" s="33" t="n">
        <v>0</v>
      </c>
      <c r="GW14" s="33" t="n">
        <v>0</v>
      </c>
      <c r="GX14" s="33" t="n">
        <v>0</v>
      </c>
      <c r="GY14" s="33" t="n">
        <v>0</v>
      </c>
      <c r="GZ14" s="33" t="n">
        <v>0</v>
      </c>
      <c r="HA14" s="33" t="n">
        <v>0</v>
      </c>
      <c r="HB14" s="33" t="n">
        <v>0</v>
      </c>
      <c r="HC14" s="33" t="n">
        <v>0</v>
      </c>
      <c r="HD14" s="33" t="n">
        <v>0</v>
      </c>
      <c r="HE14" s="33" t="n">
        <v>0</v>
      </c>
      <c r="HF14" s="33" t="n">
        <v>0</v>
      </c>
      <c r="HG14" s="33" t="n">
        <v>0</v>
      </c>
      <c r="HH14" s="33" t="n">
        <v>0</v>
      </c>
      <c r="HI14" s="33" t="n">
        <v>0</v>
      </c>
      <c r="HJ14" s="33" t="n">
        <v>0</v>
      </c>
      <c r="HK14" s="33" t="n">
        <v>0</v>
      </c>
      <c r="HL14" s="33" t="n">
        <v>0</v>
      </c>
      <c r="HM14" s="33" t="n">
        <v>0</v>
      </c>
      <c r="HN14" s="33" t="n">
        <v>0</v>
      </c>
      <c r="HO14" s="33" t="n">
        <v>0</v>
      </c>
      <c r="HP14" s="33" t="n">
        <v>0</v>
      </c>
      <c r="HQ14" s="33" t="n">
        <v>0</v>
      </c>
      <c r="HR14" s="33" t="n">
        <v>0</v>
      </c>
      <c r="HS14" s="33" t="n">
        <v>0</v>
      </c>
      <c r="HT14" s="33" t="n">
        <v>0</v>
      </c>
      <c r="HU14" s="33" t="n">
        <v>0</v>
      </c>
      <c r="HV14" s="33" t="n">
        <v>0</v>
      </c>
      <c r="HW14" s="33" t="n">
        <v>0</v>
      </c>
      <c r="HX14" s="33" t="n">
        <v>0</v>
      </c>
      <c r="HY14" s="33" t="n">
        <v>0</v>
      </c>
      <c r="HZ14" s="33" t="n">
        <v>0</v>
      </c>
      <c r="IA14" s="33" t="n">
        <v>0</v>
      </c>
      <c r="IB14" s="33" t="n">
        <v>0</v>
      </c>
      <c r="IC14" s="33" t="n">
        <v>0</v>
      </c>
      <c r="ID14" s="33" t="n">
        <v>0</v>
      </c>
      <c r="IE14" s="33" t="n">
        <v>0</v>
      </c>
      <c r="IF14" s="33" t="n">
        <v>0</v>
      </c>
      <c r="IG14" s="33" t="n">
        <v>0</v>
      </c>
      <c r="IH14" s="33" t="n">
        <v>0</v>
      </c>
      <c r="II14" s="33" t="n">
        <v>0</v>
      </c>
      <c r="IJ14" s="33" t="n">
        <v>0</v>
      </c>
      <c r="IK14" s="33" t="n">
        <v>0</v>
      </c>
      <c r="IL14" s="33" t="n">
        <v>0</v>
      </c>
      <c r="IM14" s="33" t="n">
        <v>0</v>
      </c>
      <c r="IN14" s="33" t="n">
        <v>0</v>
      </c>
      <c r="IO14" s="33" t="n">
        <v>0</v>
      </c>
      <c r="IP14" s="33" t="n">
        <v>0</v>
      </c>
      <c r="IQ14" s="33" t="n">
        <v>0</v>
      </c>
      <c r="IR14" s="33" t="n">
        <v>0</v>
      </c>
      <c r="IS14" s="33" t="n">
        <v>0</v>
      </c>
      <c r="IT14" s="33" t="n">
        <v>0</v>
      </c>
      <c r="IU14" s="33" t="n">
        <v>0</v>
      </c>
      <c r="IV14" s="33" t="n">
        <v>0</v>
      </c>
      <c r="IW14" s="33" t="n">
        <v>0</v>
      </c>
      <c r="IX14" s="33" t="n">
        <v>0</v>
      </c>
      <c r="IY14" s="33" t="n">
        <v>0</v>
      </c>
      <c r="IZ14" s="33" t="n">
        <v>0</v>
      </c>
      <c r="JA14" s="33" t="n">
        <v>0</v>
      </c>
      <c r="JB14" s="33" t="n">
        <v>0</v>
      </c>
      <c r="JC14" s="33" t="n">
        <v>0</v>
      </c>
      <c r="JD14" s="33" t="n">
        <v>0</v>
      </c>
      <c r="JE14" s="33" t="n">
        <v>0</v>
      </c>
      <c r="JF14" s="33" t="n">
        <v>0</v>
      </c>
      <c r="JG14" s="33" t="n">
        <v>0</v>
      </c>
      <c r="JH14" s="33" t="n">
        <v>0</v>
      </c>
      <c r="JI14" s="33" t="n">
        <v>0</v>
      </c>
      <c r="JJ14" s="33" t="n">
        <v>0</v>
      </c>
      <c r="JK14" s="33" t="n">
        <v>0</v>
      </c>
      <c r="JL14" s="33" t="n">
        <v>0</v>
      </c>
      <c r="JM14" s="33" t="n">
        <v>0</v>
      </c>
      <c r="JN14" s="33" t="n">
        <v>0</v>
      </c>
      <c r="JO14" s="33" t="n">
        <v>0</v>
      </c>
      <c r="JP14" s="33" t="n">
        <v>0</v>
      </c>
      <c r="JQ14" s="33" t="n">
        <v>0</v>
      </c>
      <c r="JR14" s="33" t="n">
        <v>0</v>
      </c>
      <c r="JS14" s="33" t="n">
        <v>0</v>
      </c>
      <c r="JT14" s="33" t="n">
        <v>0</v>
      </c>
      <c r="JU14" s="33" t="n">
        <v>0</v>
      </c>
      <c r="JV14" s="33" t="n">
        <v>0</v>
      </c>
      <c r="JW14" s="33" t="n">
        <v>0</v>
      </c>
      <c r="JX14" s="33" t="n">
        <v>0</v>
      </c>
      <c r="JY14" s="33" t="n">
        <v>0</v>
      </c>
      <c r="JZ14" s="33" t="n">
        <v>0</v>
      </c>
      <c r="KA14" s="33" t="n">
        <v>0</v>
      </c>
      <c r="KB14" s="33" t="n">
        <v>0</v>
      </c>
      <c r="KC14" s="33" t="n">
        <v>0</v>
      </c>
      <c r="KD14" s="33" t="n">
        <v>0</v>
      </c>
      <c r="KE14" s="33" t="n">
        <v>0</v>
      </c>
      <c r="KF14" s="33" t="n">
        <v>0</v>
      </c>
      <c r="KG14" s="33" t="n">
        <v>0</v>
      </c>
      <c r="KH14" s="33" t="n">
        <v>0</v>
      </c>
      <c r="KI14" s="33" t="n">
        <v>0</v>
      </c>
      <c r="KJ14" s="33" t="n">
        <v>0</v>
      </c>
      <c r="KK14" s="33" t="n">
        <v>0</v>
      </c>
      <c r="KL14" s="33" t="n">
        <v>0</v>
      </c>
      <c r="KM14" s="33" t="n">
        <v>0</v>
      </c>
      <c r="KN14" s="33" t="n">
        <v>0</v>
      </c>
      <c r="KO14" s="33" t="n">
        <v>0</v>
      </c>
      <c r="KP14" s="33" t="n">
        <v>0</v>
      </c>
      <c r="KQ14" s="33" t="n">
        <v>0</v>
      </c>
      <c r="KR14" s="33" t="n">
        <v>0</v>
      </c>
      <c r="KS14" s="33" t="n">
        <v>0</v>
      </c>
      <c r="KT14" s="33" t="n">
        <v>0</v>
      </c>
      <c r="KU14" s="33" t="n">
        <v>0</v>
      </c>
      <c r="KV14" s="33" t="n">
        <v>0</v>
      </c>
      <c r="KW14" s="33" t="n">
        <v>0</v>
      </c>
      <c r="KX14" s="33" t="n">
        <v>0</v>
      </c>
      <c r="KY14" s="33" t="n">
        <v>0</v>
      </c>
      <c r="KZ14" s="33" t="n">
        <v>0</v>
      </c>
      <c r="LA14" s="33" t="n">
        <v>0</v>
      </c>
      <c r="LB14" s="33" t="n">
        <v>0</v>
      </c>
      <c r="LC14" s="33" t="n">
        <v>0</v>
      </c>
      <c r="LD14" s="33" t="n">
        <v>0</v>
      </c>
      <c r="LE14" s="33" t="n">
        <v>0</v>
      </c>
      <c r="LF14" s="33" t="n">
        <v>0</v>
      </c>
      <c r="LG14" s="33" t="n">
        <v>0</v>
      </c>
      <c r="LH14" s="33" t="n">
        <v>0</v>
      </c>
      <c r="LI14" s="33" t="n">
        <v>0</v>
      </c>
      <c r="LJ14" s="33" t="n">
        <v>0</v>
      </c>
      <c r="LK14" s="33" t="n">
        <v>0</v>
      </c>
      <c r="LL14" s="33" t="n">
        <v>0</v>
      </c>
      <c r="LM14" s="33" t="n">
        <v>0</v>
      </c>
      <c r="LN14" s="33" t="n">
        <v>0</v>
      </c>
      <c r="LO14" s="33" t="n">
        <v>0</v>
      </c>
      <c r="LP14" s="33" t="n">
        <v>0</v>
      </c>
      <c r="LQ14" s="33" t="n">
        <v>0</v>
      </c>
      <c r="LR14" s="33" t="n">
        <v>0</v>
      </c>
      <c r="LS14" s="33" t="n">
        <v>0</v>
      </c>
      <c r="LT14" s="33" t="n">
        <v>0</v>
      </c>
      <c r="LU14" s="33" t="n">
        <v>0</v>
      </c>
      <c r="LV14" s="33" t="n">
        <v>0</v>
      </c>
      <c r="LW14" s="33" t="n">
        <v>0</v>
      </c>
      <c r="LX14" s="33" t="n">
        <v>0</v>
      </c>
      <c r="LY14" s="33" t="n">
        <v>0</v>
      </c>
      <c r="LZ14" s="33" t="n">
        <v>0</v>
      </c>
      <c r="MA14" s="33" t="n">
        <v>0</v>
      </c>
      <c r="MB14" s="33" t="n">
        <v>0</v>
      </c>
      <c r="MC14" s="33" t="n">
        <v>0</v>
      </c>
      <c r="MD14" s="33" t="n">
        <v>0</v>
      </c>
      <c r="ME14" s="33" t="n">
        <v>0</v>
      </c>
      <c r="MF14" s="33" t="n">
        <v>0</v>
      </c>
      <c r="MG14" s="33" t="n">
        <v>0</v>
      </c>
      <c r="MH14" s="33" t="n">
        <v>0</v>
      </c>
      <c r="MI14" s="33" t="n">
        <v>0</v>
      </c>
      <c r="MJ14" s="33" t="n">
        <v>0</v>
      </c>
      <c r="MK14" s="33" t="n">
        <v>0</v>
      </c>
      <c r="ML14" s="33" t="n">
        <v>0</v>
      </c>
      <c r="MM14" s="33" t="n">
        <v>0</v>
      </c>
      <c r="MN14" s="33" t="n">
        <v>0</v>
      </c>
      <c r="MO14" s="33" t="n">
        <v>0</v>
      </c>
      <c r="MP14" s="33" t="n">
        <v>0</v>
      </c>
      <c r="MQ14" s="33" t="n">
        <v>0</v>
      </c>
      <c r="MR14" s="33" t="n">
        <v>0</v>
      </c>
      <c r="MS14" s="33" t="n">
        <v>0</v>
      </c>
      <c r="MT14" s="33" t="n">
        <v>0</v>
      </c>
      <c r="MU14" s="33" t="n">
        <v>0</v>
      </c>
      <c r="MV14" s="33" t="n">
        <v>0</v>
      </c>
      <c r="MW14" s="33" t="n">
        <v>0</v>
      </c>
      <c r="MX14" s="33" t="n">
        <v>0</v>
      </c>
      <c r="MY14" s="33" t="n">
        <v>0</v>
      </c>
      <c r="MZ14" s="33" t="n">
        <v>0</v>
      </c>
      <c r="NA14" s="33" t="n">
        <v>0</v>
      </c>
      <c r="NB14" s="33" t="n">
        <v>0</v>
      </c>
      <c r="NC14" s="33" t="n">
        <v>0</v>
      </c>
      <c r="ND14" s="33" t="n">
        <v>0</v>
      </c>
      <c r="NE14" s="33" t="n">
        <v>0</v>
      </c>
      <c r="NF14" s="33" t="n">
        <v>0</v>
      </c>
      <c r="NG14" s="33" t="n">
        <v>0</v>
      </c>
      <c r="NH14" s="33" t="n">
        <v>0</v>
      </c>
      <c r="NI14" s="33" t="n">
        <v>0</v>
      </c>
      <c r="NJ14" s="33" t="n">
        <v>0</v>
      </c>
      <c r="NK14" s="33" t="n">
        <v>0</v>
      </c>
      <c r="NL14" s="33" t="n">
        <v>0</v>
      </c>
      <c r="NM14" s="33" t="n">
        <v>0</v>
      </c>
      <c r="NN14" s="33" t="n">
        <v>0</v>
      </c>
      <c r="NO14" s="33" t="n">
        <v>0</v>
      </c>
      <c r="NP14" s="33" t="n">
        <v>0</v>
      </c>
      <c r="NQ14" s="33" t="n">
        <v>0</v>
      </c>
      <c r="NR14" s="33" t="n">
        <v>0</v>
      </c>
      <c r="NS14" s="33" t="n">
        <v>0</v>
      </c>
      <c r="NT14" s="33" t="n">
        <v>0</v>
      </c>
      <c r="NU14" s="33" t="n">
        <v>0</v>
      </c>
      <c r="NV14" s="33" t="n">
        <v>0</v>
      </c>
      <c r="NW14" s="33" t="n">
        <v>0</v>
      </c>
      <c r="NX14" s="33" t="n">
        <v>0</v>
      </c>
      <c r="NY14" s="33" t="n">
        <v>0</v>
      </c>
      <c r="NZ14" s="33" t="n">
        <v>0</v>
      </c>
      <c r="OA14" s="33" t="n">
        <v>0</v>
      </c>
      <c r="OB14" s="33" t="n">
        <v>0</v>
      </c>
      <c r="OC14" s="33" t="n">
        <v>0</v>
      </c>
      <c r="OD14" s="33" t="n">
        <v>0</v>
      </c>
      <c r="OE14" s="33" t="n">
        <v>0</v>
      </c>
      <c r="OF14" s="33" t="n">
        <v>0</v>
      </c>
      <c r="OG14" s="33" t="n">
        <v>0</v>
      </c>
      <c r="OH14" s="33" t="n">
        <v>0</v>
      </c>
      <c r="OI14" s="33" t="n">
        <v>0</v>
      </c>
      <c r="OJ14" s="33" t="n">
        <v>0</v>
      </c>
      <c r="OK14" s="33" t="n">
        <v>0</v>
      </c>
      <c r="OL14" s="33" t="n">
        <v>0</v>
      </c>
      <c r="OM14" s="33" t="n">
        <v>0</v>
      </c>
      <c r="ON14" s="33" t="n">
        <v>0</v>
      </c>
      <c r="OO14" s="33" t="n">
        <v>0</v>
      </c>
      <c r="OP14" s="33" t="n">
        <v>0</v>
      </c>
      <c r="OQ14" s="33" t="n">
        <v>0</v>
      </c>
      <c r="OR14" s="33" t="n">
        <v>0</v>
      </c>
      <c r="OS14" s="33" t="n">
        <v>0</v>
      </c>
      <c r="OT14" s="33" t="n">
        <v>0</v>
      </c>
      <c r="OU14" s="33" t="n">
        <v>0</v>
      </c>
      <c r="OV14" s="33" t="n">
        <v>0</v>
      </c>
      <c r="OW14" s="33" t="n">
        <v>0</v>
      </c>
      <c r="OX14" s="33" t="n">
        <v>0</v>
      </c>
      <c r="OY14" s="33" t="n">
        <v>0</v>
      </c>
      <c r="OZ14" s="33" t="n">
        <v>0</v>
      </c>
      <c r="PA14" s="33" t="n">
        <v>0</v>
      </c>
      <c r="PB14" s="33" t="n">
        <v>0</v>
      </c>
      <c r="PC14" s="33" t="n">
        <v>0</v>
      </c>
      <c r="PD14" s="33" t="n">
        <v>0</v>
      </c>
      <c r="PE14" s="33" t="n">
        <v>0</v>
      </c>
      <c r="PF14" s="33" t="n">
        <v>0</v>
      </c>
      <c r="PG14" s="33" t="n">
        <v>0</v>
      </c>
      <c r="PH14" s="33" t="n">
        <v>0</v>
      </c>
      <c r="PI14" s="33" t="n">
        <v>0</v>
      </c>
      <c r="PJ14" s="33" t="n">
        <v>0</v>
      </c>
      <c r="PK14" s="33" t="n">
        <v>0</v>
      </c>
      <c r="PL14" s="33" t="n">
        <v>0</v>
      </c>
      <c r="PM14" s="33" t="n">
        <v>0</v>
      </c>
      <c r="PN14" s="33" t="n">
        <v>0</v>
      </c>
      <c r="PO14" s="33" t="n">
        <v>0</v>
      </c>
      <c r="PP14" s="33" t="n">
        <v>0</v>
      </c>
      <c r="PQ14" s="33" t="n">
        <v>0</v>
      </c>
      <c r="PR14" s="33" t="n">
        <v>0</v>
      </c>
      <c r="PS14" s="33" t="n">
        <v>0</v>
      </c>
      <c r="PT14" s="33" t="n">
        <v>0</v>
      </c>
      <c r="PU14" s="33" t="n">
        <v>0</v>
      </c>
      <c r="PV14" s="33" t="n">
        <v>0</v>
      </c>
      <c r="PW14" s="33" t="n">
        <v>0</v>
      </c>
      <c r="PX14" s="33" t="n">
        <v>0</v>
      </c>
      <c r="PY14" s="33" t="n">
        <v>0</v>
      </c>
      <c r="PZ14" s="33" t="n">
        <v>0</v>
      </c>
      <c r="QA14" s="33" t="n">
        <v>0</v>
      </c>
      <c r="QB14" s="33" t="n">
        <v>0</v>
      </c>
      <c r="QC14" s="33" t="n">
        <v>0</v>
      </c>
      <c r="QD14" s="33" t="n">
        <v>0</v>
      </c>
      <c r="QE14" s="33" t="n">
        <v>0</v>
      </c>
      <c r="QF14" s="33" t="n">
        <v>0</v>
      </c>
      <c r="QG14" s="33" t="n">
        <v>0</v>
      </c>
      <c r="QH14" s="33" t="n">
        <v>0</v>
      </c>
      <c r="QI14" s="33" t="n">
        <v>0</v>
      </c>
      <c r="QJ14" s="33" t="n">
        <v>0</v>
      </c>
      <c r="QK14" s="33" t="n">
        <v>0</v>
      </c>
      <c r="QL14" s="33" t="n">
        <v>0</v>
      </c>
      <c r="QM14" s="33" t="n">
        <v>0</v>
      </c>
      <c r="QN14" s="33" t="n">
        <v>0</v>
      </c>
      <c r="QO14" s="33" t="n">
        <v>0</v>
      </c>
      <c r="QP14" s="33" t="n">
        <v>0</v>
      </c>
      <c r="QQ14" s="33" t="n">
        <v>0</v>
      </c>
      <c r="QR14" s="33" t="n">
        <v>0</v>
      </c>
      <c r="QS14" s="33" t="n">
        <v>0</v>
      </c>
      <c r="QT14" s="33" t="n">
        <v>0</v>
      </c>
      <c r="QU14" s="33" t="n">
        <v>0</v>
      </c>
      <c r="QV14" s="33" t="n">
        <v>0</v>
      </c>
      <c r="QW14" s="33" t="n">
        <v>0</v>
      </c>
      <c r="QX14" s="33" t="n">
        <v>0</v>
      </c>
      <c r="QY14" s="33" t="n">
        <v>0</v>
      </c>
      <c r="QZ14" s="33" t="n">
        <v>0</v>
      </c>
      <c r="RA14" s="33" t="n">
        <v>0</v>
      </c>
      <c r="RB14" s="33" t="n">
        <v>0</v>
      </c>
      <c r="RC14" s="33" t="n">
        <v>0</v>
      </c>
      <c r="RD14" s="33" t="n">
        <v>0</v>
      </c>
      <c r="RE14" s="33" t="n">
        <v>0</v>
      </c>
      <c r="RF14" s="33" t="n">
        <v>0</v>
      </c>
      <c r="RG14" s="33" t="n">
        <v>0</v>
      </c>
      <c r="RH14" s="33" t="n">
        <v>0</v>
      </c>
      <c r="RI14" s="33" t="n">
        <v>0</v>
      </c>
      <c r="RJ14" s="33" t="n">
        <v>0</v>
      </c>
      <c r="RK14" s="33" t="n">
        <v>0</v>
      </c>
      <c r="RL14" s="33" t="n">
        <v>0</v>
      </c>
      <c r="RM14" s="33" t="n">
        <v>0</v>
      </c>
      <c r="RN14" s="33" t="n">
        <v>0</v>
      </c>
      <c r="RO14" s="33" t="n">
        <v>0</v>
      </c>
      <c r="RP14" s="33" t="n">
        <v>0</v>
      </c>
      <c r="RQ14" s="33" t="n">
        <v>0</v>
      </c>
      <c r="RR14" s="33" t="n">
        <v>0</v>
      </c>
      <c r="RS14" s="33" t="n">
        <v>0</v>
      </c>
      <c r="RT14" s="33" t="n">
        <v>0</v>
      </c>
      <c r="RU14" s="33" t="n">
        <v>0</v>
      </c>
      <c r="RV14" s="33" t="n">
        <v>0</v>
      </c>
      <c r="RW14" s="33" t="n">
        <v>0</v>
      </c>
    </row>
    <row r="15" hidden="1" outlineLevel="1" ht="13.05" customHeight="1">
      <c r="E15" s="21" t="inlineStr">
        <is>
          <t>Self-Consumption</t>
        </is>
      </c>
      <c r="F15" s="29" t="n"/>
      <c r="G15" s="29" t="inlineStr">
        <is>
          <t>kEUR</t>
        </is>
      </c>
      <c r="H15" s="29" t="n"/>
      <c r="I15" s="29" t="n"/>
      <c r="J15" s="32" t="n">
        <v>0</v>
      </c>
      <c r="K15" s="29" t="n"/>
      <c r="L15" s="33" t="n">
        <v>0</v>
      </c>
      <c r="M15" s="33" t="n">
        <v>0</v>
      </c>
      <c r="N15" s="33" t="n">
        <v>0</v>
      </c>
      <c r="O15" s="33" t="n">
        <v>0</v>
      </c>
      <c r="P15" s="33" t="n">
        <v>0</v>
      </c>
      <c r="Q15" s="33" t="n">
        <v>0</v>
      </c>
      <c r="R15" s="33" t="n">
        <v>0</v>
      </c>
      <c r="S15" s="33" t="n">
        <v>0</v>
      </c>
      <c r="T15" s="33" t="n">
        <v>0</v>
      </c>
      <c r="U15" s="33" t="n">
        <v>0</v>
      </c>
      <c r="V15" s="33" t="n">
        <v>0</v>
      </c>
      <c r="W15" s="33" t="n">
        <v>0</v>
      </c>
      <c r="X15" s="33" t="n">
        <v>0</v>
      </c>
      <c r="Y15" s="33" t="n">
        <v>0</v>
      </c>
      <c r="Z15" s="33" t="n">
        <v>0</v>
      </c>
      <c r="AA15" s="33" t="n">
        <v>0</v>
      </c>
      <c r="AB15" s="33" t="n">
        <v>0</v>
      </c>
      <c r="AC15" s="33" t="n">
        <v>0</v>
      </c>
      <c r="AD15" s="33" t="n">
        <v>0</v>
      </c>
      <c r="AE15" s="33" t="n">
        <v>0</v>
      </c>
      <c r="AF15" s="33" t="n">
        <v>0</v>
      </c>
      <c r="AG15" s="33" t="n">
        <v>0</v>
      </c>
      <c r="AH15" s="33" t="n">
        <v>0</v>
      </c>
      <c r="AI15" s="33" t="n">
        <v>0</v>
      </c>
      <c r="AJ15" s="33" t="n">
        <v>0</v>
      </c>
      <c r="AK15" s="33" t="n">
        <v>0</v>
      </c>
      <c r="AL15" s="33" t="n">
        <v>0</v>
      </c>
      <c r="AM15" s="33" t="n">
        <v>0</v>
      </c>
      <c r="AN15" s="33" t="n">
        <v>0</v>
      </c>
      <c r="AO15" s="33" t="n">
        <v>0</v>
      </c>
      <c r="AP15" s="33" t="n">
        <v>0</v>
      </c>
      <c r="AQ15" s="33" t="n">
        <v>0</v>
      </c>
      <c r="AR15" s="33" t="n">
        <v>0</v>
      </c>
      <c r="AS15" s="33" t="n">
        <v>0</v>
      </c>
      <c r="AT15" s="33" t="n">
        <v>0</v>
      </c>
      <c r="AU15" s="33" t="n">
        <v>0</v>
      </c>
      <c r="AV15" s="33" t="n">
        <v>0</v>
      </c>
      <c r="AW15" s="33" t="n">
        <v>0</v>
      </c>
      <c r="AX15" s="33" t="n">
        <v>0</v>
      </c>
      <c r="AY15" s="33" t="n">
        <v>0</v>
      </c>
      <c r="AZ15" s="33" t="n">
        <v>0</v>
      </c>
      <c r="BA15" s="33" t="n">
        <v>0</v>
      </c>
      <c r="BB15" s="33" t="n">
        <v>0</v>
      </c>
      <c r="BC15" s="33" t="n">
        <v>0</v>
      </c>
      <c r="BD15" s="33" t="n">
        <v>0</v>
      </c>
      <c r="BE15" s="33" t="n">
        <v>0</v>
      </c>
      <c r="BF15" s="33" t="n">
        <v>0</v>
      </c>
      <c r="BG15" s="33" t="n">
        <v>0</v>
      </c>
      <c r="BH15" s="33" t="n">
        <v>0</v>
      </c>
      <c r="BI15" s="33" t="n">
        <v>0</v>
      </c>
      <c r="BJ15" s="33" t="n">
        <v>0</v>
      </c>
      <c r="BK15" s="33" t="n">
        <v>0</v>
      </c>
      <c r="BL15" s="33" t="n">
        <v>0</v>
      </c>
      <c r="BM15" s="33" t="n">
        <v>0</v>
      </c>
      <c r="BN15" s="33" t="n">
        <v>0</v>
      </c>
      <c r="BO15" s="33" t="n">
        <v>0</v>
      </c>
      <c r="BP15" s="33" t="n">
        <v>0</v>
      </c>
      <c r="BQ15" s="33" t="n">
        <v>0</v>
      </c>
      <c r="BR15" s="33" t="n">
        <v>0</v>
      </c>
      <c r="BS15" s="33" t="n">
        <v>0</v>
      </c>
      <c r="BT15" s="33" t="n">
        <v>0</v>
      </c>
      <c r="BU15" s="33" t="n">
        <v>0</v>
      </c>
      <c r="BV15" s="33" t="n">
        <v>0</v>
      </c>
      <c r="BW15" s="33" t="n">
        <v>0</v>
      </c>
      <c r="BX15" s="33" t="n">
        <v>0</v>
      </c>
      <c r="BY15" s="33" t="n">
        <v>0</v>
      </c>
      <c r="BZ15" s="33" t="n">
        <v>0</v>
      </c>
      <c r="CA15" s="33" t="n">
        <v>0</v>
      </c>
      <c r="CB15" s="33" t="n">
        <v>0</v>
      </c>
      <c r="CC15" s="33" t="n">
        <v>0</v>
      </c>
      <c r="CD15" s="33" t="n">
        <v>0</v>
      </c>
      <c r="CE15" s="33" t="n">
        <v>0</v>
      </c>
      <c r="CF15" s="33" t="n">
        <v>0</v>
      </c>
      <c r="CG15" s="33" t="n">
        <v>0</v>
      </c>
      <c r="CH15" s="33" t="n">
        <v>0</v>
      </c>
      <c r="CI15" s="33" t="n">
        <v>0</v>
      </c>
      <c r="CJ15" s="33" t="n">
        <v>0</v>
      </c>
      <c r="CK15" s="33" t="n">
        <v>0</v>
      </c>
      <c r="CL15" s="33" t="n">
        <v>0</v>
      </c>
      <c r="CM15" s="33" t="n">
        <v>0</v>
      </c>
      <c r="CN15" s="33" t="n">
        <v>0</v>
      </c>
      <c r="CO15" s="33" t="n">
        <v>0</v>
      </c>
      <c r="CP15" s="33" t="n">
        <v>0</v>
      </c>
      <c r="CQ15" s="33" t="n">
        <v>0</v>
      </c>
      <c r="CR15" s="33" t="n">
        <v>0</v>
      </c>
      <c r="CS15" s="33" t="n">
        <v>0</v>
      </c>
      <c r="CT15" s="33" t="n">
        <v>0</v>
      </c>
      <c r="CU15" s="33" t="n">
        <v>0</v>
      </c>
      <c r="CV15" s="33" t="n">
        <v>0</v>
      </c>
      <c r="CW15" s="33" t="n">
        <v>0</v>
      </c>
      <c r="CX15" s="33" t="n">
        <v>0</v>
      </c>
      <c r="CY15" s="33" t="n">
        <v>0</v>
      </c>
      <c r="CZ15" s="33" t="n">
        <v>0</v>
      </c>
      <c r="DA15" s="33" t="n">
        <v>0</v>
      </c>
      <c r="DB15" s="33" t="n">
        <v>0</v>
      </c>
      <c r="DC15" s="33" t="n">
        <v>0</v>
      </c>
      <c r="DD15" s="33" t="n">
        <v>0</v>
      </c>
      <c r="DE15" s="33" t="n">
        <v>0</v>
      </c>
      <c r="DF15" s="33" t="n">
        <v>0</v>
      </c>
      <c r="DG15" s="33" t="n">
        <v>0</v>
      </c>
      <c r="DH15" s="33" t="n">
        <v>0</v>
      </c>
      <c r="DI15" s="33" t="n">
        <v>0</v>
      </c>
      <c r="DJ15" s="33" t="n">
        <v>0</v>
      </c>
      <c r="DK15" s="33" t="n">
        <v>0</v>
      </c>
      <c r="DL15" s="33" t="n">
        <v>0</v>
      </c>
      <c r="DM15" s="33" t="n">
        <v>0</v>
      </c>
      <c r="DN15" s="33" t="n">
        <v>0</v>
      </c>
      <c r="DO15" s="33" t="n">
        <v>0</v>
      </c>
      <c r="DP15" s="33" t="n">
        <v>0</v>
      </c>
      <c r="DQ15" s="33" t="n">
        <v>0</v>
      </c>
      <c r="DR15" s="33" t="n">
        <v>0</v>
      </c>
      <c r="DS15" s="33" t="n">
        <v>0</v>
      </c>
      <c r="DT15" s="33" t="n">
        <v>0</v>
      </c>
      <c r="DU15" s="33" t="n">
        <v>0</v>
      </c>
      <c r="DV15" s="33" t="n">
        <v>0</v>
      </c>
      <c r="DW15" s="33" t="n">
        <v>0</v>
      </c>
      <c r="DX15" s="33" t="n">
        <v>0</v>
      </c>
      <c r="DY15" s="33" t="n">
        <v>0</v>
      </c>
      <c r="DZ15" s="33" t="n">
        <v>0</v>
      </c>
      <c r="EA15" s="33" t="n">
        <v>0</v>
      </c>
      <c r="EB15" s="33" t="n">
        <v>0</v>
      </c>
      <c r="EC15" s="33" t="n">
        <v>0</v>
      </c>
      <c r="ED15" s="33" t="n">
        <v>0</v>
      </c>
      <c r="EE15" s="33" t="n">
        <v>0</v>
      </c>
      <c r="EF15" s="33" t="n">
        <v>0</v>
      </c>
      <c r="EG15" s="33" t="n">
        <v>0</v>
      </c>
      <c r="EH15" s="33" t="n">
        <v>0</v>
      </c>
      <c r="EI15" s="33" t="n">
        <v>0</v>
      </c>
      <c r="EJ15" s="33" t="n">
        <v>0</v>
      </c>
      <c r="EK15" s="33" t="n">
        <v>0</v>
      </c>
      <c r="EL15" s="33" t="n">
        <v>0</v>
      </c>
      <c r="EM15" s="33" t="n">
        <v>0</v>
      </c>
      <c r="EN15" s="33" t="n">
        <v>0</v>
      </c>
      <c r="EO15" s="33" t="n">
        <v>0</v>
      </c>
      <c r="EP15" s="33" t="n">
        <v>0</v>
      </c>
      <c r="EQ15" s="33" t="n">
        <v>0</v>
      </c>
      <c r="ER15" s="33" t="n">
        <v>0</v>
      </c>
      <c r="ES15" s="33" t="n">
        <v>0</v>
      </c>
      <c r="ET15" s="33" t="n">
        <v>0</v>
      </c>
      <c r="EU15" s="33" t="n">
        <v>0</v>
      </c>
      <c r="EV15" s="33" t="n">
        <v>0</v>
      </c>
      <c r="EW15" s="33" t="n">
        <v>0</v>
      </c>
      <c r="EX15" s="33" t="n">
        <v>0</v>
      </c>
      <c r="EY15" s="33" t="n">
        <v>0</v>
      </c>
      <c r="EZ15" s="33" t="n">
        <v>0</v>
      </c>
      <c r="FA15" s="33" t="n">
        <v>0</v>
      </c>
      <c r="FB15" s="33" t="n">
        <v>0</v>
      </c>
      <c r="FC15" s="33" t="n">
        <v>0</v>
      </c>
      <c r="FD15" s="33" t="n">
        <v>0</v>
      </c>
      <c r="FE15" s="33" t="n">
        <v>0</v>
      </c>
      <c r="FF15" s="33" t="n">
        <v>0</v>
      </c>
      <c r="FG15" s="33" t="n">
        <v>0</v>
      </c>
      <c r="FH15" s="33" t="n">
        <v>0</v>
      </c>
      <c r="FI15" s="33" t="n">
        <v>0</v>
      </c>
      <c r="FJ15" s="33" t="n">
        <v>0</v>
      </c>
      <c r="FK15" s="33" t="n">
        <v>0</v>
      </c>
      <c r="FL15" s="33" t="n">
        <v>0</v>
      </c>
      <c r="FM15" s="33" t="n">
        <v>0</v>
      </c>
      <c r="FN15" s="33" t="n">
        <v>0</v>
      </c>
      <c r="FO15" s="33" t="n">
        <v>0</v>
      </c>
      <c r="FP15" s="33" t="n">
        <v>0</v>
      </c>
      <c r="FQ15" s="33" t="n">
        <v>0</v>
      </c>
      <c r="FR15" s="33" t="n">
        <v>0</v>
      </c>
      <c r="FS15" s="33" t="n">
        <v>0</v>
      </c>
      <c r="FT15" s="33" t="n">
        <v>0</v>
      </c>
      <c r="FU15" s="33" t="n">
        <v>0</v>
      </c>
      <c r="FV15" s="33" t="n">
        <v>0</v>
      </c>
      <c r="FW15" s="33" t="n">
        <v>0</v>
      </c>
      <c r="FX15" s="33" t="n">
        <v>0</v>
      </c>
      <c r="FY15" s="33" t="n">
        <v>0</v>
      </c>
      <c r="FZ15" s="33" t="n">
        <v>0</v>
      </c>
      <c r="GA15" s="33" t="n">
        <v>0</v>
      </c>
      <c r="GB15" s="33" t="n">
        <v>0</v>
      </c>
      <c r="GC15" s="33" t="n">
        <v>0</v>
      </c>
      <c r="GD15" s="33" t="n">
        <v>0</v>
      </c>
      <c r="GE15" s="33" t="n">
        <v>0</v>
      </c>
      <c r="GF15" s="33" t="n">
        <v>0</v>
      </c>
      <c r="GG15" s="33" t="n">
        <v>0</v>
      </c>
      <c r="GH15" s="33" t="n">
        <v>0</v>
      </c>
      <c r="GI15" s="33" t="n">
        <v>0</v>
      </c>
      <c r="GJ15" s="33" t="n">
        <v>0</v>
      </c>
      <c r="GK15" s="33" t="n">
        <v>0</v>
      </c>
      <c r="GL15" s="33" t="n">
        <v>0</v>
      </c>
      <c r="GM15" s="33" t="n">
        <v>0</v>
      </c>
      <c r="GN15" s="33" t="n">
        <v>0</v>
      </c>
      <c r="GO15" s="33" t="n">
        <v>0</v>
      </c>
      <c r="GP15" s="33" t="n">
        <v>0</v>
      </c>
      <c r="GQ15" s="33" t="n">
        <v>0</v>
      </c>
      <c r="GR15" s="33" t="n">
        <v>0</v>
      </c>
      <c r="GS15" s="33" t="n">
        <v>0</v>
      </c>
      <c r="GT15" s="33" t="n">
        <v>0</v>
      </c>
      <c r="GU15" s="33" t="n">
        <v>0</v>
      </c>
      <c r="GV15" s="33" t="n">
        <v>0</v>
      </c>
      <c r="GW15" s="33" t="n">
        <v>0</v>
      </c>
      <c r="GX15" s="33" t="n">
        <v>0</v>
      </c>
      <c r="GY15" s="33" t="n">
        <v>0</v>
      </c>
      <c r="GZ15" s="33" t="n">
        <v>0</v>
      </c>
      <c r="HA15" s="33" t="n">
        <v>0</v>
      </c>
      <c r="HB15" s="33" t="n">
        <v>0</v>
      </c>
      <c r="HC15" s="33" t="n">
        <v>0</v>
      </c>
      <c r="HD15" s="33" t="n">
        <v>0</v>
      </c>
      <c r="HE15" s="33" t="n">
        <v>0</v>
      </c>
      <c r="HF15" s="33" t="n">
        <v>0</v>
      </c>
      <c r="HG15" s="33" t="n">
        <v>0</v>
      </c>
      <c r="HH15" s="33" t="n">
        <v>0</v>
      </c>
      <c r="HI15" s="33" t="n">
        <v>0</v>
      </c>
      <c r="HJ15" s="33" t="n">
        <v>0</v>
      </c>
      <c r="HK15" s="33" t="n">
        <v>0</v>
      </c>
      <c r="HL15" s="33" t="n">
        <v>0</v>
      </c>
      <c r="HM15" s="33" t="n">
        <v>0</v>
      </c>
      <c r="HN15" s="33" t="n">
        <v>0</v>
      </c>
      <c r="HO15" s="33" t="n">
        <v>0</v>
      </c>
      <c r="HP15" s="33" t="n">
        <v>0</v>
      </c>
      <c r="HQ15" s="33" t="n">
        <v>0</v>
      </c>
      <c r="HR15" s="33" t="n">
        <v>0</v>
      </c>
      <c r="HS15" s="33" t="n">
        <v>0</v>
      </c>
      <c r="HT15" s="33" t="n">
        <v>0</v>
      </c>
      <c r="HU15" s="33" t="n">
        <v>0</v>
      </c>
      <c r="HV15" s="33" t="n">
        <v>0</v>
      </c>
      <c r="HW15" s="33" t="n">
        <v>0</v>
      </c>
      <c r="HX15" s="33" t="n">
        <v>0</v>
      </c>
      <c r="HY15" s="33" t="n">
        <v>0</v>
      </c>
      <c r="HZ15" s="33" t="n">
        <v>0</v>
      </c>
      <c r="IA15" s="33" t="n">
        <v>0</v>
      </c>
      <c r="IB15" s="33" t="n">
        <v>0</v>
      </c>
      <c r="IC15" s="33" t="n">
        <v>0</v>
      </c>
      <c r="ID15" s="33" t="n">
        <v>0</v>
      </c>
      <c r="IE15" s="33" t="n">
        <v>0</v>
      </c>
      <c r="IF15" s="33" t="n">
        <v>0</v>
      </c>
      <c r="IG15" s="33" t="n">
        <v>0</v>
      </c>
      <c r="IH15" s="33" t="n">
        <v>0</v>
      </c>
      <c r="II15" s="33" t="n">
        <v>0</v>
      </c>
      <c r="IJ15" s="33" t="n">
        <v>0</v>
      </c>
      <c r="IK15" s="33" t="n">
        <v>0</v>
      </c>
      <c r="IL15" s="33" t="n">
        <v>0</v>
      </c>
      <c r="IM15" s="33" t="n">
        <v>0</v>
      </c>
      <c r="IN15" s="33" t="n">
        <v>0</v>
      </c>
      <c r="IO15" s="33" t="n">
        <v>0</v>
      </c>
      <c r="IP15" s="33" t="n">
        <v>0</v>
      </c>
      <c r="IQ15" s="33" t="n">
        <v>0</v>
      </c>
      <c r="IR15" s="33" t="n">
        <v>0</v>
      </c>
      <c r="IS15" s="33" t="n">
        <v>0</v>
      </c>
      <c r="IT15" s="33" t="n">
        <v>0</v>
      </c>
      <c r="IU15" s="33" t="n">
        <v>0</v>
      </c>
      <c r="IV15" s="33" t="n">
        <v>0</v>
      </c>
      <c r="IW15" s="33" t="n">
        <v>0</v>
      </c>
      <c r="IX15" s="33" t="n">
        <v>0</v>
      </c>
      <c r="IY15" s="33" t="n">
        <v>0</v>
      </c>
      <c r="IZ15" s="33" t="n">
        <v>0</v>
      </c>
      <c r="JA15" s="33" t="n">
        <v>0</v>
      </c>
      <c r="JB15" s="33" t="n">
        <v>0</v>
      </c>
      <c r="JC15" s="33" t="n">
        <v>0</v>
      </c>
      <c r="JD15" s="33" t="n">
        <v>0</v>
      </c>
      <c r="JE15" s="33" t="n">
        <v>0</v>
      </c>
      <c r="JF15" s="33" t="n">
        <v>0</v>
      </c>
      <c r="JG15" s="33" t="n">
        <v>0</v>
      </c>
      <c r="JH15" s="33" t="n">
        <v>0</v>
      </c>
      <c r="JI15" s="33" t="n">
        <v>0</v>
      </c>
      <c r="JJ15" s="33" t="n">
        <v>0</v>
      </c>
      <c r="JK15" s="33" t="n">
        <v>0</v>
      </c>
      <c r="JL15" s="33" t="n">
        <v>0</v>
      </c>
      <c r="JM15" s="33" t="n">
        <v>0</v>
      </c>
      <c r="JN15" s="33" t="n">
        <v>0</v>
      </c>
      <c r="JO15" s="33" t="n">
        <v>0</v>
      </c>
      <c r="JP15" s="33" t="n">
        <v>0</v>
      </c>
      <c r="JQ15" s="33" t="n">
        <v>0</v>
      </c>
      <c r="JR15" s="33" t="n">
        <v>0</v>
      </c>
      <c r="JS15" s="33" t="n">
        <v>0</v>
      </c>
      <c r="JT15" s="33" t="n">
        <v>0</v>
      </c>
      <c r="JU15" s="33" t="n">
        <v>0</v>
      </c>
      <c r="JV15" s="33" t="n">
        <v>0</v>
      </c>
      <c r="JW15" s="33" t="n">
        <v>0</v>
      </c>
      <c r="JX15" s="33" t="n">
        <v>0</v>
      </c>
      <c r="JY15" s="33" t="n">
        <v>0</v>
      </c>
      <c r="JZ15" s="33" t="n">
        <v>0</v>
      </c>
      <c r="KA15" s="33" t="n">
        <v>0</v>
      </c>
      <c r="KB15" s="33" t="n">
        <v>0</v>
      </c>
      <c r="KC15" s="33" t="n">
        <v>0</v>
      </c>
      <c r="KD15" s="33" t="n">
        <v>0</v>
      </c>
      <c r="KE15" s="33" t="n">
        <v>0</v>
      </c>
      <c r="KF15" s="33" t="n">
        <v>0</v>
      </c>
      <c r="KG15" s="33" t="n">
        <v>0</v>
      </c>
      <c r="KH15" s="33" t="n">
        <v>0</v>
      </c>
      <c r="KI15" s="33" t="n">
        <v>0</v>
      </c>
      <c r="KJ15" s="33" t="n">
        <v>0</v>
      </c>
      <c r="KK15" s="33" t="n">
        <v>0</v>
      </c>
      <c r="KL15" s="33" t="n">
        <v>0</v>
      </c>
      <c r="KM15" s="33" t="n">
        <v>0</v>
      </c>
      <c r="KN15" s="33" t="n">
        <v>0</v>
      </c>
      <c r="KO15" s="33" t="n">
        <v>0</v>
      </c>
      <c r="KP15" s="33" t="n">
        <v>0</v>
      </c>
      <c r="KQ15" s="33" t="n">
        <v>0</v>
      </c>
      <c r="KR15" s="33" t="n">
        <v>0</v>
      </c>
      <c r="KS15" s="33" t="n">
        <v>0</v>
      </c>
      <c r="KT15" s="33" t="n">
        <v>0</v>
      </c>
      <c r="KU15" s="33" t="n">
        <v>0</v>
      </c>
      <c r="KV15" s="33" t="n">
        <v>0</v>
      </c>
      <c r="KW15" s="33" t="n">
        <v>0</v>
      </c>
      <c r="KX15" s="33" t="n">
        <v>0</v>
      </c>
      <c r="KY15" s="33" t="n">
        <v>0</v>
      </c>
      <c r="KZ15" s="33" t="n">
        <v>0</v>
      </c>
      <c r="LA15" s="33" t="n">
        <v>0</v>
      </c>
      <c r="LB15" s="33" t="n">
        <v>0</v>
      </c>
      <c r="LC15" s="33" t="n">
        <v>0</v>
      </c>
      <c r="LD15" s="33" t="n">
        <v>0</v>
      </c>
      <c r="LE15" s="33" t="n">
        <v>0</v>
      </c>
      <c r="LF15" s="33" t="n">
        <v>0</v>
      </c>
      <c r="LG15" s="33" t="n">
        <v>0</v>
      </c>
      <c r="LH15" s="33" t="n">
        <v>0</v>
      </c>
      <c r="LI15" s="33" t="n">
        <v>0</v>
      </c>
      <c r="LJ15" s="33" t="n">
        <v>0</v>
      </c>
      <c r="LK15" s="33" t="n">
        <v>0</v>
      </c>
      <c r="LL15" s="33" t="n">
        <v>0</v>
      </c>
      <c r="LM15" s="33" t="n">
        <v>0</v>
      </c>
      <c r="LN15" s="33" t="n">
        <v>0</v>
      </c>
      <c r="LO15" s="33" t="n">
        <v>0</v>
      </c>
      <c r="LP15" s="33" t="n">
        <v>0</v>
      </c>
      <c r="LQ15" s="33" t="n">
        <v>0</v>
      </c>
      <c r="LR15" s="33" t="n">
        <v>0</v>
      </c>
      <c r="LS15" s="33" t="n">
        <v>0</v>
      </c>
      <c r="LT15" s="33" t="n">
        <v>0</v>
      </c>
      <c r="LU15" s="33" t="n">
        <v>0</v>
      </c>
      <c r="LV15" s="33" t="n">
        <v>0</v>
      </c>
      <c r="LW15" s="33" t="n">
        <v>0</v>
      </c>
      <c r="LX15" s="33" t="n">
        <v>0</v>
      </c>
      <c r="LY15" s="33" t="n">
        <v>0</v>
      </c>
      <c r="LZ15" s="33" t="n">
        <v>0</v>
      </c>
      <c r="MA15" s="33" t="n">
        <v>0</v>
      </c>
      <c r="MB15" s="33" t="n">
        <v>0</v>
      </c>
      <c r="MC15" s="33" t="n">
        <v>0</v>
      </c>
      <c r="MD15" s="33" t="n">
        <v>0</v>
      </c>
      <c r="ME15" s="33" t="n">
        <v>0</v>
      </c>
      <c r="MF15" s="33" t="n">
        <v>0</v>
      </c>
      <c r="MG15" s="33" t="n">
        <v>0</v>
      </c>
      <c r="MH15" s="33" t="n">
        <v>0</v>
      </c>
      <c r="MI15" s="33" t="n">
        <v>0</v>
      </c>
      <c r="MJ15" s="33" t="n">
        <v>0</v>
      </c>
      <c r="MK15" s="33" t="n">
        <v>0</v>
      </c>
      <c r="ML15" s="33" t="n">
        <v>0</v>
      </c>
      <c r="MM15" s="33" t="n">
        <v>0</v>
      </c>
      <c r="MN15" s="33" t="n">
        <v>0</v>
      </c>
      <c r="MO15" s="33" t="n">
        <v>0</v>
      </c>
      <c r="MP15" s="33" t="n">
        <v>0</v>
      </c>
      <c r="MQ15" s="33" t="n">
        <v>0</v>
      </c>
      <c r="MR15" s="33" t="n">
        <v>0</v>
      </c>
      <c r="MS15" s="33" t="n">
        <v>0</v>
      </c>
      <c r="MT15" s="33" t="n">
        <v>0</v>
      </c>
      <c r="MU15" s="33" t="n">
        <v>0</v>
      </c>
      <c r="MV15" s="33" t="n">
        <v>0</v>
      </c>
      <c r="MW15" s="33" t="n">
        <v>0</v>
      </c>
      <c r="MX15" s="33" t="n">
        <v>0</v>
      </c>
      <c r="MY15" s="33" t="n">
        <v>0</v>
      </c>
      <c r="MZ15" s="33" t="n">
        <v>0</v>
      </c>
      <c r="NA15" s="33" t="n">
        <v>0</v>
      </c>
      <c r="NB15" s="33" t="n">
        <v>0</v>
      </c>
      <c r="NC15" s="33" t="n">
        <v>0</v>
      </c>
      <c r="ND15" s="33" t="n">
        <v>0</v>
      </c>
      <c r="NE15" s="33" t="n">
        <v>0</v>
      </c>
      <c r="NF15" s="33" t="n">
        <v>0</v>
      </c>
      <c r="NG15" s="33" t="n">
        <v>0</v>
      </c>
      <c r="NH15" s="33" t="n">
        <v>0</v>
      </c>
      <c r="NI15" s="33" t="n">
        <v>0</v>
      </c>
      <c r="NJ15" s="33" t="n">
        <v>0</v>
      </c>
      <c r="NK15" s="33" t="n">
        <v>0</v>
      </c>
      <c r="NL15" s="33" t="n">
        <v>0</v>
      </c>
      <c r="NM15" s="33" t="n">
        <v>0</v>
      </c>
      <c r="NN15" s="33" t="n">
        <v>0</v>
      </c>
      <c r="NO15" s="33" t="n">
        <v>0</v>
      </c>
      <c r="NP15" s="33" t="n">
        <v>0</v>
      </c>
      <c r="NQ15" s="33" t="n">
        <v>0</v>
      </c>
      <c r="NR15" s="33" t="n">
        <v>0</v>
      </c>
      <c r="NS15" s="33" t="n">
        <v>0</v>
      </c>
      <c r="NT15" s="33" t="n">
        <v>0</v>
      </c>
      <c r="NU15" s="33" t="n">
        <v>0</v>
      </c>
      <c r="NV15" s="33" t="n">
        <v>0</v>
      </c>
      <c r="NW15" s="33" t="n">
        <v>0</v>
      </c>
      <c r="NX15" s="33" t="n">
        <v>0</v>
      </c>
      <c r="NY15" s="33" t="n">
        <v>0</v>
      </c>
      <c r="NZ15" s="33" t="n">
        <v>0</v>
      </c>
      <c r="OA15" s="33" t="n">
        <v>0</v>
      </c>
      <c r="OB15" s="33" t="n">
        <v>0</v>
      </c>
      <c r="OC15" s="33" t="n">
        <v>0</v>
      </c>
      <c r="OD15" s="33" t="n">
        <v>0</v>
      </c>
      <c r="OE15" s="33" t="n">
        <v>0</v>
      </c>
      <c r="OF15" s="33" t="n">
        <v>0</v>
      </c>
      <c r="OG15" s="33" t="n">
        <v>0</v>
      </c>
      <c r="OH15" s="33" t="n">
        <v>0</v>
      </c>
      <c r="OI15" s="33" t="n">
        <v>0</v>
      </c>
      <c r="OJ15" s="33" t="n">
        <v>0</v>
      </c>
      <c r="OK15" s="33" t="n">
        <v>0</v>
      </c>
      <c r="OL15" s="33" t="n">
        <v>0</v>
      </c>
      <c r="OM15" s="33" t="n">
        <v>0</v>
      </c>
      <c r="ON15" s="33" t="n">
        <v>0</v>
      </c>
      <c r="OO15" s="33" t="n">
        <v>0</v>
      </c>
      <c r="OP15" s="33" t="n">
        <v>0</v>
      </c>
      <c r="OQ15" s="33" t="n">
        <v>0</v>
      </c>
      <c r="OR15" s="33" t="n">
        <v>0</v>
      </c>
      <c r="OS15" s="33" t="n">
        <v>0</v>
      </c>
      <c r="OT15" s="33" t="n">
        <v>0</v>
      </c>
      <c r="OU15" s="33" t="n">
        <v>0</v>
      </c>
      <c r="OV15" s="33" t="n">
        <v>0</v>
      </c>
      <c r="OW15" s="33" t="n">
        <v>0</v>
      </c>
      <c r="OX15" s="33" t="n">
        <v>0</v>
      </c>
      <c r="OY15" s="33" t="n">
        <v>0</v>
      </c>
      <c r="OZ15" s="33" t="n">
        <v>0</v>
      </c>
      <c r="PA15" s="33" t="n">
        <v>0</v>
      </c>
      <c r="PB15" s="33" t="n">
        <v>0</v>
      </c>
      <c r="PC15" s="33" t="n">
        <v>0</v>
      </c>
      <c r="PD15" s="33" t="n">
        <v>0</v>
      </c>
      <c r="PE15" s="33" t="n">
        <v>0</v>
      </c>
      <c r="PF15" s="33" t="n">
        <v>0</v>
      </c>
      <c r="PG15" s="33" t="n">
        <v>0</v>
      </c>
      <c r="PH15" s="33" t="n">
        <v>0</v>
      </c>
      <c r="PI15" s="33" t="n">
        <v>0</v>
      </c>
      <c r="PJ15" s="33" t="n">
        <v>0</v>
      </c>
      <c r="PK15" s="33" t="n">
        <v>0</v>
      </c>
      <c r="PL15" s="33" t="n">
        <v>0</v>
      </c>
      <c r="PM15" s="33" t="n">
        <v>0</v>
      </c>
      <c r="PN15" s="33" t="n">
        <v>0</v>
      </c>
      <c r="PO15" s="33" t="n">
        <v>0</v>
      </c>
      <c r="PP15" s="33" t="n">
        <v>0</v>
      </c>
      <c r="PQ15" s="33" t="n">
        <v>0</v>
      </c>
      <c r="PR15" s="33" t="n">
        <v>0</v>
      </c>
      <c r="PS15" s="33" t="n">
        <v>0</v>
      </c>
      <c r="PT15" s="33" t="n">
        <v>0</v>
      </c>
      <c r="PU15" s="33" t="n">
        <v>0</v>
      </c>
      <c r="PV15" s="33" t="n">
        <v>0</v>
      </c>
      <c r="PW15" s="33" t="n">
        <v>0</v>
      </c>
      <c r="PX15" s="33" t="n">
        <v>0</v>
      </c>
      <c r="PY15" s="33" t="n">
        <v>0</v>
      </c>
      <c r="PZ15" s="33" t="n">
        <v>0</v>
      </c>
      <c r="QA15" s="33" t="n">
        <v>0</v>
      </c>
      <c r="QB15" s="33" t="n">
        <v>0</v>
      </c>
      <c r="QC15" s="33" t="n">
        <v>0</v>
      </c>
      <c r="QD15" s="33" t="n">
        <v>0</v>
      </c>
      <c r="QE15" s="33" t="n">
        <v>0</v>
      </c>
      <c r="QF15" s="33" t="n">
        <v>0</v>
      </c>
      <c r="QG15" s="33" t="n">
        <v>0</v>
      </c>
      <c r="QH15" s="33" t="n">
        <v>0</v>
      </c>
      <c r="QI15" s="33" t="n">
        <v>0</v>
      </c>
      <c r="QJ15" s="33" t="n">
        <v>0</v>
      </c>
      <c r="QK15" s="33" t="n">
        <v>0</v>
      </c>
      <c r="QL15" s="33" t="n">
        <v>0</v>
      </c>
      <c r="QM15" s="33" t="n">
        <v>0</v>
      </c>
      <c r="QN15" s="33" t="n">
        <v>0</v>
      </c>
      <c r="QO15" s="33" t="n">
        <v>0</v>
      </c>
      <c r="QP15" s="33" t="n">
        <v>0</v>
      </c>
      <c r="QQ15" s="33" t="n">
        <v>0</v>
      </c>
      <c r="QR15" s="33" t="n">
        <v>0</v>
      </c>
      <c r="QS15" s="33" t="n">
        <v>0</v>
      </c>
      <c r="QT15" s="33" t="n">
        <v>0</v>
      </c>
      <c r="QU15" s="33" t="n">
        <v>0</v>
      </c>
      <c r="QV15" s="33" t="n">
        <v>0</v>
      </c>
      <c r="QW15" s="33" t="n">
        <v>0</v>
      </c>
      <c r="QX15" s="33" t="n">
        <v>0</v>
      </c>
      <c r="QY15" s="33" t="n">
        <v>0</v>
      </c>
      <c r="QZ15" s="33" t="n">
        <v>0</v>
      </c>
      <c r="RA15" s="33" t="n">
        <v>0</v>
      </c>
      <c r="RB15" s="33" t="n">
        <v>0</v>
      </c>
      <c r="RC15" s="33" t="n">
        <v>0</v>
      </c>
      <c r="RD15" s="33" t="n">
        <v>0</v>
      </c>
      <c r="RE15" s="33" t="n">
        <v>0</v>
      </c>
      <c r="RF15" s="33" t="n">
        <v>0</v>
      </c>
      <c r="RG15" s="33" t="n">
        <v>0</v>
      </c>
      <c r="RH15" s="33" t="n">
        <v>0</v>
      </c>
      <c r="RI15" s="33" t="n">
        <v>0</v>
      </c>
      <c r="RJ15" s="33" t="n">
        <v>0</v>
      </c>
      <c r="RK15" s="33" t="n">
        <v>0</v>
      </c>
      <c r="RL15" s="33" t="n">
        <v>0</v>
      </c>
      <c r="RM15" s="33" t="n">
        <v>0</v>
      </c>
      <c r="RN15" s="33" t="n">
        <v>0</v>
      </c>
      <c r="RO15" s="33" t="n">
        <v>0</v>
      </c>
      <c r="RP15" s="33" t="n">
        <v>0</v>
      </c>
      <c r="RQ15" s="33" t="n">
        <v>0</v>
      </c>
      <c r="RR15" s="33" t="n">
        <v>0</v>
      </c>
      <c r="RS15" s="33" t="n">
        <v>0</v>
      </c>
      <c r="RT15" s="33" t="n">
        <v>0</v>
      </c>
      <c r="RU15" s="33" t="n">
        <v>0</v>
      </c>
      <c r="RV15" s="33" t="n">
        <v>0</v>
      </c>
      <c r="RW15" s="33" t="n">
        <v>0</v>
      </c>
    </row>
    <row r="16" hidden="1" outlineLevel="1" ht="13.05" customHeight="1">
      <c r="E16" s="21" t="inlineStr">
        <is>
          <t>Other</t>
        </is>
      </c>
      <c r="F16" s="29" t="n"/>
      <c r="G16" s="29" t="inlineStr">
        <is>
          <t>kEUR</t>
        </is>
      </c>
      <c r="H16" s="29" t="n"/>
      <c r="I16" s="29" t="n"/>
      <c r="J16" s="32" t="n">
        <v>283730.4084176447</v>
      </c>
      <c r="K16" s="29" t="n"/>
      <c r="L16" s="33" t="n">
        <v>412.25</v>
      </c>
      <c r="M16" s="33" t="n">
        <v>412.25</v>
      </c>
      <c r="N16" s="33" t="n">
        <v>412.25</v>
      </c>
      <c r="O16" s="33" t="n">
        <v>412.25</v>
      </c>
      <c r="P16" s="33" t="n">
        <v>412.25</v>
      </c>
      <c r="Q16" s="33" t="n">
        <v>412.25</v>
      </c>
      <c r="R16" s="33" t="n">
        <v>412.25</v>
      </c>
      <c r="S16" s="33" t="n">
        <v>412.25</v>
      </c>
      <c r="T16" s="33" t="n">
        <v>412.25</v>
      </c>
      <c r="U16" s="33" t="n">
        <v>412.25</v>
      </c>
      <c r="V16" s="33" t="n">
        <v>412.25</v>
      </c>
      <c r="W16" s="33" t="n">
        <v>412.25</v>
      </c>
      <c r="X16" s="33" t="n">
        <v>412.25</v>
      </c>
      <c r="Y16" s="33" t="n">
        <v>412.25</v>
      </c>
      <c r="Z16" s="33" t="n">
        <v>412.25</v>
      </c>
      <c r="AA16" s="33" t="n">
        <v>412.25</v>
      </c>
      <c r="AB16" s="33" t="n">
        <v>412.25</v>
      </c>
      <c r="AC16" s="33" t="n">
        <v>412.25</v>
      </c>
      <c r="AD16" s="33" t="n">
        <v>412.25</v>
      </c>
      <c r="AE16" s="33" t="n">
        <v>412.25</v>
      </c>
      <c r="AF16" s="33" t="n">
        <v>412.25</v>
      </c>
      <c r="AG16" s="33" t="n">
        <v>412.25</v>
      </c>
      <c r="AH16" s="33" t="n">
        <v>412.25</v>
      </c>
      <c r="AI16" s="33" t="n">
        <v>412.25</v>
      </c>
      <c r="AJ16" s="33" t="n">
        <v>412.25</v>
      </c>
      <c r="AK16" s="33" t="n">
        <v>412.25</v>
      </c>
      <c r="AL16" s="33" t="n">
        <v>412.25</v>
      </c>
      <c r="AM16" s="33" t="n">
        <v>412.25</v>
      </c>
      <c r="AN16" s="33" t="n">
        <v>412.25</v>
      </c>
      <c r="AO16" s="33" t="n">
        <v>412.25</v>
      </c>
      <c r="AP16" s="33" t="n">
        <v>412.25</v>
      </c>
      <c r="AQ16" s="33" t="n">
        <v>412.25</v>
      </c>
      <c r="AR16" s="33" t="n">
        <v>412.25</v>
      </c>
      <c r="AS16" s="33" t="n">
        <v>412.25</v>
      </c>
      <c r="AT16" s="33" t="n">
        <v>412.25</v>
      </c>
      <c r="AU16" s="33" t="n">
        <v>412.25</v>
      </c>
      <c r="AV16" s="33" t="n">
        <v>412.25</v>
      </c>
      <c r="AW16" s="33" t="n">
        <v>412.25</v>
      </c>
      <c r="AX16" s="33" t="n">
        <v>412.25</v>
      </c>
      <c r="AY16" s="33" t="n">
        <v>412.25</v>
      </c>
      <c r="AZ16" s="33" t="n">
        <v>412.25</v>
      </c>
      <c r="BA16" s="33" t="n">
        <v>412.25</v>
      </c>
      <c r="BB16" s="33" t="n">
        <v>412.25</v>
      </c>
      <c r="BC16" s="33" t="n">
        <v>412.25</v>
      </c>
      <c r="BD16" s="33" t="n">
        <v>412.25</v>
      </c>
      <c r="BE16" s="33" t="n">
        <v>412.25</v>
      </c>
      <c r="BF16" s="33" t="n">
        <v>412.25</v>
      </c>
      <c r="BG16" s="33" t="n">
        <v>412.25</v>
      </c>
      <c r="BH16" s="33" t="n">
        <v>412.25</v>
      </c>
      <c r="BI16" s="33" t="n">
        <v>412.25</v>
      </c>
      <c r="BJ16" s="33" t="n">
        <v>412.25</v>
      </c>
      <c r="BK16" s="33" t="n">
        <v>412.25</v>
      </c>
      <c r="BL16" s="33" t="n">
        <v>412.25</v>
      </c>
      <c r="BM16" s="33" t="n">
        <v>412.25</v>
      </c>
      <c r="BN16" s="33" t="n">
        <v>412.25</v>
      </c>
      <c r="BO16" s="33" t="n">
        <v>412.25</v>
      </c>
      <c r="BP16" s="33" t="n">
        <v>412.25</v>
      </c>
      <c r="BQ16" s="33" t="n">
        <v>412.25</v>
      </c>
      <c r="BR16" s="33" t="n">
        <v>412.25</v>
      </c>
      <c r="BS16" s="33" t="n">
        <v>412.25</v>
      </c>
      <c r="BT16" s="33" t="n">
        <v>412.25</v>
      </c>
      <c r="BU16" s="33" t="n">
        <v>412.25</v>
      </c>
      <c r="BV16" s="33" t="n">
        <v>412.25</v>
      </c>
      <c r="BW16" s="33" t="n">
        <v>412.25</v>
      </c>
      <c r="BX16" s="33" t="n">
        <v>412.25</v>
      </c>
      <c r="BY16" s="33" t="n">
        <v>412.25</v>
      </c>
      <c r="BZ16" s="33" t="n">
        <v>412.25</v>
      </c>
      <c r="CA16" s="33" t="n">
        <v>412.25</v>
      </c>
      <c r="CB16" s="33" t="n">
        <v>412.25</v>
      </c>
      <c r="CC16" s="33" t="n">
        <v>412.25</v>
      </c>
      <c r="CD16" s="33" t="n">
        <v>412.25</v>
      </c>
      <c r="CE16" s="33" t="n">
        <v>412.25</v>
      </c>
      <c r="CF16" s="33" t="n">
        <v>412.25</v>
      </c>
      <c r="CG16" s="33" t="n">
        <v>412.25</v>
      </c>
      <c r="CH16" s="33" t="n">
        <v>412.25</v>
      </c>
      <c r="CI16" s="33" t="n">
        <v>412.25</v>
      </c>
      <c r="CJ16" s="33" t="n">
        <v>412.25</v>
      </c>
      <c r="CK16" s="33" t="n">
        <v>412.25</v>
      </c>
      <c r="CL16" s="33" t="n">
        <v>412.25</v>
      </c>
      <c r="CM16" s="33" t="n">
        <v>412.25</v>
      </c>
      <c r="CN16" s="33" t="n">
        <v>412.25</v>
      </c>
      <c r="CO16" s="33" t="n">
        <v>412.25</v>
      </c>
      <c r="CP16" s="33" t="n">
        <v>412.25</v>
      </c>
      <c r="CQ16" s="33" t="n">
        <v>412.25</v>
      </c>
      <c r="CR16" s="33" t="n">
        <v>412.25</v>
      </c>
      <c r="CS16" s="33" t="n">
        <v>412.25</v>
      </c>
      <c r="CT16" s="33" t="n">
        <v>412.25</v>
      </c>
      <c r="CU16" s="33" t="n">
        <v>412.25</v>
      </c>
      <c r="CV16" s="33" t="n">
        <v>412.25</v>
      </c>
      <c r="CW16" s="33" t="n">
        <v>412.25</v>
      </c>
      <c r="CX16" s="33" t="n">
        <v>412.25</v>
      </c>
      <c r="CY16" s="33" t="n">
        <v>412.25</v>
      </c>
      <c r="CZ16" s="33" t="n">
        <v>412.25</v>
      </c>
      <c r="DA16" s="33" t="n">
        <v>412.25</v>
      </c>
      <c r="DB16" s="33" t="n">
        <v>412.25</v>
      </c>
      <c r="DC16" s="33" t="n">
        <v>412.25</v>
      </c>
      <c r="DD16" s="33" t="n">
        <v>422.5562499999999</v>
      </c>
      <c r="DE16" s="33" t="n">
        <v>422.5562499999999</v>
      </c>
      <c r="DF16" s="33" t="n">
        <v>422.5562499999999</v>
      </c>
      <c r="DG16" s="33" t="n">
        <v>422.5562499999999</v>
      </c>
      <c r="DH16" s="33" t="n">
        <v>422.5562499999999</v>
      </c>
      <c r="DI16" s="33" t="n">
        <v>422.5562499999999</v>
      </c>
      <c r="DJ16" s="33" t="n">
        <v>422.5562499999999</v>
      </c>
      <c r="DK16" s="33" t="n">
        <v>422.5562499999999</v>
      </c>
      <c r="DL16" s="33" t="n">
        <v>422.5562499999999</v>
      </c>
      <c r="DM16" s="33" t="n">
        <v>422.5562499999999</v>
      </c>
      <c r="DN16" s="33" t="n">
        <v>422.5562499999999</v>
      </c>
      <c r="DO16" s="33" t="n">
        <v>422.5562499999999</v>
      </c>
      <c r="DP16" s="33" t="n">
        <v>433.12015625</v>
      </c>
      <c r="DQ16" s="33" t="n">
        <v>433.12015625</v>
      </c>
      <c r="DR16" s="33" t="n">
        <v>433.12015625</v>
      </c>
      <c r="DS16" s="33" t="n">
        <v>433.12015625</v>
      </c>
      <c r="DT16" s="33" t="n">
        <v>433.12015625</v>
      </c>
      <c r="DU16" s="33" t="n">
        <v>433.12015625</v>
      </c>
      <c r="DV16" s="33" t="n">
        <v>433.12015625</v>
      </c>
      <c r="DW16" s="33" t="n">
        <v>433.12015625</v>
      </c>
      <c r="DX16" s="33" t="n">
        <v>433.12015625</v>
      </c>
      <c r="DY16" s="33" t="n">
        <v>433.12015625</v>
      </c>
      <c r="DZ16" s="33" t="n">
        <v>433.12015625</v>
      </c>
      <c r="EA16" s="33" t="n">
        <v>433.12015625</v>
      </c>
      <c r="EB16" s="33" t="n">
        <v>443.9481601562499</v>
      </c>
      <c r="EC16" s="33" t="n">
        <v>443.9481601562499</v>
      </c>
      <c r="ED16" s="33" t="n">
        <v>443.9481601562499</v>
      </c>
      <c r="EE16" s="33" t="n">
        <v>443.9481601562499</v>
      </c>
      <c r="EF16" s="33" t="n">
        <v>443.9481601562499</v>
      </c>
      <c r="EG16" s="33" t="n">
        <v>443.9481601562499</v>
      </c>
      <c r="EH16" s="33" t="n">
        <v>443.9481601562499</v>
      </c>
      <c r="EI16" s="33" t="n">
        <v>443.9481601562499</v>
      </c>
      <c r="EJ16" s="33" t="n">
        <v>443.9481601562499</v>
      </c>
      <c r="EK16" s="33" t="n">
        <v>443.9481601562499</v>
      </c>
      <c r="EL16" s="33" t="n">
        <v>443.9481601562499</v>
      </c>
      <c r="EM16" s="33" t="n">
        <v>443.9481601562499</v>
      </c>
      <c r="EN16" s="33" t="n">
        <v>455.0468641601561</v>
      </c>
      <c r="EO16" s="33" t="n">
        <v>455.0468641601561</v>
      </c>
      <c r="EP16" s="33" t="n">
        <v>455.0468641601561</v>
      </c>
      <c r="EQ16" s="33" t="n">
        <v>455.0468641601561</v>
      </c>
      <c r="ER16" s="33" t="n">
        <v>455.0468641601561</v>
      </c>
      <c r="ES16" s="33" t="n">
        <v>455.0468641601561</v>
      </c>
      <c r="ET16" s="33" t="n">
        <v>455.0468641601561</v>
      </c>
      <c r="EU16" s="33" t="n">
        <v>455.0468641601561</v>
      </c>
      <c r="EV16" s="33" t="n">
        <v>455.0468641601561</v>
      </c>
      <c r="EW16" s="33" t="n">
        <v>455.0468641601561</v>
      </c>
      <c r="EX16" s="33" t="n">
        <v>455.0468641601561</v>
      </c>
      <c r="EY16" s="33" t="n">
        <v>455.0468641601561</v>
      </c>
      <c r="EZ16" s="33" t="n">
        <v>466.4230357641599</v>
      </c>
      <c r="FA16" s="33" t="n">
        <v>466.4230357641599</v>
      </c>
      <c r="FB16" s="33" t="n">
        <v>466.4230357641599</v>
      </c>
      <c r="FC16" s="33" t="n">
        <v>466.4230357641599</v>
      </c>
      <c r="FD16" s="33" t="n">
        <v>466.4230357641599</v>
      </c>
      <c r="FE16" s="33" t="n">
        <v>466.4230357641599</v>
      </c>
      <c r="FF16" s="33" t="n">
        <v>466.4230357641599</v>
      </c>
      <c r="FG16" s="33" t="n">
        <v>466.4230357641599</v>
      </c>
      <c r="FH16" s="33" t="n">
        <v>466.4230357641599</v>
      </c>
      <c r="FI16" s="33" t="n">
        <v>466.4230357641599</v>
      </c>
      <c r="FJ16" s="33" t="n">
        <v>466.4230357641599</v>
      </c>
      <c r="FK16" s="33" t="n">
        <v>466.4230357641599</v>
      </c>
      <c r="FL16" s="33" t="n">
        <v>478.0836116582639</v>
      </c>
      <c r="FM16" s="33" t="n">
        <v>478.0836116582639</v>
      </c>
      <c r="FN16" s="33" t="n">
        <v>478.0836116582639</v>
      </c>
      <c r="FO16" s="33" t="n">
        <v>478.0836116582639</v>
      </c>
      <c r="FP16" s="33" t="n">
        <v>478.0836116582639</v>
      </c>
      <c r="FQ16" s="33" t="n">
        <v>478.0836116582639</v>
      </c>
      <c r="FR16" s="33" t="n">
        <v>478.0836116582639</v>
      </c>
      <c r="FS16" s="33" t="n">
        <v>478.0836116582639</v>
      </c>
      <c r="FT16" s="33" t="n">
        <v>478.0836116582639</v>
      </c>
      <c r="FU16" s="33" t="n">
        <v>478.0836116582639</v>
      </c>
      <c r="FV16" s="33" t="n">
        <v>478.0836116582639</v>
      </c>
      <c r="FW16" s="33" t="n">
        <v>478.0836116582639</v>
      </c>
      <c r="FX16" s="33" t="n">
        <v>490.0357019497205</v>
      </c>
      <c r="FY16" s="33" t="n">
        <v>490.0357019497205</v>
      </c>
      <c r="FZ16" s="33" t="n">
        <v>490.0357019497205</v>
      </c>
      <c r="GA16" s="33" t="n">
        <v>490.0357019497205</v>
      </c>
      <c r="GB16" s="33" t="n">
        <v>490.0357019497205</v>
      </c>
      <c r="GC16" s="33" t="n">
        <v>490.0357019497205</v>
      </c>
      <c r="GD16" s="33" t="n">
        <v>490.0357019497205</v>
      </c>
      <c r="GE16" s="33" t="n">
        <v>490.0357019497205</v>
      </c>
      <c r="GF16" s="33" t="n">
        <v>490.0357019497205</v>
      </c>
      <c r="GG16" s="33" t="n">
        <v>490.0357019497205</v>
      </c>
      <c r="GH16" s="33" t="n">
        <v>490.0357019497205</v>
      </c>
      <c r="GI16" s="33" t="n">
        <v>490.0357019497205</v>
      </c>
      <c r="GJ16" s="33" t="n">
        <v>502.2865944984634</v>
      </c>
      <c r="GK16" s="33" t="n">
        <v>502.2865944984634</v>
      </c>
      <c r="GL16" s="33" t="n">
        <v>502.2865944984634</v>
      </c>
      <c r="GM16" s="33" t="n">
        <v>502.2865944984634</v>
      </c>
      <c r="GN16" s="33" t="n">
        <v>502.2865944984634</v>
      </c>
      <c r="GO16" s="33" t="n">
        <v>502.2865944984634</v>
      </c>
      <c r="GP16" s="33" t="n">
        <v>502.2865944984634</v>
      </c>
      <c r="GQ16" s="33" t="n">
        <v>502.2865944984634</v>
      </c>
      <c r="GR16" s="33" t="n">
        <v>502.2865944984634</v>
      </c>
      <c r="GS16" s="33" t="n">
        <v>502.2865944984634</v>
      </c>
      <c r="GT16" s="33" t="n">
        <v>502.2865944984634</v>
      </c>
      <c r="GU16" s="33" t="n">
        <v>502.2865944984634</v>
      </c>
      <c r="GV16" s="33" t="n">
        <v>514.843759360925</v>
      </c>
      <c r="GW16" s="33" t="n">
        <v>514.843759360925</v>
      </c>
      <c r="GX16" s="33" t="n">
        <v>514.843759360925</v>
      </c>
      <c r="GY16" s="33" t="n">
        <v>514.843759360925</v>
      </c>
      <c r="GZ16" s="33" t="n">
        <v>514.843759360925</v>
      </c>
      <c r="HA16" s="33" t="n">
        <v>514.843759360925</v>
      </c>
      <c r="HB16" s="33" t="n">
        <v>514.843759360925</v>
      </c>
      <c r="HC16" s="33" t="n">
        <v>514.843759360925</v>
      </c>
      <c r="HD16" s="33" t="n">
        <v>514.843759360925</v>
      </c>
      <c r="HE16" s="33" t="n">
        <v>514.843759360925</v>
      </c>
      <c r="HF16" s="33" t="n">
        <v>514.843759360925</v>
      </c>
      <c r="HG16" s="33" t="n">
        <v>514.843759360925</v>
      </c>
      <c r="HH16" s="33" t="n">
        <v>527.714853344948</v>
      </c>
      <c r="HI16" s="33" t="n">
        <v>527.714853344948</v>
      </c>
      <c r="HJ16" s="33" t="n">
        <v>527.714853344948</v>
      </c>
      <c r="HK16" s="33" t="n">
        <v>527.714853344948</v>
      </c>
      <c r="HL16" s="33" t="n">
        <v>527.714853344948</v>
      </c>
      <c r="HM16" s="33" t="n">
        <v>527.714853344948</v>
      </c>
      <c r="HN16" s="33" t="n">
        <v>527.714853344948</v>
      </c>
      <c r="HO16" s="33" t="n">
        <v>527.714853344948</v>
      </c>
      <c r="HP16" s="33" t="n">
        <v>527.714853344948</v>
      </c>
      <c r="HQ16" s="33" t="n">
        <v>527.714853344948</v>
      </c>
      <c r="HR16" s="33" t="n">
        <v>527.714853344948</v>
      </c>
      <c r="HS16" s="33" t="n">
        <v>527.714853344948</v>
      </c>
      <c r="HT16" s="33" t="n">
        <v>540.9077246785718</v>
      </c>
      <c r="HU16" s="33" t="n">
        <v>540.9077246785718</v>
      </c>
      <c r="HV16" s="33" t="n">
        <v>540.9077246785718</v>
      </c>
      <c r="HW16" s="33" t="n">
        <v>540.9077246785718</v>
      </c>
      <c r="HX16" s="33" t="n">
        <v>540.9077246785718</v>
      </c>
      <c r="HY16" s="33" t="n">
        <v>540.9077246785718</v>
      </c>
      <c r="HZ16" s="33" t="n">
        <v>540.9077246785718</v>
      </c>
      <c r="IA16" s="33" t="n">
        <v>540.9077246785718</v>
      </c>
      <c r="IB16" s="33" t="n">
        <v>540.9077246785718</v>
      </c>
      <c r="IC16" s="33" t="n">
        <v>540.9077246785718</v>
      </c>
      <c r="ID16" s="33" t="n">
        <v>540.9077246785718</v>
      </c>
      <c r="IE16" s="33" t="n">
        <v>540.9077246785718</v>
      </c>
      <c r="IF16" s="33" t="n">
        <v>554.430417795536</v>
      </c>
      <c r="IG16" s="33" t="n">
        <v>554.430417795536</v>
      </c>
      <c r="IH16" s="33" t="n">
        <v>554.430417795536</v>
      </c>
      <c r="II16" s="33" t="n">
        <v>554.430417795536</v>
      </c>
      <c r="IJ16" s="33" t="n">
        <v>554.430417795536</v>
      </c>
      <c r="IK16" s="33" t="n">
        <v>554.430417795536</v>
      </c>
      <c r="IL16" s="33" t="n">
        <v>554.430417795536</v>
      </c>
      <c r="IM16" s="33" t="n">
        <v>554.430417795536</v>
      </c>
      <c r="IN16" s="33" t="n">
        <v>554.430417795536</v>
      </c>
      <c r="IO16" s="33" t="n">
        <v>554.430417795536</v>
      </c>
      <c r="IP16" s="33" t="n">
        <v>554.430417795536</v>
      </c>
      <c r="IQ16" s="33" t="n">
        <v>554.430417795536</v>
      </c>
      <c r="IR16" s="33" t="n">
        <v>568.2911782404243</v>
      </c>
      <c r="IS16" s="33" t="n">
        <v>568.2911782404243</v>
      </c>
      <c r="IT16" s="33" t="n">
        <v>568.2911782404243</v>
      </c>
      <c r="IU16" s="33" t="n">
        <v>568.2911782404243</v>
      </c>
      <c r="IV16" s="33" t="n">
        <v>568.2911782404243</v>
      </c>
      <c r="IW16" s="33" t="n">
        <v>568.2911782404243</v>
      </c>
      <c r="IX16" s="33" t="n">
        <v>568.2911782404243</v>
      </c>
      <c r="IY16" s="33" t="n">
        <v>568.2911782404243</v>
      </c>
      <c r="IZ16" s="33" t="n">
        <v>568.2911782404243</v>
      </c>
      <c r="JA16" s="33" t="n">
        <v>568.2911782404243</v>
      </c>
      <c r="JB16" s="33" t="n">
        <v>568.2911782404243</v>
      </c>
      <c r="JC16" s="33" t="n">
        <v>568.2911782404243</v>
      </c>
      <c r="JD16" s="33" t="n">
        <v>582.4984576964349</v>
      </c>
      <c r="JE16" s="33" t="n">
        <v>582.4984576964349</v>
      </c>
      <c r="JF16" s="33" t="n">
        <v>582.4984576964349</v>
      </c>
      <c r="JG16" s="33" t="n">
        <v>582.4984576964349</v>
      </c>
      <c r="JH16" s="33" t="n">
        <v>582.4984576964349</v>
      </c>
      <c r="JI16" s="33" t="n">
        <v>582.4984576964349</v>
      </c>
      <c r="JJ16" s="33" t="n">
        <v>582.4984576964349</v>
      </c>
      <c r="JK16" s="33" t="n">
        <v>582.4984576964349</v>
      </c>
      <c r="JL16" s="33" t="n">
        <v>582.4984576964349</v>
      </c>
      <c r="JM16" s="33" t="n">
        <v>582.4984576964349</v>
      </c>
      <c r="JN16" s="33" t="n">
        <v>582.4984576964349</v>
      </c>
      <c r="JO16" s="33" t="n">
        <v>582.4984576964349</v>
      </c>
      <c r="JP16" s="33" t="n">
        <v>597.0609191388456</v>
      </c>
      <c r="JQ16" s="33" t="n">
        <v>597.0609191388456</v>
      </c>
      <c r="JR16" s="33" t="n">
        <v>597.0609191388456</v>
      </c>
      <c r="JS16" s="33" t="n">
        <v>597.0609191388456</v>
      </c>
      <c r="JT16" s="33" t="n">
        <v>597.0609191388456</v>
      </c>
      <c r="JU16" s="33" t="n">
        <v>597.0609191388456</v>
      </c>
      <c r="JV16" s="33" t="n">
        <v>597.0609191388456</v>
      </c>
      <c r="JW16" s="33" t="n">
        <v>597.0609191388456</v>
      </c>
      <c r="JX16" s="33" t="n">
        <v>597.0609191388456</v>
      </c>
      <c r="JY16" s="33" t="n">
        <v>597.0609191388456</v>
      </c>
      <c r="JZ16" s="33" t="n">
        <v>597.0609191388456</v>
      </c>
      <c r="KA16" s="33" t="n">
        <v>597.0609191388456</v>
      </c>
      <c r="KB16" s="33" t="n">
        <v>611.9874421173168</v>
      </c>
      <c r="KC16" s="33" t="n">
        <v>611.9874421173168</v>
      </c>
      <c r="KD16" s="33" t="n">
        <v>611.9874421173168</v>
      </c>
      <c r="KE16" s="33" t="n">
        <v>611.9874421173168</v>
      </c>
      <c r="KF16" s="33" t="n">
        <v>611.9874421173168</v>
      </c>
      <c r="KG16" s="33" t="n">
        <v>611.9874421173168</v>
      </c>
      <c r="KH16" s="33" t="n">
        <v>611.9874421173168</v>
      </c>
      <c r="KI16" s="33" t="n">
        <v>611.9874421173168</v>
      </c>
      <c r="KJ16" s="33" t="n">
        <v>611.9874421173168</v>
      </c>
      <c r="KK16" s="33" t="n">
        <v>611.9874421173168</v>
      </c>
      <c r="KL16" s="33" t="n">
        <v>611.9874421173168</v>
      </c>
      <c r="KM16" s="33" t="n">
        <v>611.9874421173168</v>
      </c>
      <c r="KN16" s="33" t="n">
        <v>627.2871281702496</v>
      </c>
      <c r="KO16" s="33" t="n">
        <v>627.2871281702496</v>
      </c>
      <c r="KP16" s="33" t="n">
        <v>627.2871281702496</v>
      </c>
      <c r="KQ16" s="33" t="n">
        <v>627.2871281702496</v>
      </c>
      <c r="KR16" s="33" t="n">
        <v>627.2871281702496</v>
      </c>
      <c r="KS16" s="33" t="n">
        <v>627.2871281702496</v>
      </c>
      <c r="KT16" s="33" t="n">
        <v>627.2871281702496</v>
      </c>
      <c r="KU16" s="33" t="n">
        <v>627.2871281702496</v>
      </c>
      <c r="KV16" s="33" t="n">
        <v>627.2871281702496</v>
      </c>
      <c r="KW16" s="33" t="n">
        <v>627.2871281702496</v>
      </c>
      <c r="KX16" s="33" t="n">
        <v>627.2871281702496</v>
      </c>
      <c r="KY16" s="33" t="n">
        <v>627.2871281702496</v>
      </c>
      <c r="KZ16" s="33" t="n">
        <v>642.9693063745058</v>
      </c>
      <c r="LA16" s="33" t="n">
        <v>642.9693063745058</v>
      </c>
      <c r="LB16" s="33" t="n">
        <v>642.9693063745058</v>
      </c>
      <c r="LC16" s="33" t="n">
        <v>642.9693063745058</v>
      </c>
      <c r="LD16" s="33" t="n">
        <v>642.9693063745058</v>
      </c>
      <c r="LE16" s="33" t="n">
        <v>642.9693063745058</v>
      </c>
      <c r="LF16" s="33" t="n">
        <v>642.9693063745058</v>
      </c>
      <c r="LG16" s="33" t="n">
        <v>642.9693063745058</v>
      </c>
      <c r="LH16" s="33" t="n">
        <v>642.9693063745058</v>
      </c>
      <c r="LI16" s="33" t="n">
        <v>642.9693063745058</v>
      </c>
      <c r="LJ16" s="33" t="n">
        <v>642.9693063745058</v>
      </c>
      <c r="LK16" s="33" t="n">
        <v>642.9693063745058</v>
      </c>
      <c r="LL16" s="33" t="n">
        <v>659.0435390338683</v>
      </c>
      <c r="LM16" s="33" t="n">
        <v>659.0435390338683</v>
      </c>
      <c r="LN16" s="33" t="n">
        <v>659.0435390338683</v>
      </c>
      <c r="LO16" s="33" t="n">
        <v>659.0435390338683</v>
      </c>
      <c r="LP16" s="33" t="n">
        <v>659.0435390338683</v>
      </c>
      <c r="LQ16" s="33" t="n">
        <v>659.0435390338683</v>
      </c>
      <c r="LR16" s="33" t="n">
        <v>659.0435390338683</v>
      </c>
      <c r="LS16" s="33" t="n">
        <v>659.0435390338683</v>
      </c>
      <c r="LT16" s="33" t="n">
        <v>659.0435390338683</v>
      </c>
      <c r="LU16" s="33" t="n">
        <v>659.0435390338683</v>
      </c>
      <c r="LV16" s="33" t="n">
        <v>659.0435390338683</v>
      </c>
      <c r="LW16" s="33" t="n">
        <v>659.0435390338683</v>
      </c>
      <c r="LX16" s="33" t="n">
        <v>675.519627509715</v>
      </c>
      <c r="LY16" s="33" t="n">
        <v>675.519627509715</v>
      </c>
      <c r="LZ16" s="33" t="n">
        <v>675.519627509715</v>
      </c>
      <c r="MA16" s="33" t="n">
        <v>675.519627509715</v>
      </c>
      <c r="MB16" s="33" t="n">
        <v>675.519627509715</v>
      </c>
      <c r="MC16" s="33" t="n">
        <v>675.519627509715</v>
      </c>
      <c r="MD16" s="33" t="n">
        <v>675.519627509715</v>
      </c>
      <c r="ME16" s="33" t="n">
        <v>675.519627509715</v>
      </c>
      <c r="MF16" s="33" t="n">
        <v>675.519627509715</v>
      </c>
      <c r="MG16" s="33" t="n">
        <v>675.519627509715</v>
      </c>
      <c r="MH16" s="33" t="n">
        <v>675.519627509715</v>
      </c>
      <c r="MI16" s="33" t="n">
        <v>675.519627509715</v>
      </c>
      <c r="MJ16" s="33" t="n">
        <v>692.4076181974579</v>
      </c>
      <c r="MK16" s="33" t="n">
        <v>692.4076181974579</v>
      </c>
      <c r="ML16" s="33" t="n">
        <v>692.4076181974579</v>
      </c>
      <c r="MM16" s="33" t="n">
        <v>692.4076181974579</v>
      </c>
      <c r="MN16" s="33" t="n">
        <v>692.4076181974579</v>
      </c>
      <c r="MO16" s="33" t="n">
        <v>692.4076181974579</v>
      </c>
      <c r="MP16" s="33" t="n">
        <v>692.4076181974579</v>
      </c>
      <c r="MQ16" s="33" t="n">
        <v>692.4076181974579</v>
      </c>
      <c r="MR16" s="33" t="n">
        <v>692.4076181974579</v>
      </c>
      <c r="MS16" s="33" t="n">
        <v>692.4076181974579</v>
      </c>
      <c r="MT16" s="33" t="n">
        <v>692.4076181974579</v>
      </c>
      <c r="MU16" s="33" t="n">
        <v>692.4076181974579</v>
      </c>
      <c r="MV16" s="33" t="n">
        <v>709.7178086523942</v>
      </c>
      <c r="MW16" s="33" t="n">
        <v>709.7178086523942</v>
      </c>
      <c r="MX16" s="33" t="n">
        <v>709.7178086523942</v>
      </c>
      <c r="MY16" s="33" t="n">
        <v>709.7178086523942</v>
      </c>
      <c r="MZ16" s="33" t="n">
        <v>709.7178086523942</v>
      </c>
      <c r="NA16" s="33" t="n">
        <v>709.7178086523942</v>
      </c>
      <c r="NB16" s="33" t="n">
        <v>709.7178086523942</v>
      </c>
      <c r="NC16" s="33" t="n">
        <v>709.7178086523942</v>
      </c>
      <c r="ND16" s="33" t="n">
        <v>709.7178086523942</v>
      </c>
      <c r="NE16" s="33" t="n">
        <v>709.7178086523942</v>
      </c>
      <c r="NF16" s="33" t="n">
        <v>709.7178086523942</v>
      </c>
      <c r="NG16" s="33" t="n">
        <v>709.7178086523942</v>
      </c>
      <c r="NH16" s="33" t="n">
        <v>727.460753868704</v>
      </c>
      <c r="NI16" s="33" t="n">
        <v>727.460753868704</v>
      </c>
      <c r="NJ16" s="33" t="n">
        <v>727.460753868704</v>
      </c>
      <c r="NK16" s="33" t="n">
        <v>727.460753868704</v>
      </c>
      <c r="NL16" s="33" t="n">
        <v>727.460753868704</v>
      </c>
      <c r="NM16" s="33" t="n">
        <v>727.460753868704</v>
      </c>
      <c r="NN16" s="33" t="n">
        <v>727.460753868704</v>
      </c>
      <c r="NO16" s="33" t="n">
        <v>727.460753868704</v>
      </c>
      <c r="NP16" s="33" t="n">
        <v>727.460753868704</v>
      </c>
      <c r="NQ16" s="33" t="n">
        <v>727.460753868704</v>
      </c>
      <c r="NR16" s="33" t="n">
        <v>727.460753868704</v>
      </c>
      <c r="NS16" s="33" t="n">
        <v>727.460753868704</v>
      </c>
      <c r="NT16" s="33" t="n">
        <v>745.6472727154215</v>
      </c>
      <c r="NU16" s="33" t="n">
        <v>745.6472727154215</v>
      </c>
      <c r="NV16" s="33" t="n">
        <v>745.6472727154215</v>
      </c>
      <c r="NW16" s="33" t="n">
        <v>745.6472727154215</v>
      </c>
      <c r="NX16" s="33" t="n">
        <v>745.6472727154215</v>
      </c>
      <c r="NY16" s="33" t="n">
        <v>745.6472727154215</v>
      </c>
      <c r="NZ16" s="33" t="n">
        <v>745.6472727154215</v>
      </c>
      <c r="OA16" s="33" t="n">
        <v>745.6472727154215</v>
      </c>
      <c r="OB16" s="33" t="n">
        <v>745.6472727154215</v>
      </c>
      <c r="OC16" s="33" t="n">
        <v>745.6472727154215</v>
      </c>
      <c r="OD16" s="33" t="n">
        <v>745.6472727154215</v>
      </c>
      <c r="OE16" s="33" t="n">
        <v>745.6472727154215</v>
      </c>
      <c r="OF16" s="33" t="n">
        <v>764.2884545333071</v>
      </c>
      <c r="OG16" s="33" t="n">
        <v>764.2884545333071</v>
      </c>
      <c r="OH16" s="33" t="n">
        <v>764.2884545333071</v>
      </c>
      <c r="OI16" s="33" t="n">
        <v>764.2884545333071</v>
      </c>
      <c r="OJ16" s="33" t="n">
        <v>764.2884545333071</v>
      </c>
      <c r="OK16" s="33" t="n">
        <v>764.2884545333071</v>
      </c>
      <c r="OL16" s="33" t="n">
        <v>764.2884545333071</v>
      </c>
      <c r="OM16" s="33" t="n">
        <v>764.2884545333071</v>
      </c>
      <c r="ON16" s="33" t="n">
        <v>764.2884545333071</v>
      </c>
      <c r="OO16" s="33" t="n">
        <v>764.2884545333071</v>
      </c>
      <c r="OP16" s="33" t="n">
        <v>764.2884545333071</v>
      </c>
      <c r="OQ16" s="33" t="n">
        <v>764.2884545333071</v>
      </c>
      <c r="OR16" s="33" t="n">
        <v>783.3956658966396</v>
      </c>
      <c r="OS16" s="33" t="n">
        <v>783.3956658966396</v>
      </c>
      <c r="OT16" s="33" t="n">
        <v>783.3956658966396</v>
      </c>
      <c r="OU16" s="33" t="n">
        <v>783.3956658966396</v>
      </c>
      <c r="OV16" s="33" t="n">
        <v>783.3956658966396</v>
      </c>
      <c r="OW16" s="33" t="n">
        <v>783.3956658966396</v>
      </c>
      <c r="OX16" s="33" t="n">
        <v>783.3956658966396</v>
      </c>
      <c r="OY16" s="33" t="n">
        <v>783.3956658966396</v>
      </c>
      <c r="OZ16" s="33" t="n">
        <v>783.3956658966396</v>
      </c>
      <c r="PA16" s="33" t="n">
        <v>783.3956658966396</v>
      </c>
      <c r="PB16" s="33" t="n">
        <v>783.3956658966396</v>
      </c>
      <c r="PC16" s="33" t="n">
        <v>783.3956658966396</v>
      </c>
      <c r="PD16" s="33" t="n">
        <v>802.9805575440556</v>
      </c>
      <c r="PE16" s="33" t="n">
        <v>802.9805575440556</v>
      </c>
      <c r="PF16" s="33" t="n">
        <v>802.9805575440556</v>
      </c>
      <c r="PG16" s="33" t="n">
        <v>802.9805575440556</v>
      </c>
      <c r="PH16" s="33" t="n">
        <v>802.9805575440556</v>
      </c>
      <c r="PI16" s="33" t="n">
        <v>802.9805575440556</v>
      </c>
      <c r="PJ16" s="33" t="n">
        <v>802.9805575440556</v>
      </c>
      <c r="PK16" s="33" t="n">
        <v>802.9805575440556</v>
      </c>
      <c r="PL16" s="33" t="n">
        <v>802.9805575440556</v>
      </c>
      <c r="PM16" s="33" t="n">
        <v>802.9805575440556</v>
      </c>
      <c r="PN16" s="33" t="n">
        <v>802.9805575440556</v>
      </c>
      <c r="PO16" s="33" t="n">
        <v>802.9805575440556</v>
      </c>
      <c r="PP16" s="33" t="n">
        <v>823.0550714826569</v>
      </c>
      <c r="PQ16" s="33" t="n">
        <v>823.0550714826569</v>
      </c>
      <c r="PR16" s="33" t="n">
        <v>823.0550714826569</v>
      </c>
      <c r="PS16" s="33" t="n">
        <v>823.0550714826569</v>
      </c>
      <c r="PT16" s="33" t="n">
        <v>823.0550714826569</v>
      </c>
      <c r="PU16" s="33" t="n">
        <v>823.0550714826569</v>
      </c>
      <c r="PV16" s="33" t="n">
        <v>823.0550714826569</v>
      </c>
      <c r="PW16" s="33" t="n">
        <v>823.0550714826569</v>
      </c>
      <c r="PX16" s="33" t="n">
        <v>823.0550714826569</v>
      </c>
      <c r="PY16" s="33" t="n">
        <v>823.0550714826569</v>
      </c>
      <c r="PZ16" s="33" t="n">
        <v>823.0550714826569</v>
      </c>
      <c r="QA16" s="33" t="n">
        <v>823.0550714826569</v>
      </c>
      <c r="QB16" s="33" t="n">
        <v>843.6314482697234</v>
      </c>
      <c r="QC16" s="33" t="n">
        <v>843.6314482697234</v>
      </c>
      <c r="QD16" s="33" t="n">
        <v>843.6314482697234</v>
      </c>
      <c r="QE16" s="33" t="n">
        <v>843.6314482697234</v>
      </c>
      <c r="QF16" s="33" t="n">
        <v>843.6314482697234</v>
      </c>
      <c r="QG16" s="33" t="n">
        <v>843.6314482697234</v>
      </c>
      <c r="QH16" s="33" t="n">
        <v>843.6314482697234</v>
      </c>
      <c r="QI16" s="33" t="n">
        <v>843.6314482697234</v>
      </c>
      <c r="QJ16" s="33" t="n">
        <v>843.6314482697234</v>
      </c>
      <c r="QK16" s="33" t="n">
        <v>843.6314482697234</v>
      </c>
      <c r="QL16" s="33" t="n">
        <v>843.6314482697234</v>
      </c>
      <c r="QM16" s="33" t="n">
        <v>843.6314482697234</v>
      </c>
      <c r="QN16" s="33" t="n">
        <v>864.7222344764663</v>
      </c>
      <c r="QO16" s="33" t="n">
        <v>864.7222344764663</v>
      </c>
      <c r="QP16" s="33" t="n">
        <v>864.7222344764663</v>
      </c>
      <c r="QQ16" s="33" t="n">
        <v>864.7222344764663</v>
      </c>
      <c r="QR16" s="33" t="n">
        <v>864.7222344764663</v>
      </c>
      <c r="QS16" s="33" t="n">
        <v>864.7222344764663</v>
      </c>
      <c r="QT16" s="33" t="n">
        <v>864.7222344764663</v>
      </c>
      <c r="QU16" s="33" t="n">
        <v>864.7222344764663</v>
      </c>
      <c r="QV16" s="33" t="n">
        <v>864.7222344764663</v>
      </c>
      <c r="QW16" s="33" t="n">
        <v>864.7222344764663</v>
      </c>
      <c r="QX16" s="33" t="n">
        <v>864.7222344764663</v>
      </c>
      <c r="QY16" s="33" t="n">
        <v>864.7222344764663</v>
      </c>
      <c r="QZ16" s="33" t="n">
        <v>886.3402903383779</v>
      </c>
      <c r="RA16" s="33" t="n">
        <v>886.3402903383779</v>
      </c>
      <c r="RB16" s="33" t="n">
        <v>886.3402903383779</v>
      </c>
      <c r="RC16" s="33" t="n">
        <v>886.3402903383779</v>
      </c>
      <c r="RD16" s="33" t="n">
        <v>886.3402903383779</v>
      </c>
      <c r="RE16" s="33" t="n">
        <v>886.3402903383779</v>
      </c>
      <c r="RF16" s="33" t="n">
        <v>886.3402903383779</v>
      </c>
      <c r="RG16" s="33" t="n">
        <v>886.3402903383779</v>
      </c>
      <c r="RH16" s="33" t="n">
        <v>886.3402903383779</v>
      </c>
      <c r="RI16" s="33" t="n">
        <v>886.3402903383779</v>
      </c>
      <c r="RJ16" s="33" t="n">
        <v>886.3402903383779</v>
      </c>
      <c r="RK16" s="33" t="n">
        <v>886.3402903383779</v>
      </c>
      <c r="RL16" s="33" t="n">
        <v>908.4987975968371</v>
      </c>
      <c r="RM16" s="33" t="n">
        <v>908.4987975968371</v>
      </c>
      <c r="RN16" s="33" t="n">
        <v>908.4987975968371</v>
      </c>
      <c r="RO16" s="33" t="n">
        <v>908.4987975968371</v>
      </c>
      <c r="RP16" s="33" t="n">
        <v>908.4987975968371</v>
      </c>
      <c r="RQ16" s="33" t="n">
        <v>908.4987975968371</v>
      </c>
      <c r="RR16" s="33" t="n">
        <v>908.4987975968371</v>
      </c>
      <c r="RS16" s="33" t="n">
        <v>908.4987975968371</v>
      </c>
      <c r="RT16" s="33" t="n">
        <v>908.4987975968371</v>
      </c>
      <c r="RU16" s="33" t="n">
        <v>908.4987975968371</v>
      </c>
      <c r="RV16" s="33" t="n">
        <v>908.4987975968371</v>
      </c>
      <c r="RW16" s="33" t="n">
        <v>908.4987975968371</v>
      </c>
    </row>
    <row r="17" ht="13.05" customHeight="1">
      <c r="E17" s="25" t="inlineStr">
        <is>
          <t>Total OPEX</t>
        </is>
      </c>
      <c r="F17" s="26" t="n"/>
      <c r="G17" s="26" t="inlineStr">
        <is>
          <t>kEUR</t>
        </is>
      </c>
      <c r="H17" s="26" t="n"/>
      <c r="I17" s="26" t="n"/>
      <c r="J17" s="27" t="n">
        <v>808634.53169201</v>
      </c>
      <c r="K17" s="26" t="n"/>
      <c r="L17" s="28" t="n">
        <v>1174.916666666667</v>
      </c>
      <c r="M17" s="28" t="n">
        <v>1174.916666666667</v>
      </c>
      <c r="N17" s="28" t="n">
        <v>1174.916666666667</v>
      </c>
      <c r="O17" s="28" t="n">
        <v>1174.916666666667</v>
      </c>
      <c r="P17" s="28" t="n">
        <v>1174.916666666667</v>
      </c>
      <c r="Q17" s="28" t="n">
        <v>1174.916666666667</v>
      </c>
      <c r="R17" s="28" t="n">
        <v>1174.916666666667</v>
      </c>
      <c r="S17" s="28" t="n">
        <v>1174.916666666667</v>
      </c>
      <c r="T17" s="28" t="n">
        <v>1174.916666666667</v>
      </c>
      <c r="U17" s="28" t="n">
        <v>1174.916666666667</v>
      </c>
      <c r="V17" s="28" t="n">
        <v>1174.916666666667</v>
      </c>
      <c r="W17" s="28" t="n">
        <v>1174.916666666667</v>
      </c>
      <c r="X17" s="28" t="n">
        <v>1174.916666666667</v>
      </c>
      <c r="Y17" s="28" t="n">
        <v>1174.916666666667</v>
      </c>
      <c r="Z17" s="28" t="n">
        <v>1174.916666666667</v>
      </c>
      <c r="AA17" s="28" t="n">
        <v>1174.916666666667</v>
      </c>
      <c r="AB17" s="28" t="n">
        <v>1174.916666666667</v>
      </c>
      <c r="AC17" s="28" t="n">
        <v>1174.916666666667</v>
      </c>
      <c r="AD17" s="28" t="n">
        <v>1174.916666666667</v>
      </c>
      <c r="AE17" s="28" t="n">
        <v>1174.916666666667</v>
      </c>
      <c r="AF17" s="28" t="n">
        <v>1174.916666666667</v>
      </c>
      <c r="AG17" s="28" t="n">
        <v>1174.916666666667</v>
      </c>
      <c r="AH17" s="28" t="n">
        <v>1174.916666666667</v>
      </c>
      <c r="AI17" s="28" t="n">
        <v>1174.916666666667</v>
      </c>
      <c r="AJ17" s="28" t="n">
        <v>1174.916666666667</v>
      </c>
      <c r="AK17" s="28" t="n">
        <v>1174.916666666667</v>
      </c>
      <c r="AL17" s="28" t="n">
        <v>1174.916666666667</v>
      </c>
      <c r="AM17" s="28" t="n">
        <v>1174.916666666667</v>
      </c>
      <c r="AN17" s="28" t="n">
        <v>1174.916666666667</v>
      </c>
      <c r="AO17" s="28" t="n">
        <v>1174.916666666667</v>
      </c>
      <c r="AP17" s="28" t="n">
        <v>1174.916666666667</v>
      </c>
      <c r="AQ17" s="28" t="n">
        <v>1174.916666666667</v>
      </c>
      <c r="AR17" s="28" t="n">
        <v>1174.916666666667</v>
      </c>
      <c r="AS17" s="28" t="n">
        <v>1174.916666666667</v>
      </c>
      <c r="AT17" s="28" t="n">
        <v>1174.916666666667</v>
      </c>
      <c r="AU17" s="28" t="n">
        <v>1174.916666666667</v>
      </c>
      <c r="AV17" s="28" t="n">
        <v>1174.916666666667</v>
      </c>
      <c r="AW17" s="28" t="n">
        <v>1174.916666666667</v>
      </c>
      <c r="AX17" s="28" t="n">
        <v>1174.916666666667</v>
      </c>
      <c r="AY17" s="28" t="n">
        <v>1174.916666666667</v>
      </c>
      <c r="AZ17" s="28" t="n">
        <v>1174.916666666667</v>
      </c>
      <c r="BA17" s="28" t="n">
        <v>1174.916666666667</v>
      </c>
      <c r="BB17" s="28" t="n">
        <v>1174.916666666667</v>
      </c>
      <c r="BC17" s="28" t="n">
        <v>1174.916666666667</v>
      </c>
      <c r="BD17" s="28" t="n">
        <v>1174.916666666667</v>
      </c>
      <c r="BE17" s="28" t="n">
        <v>1174.916666666667</v>
      </c>
      <c r="BF17" s="28" t="n">
        <v>1174.916666666667</v>
      </c>
      <c r="BG17" s="28" t="n">
        <v>1174.916666666667</v>
      </c>
      <c r="BH17" s="28" t="n">
        <v>1174.916666666667</v>
      </c>
      <c r="BI17" s="28" t="n">
        <v>1174.916666666667</v>
      </c>
      <c r="BJ17" s="28" t="n">
        <v>1174.916666666667</v>
      </c>
      <c r="BK17" s="28" t="n">
        <v>1174.916666666667</v>
      </c>
      <c r="BL17" s="28" t="n">
        <v>1174.916666666667</v>
      </c>
      <c r="BM17" s="28" t="n">
        <v>1174.916666666667</v>
      </c>
      <c r="BN17" s="28" t="n">
        <v>1174.916666666667</v>
      </c>
      <c r="BO17" s="28" t="n">
        <v>1174.916666666667</v>
      </c>
      <c r="BP17" s="28" t="n">
        <v>1174.916666666667</v>
      </c>
      <c r="BQ17" s="28" t="n">
        <v>1174.916666666667</v>
      </c>
      <c r="BR17" s="28" t="n">
        <v>1174.916666666667</v>
      </c>
      <c r="BS17" s="28" t="n">
        <v>1174.916666666667</v>
      </c>
      <c r="BT17" s="28" t="n">
        <v>1174.916666666667</v>
      </c>
      <c r="BU17" s="28" t="n">
        <v>1174.916666666667</v>
      </c>
      <c r="BV17" s="28" t="n">
        <v>1174.916666666667</v>
      </c>
      <c r="BW17" s="28" t="n">
        <v>1174.916666666667</v>
      </c>
      <c r="BX17" s="28" t="n">
        <v>1174.916666666667</v>
      </c>
      <c r="BY17" s="28" t="n">
        <v>1174.916666666667</v>
      </c>
      <c r="BZ17" s="28" t="n">
        <v>1174.916666666667</v>
      </c>
      <c r="CA17" s="28" t="n">
        <v>1174.916666666667</v>
      </c>
      <c r="CB17" s="28" t="n">
        <v>1174.916666666667</v>
      </c>
      <c r="CC17" s="28" t="n">
        <v>1174.916666666667</v>
      </c>
      <c r="CD17" s="28" t="n">
        <v>1174.916666666667</v>
      </c>
      <c r="CE17" s="28" t="n">
        <v>1174.916666666667</v>
      </c>
      <c r="CF17" s="28" t="n">
        <v>1174.916666666667</v>
      </c>
      <c r="CG17" s="28" t="n">
        <v>1174.916666666667</v>
      </c>
      <c r="CH17" s="28" t="n">
        <v>1174.916666666667</v>
      </c>
      <c r="CI17" s="28" t="n">
        <v>1174.916666666667</v>
      </c>
      <c r="CJ17" s="28" t="n">
        <v>1174.916666666667</v>
      </c>
      <c r="CK17" s="28" t="n">
        <v>1174.916666666667</v>
      </c>
      <c r="CL17" s="28" t="n">
        <v>1174.916666666667</v>
      </c>
      <c r="CM17" s="28" t="n">
        <v>1174.916666666667</v>
      </c>
      <c r="CN17" s="28" t="n">
        <v>1174.916666666667</v>
      </c>
      <c r="CO17" s="28" t="n">
        <v>1174.916666666667</v>
      </c>
      <c r="CP17" s="28" t="n">
        <v>1174.916666666667</v>
      </c>
      <c r="CQ17" s="28" t="n">
        <v>1174.916666666667</v>
      </c>
      <c r="CR17" s="28" t="n">
        <v>1174.916666666667</v>
      </c>
      <c r="CS17" s="28" t="n">
        <v>1174.916666666667</v>
      </c>
      <c r="CT17" s="28" t="n">
        <v>1174.916666666667</v>
      </c>
      <c r="CU17" s="28" t="n">
        <v>1174.916666666667</v>
      </c>
      <c r="CV17" s="28" t="n">
        <v>1174.916666666667</v>
      </c>
      <c r="CW17" s="28" t="n">
        <v>1174.916666666667</v>
      </c>
      <c r="CX17" s="28" t="n">
        <v>1174.916666666667</v>
      </c>
      <c r="CY17" s="28" t="n">
        <v>1174.916666666667</v>
      </c>
      <c r="CZ17" s="28" t="n">
        <v>1174.916666666667</v>
      </c>
      <c r="DA17" s="28" t="n">
        <v>1174.916666666667</v>
      </c>
      <c r="DB17" s="28" t="n">
        <v>1174.916666666667</v>
      </c>
      <c r="DC17" s="28" t="n">
        <v>1174.916666666667</v>
      </c>
      <c r="DD17" s="28" t="n">
        <v>1204.289583333333</v>
      </c>
      <c r="DE17" s="28" t="n">
        <v>1204.289583333333</v>
      </c>
      <c r="DF17" s="28" t="n">
        <v>1204.289583333333</v>
      </c>
      <c r="DG17" s="28" t="n">
        <v>1204.289583333333</v>
      </c>
      <c r="DH17" s="28" t="n">
        <v>1204.289583333333</v>
      </c>
      <c r="DI17" s="28" t="n">
        <v>1204.289583333333</v>
      </c>
      <c r="DJ17" s="28" t="n">
        <v>1204.289583333333</v>
      </c>
      <c r="DK17" s="28" t="n">
        <v>1204.289583333333</v>
      </c>
      <c r="DL17" s="28" t="n">
        <v>1204.289583333333</v>
      </c>
      <c r="DM17" s="28" t="n">
        <v>1204.289583333333</v>
      </c>
      <c r="DN17" s="28" t="n">
        <v>1204.289583333333</v>
      </c>
      <c r="DO17" s="28" t="n">
        <v>1204.289583333333</v>
      </c>
      <c r="DP17" s="28" t="n">
        <v>1234.396822916667</v>
      </c>
      <c r="DQ17" s="28" t="n">
        <v>1234.396822916667</v>
      </c>
      <c r="DR17" s="28" t="n">
        <v>1234.396822916667</v>
      </c>
      <c r="DS17" s="28" t="n">
        <v>1234.396822916667</v>
      </c>
      <c r="DT17" s="28" t="n">
        <v>1234.396822916667</v>
      </c>
      <c r="DU17" s="28" t="n">
        <v>1234.396822916667</v>
      </c>
      <c r="DV17" s="28" t="n">
        <v>1234.396822916667</v>
      </c>
      <c r="DW17" s="28" t="n">
        <v>1234.396822916667</v>
      </c>
      <c r="DX17" s="28" t="n">
        <v>1234.396822916667</v>
      </c>
      <c r="DY17" s="28" t="n">
        <v>1234.396822916667</v>
      </c>
      <c r="DZ17" s="28" t="n">
        <v>1234.396822916667</v>
      </c>
      <c r="EA17" s="28" t="n">
        <v>1234.396822916667</v>
      </c>
      <c r="EB17" s="28" t="n">
        <v>1265.256743489583</v>
      </c>
      <c r="EC17" s="28" t="n">
        <v>1265.256743489583</v>
      </c>
      <c r="ED17" s="28" t="n">
        <v>1265.256743489583</v>
      </c>
      <c r="EE17" s="28" t="n">
        <v>1265.256743489583</v>
      </c>
      <c r="EF17" s="28" t="n">
        <v>1265.256743489583</v>
      </c>
      <c r="EG17" s="28" t="n">
        <v>1265.256743489583</v>
      </c>
      <c r="EH17" s="28" t="n">
        <v>1265.256743489583</v>
      </c>
      <c r="EI17" s="28" t="n">
        <v>1265.256743489583</v>
      </c>
      <c r="EJ17" s="28" t="n">
        <v>1265.256743489583</v>
      </c>
      <c r="EK17" s="28" t="n">
        <v>1265.256743489583</v>
      </c>
      <c r="EL17" s="28" t="n">
        <v>1265.256743489583</v>
      </c>
      <c r="EM17" s="28" t="n">
        <v>1265.256743489583</v>
      </c>
      <c r="EN17" s="28" t="n">
        <v>1296.888162076822</v>
      </c>
      <c r="EO17" s="28" t="n">
        <v>1296.888162076822</v>
      </c>
      <c r="EP17" s="28" t="n">
        <v>1296.888162076822</v>
      </c>
      <c r="EQ17" s="28" t="n">
        <v>1296.888162076822</v>
      </c>
      <c r="ER17" s="28" t="n">
        <v>1296.888162076822</v>
      </c>
      <c r="ES17" s="28" t="n">
        <v>1296.888162076822</v>
      </c>
      <c r="ET17" s="28" t="n">
        <v>1296.888162076822</v>
      </c>
      <c r="EU17" s="28" t="n">
        <v>1296.888162076822</v>
      </c>
      <c r="EV17" s="28" t="n">
        <v>1296.888162076822</v>
      </c>
      <c r="EW17" s="28" t="n">
        <v>1296.888162076822</v>
      </c>
      <c r="EX17" s="28" t="n">
        <v>1296.888162076822</v>
      </c>
      <c r="EY17" s="28" t="n">
        <v>1296.888162076822</v>
      </c>
      <c r="EZ17" s="28" t="n">
        <v>1329.310366128743</v>
      </c>
      <c r="FA17" s="28" t="n">
        <v>1329.310366128743</v>
      </c>
      <c r="FB17" s="28" t="n">
        <v>1329.310366128743</v>
      </c>
      <c r="FC17" s="28" t="n">
        <v>1329.310366128743</v>
      </c>
      <c r="FD17" s="28" t="n">
        <v>1329.310366128743</v>
      </c>
      <c r="FE17" s="28" t="n">
        <v>1329.310366128743</v>
      </c>
      <c r="FF17" s="28" t="n">
        <v>1329.310366128743</v>
      </c>
      <c r="FG17" s="28" t="n">
        <v>1329.310366128743</v>
      </c>
      <c r="FH17" s="28" t="n">
        <v>1329.310366128743</v>
      </c>
      <c r="FI17" s="28" t="n">
        <v>1329.310366128743</v>
      </c>
      <c r="FJ17" s="28" t="n">
        <v>1329.310366128743</v>
      </c>
      <c r="FK17" s="28" t="n">
        <v>1329.310366128743</v>
      </c>
      <c r="FL17" s="28" t="n">
        <v>1362.543125281961</v>
      </c>
      <c r="FM17" s="28" t="n">
        <v>1362.543125281961</v>
      </c>
      <c r="FN17" s="28" t="n">
        <v>1362.543125281961</v>
      </c>
      <c r="FO17" s="28" t="n">
        <v>1362.543125281961</v>
      </c>
      <c r="FP17" s="28" t="n">
        <v>1362.543125281961</v>
      </c>
      <c r="FQ17" s="28" t="n">
        <v>1362.543125281961</v>
      </c>
      <c r="FR17" s="28" t="n">
        <v>1362.543125281961</v>
      </c>
      <c r="FS17" s="28" t="n">
        <v>1362.543125281961</v>
      </c>
      <c r="FT17" s="28" t="n">
        <v>1362.543125281961</v>
      </c>
      <c r="FU17" s="28" t="n">
        <v>1362.543125281961</v>
      </c>
      <c r="FV17" s="28" t="n">
        <v>1362.543125281961</v>
      </c>
      <c r="FW17" s="28" t="n">
        <v>1362.543125281961</v>
      </c>
      <c r="FX17" s="28" t="n">
        <v>1396.606703414011</v>
      </c>
      <c r="FY17" s="28" t="n">
        <v>1396.606703414011</v>
      </c>
      <c r="FZ17" s="28" t="n">
        <v>1396.606703414011</v>
      </c>
      <c r="GA17" s="28" t="n">
        <v>1396.606703414011</v>
      </c>
      <c r="GB17" s="28" t="n">
        <v>1396.606703414011</v>
      </c>
      <c r="GC17" s="28" t="n">
        <v>1396.606703414011</v>
      </c>
      <c r="GD17" s="28" t="n">
        <v>1396.606703414011</v>
      </c>
      <c r="GE17" s="28" t="n">
        <v>1396.606703414011</v>
      </c>
      <c r="GF17" s="28" t="n">
        <v>1396.606703414011</v>
      </c>
      <c r="GG17" s="28" t="n">
        <v>1396.606703414011</v>
      </c>
      <c r="GH17" s="28" t="n">
        <v>1396.606703414011</v>
      </c>
      <c r="GI17" s="28" t="n">
        <v>1396.606703414011</v>
      </c>
      <c r="GJ17" s="28" t="n">
        <v>1431.52187099936</v>
      </c>
      <c r="GK17" s="28" t="n">
        <v>1431.52187099936</v>
      </c>
      <c r="GL17" s="28" t="n">
        <v>1431.52187099936</v>
      </c>
      <c r="GM17" s="28" t="n">
        <v>1431.52187099936</v>
      </c>
      <c r="GN17" s="28" t="n">
        <v>1431.52187099936</v>
      </c>
      <c r="GO17" s="28" t="n">
        <v>1431.52187099936</v>
      </c>
      <c r="GP17" s="28" t="n">
        <v>1431.52187099936</v>
      </c>
      <c r="GQ17" s="28" t="n">
        <v>1431.52187099936</v>
      </c>
      <c r="GR17" s="28" t="n">
        <v>1431.52187099936</v>
      </c>
      <c r="GS17" s="28" t="n">
        <v>1431.52187099936</v>
      </c>
      <c r="GT17" s="28" t="n">
        <v>1431.52187099936</v>
      </c>
      <c r="GU17" s="28" t="n">
        <v>1431.52187099936</v>
      </c>
      <c r="GV17" s="28" t="n">
        <v>1467.309917774344</v>
      </c>
      <c r="GW17" s="28" t="n">
        <v>1467.309917774344</v>
      </c>
      <c r="GX17" s="28" t="n">
        <v>1467.309917774344</v>
      </c>
      <c r="GY17" s="28" t="n">
        <v>1467.309917774344</v>
      </c>
      <c r="GZ17" s="28" t="n">
        <v>1467.309917774344</v>
      </c>
      <c r="HA17" s="28" t="n">
        <v>1467.309917774344</v>
      </c>
      <c r="HB17" s="28" t="n">
        <v>1467.309917774344</v>
      </c>
      <c r="HC17" s="28" t="n">
        <v>1467.309917774344</v>
      </c>
      <c r="HD17" s="28" t="n">
        <v>1467.309917774344</v>
      </c>
      <c r="HE17" s="28" t="n">
        <v>1467.309917774344</v>
      </c>
      <c r="HF17" s="28" t="n">
        <v>1467.309917774344</v>
      </c>
      <c r="HG17" s="28" t="n">
        <v>1467.309917774344</v>
      </c>
      <c r="HH17" s="28" t="n">
        <v>1503.992665718703</v>
      </c>
      <c r="HI17" s="28" t="n">
        <v>1503.992665718703</v>
      </c>
      <c r="HJ17" s="28" t="n">
        <v>1503.992665718703</v>
      </c>
      <c r="HK17" s="28" t="n">
        <v>1503.992665718703</v>
      </c>
      <c r="HL17" s="28" t="n">
        <v>1503.992665718703</v>
      </c>
      <c r="HM17" s="28" t="n">
        <v>1503.992665718703</v>
      </c>
      <c r="HN17" s="28" t="n">
        <v>1503.992665718703</v>
      </c>
      <c r="HO17" s="28" t="n">
        <v>1503.992665718703</v>
      </c>
      <c r="HP17" s="28" t="n">
        <v>1503.992665718703</v>
      </c>
      <c r="HQ17" s="28" t="n">
        <v>1503.992665718703</v>
      </c>
      <c r="HR17" s="28" t="n">
        <v>1503.992665718703</v>
      </c>
      <c r="HS17" s="28" t="n">
        <v>1503.992665718703</v>
      </c>
      <c r="HT17" s="28" t="n">
        <v>1541.59248236167</v>
      </c>
      <c r="HU17" s="28" t="n">
        <v>1541.59248236167</v>
      </c>
      <c r="HV17" s="28" t="n">
        <v>1541.59248236167</v>
      </c>
      <c r="HW17" s="28" t="n">
        <v>1541.59248236167</v>
      </c>
      <c r="HX17" s="28" t="n">
        <v>1541.59248236167</v>
      </c>
      <c r="HY17" s="28" t="n">
        <v>1541.59248236167</v>
      </c>
      <c r="HZ17" s="28" t="n">
        <v>1541.59248236167</v>
      </c>
      <c r="IA17" s="28" t="n">
        <v>1541.59248236167</v>
      </c>
      <c r="IB17" s="28" t="n">
        <v>1541.59248236167</v>
      </c>
      <c r="IC17" s="28" t="n">
        <v>1541.59248236167</v>
      </c>
      <c r="ID17" s="28" t="n">
        <v>1541.59248236167</v>
      </c>
      <c r="IE17" s="28" t="n">
        <v>1541.59248236167</v>
      </c>
      <c r="IF17" s="28" t="n">
        <v>1580.132294420712</v>
      </c>
      <c r="IG17" s="28" t="n">
        <v>1580.132294420712</v>
      </c>
      <c r="IH17" s="28" t="n">
        <v>1580.132294420712</v>
      </c>
      <c r="II17" s="28" t="n">
        <v>1580.132294420712</v>
      </c>
      <c r="IJ17" s="28" t="n">
        <v>1580.132294420712</v>
      </c>
      <c r="IK17" s="28" t="n">
        <v>1580.132294420712</v>
      </c>
      <c r="IL17" s="28" t="n">
        <v>1580.132294420712</v>
      </c>
      <c r="IM17" s="28" t="n">
        <v>1580.132294420712</v>
      </c>
      <c r="IN17" s="28" t="n">
        <v>1580.132294420712</v>
      </c>
      <c r="IO17" s="28" t="n">
        <v>1580.132294420712</v>
      </c>
      <c r="IP17" s="28" t="n">
        <v>1580.132294420712</v>
      </c>
      <c r="IQ17" s="28" t="n">
        <v>1580.132294420712</v>
      </c>
      <c r="IR17" s="28" t="n">
        <v>1619.63560178123</v>
      </c>
      <c r="IS17" s="28" t="n">
        <v>1619.63560178123</v>
      </c>
      <c r="IT17" s="28" t="n">
        <v>1619.63560178123</v>
      </c>
      <c r="IU17" s="28" t="n">
        <v>1619.63560178123</v>
      </c>
      <c r="IV17" s="28" t="n">
        <v>1619.63560178123</v>
      </c>
      <c r="IW17" s="28" t="n">
        <v>1619.63560178123</v>
      </c>
      <c r="IX17" s="28" t="n">
        <v>1619.63560178123</v>
      </c>
      <c r="IY17" s="28" t="n">
        <v>1619.63560178123</v>
      </c>
      <c r="IZ17" s="28" t="n">
        <v>1619.63560178123</v>
      </c>
      <c r="JA17" s="28" t="n">
        <v>1619.63560178123</v>
      </c>
      <c r="JB17" s="28" t="n">
        <v>1619.63560178123</v>
      </c>
      <c r="JC17" s="28" t="n">
        <v>1619.63560178123</v>
      </c>
      <c r="JD17" s="28" t="n">
        <v>1660.12649182576</v>
      </c>
      <c r="JE17" s="28" t="n">
        <v>1660.12649182576</v>
      </c>
      <c r="JF17" s="28" t="n">
        <v>1660.12649182576</v>
      </c>
      <c r="JG17" s="28" t="n">
        <v>1660.12649182576</v>
      </c>
      <c r="JH17" s="28" t="n">
        <v>1660.12649182576</v>
      </c>
      <c r="JI17" s="28" t="n">
        <v>1660.12649182576</v>
      </c>
      <c r="JJ17" s="28" t="n">
        <v>1660.12649182576</v>
      </c>
      <c r="JK17" s="28" t="n">
        <v>1660.12649182576</v>
      </c>
      <c r="JL17" s="28" t="n">
        <v>1660.12649182576</v>
      </c>
      <c r="JM17" s="28" t="n">
        <v>1660.12649182576</v>
      </c>
      <c r="JN17" s="28" t="n">
        <v>1660.12649182576</v>
      </c>
      <c r="JO17" s="28" t="n">
        <v>1660.12649182576</v>
      </c>
      <c r="JP17" s="28" t="n">
        <v>1701.629654121404</v>
      </c>
      <c r="JQ17" s="28" t="n">
        <v>1701.629654121404</v>
      </c>
      <c r="JR17" s="28" t="n">
        <v>1701.629654121404</v>
      </c>
      <c r="JS17" s="28" t="n">
        <v>1701.629654121404</v>
      </c>
      <c r="JT17" s="28" t="n">
        <v>1701.629654121404</v>
      </c>
      <c r="JU17" s="28" t="n">
        <v>1701.629654121404</v>
      </c>
      <c r="JV17" s="28" t="n">
        <v>1701.629654121404</v>
      </c>
      <c r="JW17" s="28" t="n">
        <v>1701.629654121404</v>
      </c>
      <c r="JX17" s="28" t="n">
        <v>1701.629654121404</v>
      </c>
      <c r="JY17" s="28" t="n">
        <v>1701.629654121404</v>
      </c>
      <c r="JZ17" s="28" t="n">
        <v>1701.629654121404</v>
      </c>
      <c r="KA17" s="28" t="n">
        <v>1701.629654121404</v>
      </c>
      <c r="KB17" s="28" t="n">
        <v>1744.170395474439</v>
      </c>
      <c r="KC17" s="28" t="n">
        <v>1744.170395474439</v>
      </c>
      <c r="KD17" s="28" t="n">
        <v>1744.170395474439</v>
      </c>
      <c r="KE17" s="28" t="n">
        <v>1744.170395474439</v>
      </c>
      <c r="KF17" s="28" t="n">
        <v>1744.170395474439</v>
      </c>
      <c r="KG17" s="28" t="n">
        <v>1744.170395474439</v>
      </c>
      <c r="KH17" s="28" t="n">
        <v>1744.170395474439</v>
      </c>
      <c r="KI17" s="28" t="n">
        <v>1744.170395474439</v>
      </c>
      <c r="KJ17" s="28" t="n">
        <v>1744.170395474439</v>
      </c>
      <c r="KK17" s="28" t="n">
        <v>1744.170395474439</v>
      </c>
      <c r="KL17" s="28" t="n">
        <v>1744.170395474439</v>
      </c>
      <c r="KM17" s="28" t="n">
        <v>1744.170395474439</v>
      </c>
      <c r="KN17" s="28" t="n">
        <v>1787.7746553613</v>
      </c>
      <c r="KO17" s="28" t="n">
        <v>1787.7746553613</v>
      </c>
      <c r="KP17" s="28" t="n">
        <v>1787.7746553613</v>
      </c>
      <c r="KQ17" s="28" t="n">
        <v>1787.7746553613</v>
      </c>
      <c r="KR17" s="28" t="n">
        <v>1787.7746553613</v>
      </c>
      <c r="KS17" s="28" t="n">
        <v>1787.7746553613</v>
      </c>
      <c r="KT17" s="28" t="n">
        <v>1787.7746553613</v>
      </c>
      <c r="KU17" s="28" t="n">
        <v>1787.7746553613</v>
      </c>
      <c r="KV17" s="28" t="n">
        <v>1787.7746553613</v>
      </c>
      <c r="KW17" s="28" t="n">
        <v>1787.7746553613</v>
      </c>
      <c r="KX17" s="28" t="n">
        <v>1787.7746553613</v>
      </c>
      <c r="KY17" s="28" t="n">
        <v>1787.7746553613</v>
      </c>
      <c r="KZ17" s="28" t="n">
        <v>1832.469021745332</v>
      </c>
      <c r="LA17" s="28" t="n">
        <v>1832.469021745332</v>
      </c>
      <c r="LB17" s="28" t="n">
        <v>1832.469021745332</v>
      </c>
      <c r="LC17" s="28" t="n">
        <v>1832.469021745332</v>
      </c>
      <c r="LD17" s="28" t="n">
        <v>1832.469021745332</v>
      </c>
      <c r="LE17" s="28" t="n">
        <v>1832.469021745332</v>
      </c>
      <c r="LF17" s="28" t="n">
        <v>1832.469021745332</v>
      </c>
      <c r="LG17" s="28" t="n">
        <v>1832.469021745332</v>
      </c>
      <c r="LH17" s="28" t="n">
        <v>1832.469021745332</v>
      </c>
      <c r="LI17" s="28" t="n">
        <v>1832.469021745332</v>
      </c>
      <c r="LJ17" s="28" t="n">
        <v>1832.469021745332</v>
      </c>
      <c r="LK17" s="28" t="n">
        <v>1832.469021745332</v>
      </c>
      <c r="LL17" s="28" t="n">
        <v>1878.280747288965</v>
      </c>
      <c r="LM17" s="28" t="n">
        <v>1878.280747288965</v>
      </c>
      <c r="LN17" s="28" t="n">
        <v>1878.280747288965</v>
      </c>
      <c r="LO17" s="28" t="n">
        <v>1878.280747288965</v>
      </c>
      <c r="LP17" s="28" t="n">
        <v>1878.280747288965</v>
      </c>
      <c r="LQ17" s="28" t="n">
        <v>1878.280747288965</v>
      </c>
      <c r="LR17" s="28" t="n">
        <v>1878.280747288965</v>
      </c>
      <c r="LS17" s="28" t="n">
        <v>1878.280747288965</v>
      </c>
      <c r="LT17" s="28" t="n">
        <v>1878.280747288965</v>
      </c>
      <c r="LU17" s="28" t="n">
        <v>1878.280747288965</v>
      </c>
      <c r="LV17" s="28" t="n">
        <v>1878.280747288965</v>
      </c>
      <c r="LW17" s="28" t="n">
        <v>1878.280747288965</v>
      </c>
      <c r="LX17" s="28" t="n">
        <v>1925.237765971189</v>
      </c>
      <c r="LY17" s="28" t="n">
        <v>1925.237765971189</v>
      </c>
      <c r="LZ17" s="28" t="n">
        <v>1925.237765971189</v>
      </c>
      <c r="MA17" s="28" t="n">
        <v>1925.237765971189</v>
      </c>
      <c r="MB17" s="28" t="n">
        <v>1925.237765971189</v>
      </c>
      <c r="MC17" s="28" t="n">
        <v>1925.237765971189</v>
      </c>
      <c r="MD17" s="28" t="n">
        <v>1925.237765971189</v>
      </c>
      <c r="ME17" s="28" t="n">
        <v>1925.237765971189</v>
      </c>
      <c r="MF17" s="28" t="n">
        <v>1925.237765971189</v>
      </c>
      <c r="MG17" s="28" t="n">
        <v>1925.237765971189</v>
      </c>
      <c r="MH17" s="28" t="n">
        <v>1925.237765971189</v>
      </c>
      <c r="MI17" s="28" t="n">
        <v>1925.237765971189</v>
      </c>
      <c r="MJ17" s="28" t="n">
        <v>1973.368710120469</v>
      </c>
      <c r="MK17" s="28" t="n">
        <v>1973.368710120469</v>
      </c>
      <c r="ML17" s="28" t="n">
        <v>1973.368710120469</v>
      </c>
      <c r="MM17" s="28" t="n">
        <v>1973.368710120469</v>
      </c>
      <c r="MN17" s="28" t="n">
        <v>1973.368710120469</v>
      </c>
      <c r="MO17" s="28" t="n">
        <v>1973.368710120469</v>
      </c>
      <c r="MP17" s="28" t="n">
        <v>1973.368710120469</v>
      </c>
      <c r="MQ17" s="28" t="n">
        <v>1973.368710120469</v>
      </c>
      <c r="MR17" s="28" t="n">
        <v>1973.368710120469</v>
      </c>
      <c r="MS17" s="28" t="n">
        <v>1973.368710120469</v>
      </c>
      <c r="MT17" s="28" t="n">
        <v>1973.368710120469</v>
      </c>
      <c r="MU17" s="28" t="n">
        <v>1973.368710120469</v>
      </c>
      <c r="MV17" s="28" t="n">
        <v>2022.70292787348</v>
      </c>
      <c r="MW17" s="28" t="n">
        <v>2022.70292787348</v>
      </c>
      <c r="MX17" s="28" t="n">
        <v>2022.70292787348</v>
      </c>
      <c r="MY17" s="28" t="n">
        <v>2022.70292787348</v>
      </c>
      <c r="MZ17" s="28" t="n">
        <v>2022.70292787348</v>
      </c>
      <c r="NA17" s="28" t="n">
        <v>2022.70292787348</v>
      </c>
      <c r="NB17" s="28" t="n">
        <v>2022.70292787348</v>
      </c>
      <c r="NC17" s="28" t="n">
        <v>2022.70292787348</v>
      </c>
      <c r="ND17" s="28" t="n">
        <v>2022.70292787348</v>
      </c>
      <c r="NE17" s="28" t="n">
        <v>2022.70292787348</v>
      </c>
      <c r="NF17" s="28" t="n">
        <v>2022.70292787348</v>
      </c>
      <c r="NG17" s="28" t="n">
        <v>2022.70292787348</v>
      </c>
      <c r="NH17" s="28" t="n">
        <v>2073.270501070317</v>
      </c>
      <c r="NI17" s="28" t="n">
        <v>2073.270501070317</v>
      </c>
      <c r="NJ17" s="28" t="n">
        <v>2073.270501070317</v>
      </c>
      <c r="NK17" s="28" t="n">
        <v>2073.270501070317</v>
      </c>
      <c r="NL17" s="28" t="n">
        <v>2073.270501070317</v>
      </c>
      <c r="NM17" s="28" t="n">
        <v>2073.270501070317</v>
      </c>
      <c r="NN17" s="28" t="n">
        <v>2073.270501070317</v>
      </c>
      <c r="NO17" s="28" t="n">
        <v>2073.270501070317</v>
      </c>
      <c r="NP17" s="28" t="n">
        <v>2073.270501070317</v>
      </c>
      <c r="NQ17" s="28" t="n">
        <v>2073.270501070317</v>
      </c>
      <c r="NR17" s="28" t="n">
        <v>2073.270501070317</v>
      </c>
      <c r="NS17" s="28" t="n">
        <v>2073.270501070317</v>
      </c>
      <c r="NT17" s="28" t="n">
        <v>2125.102263597075</v>
      </c>
      <c r="NU17" s="28" t="n">
        <v>2125.102263597075</v>
      </c>
      <c r="NV17" s="28" t="n">
        <v>2125.102263597075</v>
      </c>
      <c r="NW17" s="28" t="n">
        <v>2125.102263597075</v>
      </c>
      <c r="NX17" s="28" t="n">
        <v>2125.102263597075</v>
      </c>
      <c r="NY17" s="28" t="n">
        <v>2125.102263597075</v>
      </c>
      <c r="NZ17" s="28" t="n">
        <v>2125.102263597075</v>
      </c>
      <c r="OA17" s="28" t="n">
        <v>2125.102263597075</v>
      </c>
      <c r="OB17" s="28" t="n">
        <v>2125.102263597075</v>
      </c>
      <c r="OC17" s="28" t="n">
        <v>2125.102263597075</v>
      </c>
      <c r="OD17" s="28" t="n">
        <v>2125.102263597075</v>
      </c>
      <c r="OE17" s="28" t="n">
        <v>2125.102263597075</v>
      </c>
      <c r="OF17" s="28" t="n">
        <v>2178.229820187002</v>
      </c>
      <c r="OG17" s="28" t="n">
        <v>2178.229820187002</v>
      </c>
      <c r="OH17" s="28" t="n">
        <v>2178.229820187002</v>
      </c>
      <c r="OI17" s="28" t="n">
        <v>2178.229820187002</v>
      </c>
      <c r="OJ17" s="28" t="n">
        <v>2178.229820187002</v>
      </c>
      <c r="OK17" s="28" t="n">
        <v>2178.229820187002</v>
      </c>
      <c r="OL17" s="28" t="n">
        <v>2178.229820187002</v>
      </c>
      <c r="OM17" s="28" t="n">
        <v>2178.229820187002</v>
      </c>
      <c r="ON17" s="28" t="n">
        <v>2178.229820187002</v>
      </c>
      <c r="OO17" s="28" t="n">
        <v>2178.229820187002</v>
      </c>
      <c r="OP17" s="28" t="n">
        <v>2178.229820187002</v>
      </c>
      <c r="OQ17" s="28" t="n">
        <v>2178.229820187002</v>
      </c>
      <c r="OR17" s="28" t="n">
        <v>2232.685565691676</v>
      </c>
      <c r="OS17" s="28" t="n">
        <v>2232.685565691676</v>
      </c>
      <c r="OT17" s="28" t="n">
        <v>2232.685565691676</v>
      </c>
      <c r="OU17" s="28" t="n">
        <v>2232.685565691676</v>
      </c>
      <c r="OV17" s="28" t="n">
        <v>2232.685565691676</v>
      </c>
      <c r="OW17" s="28" t="n">
        <v>2232.685565691676</v>
      </c>
      <c r="OX17" s="28" t="n">
        <v>2232.685565691676</v>
      </c>
      <c r="OY17" s="28" t="n">
        <v>2232.685565691676</v>
      </c>
      <c r="OZ17" s="28" t="n">
        <v>2232.685565691676</v>
      </c>
      <c r="PA17" s="28" t="n">
        <v>2232.685565691676</v>
      </c>
      <c r="PB17" s="28" t="n">
        <v>2232.685565691676</v>
      </c>
      <c r="PC17" s="28" t="n">
        <v>2232.685565691676</v>
      </c>
      <c r="PD17" s="28" t="n">
        <v>2288.502704833968</v>
      </c>
      <c r="PE17" s="28" t="n">
        <v>2288.502704833968</v>
      </c>
      <c r="PF17" s="28" t="n">
        <v>2288.502704833968</v>
      </c>
      <c r="PG17" s="28" t="n">
        <v>2288.502704833968</v>
      </c>
      <c r="PH17" s="28" t="n">
        <v>2288.502704833968</v>
      </c>
      <c r="PI17" s="28" t="n">
        <v>2288.502704833968</v>
      </c>
      <c r="PJ17" s="28" t="n">
        <v>2288.502704833968</v>
      </c>
      <c r="PK17" s="28" t="n">
        <v>2288.502704833968</v>
      </c>
      <c r="PL17" s="28" t="n">
        <v>2288.502704833968</v>
      </c>
      <c r="PM17" s="28" t="n">
        <v>2288.502704833968</v>
      </c>
      <c r="PN17" s="28" t="n">
        <v>2288.502704833968</v>
      </c>
      <c r="PO17" s="28" t="n">
        <v>2288.502704833968</v>
      </c>
      <c r="PP17" s="28" t="n">
        <v>2345.715272454817</v>
      </c>
      <c r="PQ17" s="28" t="n">
        <v>2345.715272454817</v>
      </c>
      <c r="PR17" s="28" t="n">
        <v>2345.715272454817</v>
      </c>
      <c r="PS17" s="28" t="n">
        <v>2345.715272454817</v>
      </c>
      <c r="PT17" s="28" t="n">
        <v>2345.715272454817</v>
      </c>
      <c r="PU17" s="28" t="n">
        <v>2345.715272454817</v>
      </c>
      <c r="PV17" s="28" t="n">
        <v>2345.715272454817</v>
      </c>
      <c r="PW17" s="28" t="n">
        <v>2345.715272454817</v>
      </c>
      <c r="PX17" s="28" t="n">
        <v>2345.715272454817</v>
      </c>
      <c r="PY17" s="28" t="n">
        <v>2345.715272454817</v>
      </c>
      <c r="PZ17" s="28" t="n">
        <v>2345.715272454817</v>
      </c>
      <c r="QA17" s="28" t="n">
        <v>2345.715272454817</v>
      </c>
      <c r="QB17" s="28" t="n">
        <v>2404.358154266187</v>
      </c>
      <c r="QC17" s="28" t="n">
        <v>2404.358154266187</v>
      </c>
      <c r="QD17" s="28" t="n">
        <v>2404.358154266187</v>
      </c>
      <c r="QE17" s="28" t="n">
        <v>2404.358154266187</v>
      </c>
      <c r="QF17" s="28" t="n">
        <v>2404.358154266187</v>
      </c>
      <c r="QG17" s="28" t="n">
        <v>2404.358154266187</v>
      </c>
      <c r="QH17" s="28" t="n">
        <v>2404.358154266187</v>
      </c>
      <c r="QI17" s="28" t="n">
        <v>2404.358154266187</v>
      </c>
      <c r="QJ17" s="28" t="n">
        <v>2404.358154266187</v>
      </c>
      <c r="QK17" s="28" t="n">
        <v>2404.358154266187</v>
      </c>
      <c r="QL17" s="28" t="n">
        <v>2404.358154266187</v>
      </c>
      <c r="QM17" s="28" t="n">
        <v>2404.358154266187</v>
      </c>
      <c r="QN17" s="28" t="n">
        <v>2464.467108122842</v>
      </c>
      <c r="QO17" s="28" t="n">
        <v>2464.467108122842</v>
      </c>
      <c r="QP17" s="28" t="n">
        <v>2464.467108122842</v>
      </c>
      <c r="QQ17" s="28" t="n">
        <v>2464.467108122842</v>
      </c>
      <c r="QR17" s="28" t="n">
        <v>2464.467108122842</v>
      </c>
      <c r="QS17" s="28" t="n">
        <v>2464.467108122842</v>
      </c>
      <c r="QT17" s="28" t="n">
        <v>2464.467108122842</v>
      </c>
      <c r="QU17" s="28" t="n">
        <v>2464.467108122842</v>
      </c>
      <c r="QV17" s="28" t="n">
        <v>2464.467108122842</v>
      </c>
      <c r="QW17" s="28" t="n">
        <v>2464.467108122842</v>
      </c>
      <c r="QX17" s="28" t="n">
        <v>2464.467108122842</v>
      </c>
      <c r="QY17" s="28" t="n">
        <v>2464.467108122842</v>
      </c>
      <c r="QZ17" s="28" t="n">
        <v>2526.078785825913</v>
      </c>
      <c r="RA17" s="28" t="n">
        <v>2526.078785825913</v>
      </c>
      <c r="RB17" s="28" t="n">
        <v>2526.078785825913</v>
      </c>
      <c r="RC17" s="28" t="n">
        <v>2526.078785825913</v>
      </c>
      <c r="RD17" s="28" t="n">
        <v>2526.078785825913</v>
      </c>
      <c r="RE17" s="28" t="n">
        <v>2526.078785825913</v>
      </c>
      <c r="RF17" s="28" t="n">
        <v>2526.078785825913</v>
      </c>
      <c r="RG17" s="28" t="n">
        <v>2526.078785825913</v>
      </c>
      <c r="RH17" s="28" t="n">
        <v>2526.078785825913</v>
      </c>
      <c r="RI17" s="28" t="n">
        <v>2526.078785825913</v>
      </c>
      <c r="RJ17" s="28" t="n">
        <v>2526.078785825913</v>
      </c>
      <c r="RK17" s="28" t="n">
        <v>2526.078785825913</v>
      </c>
      <c r="RL17" s="28" t="n">
        <v>2589.23075547156</v>
      </c>
      <c r="RM17" s="28" t="n">
        <v>2589.23075547156</v>
      </c>
      <c r="RN17" s="28" t="n">
        <v>2589.23075547156</v>
      </c>
      <c r="RO17" s="28" t="n">
        <v>2589.23075547156</v>
      </c>
      <c r="RP17" s="28" t="n">
        <v>2589.23075547156</v>
      </c>
      <c r="RQ17" s="28" t="n">
        <v>2589.23075547156</v>
      </c>
      <c r="RR17" s="28" t="n">
        <v>2589.23075547156</v>
      </c>
      <c r="RS17" s="28" t="n">
        <v>2589.23075547156</v>
      </c>
      <c r="RT17" s="28" t="n">
        <v>2589.23075547156</v>
      </c>
      <c r="RU17" s="28" t="n">
        <v>2589.23075547156</v>
      </c>
      <c r="RV17" s="28" t="n">
        <v>2589.23075547156</v>
      </c>
      <c r="RW17" s="28" t="n">
        <v>2589.23075547156</v>
      </c>
    </row>
    <row r="18" ht="5.25" customHeight="1">
      <c r="A18" s="38" t="n"/>
      <c r="B18" s="38" t="n"/>
      <c r="C18" s="38" t="n"/>
      <c r="D18" s="38" t="n"/>
      <c r="E18" s="38" t="inlineStr">
        <is>
          <t>Operating Costs</t>
        </is>
      </c>
      <c r="F18" s="38" t="n"/>
      <c r="G18" s="38" t="n"/>
    </row>
    <row r="19" ht="13.05" customHeight="1">
      <c r="E19" s="39" t="inlineStr">
        <is>
          <t>BESS OPEX</t>
        </is>
      </c>
      <c r="F19" s="39" t="n"/>
      <c r="G19" s="39" t="n"/>
    </row>
    <row r="20" ht="13.05" customHeight="1">
      <c r="E20" s="21" t="inlineStr">
        <is>
          <t>O&amp;M</t>
        </is>
      </c>
      <c r="F20" s="29" t="n"/>
      <c r="G20" s="29" t="inlineStr">
        <is>
          <t>kEUR</t>
        </is>
      </c>
      <c r="H20" s="29" t="n"/>
      <c r="I20" s="29" t="n"/>
      <c r="J20" s="32" t="n">
        <v>1290809.899302105</v>
      </c>
      <c r="K20" s="29" t="n"/>
      <c r="L20" s="33" t="n">
        <v>1875.5</v>
      </c>
      <c r="M20" s="33" t="n">
        <v>1875.5</v>
      </c>
      <c r="N20" s="33" t="n">
        <v>1875.5</v>
      </c>
      <c r="O20" s="33" t="n">
        <v>1875.5</v>
      </c>
      <c r="P20" s="33" t="n">
        <v>1875.5</v>
      </c>
      <c r="Q20" s="33" t="n">
        <v>1875.5</v>
      </c>
      <c r="R20" s="33" t="n">
        <v>1875.5</v>
      </c>
      <c r="S20" s="33" t="n">
        <v>1875.5</v>
      </c>
      <c r="T20" s="33" t="n">
        <v>1875.5</v>
      </c>
      <c r="U20" s="33" t="n">
        <v>1875.5</v>
      </c>
      <c r="V20" s="33" t="n">
        <v>1875.5</v>
      </c>
      <c r="W20" s="33" t="n">
        <v>1875.5</v>
      </c>
      <c r="X20" s="33" t="n">
        <v>1875.5</v>
      </c>
      <c r="Y20" s="33" t="n">
        <v>1875.5</v>
      </c>
      <c r="Z20" s="33" t="n">
        <v>1875.5</v>
      </c>
      <c r="AA20" s="33" t="n">
        <v>1875.5</v>
      </c>
      <c r="AB20" s="33" t="n">
        <v>1875.5</v>
      </c>
      <c r="AC20" s="33" t="n">
        <v>1875.5</v>
      </c>
      <c r="AD20" s="33" t="n">
        <v>1875.5</v>
      </c>
      <c r="AE20" s="33" t="n">
        <v>1875.5</v>
      </c>
      <c r="AF20" s="33" t="n">
        <v>1875.5</v>
      </c>
      <c r="AG20" s="33" t="n">
        <v>1875.5</v>
      </c>
      <c r="AH20" s="33" t="n">
        <v>1875.5</v>
      </c>
      <c r="AI20" s="33" t="n">
        <v>1875.5</v>
      </c>
      <c r="AJ20" s="33" t="n">
        <v>1875.5</v>
      </c>
      <c r="AK20" s="33" t="n">
        <v>1875.5</v>
      </c>
      <c r="AL20" s="33" t="n">
        <v>1875.5</v>
      </c>
      <c r="AM20" s="33" t="n">
        <v>1875.5</v>
      </c>
      <c r="AN20" s="33" t="n">
        <v>1875.5</v>
      </c>
      <c r="AO20" s="33" t="n">
        <v>1875.5</v>
      </c>
      <c r="AP20" s="33" t="n">
        <v>1875.5</v>
      </c>
      <c r="AQ20" s="33" t="n">
        <v>1875.5</v>
      </c>
      <c r="AR20" s="33" t="n">
        <v>1875.5</v>
      </c>
      <c r="AS20" s="33" t="n">
        <v>1875.5</v>
      </c>
      <c r="AT20" s="33" t="n">
        <v>1875.5</v>
      </c>
      <c r="AU20" s="33" t="n">
        <v>1875.5</v>
      </c>
      <c r="AV20" s="33" t="n">
        <v>1875.5</v>
      </c>
      <c r="AW20" s="33" t="n">
        <v>1875.5</v>
      </c>
      <c r="AX20" s="33" t="n">
        <v>1875.5</v>
      </c>
      <c r="AY20" s="33" t="n">
        <v>1875.5</v>
      </c>
      <c r="AZ20" s="33" t="n">
        <v>1875.5</v>
      </c>
      <c r="BA20" s="33" t="n">
        <v>1875.5</v>
      </c>
      <c r="BB20" s="33" t="n">
        <v>1875.5</v>
      </c>
      <c r="BC20" s="33" t="n">
        <v>1875.5</v>
      </c>
      <c r="BD20" s="33" t="n">
        <v>1875.5</v>
      </c>
      <c r="BE20" s="33" t="n">
        <v>1875.5</v>
      </c>
      <c r="BF20" s="33" t="n">
        <v>1875.5</v>
      </c>
      <c r="BG20" s="33" t="n">
        <v>1875.5</v>
      </c>
      <c r="BH20" s="33" t="n">
        <v>1875.5</v>
      </c>
      <c r="BI20" s="33" t="n">
        <v>1875.5</v>
      </c>
      <c r="BJ20" s="33" t="n">
        <v>1875.5</v>
      </c>
      <c r="BK20" s="33" t="n">
        <v>1875.5</v>
      </c>
      <c r="BL20" s="33" t="n">
        <v>1875.5</v>
      </c>
      <c r="BM20" s="33" t="n">
        <v>1875.5</v>
      </c>
      <c r="BN20" s="33" t="n">
        <v>1875.5</v>
      </c>
      <c r="BO20" s="33" t="n">
        <v>1875.5</v>
      </c>
      <c r="BP20" s="33" t="n">
        <v>1875.5</v>
      </c>
      <c r="BQ20" s="33" t="n">
        <v>1875.5</v>
      </c>
      <c r="BR20" s="33" t="n">
        <v>1875.5</v>
      </c>
      <c r="BS20" s="33" t="n">
        <v>1875.5</v>
      </c>
      <c r="BT20" s="33" t="n">
        <v>1875.5</v>
      </c>
      <c r="BU20" s="33" t="n">
        <v>1875.5</v>
      </c>
      <c r="BV20" s="33" t="n">
        <v>1875.5</v>
      </c>
      <c r="BW20" s="33" t="n">
        <v>1875.5</v>
      </c>
      <c r="BX20" s="33" t="n">
        <v>1875.5</v>
      </c>
      <c r="BY20" s="33" t="n">
        <v>1875.5</v>
      </c>
      <c r="BZ20" s="33" t="n">
        <v>1875.5</v>
      </c>
      <c r="CA20" s="33" t="n">
        <v>1875.5</v>
      </c>
      <c r="CB20" s="33" t="n">
        <v>1875.5</v>
      </c>
      <c r="CC20" s="33" t="n">
        <v>1875.5</v>
      </c>
      <c r="CD20" s="33" t="n">
        <v>1875.5</v>
      </c>
      <c r="CE20" s="33" t="n">
        <v>1875.5</v>
      </c>
      <c r="CF20" s="33" t="n">
        <v>1875.5</v>
      </c>
      <c r="CG20" s="33" t="n">
        <v>1875.5</v>
      </c>
      <c r="CH20" s="33" t="n">
        <v>1875.5</v>
      </c>
      <c r="CI20" s="33" t="n">
        <v>1875.5</v>
      </c>
      <c r="CJ20" s="33" t="n">
        <v>1875.5</v>
      </c>
      <c r="CK20" s="33" t="n">
        <v>1875.5</v>
      </c>
      <c r="CL20" s="33" t="n">
        <v>1875.5</v>
      </c>
      <c r="CM20" s="33" t="n">
        <v>1875.5</v>
      </c>
      <c r="CN20" s="33" t="n">
        <v>1875.5</v>
      </c>
      <c r="CO20" s="33" t="n">
        <v>1875.5</v>
      </c>
      <c r="CP20" s="33" t="n">
        <v>1875.5</v>
      </c>
      <c r="CQ20" s="33" t="n">
        <v>1875.5</v>
      </c>
      <c r="CR20" s="33" t="n">
        <v>1875.5</v>
      </c>
      <c r="CS20" s="33" t="n">
        <v>1875.5</v>
      </c>
      <c r="CT20" s="33" t="n">
        <v>1875.5</v>
      </c>
      <c r="CU20" s="33" t="n">
        <v>1875.5</v>
      </c>
      <c r="CV20" s="33" t="n">
        <v>1875.5</v>
      </c>
      <c r="CW20" s="33" t="n">
        <v>1875.5</v>
      </c>
      <c r="CX20" s="33" t="n">
        <v>1875.5</v>
      </c>
      <c r="CY20" s="33" t="n">
        <v>1875.5</v>
      </c>
      <c r="CZ20" s="33" t="n">
        <v>1875.5</v>
      </c>
      <c r="DA20" s="33" t="n">
        <v>1875.5</v>
      </c>
      <c r="DB20" s="33" t="n">
        <v>1875.5</v>
      </c>
      <c r="DC20" s="33" t="n">
        <v>1875.5</v>
      </c>
      <c r="DD20" s="33" t="n">
        <v>1922.3875</v>
      </c>
      <c r="DE20" s="33" t="n">
        <v>1922.3875</v>
      </c>
      <c r="DF20" s="33" t="n">
        <v>1922.3875</v>
      </c>
      <c r="DG20" s="33" t="n">
        <v>1922.3875</v>
      </c>
      <c r="DH20" s="33" t="n">
        <v>1922.3875</v>
      </c>
      <c r="DI20" s="33" t="n">
        <v>1922.3875</v>
      </c>
      <c r="DJ20" s="33" t="n">
        <v>1922.3875</v>
      </c>
      <c r="DK20" s="33" t="n">
        <v>1922.3875</v>
      </c>
      <c r="DL20" s="33" t="n">
        <v>1922.3875</v>
      </c>
      <c r="DM20" s="33" t="n">
        <v>1922.3875</v>
      </c>
      <c r="DN20" s="33" t="n">
        <v>1922.3875</v>
      </c>
      <c r="DO20" s="33" t="n">
        <v>1922.3875</v>
      </c>
      <c r="DP20" s="33" t="n">
        <v>1970.4471875</v>
      </c>
      <c r="DQ20" s="33" t="n">
        <v>1970.4471875</v>
      </c>
      <c r="DR20" s="33" t="n">
        <v>1970.4471875</v>
      </c>
      <c r="DS20" s="33" t="n">
        <v>1970.4471875</v>
      </c>
      <c r="DT20" s="33" t="n">
        <v>1970.4471875</v>
      </c>
      <c r="DU20" s="33" t="n">
        <v>1970.4471875</v>
      </c>
      <c r="DV20" s="33" t="n">
        <v>1970.4471875</v>
      </c>
      <c r="DW20" s="33" t="n">
        <v>1970.4471875</v>
      </c>
      <c r="DX20" s="33" t="n">
        <v>1970.4471875</v>
      </c>
      <c r="DY20" s="33" t="n">
        <v>1970.4471875</v>
      </c>
      <c r="DZ20" s="33" t="n">
        <v>1970.4471875</v>
      </c>
      <c r="EA20" s="33" t="n">
        <v>1970.4471875</v>
      </c>
      <c r="EB20" s="33" t="n">
        <v>2019.7083671875</v>
      </c>
      <c r="EC20" s="33" t="n">
        <v>2019.7083671875</v>
      </c>
      <c r="ED20" s="33" t="n">
        <v>2019.7083671875</v>
      </c>
      <c r="EE20" s="33" t="n">
        <v>2019.7083671875</v>
      </c>
      <c r="EF20" s="33" t="n">
        <v>2019.7083671875</v>
      </c>
      <c r="EG20" s="33" t="n">
        <v>2019.7083671875</v>
      </c>
      <c r="EH20" s="33" t="n">
        <v>2019.7083671875</v>
      </c>
      <c r="EI20" s="33" t="n">
        <v>2019.7083671875</v>
      </c>
      <c r="EJ20" s="33" t="n">
        <v>2019.7083671875</v>
      </c>
      <c r="EK20" s="33" t="n">
        <v>2019.7083671875</v>
      </c>
      <c r="EL20" s="33" t="n">
        <v>2019.7083671875</v>
      </c>
      <c r="EM20" s="33" t="n">
        <v>2019.7083671875</v>
      </c>
      <c r="EN20" s="33" t="n">
        <v>2070.201076367186</v>
      </c>
      <c r="EO20" s="33" t="n">
        <v>2070.201076367186</v>
      </c>
      <c r="EP20" s="33" t="n">
        <v>2070.201076367186</v>
      </c>
      <c r="EQ20" s="33" t="n">
        <v>2070.201076367186</v>
      </c>
      <c r="ER20" s="33" t="n">
        <v>2070.201076367186</v>
      </c>
      <c r="ES20" s="33" t="n">
        <v>2070.201076367186</v>
      </c>
      <c r="ET20" s="33" t="n">
        <v>2070.201076367186</v>
      </c>
      <c r="EU20" s="33" t="n">
        <v>2070.201076367186</v>
      </c>
      <c r="EV20" s="33" t="n">
        <v>2070.201076367186</v>
      </c>
      <c r="EW20" s="33" t="n">
        <v>2070.201076367186</v>
      </c>
      <c r="EX20" s="33" t="n">
        <v>2070.201076367186</v>
      </c>
      <c r="EY20" s="33" t="n">
        <v>2070.201076367186</v>
      </c>
      <c r="EZ20" s="33" t="n">
        <v>2121.956103276366</v>
      </c>
      <c r="FA20" s="33" t="n">
        <v>2121.956103276366</v>
      </c>
      <c r="FB20" s="33" t="n">
        <v>2121.956103276366</v>
      </c>
      <c r="FC20" s="33" t="n">
        <v>2121.956103276366</v>
      </c>
      <c r="FD20" s="33" t="n">
        <v>2121.956103276366</v>
      </c>
      <c r="FE20" s="33" t="n">
        <v>2121.956103276366</v>
      </c>
      <c r="FF20" s="33" t="n">
        <v>2121.956103276366</v>
      </c>
      <c r="FG20" s="33" t="n">
        <v>2121.956103276366</v>
      </c>
      <c r="FH20" s="33" t="n">
        <v>2121.956103276366</v>
      </c>
      <c r="FI20" s="33" t="n">
        <v>2121.956103276366</v>
      </c>
      <c r="FJ20" s="33" t="n">
        <v>2121.956103276366</v>
      </c>
      <c r="FK20" s="33" t="n">
        <v>2121.956103276366</v>
      </c>
      <c r="FL20" s="33" t="n">
        <v>2175.005005858275</v>
      </c>
      <c r="FM20" s="33" t="n">
        <v>2175.005005858275</v>
      </c>
      <c r="FN20" s="33" t="n">
        <v>2175.005005858275</v>
      </c>
      <c r="FO20" s="33" t="n">
        <v>2175.005005858275</v>
      </c>
      <c r="FP20" s="33" t="n">
        <v>2175.005005858275</v>
      </c>
      <c r="FQ20" s="33" t="n">
        <v>2175.005005858275</v>
      </c>
      <c r="FR20" s="33" t="n">
        <v>2175.005005858275</v>
      </c>
      <c r="FS20" s="33" t="n">
        <v>2175.005005858275</v>
      </c>
      <c r="FT20" s="33" t="n">
        <v>2175.005005858275</v>
      </c>
      <c r="FU20" s="33" t="n">
        <v>2175.005005858275</v>
      </c>
      <c r="FV20" s="33" t="n">
        <v>2175.005005858275</v>
      </c>
      <c r="FW20" s="33" t="n">
        <v>2175.005005858275</v>
      </c>
      <c r="FX20" s="33" t="n">
        <v>2229.380131004732</v>
      </c>
      <c r="FY20" s="33" t="n">
        <v>2229.380131004732</v>
      </c>
      <c r="FZ20" s="33" t="n">
        <v>2229.380131004732</v>
      </c>
      <c r="GA20" s="33" t="n">
        <v>2229.380131004732</v>
      </c>
      <c r="GB20" s="33" t="n">
        <v>2229.380131004732</v>
      </c>
      <c r="GC20" s="33" t="n">
        <v>2229.380131004732</v>
      </c>
      <c r="GD20" s="33" t="n">
        <v>2229.380131004732</v>
      </c>
      <c r="GE20" s="33" t="n">
        <v>2229.380131004732</v>
      </c>
      <c r="GF20" s="33" t="n">
        <v>2229.380131004732</v>
      </c>
      <c r="GG20" s="33" t="n">
        <v>2229.380131004732</v>
      </c>
      <c r="GH20" s="33" t="n">
        <v>2229.380131004732</v>
      </c>
      <c r="GI20" s="33" t="n">
        <v>2229.380131004732</v>
      </c>
      <c r="GJ20" s="33" t="n">
        <v>2285.11463427985</v>
      </c>
      <c r="GK20" s="33" t="n">
        <v>2285.11463427985</v>
      </c>
      <c r="GL20" s="33" t="n">
        <v>2285.11463427985</v>
      </c>
      <c r="GM20" s="33" t="n">
        <v>2285.11463427985</v>
      </c>
      <c r="GN20" s="33" t="n">
        <v>2285.11463427985</v>
      </c>
      <c r="GO20" s="33" t="n">
        <v>2285.11463427985</v>
      </c>
      <c r="GP20" s="33" t="n">
        <v>2285.11463427985</v>
      </c>
      <c r="GQ20" s="33" t="n">
        <v>2285.11463427985</v>
      </c>
      <c r="GR20" s="33" t="n">
        <v>2285.11463427985</v>
      </c>
      <c r="GS20" s="33" t="n">
        <v>2285.11463427985</v>
      </c>
      <c r="GT20" s="33" t="n">
        <v>2285.11463427985</v>
      </c>
      <c r="GU20" s="33" t="n">
        <v>2285.11463427985</v>
      </c>
      <c r="GV20" s="33" t="n">
        <v>2342.242500136846</v>
      </c>
      <c r="GW20" s="33" t="n">
        <v>2342.242500136846</v>
      </c>
      <c r="GX20" s="33" t="n">
        <v>2342.242500136846</v>
      </c>
      <c r="GY20" s="33" t="n">
        <v>2342.242500136846</v>
      </c>
      <c r="GZ20" s="33" t="n">
        <v>2342.242500136846</v>
      </c>
      <c r="HA20" s="33" t="n">
        <v>2342.242500136846</v>
      </c>
      <c r="HB20" s="33" t="n">
        <v>2342.242500136846</v>
      </c>
      <c r="HC20" s="33" t="n">
        <v>2342.242500136846</v>
      </c>
      <c r="HD20" s="33" t="n">
        <v>2342.242500136846</v>
      </c>
      <c r="HE20" s="33" t="n">
        <v>2342.242500136846</v>
      </c>
      <c r="HF20" s="33" t="n">
        <v>2342.242500136846</v>
      </c>
      <c r="HG20" s="33" t="n">
        <v>2342.242500136846</v>
      </c>
      <c r="HH20" s="33" t="n">
        <v>2400.798562640267</v>
      </c>
      <c r="HI20" s="33" t="n">
        <v>2400.798562640267</v>
      </c>
      <c r="HJ20" s="33" t="n">
        <v>2400.798562640267</v>
      </c>
      <c r="HK20" s="33" t="n">
        <v>2400.798562640267</v>
      </c>
      <c r="HL20" s="33" t="n">
        <v>2400.798562640267</v>
      </c>
      <c r="HM20" s="33" t="n">
        <v>2400.798562640267</v>
      </c>
      <c r="HN20" s="33" t="n">
        <v>2400.798562640267</v>
      </c>
      <c r="HO20" s="33" t="n">
        <v>2400.798562640267</v>
      </c>
      <c r="HP20" s="33" t="n">
        <v>2400.798562640267</v>
      </c>
      <c r="HQ20" s="33" t="n">
        <v>2400.798562640267</v>
      </c>
      <c r="HR20" s="33" t="n">
        <v>2400.798562640267</v>
      </c>
      <c r="HS20" s="33" t="n">
        <v>2400.798562640267</v>
      </c>
      <c r="HT20" s="33" t="n">
        <v>2460.818526706274</v>
      </c>
      <c r="HU20" s="33" t="n">
        <v>2460.818526706274</v>
      </c>
      <c r="HV20" s="33" t="n">
        <v>2460.818526706274</v>
      </c>
      <c r="HW20" s="33" t="n">
        <v>2460.818526706274</v>
      </c>
      <c r="HX20" s="33" t="n">
        <v>2460.818526706274</v>
      </c>
      <c r="HY20" s="33" t="n">
        <v>2460.818526706274</v>
      </c>
      <c r="HZ20" s="33" t="n">
        <v>2460.818526706274</v>
      </c>
      <c r="IA20" s="33" t="n">
        <v>2460.818526706274</v>
      </c>
      <c r="IB20" s="33" t="n">
        <v>2460.818526706274</v>
      </c>
      <c r="IC20" s="33" t="n">
        <v>2460.818526706274</v>
      </c>
      <c r="ID20" s="33" t="n">
        <v>2460.818526706274</v>
      </c>
      <c r="IE20" s="33" t="n">
        <v>2460.818526706274</v>
      </c>
      <c r="IF20" s="33" t="n">
        <v>2522.33898987393</v>
      </c>
      <c r="IG20" s="33" t="n">
        <v>2522.33898987393</v>
      </c>
      <c r="IH20" s="33" t="n">
        <v>2522.33898987393</v>
      </c>
      <c r="II20" s="33" t="n">
        <v>2522.33898987393</v>
      </c>
      <c r="IJ20" s="33" t="n">
        <v>2522.33898987393</v>
      </c>
      <c r="IK20" s="33" t="n">
        <v>2522.33898987393</v>
      </c>
      <c r="IL20" s="33" t="n">
        <v>2522.33898987393</v>
      </c>
      <c r="IM20" s="33" t="n">
        <v>2522.33898987393</v>
      </c>
      <c r="IN20" s="33" t="n">
        <v>2522.33898987393</v>
      </c>
      <c r="IO20" s="33" t="n">
        <v>2522.33898987393</v>
      </c>
      <c r="IP20" s="33" t="n">
        <v>2522.33898987393</v>
      </c>
      <c r="IQ20" s="33" t="n">
        <v>2522.33898987393</v>
      </c>
      <c r="IR20" s="33" t="n">
        <v>2585.397464620778</v>
      </c>
      <c r="IS20" s="33" t="n">
        <v>2585.397464620778</v>
      </c>
      <c r="IT20" s="33" t="n">
        <v>2585.397464620778</v>
      </c>
      <c r="IU20" s="33" t="n">
        <v>2585.397464620778</v>
      </c>
      <c r="IV20" s="33" t="n">
        <v>2585.397464620778</v>
      </c>
      <c r="IW20" s="33" t="n">
        <v>2585.397464620778</v>
      </c>
      <c r="IX20" s="33" t="n">
        <v>2585.397464620778</v>
      </c>
      <c r="IY20" s="33" t="n">
        <v>2585.397464620778</v>
      </c>
      <c r="IZ20" s="33" t="n">
        <v>2585.397464620778</v>
      </c>
      <c r="JA20" s="33" t="n">
        <v>2585.397464620778</v>
      </c>
      <c r="JB20" s="33" t="n">
        <v>2585.397464620778</v>
      </c>
      <c r="JC20" s="33" t="n">
        <v>2585.397464620778</v>
      </c>
      <c r="JD20" s="33" t="n">
        <v>2650.032401236298</v>
      </c>
      <c r="JE20" s="33" t="n">
        <v>2650.032401236298</v>
      </c>
      <c r="JF20" s="33" t="n">
        <v>2650.032401236298</v>
      </c>
      <c r="JG20" s="33" t="n">
        <v>2650.032401236298</v>
      </c>
      <c r="JH20" s="33" t="n">
        <v>2650.032401236298</v>
      </c>
      <c r="JI20" s="33" t="n">
        <v>2650.032401236298</v>
      </c>
      <c r="JJ20" s="33" t="n">
        <v>2650.032401236298</v>
      </c>
      <c r="JK20" s="33" t="n">
        <v>2650.032401236298</v>
      </c>
      <c r="JL20" s="33" t="n">
        <v>2650.032401236298</v>
      </c>
      <c r="JM20" s="33" t="n">
        <v>2650.032401236298</v>
      </c>
      <c r="JN20" s="33" t="n">
        <v>2650.032401236298</v>
      </c>
      <c r="JO20" s="33" t="n">
        <v>2650.032401236298</v>
      </c>
      <c r="JP20" s="33" t="n">
        <v>2716.283211267204</v>
      </c>
      <c r="JQ20" s="33" t="n">
        <v>2716.283211267204</v>
      </c>
      <c r="JR20" s="33" t="n">
        <v>2716.283211267204</v>
      </c>
      <c r="JS20" s="33" t="n">
        <v>2716.283211267204</v>
      </c>
      <c r="JT20" s="33" t="n">
        <v>2716.283211267204</v>
      </c>
      <c r="JU20" s="33" t="n">
        <v>2716.283211267204</v>
      </c>
      <c r="JV20" s="33" t="n">
        <v>2716.283211267204</v>
      </c>
      <c r="JW20" s="33" t="n">
        <v>2716.283211267204</v>
      </c>
      <c r="JX20" s="33" t="n">
        <v>2716.283211267204</v>
      </c>
      <c r="JY20" s="33" t="n">
        <v>2716.283211267204</v>
      </c>
      <c r="JZ20" s="33" t="n">
        <v>2716.283211267204</v>
      </c>
      <c r="KA20" s="33" t="n">
        <v>2716.283211267204</v>
      </c>
      <c r="KB20" s="33" t="n">
        <v>2784.190291548884</v>
      </c>
      <c r="KC20" s="33" t="n">
        <v>2784.190291548884</v>
      </c>
      <c r="KD20" s="33" t="n">
        <v>2784.190291548884</v>
      </c>
      <c r="KE20" s="33" t="n">
        <v>2784.190291548884</v>
      </c>
      <c r="KF20" s="33" t="n">
        <v>2784.190291548884</v>
      </c>
      <c r="KG20" s="33" t="n">
        <v>2784.190291548884</v>
      </c>
      <c r="KH20" s="33" t="n">
        <v>2784.190291548884</v>
      </c>
      <c r="KI20" s="33" t="n">
        <v>2784.190291548884</v>
      </c>
      <c r="KJ20" s="33" t="n">
        <v>2784.190291548884</v>
      </c>
      <c r="KK20" s="33" t="n">
        <v>2784.190291548884</v>
      </c>
      <c r="KL20" s="33" t="n">
        <v>2784.190291548884</v>
      </c>
      <c r="KM20" s="33" t="n">
        <v>2784.190291548884</v>
      </c>
      <c r="KN20" s="33" t="n">
        <v>2853.795048837606</v>
      </c>
      <c r="KO20" s="33" t="n">
        <v>2853.795048837606</v>
      </c>
      <c r="KP20" s="33" t="n">
        <v>2853.795048837606</v>
      </c>
      <c r="KQ20" s="33" t="n">
        <v>2853.795048837606</v>
      </c>
      <c r="KR20" s="33" t="n">
        <v>2853.795048837606</v>
      </c>
      <c r="KS20" s="33" t="n">
        <v>2853.795048837606</v>
      </c>
      <c r="KT20" s="33" t="n">
        <v>2853.795048837606</v>
      </c>
      <c r="KU20" s="33" t="n">
        <v>2853.795048837606</v>
      </c>
      <c r="KV20" s="33" t="n">
        <v>2853.795048837606</v>
      </c>
      <c r="KW20" s="33" t="n">
        <v>2853.795048837606</v>
      </c>
      <c r="KX20" s="33" t="n">
        <v>2853.795048837606</v>
      </c>
      <c r="KY20" s="33" t="n">
        <v>2853.795048837606</v>
      </c>
      <c r="KZ20" s="33" t="n">
        <v>2925.139925058546</v>
      </c>
      <c r="LA20" s="33" t="n">
        <v>2925.139925058546</v>
      </c>
      <c r="LB20" s="33" t="n">
        <v>2925.139925058546</v>
      </c>
      <c r="LC20" s="33" t="n">
        <v>2925.139925058546</v>
      </c>
      <c r="LD20" s="33" t="n">
        <v>2925.139925058546</v>
      </c>
      <c r="LE20" s="33" t="n">
        <v>2925.139925058546</v>
      </c>
      <c r="LF20" s="33" t="n">
        <v>2925.139925058546</v>
      </c>
      <c r="LG20" s="33" t="n">
        <v>2925.139925058546</v>
      </c>
      <c r="LH20" s="33" t="n">
        <v>2925.139925058546</v>
      </c>
      <c r="LI20" s="33" t="n">
        <v>2925.139925058546</v>
      </c>
      <c r="LJ20" s="33" t="n">
        <v>2925.139925058546</v>
      </c>
      <c r="LK20" s="33" t="n">
        <v>2925.139925058546</v>
      </c>
      <c r="LL20" s="33" t="n">
        <v>2998.268423185009</v>
      </c>
      <c r="LM20" s="33" t="n">
        <v>2998.268423185009</v>
      </c>
      <c r="LN20" s="33" t="n">
        <v>2998.268423185009</v>
      </c>
      <c r="LO20" s="33" t="n">
        <v>2998.268423185009</v>
      </c>
      <c r="LP20" s="33" t="n">
        <v>2998.268423185009</v>
      </c>
      <c r="LQ20" s="33" t="n">
        <v>2998.268423185009</v>
      </c>
      <c r="LR20" s="33" t="n">
        <v>2998.268423185009</v>
      </c>
      <c r="LS20" s="33" t="n">
        <v>2998.268423185009</v>
      </c>
      <c r="LT20" s="33" t="n">
        <v>2998.268423185009</v>
      </c>
      <c r="LU20" s="33" t="n">
        <v>2998.268423185009</v>
      </c>
      <c r="LV20" s="33" t="n">
        <v>2998.268423185009</v>
      </c>
      <c r="LW20" s="33" t="n">
        <v>2998.268423185009</v>
      </c>
      <c r="LX20" s="33" t="n">
        <v>3073.225133764634</v>
      </c>
      <c r="LY20" s="33" t="n">
        <v>3073.225133764634</v>
      </c>
      <c r="LZ20" s="33" t="n">
        <v>3073.225133764634</v>
      </c>
      <c r="MA20" s="33" t="n">
        <v>3073.225133764634</v>
      </c>
      <c r="MB20" s="33" t="n">
        <v>3073.225133764634</v>
      </c>
      <c r="MC20" s="33" t="n">
        <v>3073.225133764634</v>
      </c>
      <c r="MD20" s="33" t="n">
        <v>3073.225133764634</v>
      </c>
      <c r="ME20" s="33" t="n">
        <v>3073.225133764634</v>
      </c>
      <c r="MF20" s="33" t="n">
        <v>3073.225133764634</v>
      </c>
      <c r="MG20" s="33" t="n">
        <v>3073.225133764634</v>
      </c>
      <c r="MH20" s="33" t="n">
        <v>3073.225133764634</v>
      </c>
      <c r="MI20" s="33" t="n">
        <v>3073.225133764634</v>
      </c>
      <c r="MJ20" s="33" t="n">
        <v>3150.05576210875</v>
      </c>
      <c r="MK20" s="33" t="n">
        <v>3150.05576210875</v>
      </c>
      <c r="ML20" s="33" t="n">
        <v>3150.05576210875</v>
      </c>
      <c r="MM20" s="33" t="n">
        <v>3150.05576210875</v>
      </c>
      <c r="MN20" s="33" t="n">
        <v>3150.05576210875</v>
      </c>
      <c r="MO20" s="33" t="n">
        <v>3150.05576210875</v>
      </c>
      <c r="MP20" s="33" t="n">
        <v>3150.05576210875</v>
      </c>
      <c r="MQ20" s="33" t="n">
        <v>3150.05576210875</v>
      </c>
      <c r="MR20" s="33" t="n">
        <v>3150.05576210875</v>
      </c>
      <c r="MS20" s="33" t="n">
        <v>3150.05576210875</v>
      </c>
      <c r="MT20" s="33" t="n">
        <v>3150.05576210875</v>
      </c>
      <c r="MU20" s="33" t="n">
        <v>3150.05576210875</v>
      </c>
      <c r="MV20" s="33" t="n">
        <v>3228.807156161469</v>
      </c>
      <c r="MW20" s="33" t="n">
        <v>3228.807156161469</v>
      </c>
      <c r="MX20" s="33" t="n">
        <v>3228.807156161469</v>
      </c>
      <c r="MY20" s="33" t="n">
        <v>3228.807156161469</v>
      </c>
      <c r="MZ20" s="33" t="n">
        <v>3228.807156161469</v>
      </c>
      <c r="NA20" s="33" t="n">
        <v>3228.807156161469</v>
      </c>
      <c r="NB20" s="33" t="n">
        <v>3228.807156161469</v>
      </c>
      <c r="NC20" s="33" t="n">
        <v>3228.807156161469</v>
      </c>
      <c r="ND20" s="33" t="n">
        <v>3228.807156161469</v>
      </c>
      <c r="NE20" s="33" t="n">
        <v>3228.807156161469</v>
      </c>
      <c r="NF20" s="33" t="n">
        <v>3228.807156161469</v>
      </c>
      <c r="NG20" s="33" t="n">
        <v>3228.807156161469</v>
      </c>
      <c r="NH20" s="33" t="n">
        <v>3309.527335065505</v>
      </c>
      <c r="NI20" s="33" t="n">
        <v>3309.527335065505</v>
      </c>
      <c r="NJ20" s="33" t="n">
        <v>3309.527335065505</v>
      </c>
      <c r="NK20" s="33" t="n">
        <v>3309.527335065505</v>
      </c>
      <c r="NL20" s="33" t="n">
        <v>3309.527335065505</v>
      </c>
      <c r="NM20" s="33" t="n">
        <v>3309.527335065505</v>
      </c>
      <c r="NN20" s="33" t="n">
        <v>3309.527335065505</v>
      </c>
      <c r="NO20" s="33" t="n">
        <v>3309.527335065505</v>
      </c>
      <c r="NP20" s="33" t="n">
        <v>3309.527335065505</v>
      </c>
      <c r="NQ20" s="33" t="n">
        <v>3309.527335065505</v>
      </c>
      <c r="NR20" s="33" t="n">
        <v>3309.527335065505</v>
      </c>
      <c r="NS20" s="33" t="n">
        <v>3309.527335065505</v>
      </c>
      <c r="NT20" s="33" t="n">
        <v>3392.265518442142</v>
      </c>
      <c r="NU20" s="33" t="n">
        <v>3392.265518442142</v>
      </c>
      <c r="NV20" s="33" t="n">
        <v>3392.265518442142</v>
      </c>
      <c r="NW20" s="33" t="n">
        <v>3392.265518442142</v>
      </c>
      <c r="NX20" s="33" t="n">
        <v>3392.265518442142</v>
      </c>
      <c r="NY20" s="33" t="n">
        <v>3392.265518442142</v>
      </c>
      <c r="NZ20" s="33" t="n">
        <v>3392.265518442142</v>
      </c>
      <c r="OA20" s="33" t="n">
        <v>3392.265518442142</v>
      </c>
      <c r="OB20" s="33" t="n">
        <v>3392.265518442142</v>
      </c>
      <c r="OC20" s="33" t="n">
        <v>3392.265518442142</v>
      </c>
      <c r="OD20" s="33" t="n">
        <v>3392.265518442142</v>
      </c>
      <c r="OE20" s="33" t="n">
        <v>3392.265518442142</v>
      </c>
      <c r="OF20" s="33" t="n">
        <v>3477.072156403196</v>
      </c>
      <c r="OG20" s="33" t="n">
        <v>3477.072156403196</v>
      </c>
      <c r="OH20" s="33" t="n">
        <v>3477.072156403196</v>
      </c>
      <c r="OI20" s="33" t="n">
        <v>3477.072156403196</v>
      </c>
      <c r="OJ20" s="33" t="n">
        <v>3477.072156403196</v>
      </c>
      <c r="OK20" s="33" t="n">
        <v>3477.072156403196</v>
      </c>
      <c r="OL20" s="33" t="n">
        <v>3477.072156403196</v>
      </c>
      <c r="OM20" s="33" t="n">
        <v>3477.072156403196</v>
      </c>
      <c r="ON20" s="33" t="n">
        <v>3477.072156403196</v>
      </c>
      <c r="OO20" s="33" t="n">
        <v>3477.072156403196</v>
      </c>
      <c r="OP20" s="33" t="n">
        <v>3477.072156403196</v>
      </c>
      <c r="OQ20" s="33" t="n">
        <v>3477.072156403196</v>
      </c>
      <c r="OR20" s="33" t="n">
        <v>3563.998960313275</v>
      </c>
      <c r="OS20" s="33" t="n">
        <v>3563.998960313275</v>
      </c>
      <c r="OT20" s="33" t="n">
        <v>3563.998960313275</v>
      </c>
      <c r="OU20" s="33" t="n">
        <v>3563.998960313275</v>
      </c>
      <c r="OV20" s="33" t="n">
        <v>3563.998960313275</v>
      </c>
      <c r="OW20" s="33" t="n">
        <v>3563.998960313275</v>
      </c>
      <c r="OX20" s="33" t="n">
        <v>3563.998960313275</v>
      </c>
      <c r="OY20" s="33" t="n">
        <v>3563.998960313275</v>
      </c>
      <c r="OZ20" s="33" t="n">
        <v>3563.998960313275</v>
      </c>
      <c r="PA20" s="33" t="n">
        <v>3563.998960313275</v>
      </c>
      <c r="PB20" s="33" t="n">
        <v>3563.998960313275</v>
      </c>
      <c r="PC20" s="33" t="n">
        <v>3563.998960313275</v>
      </c>
      <c r="PD20" s="33" t="n">
        <v>3653.098934321107</v>
      </c>
      <c r="PE20" s="33" t="n">
        <v>3653.098934321107</v>
      </c>
      <c r="PF20" s="33" t="n">
        <v>3653.098934321107</v>
      </c>
      <c r="PG20" s="33" t="n">
        <v>3653.098934321107</v>
      </c>
      <c r="PH20" s="33" t="n">
        <v>3653.098934321107</v>
      </c>
      <c r="PI20" s="33" t="n">
        <v>3653.098934321107</v>
      </c>
      <c r="PJ20" s="33" t="n">
        <v>3653.098934321107</v>
      </c>
      <c r="PK20" s="33" t="n">
        <v>3653.098934321107</v>
      </c>
      <c r="PL20" s="33" t="n">
        <v>3653.098934321107</v>
      </c>
      <c r="PM20" s="33" t="n">
        <v>3653.098934321107</v>
      </c>
      <c r="PN20" s="33" t="n">
        <v>3653.098934321107</v>
      </c>
      <c r="PO20" s="33" t="n">
        <v>3653.098934321107</v>
      </c>
      <c r="PP20" s="33" t="n">
        <v>3744.426407679135</v>
      </c>
      <c r="PQ20" s="33" t="n">
        <v>3744.426407679135</v>
      </c>
      <c r="PR20" s="33" t="n">
        <v>3744.426407679135</v>
      </c>
      <c r="PS20" s="33" t="n">
        <v>3744.426407679135</v>
      </c>
      <c r="PT20" s="33" t="n">
        <v>3744.426407679135</v>
      </c>
      <c r="PU20" s="33" t="n">
        <v>3744.426407679135</v>
      </c>
      <c r="PV20" s="33" t="n">
        <v>3744.426407679135</v>
      </c>
      <c r="PW20" s="33" t="n">
        <v>3744.426407679135</v>
      </c>
      <c r="PX20" s="33" t="n">
        <v>3744.426407679135</v>
      </c>
      <c r="PY20" s="33" t="n">
        <v>3744.426407679135</v>
      </c>
      <c r="PZ20" s="33" t="n">
        <v>3744.426407679135</v>
      </c>
      <c r="QA20" s="33" t="n">
        <v>3744.426407679135</v>
      </c>
      <c r="QB20" s="33" t="n">
        <v>3838.037067871112</v>
      </c>
      <c r="QC20" s="33" t="n">
        <v>3838.037067871112</v>
      </c>
      <c r="QD20" s="33" t="n">
        <v>3838.037067871112</v>
      </c>
      <c r="QE20" s="33" t="n">
        <v>3838.037067871112</v>
      </c>
      <c r="QF20" s="33" t="n">
        <v>3838.037067871112</v>
      </c>
      <c r="QG20" s="33" t="n">
        <v>3838.037067871112</v>
      </c>
      <c r="QH20" s="33" t="n">
        <v>3838.037067871112</v>
      </c>
      <c r="QI20" s="33" t="n">
        <v>3838.037067871112</v>
      </c>
      <c r="QJ20" s="33" t="n">
        <v>3838.037067871112</v>
      </c>
      <c r="QK20" s="33" t="n">
        <v>3838.037067871112</v>
      </c>
      <c r="QL20" s="33" t="n">
        <v>3838.037067871112</v>
      </c>
      <c r="QM20" s="33" t="n">
        <v>3838.037067871112</v>
      </c>
      <c r="QN20" s="33" t="n">
        <v>3933.987994567889</v>
      </c>
      <c r="QO20" s="33" t="n">
        <v>3933.987994567889</v>
      </c>
      <c r="QP20" s="33" t="n">
        <v>3933.987994567889</v>
      </c>
      <c r="QQ20" s="33" t="n">
        <v>3933.987994567889</v>
      </c>
      <c r="QR20" s="33" t="n">
        <v>3933.987994567889</v>
      </c>
      <c r="QS20" s="33" t="n">
        <v>3933.987994567889</v>
      </c>
      <c r="QT20" s="33" t="n">
        <v>3933.987994567889</v>
      </c>
      <c r="QU20" s="33" t="n">
        <v>3933.987994567889</v>
      </c>
      <c r="QV20" s="33" t="n">
        <v>3933.987994567889</v>
      </c>
      <c r="QW20" s="33" t="n">
        <v>3933.987994567889</v>
      </c>
      <c r="QX20" s="33" t="n">
        <v>3933.987994567889</v>
      </c>
      <c r="QY20" s="33" t="n">
        <v>3933.987994567889</v>
      </c>
      <c r="QZ20" s="33" t="n">
        <v>4032.337694432087</v>
      </c>
      <c r="RA20" s="33" t="n">
        <v>4032.337694432087</v>
      </c>
      <c r="RB20" s="33" t="n">
        <v>4032.337694432087</v>
      </c>
      <c r="RC20" s="33" t="n">
        <v>4032.337694432087</v>
      </c>
      <c r="RD20" s="33" t="n">
        <v>4032.337694432087</v>
      </c>
      <c r="RE20" s="33" t="n">
        <v>4032.337694432087</v>
      </c>
      <c r="RF20" s="33" t="n">
        <v>4032.337694432087</v>
      </c>
      <c r="RG20" s="33" t="n">
        <v>4032.337694432087</v>
      </c>
      <c r="RH20" s="33" t="n">
        <v>4032.337694432087</v>
      </c>
      <c r="RI20" s="33" t="n">
        <v>4032.337694432087</v>
      </c>
      <c r="RJ20" s="33" t="n">
        <v>4032.337694432087</v>
      </c>
      <c r="RK20" s="33" t="n">
        <v>4032.337694432087</v>
      </c>
      <c r="RL20" s="33" t="n">
        <v>4133.146136792889</v>
      </c>
      <c r="RM20" s="33" t="n">
        <v>4133.146136792889</v>
      </c>
      <c r="RN20" s="33" t="n">
        <v>4133.146136792889</v>
      </c>
      <c r="RO20" s="33" t="n">
        <v>4133.146136792889</v>
      </c>
      <c r="RP20" s="33" t="n">
        <v>4133.146136792889</v>
      </c>
      <c r="RQ20" s="33" t="n">
        <v>4133.146136792889</v>
      </c>
      <c r="RR20" s="33" t="n">
        <v>4133.146136792889</v>
      </c>
      <c r="RS20" s="33" t="n">
        <v>4133.146136792889</v>
      </c>
      <c r="RT20" s="33" t="n">
        <v>4133.146136792889</v>
      </c>
      <c r="RU20" s="33" t="n">
        <v>4133.146136792889</v>
      </c>
      <c r="RV20" s="33" t="n">
        <v>4133.146136792889</v>
      </c>
      <c r="RW20" s="33" t="n">
        <v>4133.146136792889</v>
      </c>
    </row>
    <row r="21" hidden="1" outlineLevel="1" ht="13.05" customHeight="1">
      <c r="E21" s="21" t="inlineStr">
        <is>
          <t>Insurance</t>
        </is>
      </c>
      <c r="F21" s="29" t="n"/>
      <c r="G21" s="29" t="inlineStr">
        <is>
          <t>kEUR</t>
        </is>
      </c>
      <c r="H21" s="29" t="n"/>
      <c r="I21" s="29" t="n"/>
      <c r="J21" s="32" t="n">
        <v>0</v>
      </c>
      <c r="K21" s="29" t="n"/>
      <c r="L21" s="33" t="n">
        <v>0</v>
      </c>
      <c r="M21" s="33" t="n">
        <v>0</v>
      </c>
      <c r="N21" s="33" t="n">
        <v>0</v>
      </c>
      <c r="O21" s="33" t="n">
        <v>0</v>
      </c>
      <c r="P21" s="33" t="n">
        <v>0</v>
      </c>
      <c r="Q21" s="33" t="n">
        <v>0</v>
      </c>
      <c r="R21" s="33" t="n">
        <v>0</v>
      </c>
      <c r="S21" s="33" t="n">
        <v>0</v>
      </c>
      <c r="T21" s="33" t="n">
        <v>0</v>
      </c>
      <c r="U21" s="33" t="n">
        <v>0</v>
      </c>
      <c r="V21" s="33" t="n">
        <v>0</v>
      </c>
      <c r="W21" s="33" t="n">
        <v>0</v>
      </c>
      <c r="X21" s="33" t="n">
        <v>0</v>
      </c>
      <c r="Y21" s="33" t="n">
        <v>0</v>
      </c>
      <c r="Z21" s="33" t="n">
        <v>0</v>
      </c>
      <c r="AA21" s="33" t="n">
        <v>0</v>
      </c>
      <c r="AB21" s="33" t="n">
        <v>0</v>
      </c>
      <c r="AC21" s="33" t="n">
        <v>0</v>
      </c>
      <c r="AD21" s="33" t="n">
        <v>0</v>
      </c>
      <c r="AE21" s="33" t="n">
        <v>0</v>
      </c>
      <c r="AF21" s="33" t="n">
        <v>0</v>
      </c>
      <c r="AG21" s="33" t="n">
        <v>0</v>
      </c>
      <c r="AH21" s="33" t="n">
        <v>0</v>
      </c>
      <c r="AI21" s="33" t="n">
        <v>0</v>
      </c>
      <c r="AJ21" s="33" t="n">
        <v>0</v>
      </c>
      <c r="AK21" s="33" t="n">
        <v>0</v>
      </c>
      <c r="AL21" s="33" t="n">
        <v>0</v>
      </c>
      <c r="AM21" s="33" t="n">
        <v>0</v>
      </c>
      <c r="AN21" s="33" t="n">
        <v>0</v>
      </c>
      <c r="AO21" s="33" t="n">
        <v>0</v>
      </c>
      <c r="AP21" s="33" t="n">
        <v>0</v>
      </c>
      <c r="AQ21" s="33" t="n">
        <v>0</v>
      </c>
      <c r="AR21" s="33" t="n">
        <v>0</v>
      </c>
      <c r="AS21" s="33" t="n">
        <v>0</v>
      </c>
      <c r="AT21" s="33" t="n">
        <v>0</v>
      </c>
      <c r="AU21" s="33" t="n">
        <v>0</v>
      </c>
      <c r="AV21" s="33" t="n">
        <v>0</v>
      </c>
      <c r="AW21" s="33" t="n">
        <v>0</v>
      </c>
      <c r="AX21" s="33" t="n">
        <v>0</v>
      </c>
      <c r="AY21" s="33" t="n">
        <v>0</v>
      </c>
      <c r="AZ21" s="33" t="n">
        <v>0</v>
      </c>
      <c r="BA21" s="33" t="n">
        <v>0</v>
      </c>
      <c r="BB21" s="33" t="n">
        <v>0</v>
      </c>
      <c r="BC21" s="33" t="n">
        <v>0</v>
      </c>
      <c r="BD21" s="33" t="n">
        <v>0</v>
      </c>
      <c r="BE21" s="33" t="n">
        <v>0</v>
      </c>
      <c r="BF21" s="33" t="n">
        <v>0</v>
      </c>
      <c r="BG21" s="33" t="n">
        <v>0</v>
      </c>
      <c r="BH21" s="33" t="n">
        <v>0</v>
      </c>
      <c r="BI21" s="33" t="n">
        <v>0</v>
      </c>
      <c r="BJ21" s="33" t="n">
        <v>0</v>
      </c>
      <c r="BK21" s="33" t="n">
        <v>0</v>
      </c>
      <c r="BL21" s="33" t="n">
        <v>0</v>
      </c>
      <c r="BM21" s="33" t="n">
        <v>0</v>
      </c>
      <c r="BN21" s="33" t="n">
        <v>0</v>
      </c>
      <c r="BO21" s="33" t="n">
        <v>0</v>
      </c>
      <c r="BP21" s="33" t="n">
        <v>0</v>
      </c>
      <c r="BQ21" s="33" t="n">
        <v>0</v>
      </c>
      <c r="BR21" s="33" t="n">
        <v>0</v>
      </c>
      <c r="BS21" s="33" t="n">
        <v>0</v>
      </c>
      <c r="BT21" s="33" t="n">
        <v>0</v>
      </c>
      <c r="BU21" s="33" t="n">
        <v>0</v>
      </c>
      <c r="BV21" s="33" t="n">
        <v>0</v>
      </c>
      <c r="BW21" s="33" t="n">
        <v>0</v>
      </c>
      <c r="BX21" s="33" t="n">
        <v>0</v>
      </c>
      <c r="BY21" s="33" t="n">
        <v>0</v>
      </c>
      <c r="BZ21" s="33" t="n">
        <v>0</v>
      </c>
      <c r="CA21" s="33" t="n">
        <v>0</v>
      </c>
      <c r="CB21" s="33" t="n">
        <v>0</v>
      </c>
      <c r="CC21" s="33" t="n">
        <v>0</v>
      </c>
      <c r="CD21" s="33" t="n">
        <v>0</v>
      </c>
      <c r="CE21" s="33" t="n">
        <v>0</v>
      </c>
      <c r="CF21" s="33" t="n">
        <v>0</v>
      </c>
      <c r="CG21" s="33" t="n">
        <v>0</v>
      </c>
      <c r="CH21" s="33" t="n">
        <v>0</v>
      </c>
      <c r="CI21" s="33" t="n">
        <v>0</v>
      </c>
      <c r="CJ21" s="33" t="n">
        <v>0</v>
      </c>
      <c r="CK21" s="33" t="n">
        <v>0</v>
      </c>
      <c r="CL21" s="33" t="n">
        <v>0</v>
      </c>
      <c r="CM21" s="33" t="n">
        <v>0</v>
      </c>
      <c r="CN21" s="33" t="n">
        <v>0</v>
      </c>
      <c r="CO21" s="33" t="n">
        <v>0</v>
      </c>
      <c r="CP21" s="33" t="n">
        <v>0</v>
      </c>
      <c r="CQ21" s="33" t="n">
        <v>0</v>
      </c>
      <c r="CR21" s="33" t="n">
        <v>0</v>
      </c>
      <c r="CS21" s="33" t="n">
        <v>0</v>
      </c>
      <c r="CT21" s="33" t="n">
        <v>0</v>
      </c>
      <c r="CU21" s="33" t="n">
        <v>0</v>
      </c>
      <c r="CV21" s="33" t="n">
        <v>0</v>
      </c>
      <c r="CW21" s="33" t="n">
        <v>0</v>
      </c>
      <c r="CX21" s="33" t="n">
        <v>0</v>
      </c>
      <c r="CY21" s="33" t="n">
        <v>0</v>
      </c>
      <c r="CZ21" s="33" t="n">
        <v>0</v>
      </c>
      <c r="DA21" s="33" t="n">
        <v>0</v>
      </c>
      <c r="DB21" s="33" t="n">
        <v>0</v>
      </c>
      <c r="DC21" s="33" t="n">
        <v>0</v>
      </c>
      <c r="DD21" s="33" t="n">
        <v>0</v>
      </c>
      <c r="DE21" s="33" t="n">
        <v>0</v>
      </c>
      <c r="DF21" s="33" t="n">
        <v>0</v>
      </c>
      <c r="DG21" s="33" t="n">
        <v>0</v>
      </c>
      <c r="DH21" s="33" t="n">
        <v>0</v>
      </c>
      <c r="DI21" s="33" t="n">
        <v>0</v>
      </c>
      <c r="DJ21" s="33" t="n">
        <v>0</v>
      </c>
      <c r="DK21" s="33" t="n">
        <v>0</v>
      </c>
      <c r="DL21" s="33" t="n">
        <v>0</v>
      </c>
      <c r="DM21" s="33" t="n">
        <v>0</v>
      </c>
      <c r="DN21" s="33" t="n">
        <v>0</v>
      </c>
      <c r="DO21" s="33" t="n">
        <v>0</v>
      </c>
      <c r="DP21" s="33" t="n">
        <v>0</v>
      </c>
      <c r="DQ21" s="33" t="n">
        <v>0</v>
      </c>
      <c r="DR21" s="33" t="n">
        <v>0</v>
      </c>
      <c r="DS21" s="33" t="n">
        <v>0</v>
      </c>
      <c r="DT21" s="33" t="n">
        <v>0</v>
      </c>
      <c r="DU21" s="33" t="n">
        <v>0</v>
      </c>
      <c r="DV21" s="33" t="n">
        <v>0</v>
      </c>
      <c r="DW21" s="33" t="n">
        <v>0</v>
      </c>
      <c r="DX21" s="33" t="n">
        <v>0</v>
      </c>
      <c r="DY21" s="33" t="n">
        <v>0</v>
      </c>
      <c r="DZ21" s="33" t="n">
        <v>0</v>
      </c>
      <c r="EA21" s="33" t="n">
        <v>0</v>
      </c>
      <c r="EB21" s="33" t="n">
        <v>0</v>
      </c>
      <c r="EC21" s="33" t="n">
        <v>0</v>
      </c>
      <c r="ED21" s="33" t="n">
        <v>0</v>
      </c>
      <c r="EE21" s="33" t="n">
        <v>0</v>
      </c>
      <c r="EF21" s="33" t="n">
        <v>0</v>
      </c>
      <c r="EG21" s="33" t="n">
        <v>0</v>
      </c>
      <c r="EH21" s="33" t="n">
        <v>0</v>
      </c>
      <c r="EI21" s="33" t="n">
        <v>0</v>
      </c>
      <c r="EJ21" s="33" t="n">
        <v>0</v>
      </c>
      <c r="EK21" s="33" t="n">
        <v>0</v>
      </c>
      <c r="EL21" s="33" t="n">
        <v>0</v>
      </c>
      <c r="EM21" s="33" t="n">
        <v>0</v>
      </c>
      <c r="EN21" s="33" t="n">
        <v>0</v>
      </c>
      <c r="EO21" s="33" t="n">
        <v>0</v>
      </c>
      <c r="EP21" s="33" t="n">
        <v>0</v>
      </c>
      <c r="EQ21" s="33" t="n">
        <v>0</v>
      </c>
      <c r="ER21" s="33" t="n">
        <v>0</v>
      </c>
      <c r="ES21" s="33" t="n">
        <v>0</v>
      </c>
      <c r="ET21" s="33" t="n">
        <v>0</v>
      </c>
      <c r="EU21" s="33" t="n">
        <v>0</v>
      </c>
      <c r="EV21" s="33" t="n">
        <v>0</v>
      </c>
      <c r="EW21" s="33" t="n">
        <v>0</v>
      </c>
      <c r="EX21" s="33" t="n">
        <v>0</v>
      </c>
      <c r="EY21" s="33" t="n">
        <v>0</v>
      </c>
      <c r="EZ21" s="33" t="n">
        <v>0</v>
      </c>
      <c r="FA21" s="33" t="n">
        <v>0</v>
      </c>
      <c r="FB21" s="33" t="n">
        <v>0</v>
      </c>
      <c r="FC21" s="33" t="n">
        <v>0</v>
      </c>
      <c r="FD21" s="33" t="n">
        <v>0</v>
      </c>
      <c r="FE21" s="33" t="n">
        <v>0</v>
      </c>
      <c r="FF21" s="33" t="n">
        <v>0</v>
      </c>
      <c r="FG21" s="33" t="n">
        <v>0</v>
      </c>
      <c r="FH21" s="33" t="n">
        <v>0</v>
      </c>
      <c r="FI21" s="33" t="n">
        <v>0</v>
      </c>
      <c r="FJ21" s="33" t="n">
        <v>0</v>
      </c>
      <c r="FK21" s="33" t="n">
        <v>0</v>
      </c>
      <c r="FL21" s="33" t="n">
        <v>0</v>
      </c>
      <c r="FM21" s="33" t="n">
        <v>0</v>
      </c>
      <c r="FN21" s="33" t="n">
        <v>0</v>
      </c>
      <c r="FO21" s="33" t="n">
        <v>0</v>
      </c>
      <c r="FP21" s="33" t="n">
        <v>0</v>
      </c>
      <c r="FQ21" s="33" t="n">
        <v>0</v>
      </c>
      <c r="FR21" s="33" t="n">
        <v>0</v>
      </c>
      <c r="FS21" s="33" t="n">
        <v>0</v>
      </c>
      <c r="FT21" s="33" t="n">
        <v>0</v>
      </c>
      <c r="FU21" s="33" t="n">
        <v>0</v>
      </c>
      <c r="FV21" s="33" t="n">
        <v>0</v>
      </c>
      <c r="FW21" s="33" t="n">
        <v>0</v>
      </c>
      <c r="FX21" s="33" t="n">
        <v>0</v>
      </c>
      <c r="FY21" s="33" t="n">
        <v>0</v>
      </c>
      <c r="FZ21" s="33" t="n">
        <v>0</v>
      </c>
      <c r="GA21" s="33" t="n">
        <v>0</v>
      </c>
      <c r="GB21" s="33" t="n">
        <v>0</v>
      </c>
      <c r="GC21" s="33" t="n">
        <v>0</v>
      </c>
      <c r="GD21" s="33" t="n">
        <v>0</v>
      </c>
      <c r="GE21" s="33" t="n">
        <v>0</v>
      </c>
      <c r="GF21" s="33" t="n">
        <v>0</v>
      </c>
      <c r="GG21" s="33" t="n">
        <v>0</v>
      </c>
      <c r="GH21" s="33" t="n">
        <v>0</v>
      </c>
      <c r="GI21" s="33" t="n">
        <v>0</v>
      </c>
      <c r="GJ21" s="33" t="n">
        <v>0</v>
      </c>
      <c r="GK21" s="33" t="n">
        <v>0</v>
      </c>
      <c r="GL21" s="33" t="n">
        <v>0</v>
      </c>
      <c r="GM21" s="33" t="n">
        <v>0</v>
      </c>
      <c r="GN21" s="33" t="n">
        <v>0</v>
      </c>
      <c r="GO21" s="33" t="n">
        <v>0</v>
      </c>
      <c r="GP21" s="33" t="n">
        <v>0</v>
      </c>
      <c r="GQ21" s="33" t="n">
        <v>0</v>
      </c>
      <c r="GR21" s="33" t="n">
        <v>0</v>
      </c>
      <c r="GS21" s="33" t="n">
        <v>0</v>
      </c>
      <c r="GT21" s="33" t="n">
        <v>0</v>
      </c>
      <c r="GU21" s="33" t="n">
        <v>0</v>
      </c>
      <c r="GV21" s="33" t="n">
        <v>0</v>
      </c>
      <c r="GW21" s="33" t="n">
        <v>0</v>
      </c>
      <c r="GX21" s="33" t="n">
        <v>0</v>
      </c>
      <c r="GY21" s="33" t="n">
        <v>0</v>
      </c>
      <c r="GZ21" s="33" t="n">
        <v>0</v>
      </c>
      <c r="HA21" s="33" t="n">
        <v>0</v>
      </c>
      <c r="HB21" s="33" t="n">
        <v>0</v>
      </c>
      <c r="HC21" s="33" t="n">
        <v>0</v>
      </c>
      <c r="HD21" s="33" t="n">
        <v>0</v>
      </c>
      <c r="HE21" s="33" t="n">
        <v>0</v>
      </c>
      <c r="HF21" s="33" t="n">
        <v>0</v>
      </c>
      <c r="HG21" s="33" t="n">
        <v>0</v>
      </c>
      <c r="HH21" s="33" t="n">
        <v>0</v>
      </c>
      <c r="HI21" s="33" t="n">
        <v>0</v>
      </c>
      <c r="HJ21" s="33" t="n">
        <v>0</v>
      </c>
      <c r="HK21" s="33" t="n">
        <v>0</v>
      </c>
      <c r="HL21" s="33" t="n">
        <v>0</v>
      </c>
      <c r="HM21" s="33" t="n">
        <v>0</v>
      </c>
      <c r="HN21" s="33" t="n">
        <v>0</v>
      </c>
      <c r="HO21" s="33" t="n">
        <v>0</v>
      </c>
      <c r="HP21" s="33" t="n">
        <v>0</v>
      </c>
      <c r="HQ21" s="33" t="n">
        <v>0</v>
      </c>
      <c r="HR21" s="33" t="n">
        <v>0</v>
      </c>
      <c r="HS21" s="33" t="n">
        <v>0</v>
      </c>
      <c r="HT21" s="33" t="n">
        <v>0</v>
      </c>
      <c r="HU21" s="33" t="n">
        <v>0</v>
      </c>
      <c r="HV21" s="33" t="n">
        <v>0</v>
      </c>
      <c r="HW21" s="33" t="n">
        <v>0</v>
      </c>
      <c r="HX21" s="33" t="n">
        <v>0</v>
      </c>
      <c r="HY21" s="33" t="n">
        <v>0</v>
      </c>
      <c r="HZ21" s="33" t="n">
        <v>0</v>
      </c>
      <c r="IA21" s="33" t="n">
        <v>0</v>
      </c>
      <c r="IB21" s="33" t="n">
        <v>0</v>
      </c>
      <c r="IC21" s="33" t="n">
        <v>0</v>
      </c>
      <c r="ID21" s="33" t="n">
        <v>0</v>
      </c>
      <c r="IE21" s="33" t="n">
        <v>0</v>
      </c>
      <c r="IF21" s="33" t="n">
        <v>0</v>
      </c>
      <c r="IG21" s="33" t="n">
        <v>0</v>
      </c>
      <c r="IH21" s="33" t="n">
        <v>0</v>
      </c>
      <c r="II21" s="33" t="n">
        <v>0</v>
      </c>
      <c r="IJ21" s="33" t="n">
        <v>0</v>
      </c>
      <c r="IK21" s="33" t="n">
        <v>0</v>
      </c>
      <c r="IL21" s="33" t="n">
        <v>0</v>
      </c>
      <c r="IM21" s="33" t="n">
        <v>0</v>
      </c>
      <c r="IN21" s="33" t="n">
        <v>0</v>
      </c>
      <c r="IO21" s="33" t="n">
        <v>0</v>
      </c>
      <c r="IP21" s="33" t="n">
        <v>0</v>
      </c>
      <c r="IQ21" s="33" t="n">
        <v>0</v>
      </c>
      <c r="IR21" s="33" t="n">
        <v>0</v>
      </c>
      <c r="IS21" s="33" t="n">
        <v>0</v>
      </c>
      <c r="IT21" s="33" t="n">
        <v>0</v>
      </c>
      <c r="IU21" s="33" t="n">
        <v>0</v>
      </c>
      <c r="IV21" s="33" t="n">
        <v>0</v>
      </c>
      <c r="IW21" s="33" t="n">
        <v>0</v>
      </c>
      <c r="IX21" s="33" t="n">
        <v>0</v>
      </c>
      <c r="IY21" s="33" t="n">
        <v>0</v>
      </c>
      <c r="IZ21" s="33" t="n">
        <v>0</v>
      </c>
      <c r="JA21" s="33" t="n">
        <v>0</v>
      </c>
      <c r="JB21" s="33" t="n">
        <v>0</v>
      </c>
      <c r="JC21" s="33" t="n">
        <v>0</v>
      </c>
      <c r="JD21" s="33" t="n">
        <v>0</v>
      </c>
      <c r="JE21" s="33" t="n">
        <v>0</v>
      </c>
      <c r="JF21" s="33" t="n">
        <v>0</v>
      </c>
      <c r="JG21" s="33" t="n">
        <v>0</v>
      </c>
      <c r="JH21" s="33" t="n">
        <v>0</v>
      </c>
      <c r="JI21" s="33" t="n">
        <v>0</v>
      </c>
      <c r="JJ21" s="33" t="n">
        <v>0</v>
      </c>
      <c r="JK21" s="33" t="n">
        <v>0</v>
      </c>
      <c r="JL21" s="33" t="n">
        <v>0</v>
      </c>
      <c r="JM21" s="33" t="n">
        <v>0</v>
      </c>
      <c r="JN21" s="33" t="n">
        <v>0</v>
      </c>
      <c r="JO21" s="33" t="n">
        <v>0</v>
      </c>
      <c r="JP21" s="33" t="n">
        <v>0</v>
      </c>
      <c r="JQ21" s="33" t="n">
        <v>0</v>
      </c>
      <c r="JR21" s="33" t="n">
        <v>0</v>
      </c>
      <c r="JS21" s="33" t="n">
        <v>0</v>
      </c>
      <c r="JT21" s="33" t="n">
        <v>0</v>
      </c>
      <c r="JU21" s="33" t="n">
        <v>0</v>
      </c>
      <c r="JV21" s="33" t="n">
        <v>0</v>
      </c>
      <c r="JW21" s="33" t="n">
        <v>0</v>
      </c>
      <c r="JX21" s="33" t="n">
        <v>0</v>
      </c>
      <c r="JY21" s="33" t="n">
        <v>0</v>
      </c>
      <c r="JZ21" s="33" t="n">
        <v>0</v>
      </c>
      <c r="KA21" s="33" t="n">
        <v>0</v>
      </c>
      <c r="KB21" s="33" t="n">
        <v>0</v>
      </c>
      <c r="KC21" s="33" t="n">
        <v>0</v>
      </c>
      <c r="KD21" s="33" t="n">
        <v>0</v>
      </c>
      <c r="KE21" s="33" t="n">
        <v>0</v>
      </c>
      <c r="KF21" s="33" t="n">
        <v>0</v>
      </c>
      <c r="KG21" s="33" t="n">
        <v>0</v>
      </c>
      <c r="KH21" s="33" t="n">
        <v>0</v>
      </c>
      <c r="KI21" s="33" t="n">
        <v>0</v>
      </c>
      <c r="KJ21" s="33" t="n">
        <v>0</v>
      </c>
      <c r="KK21" s="33" t="n">
        <v>0</v>
      </c>
      <c r="KL21" s="33" t="n">
        <v>0</v>
      </c>
      <c r="KM21" s="33" t="n">
        <v>0</v>
      </c>
      <c r="KN21" s="33" t="n">
        <v>0</v>
      </c>
      <c r="KO21" s="33" t="n">
        <v>0</v>
      </c>
      <c r="KP21" s="33" t="n">
        <v>0</v>
      </c>
      <c r="KQ21" s="33" t="n">
        <v>0</v>
      </c>
      <c r="KR21" s="33" t="n">
        <v>0</v>
      </c>
      <c r="KS21" s="33" t="n">
        <v>0</v>
      </c>
      <c r="KT21" s="33" t="n">
        <v>0</v>
      </c>
      <c r="KU21" s="33" t="n">
        <v>0</v>
      </c>
      <c r="KV21" s="33" t="n">
        <v>0</v>
      </c>
      <c r="KW21" s="33" t="n">
        <v>0</v>
      </c>
      <c r="KX21" s="33" t="n">
        <v>0</v>
      </c>
      <c r="KY21" s="33" t="n">
        <v>0</v>
      </c>
      <c r="KZ21" s="33" t="n">
        <v>0</v>
      </c>
      <c r="LA21" s="33" t="n">
        <v>0</v>
      </c>
      <c r="LB21" s="33" t="n">
        <v>0</v>
      </c>
      <c r="LC21" s="33" t="n">
        <v>0</v>
      </c>
      <c r="LD21" s="33" t="n">
        <v>0</v>
      </c>
      <c r="LE21" s="33" t="n">
        <v>0</v>
      </c>
      <c r="LF21" s="33" t="n">
        <v>0</v>
      </c>
      <c r="LG21" s="33" t="n">
        <v>0</v>
      </c>
      <c r="LH21" s="33" t="n">
        <v>0</v>
      </c>
      <c r="LI21" s="33" t="n">
        <v>0</v>
      </c>
      <c r="LJ21" s="33" t="n">
        <v>0</v>
      </c>
      <c r="LK21" s="33" t="n">
        <v>0</v>
      </c>
      <c r="LL21" s="33" t="n">
        <v>0</v>
      </c>
      <c r="LM21" s="33" t="n">
        <v>0</v>
      </c>
      <c r="LN21" s="33" t="n">
        <v>0</v>
      </c>
      <c r="LO21" s="33" t="n">
        <v>0</v>
      </c>
      <c r="LP21" s="33" t="n">
        <v>0</v>
      </c>
      <c r="LQ21" s="33" t="n">
        <v>0</v>
      </c>
      <c r="LR21" s="33" t="n">
        <v>0</v>
      </c>
      <c r="LS21" s="33" t="n">
        <v>0</v>
      </c>
      <c r="LT21" s="33" t="n">
        <v>0</v>
      </c>
      <c r="LU21" s="33" t="n">
        <v>0</v>
      </c>
      <c r="LV21" s="33" t="n">
        <v>0</v>
      </c>
      <c r="LW21" s="33" t="n">
        <v>0</v>
      </c>
      <c r="LX21" s="33" t="n">
        <v>0</v>
      </c>
      <c r="LY21" s="33" t="n">
        <v>0</v>
      </c>
      <c r="LZ21" s="33" t="n">
        <v>0</v>
      </c>
      <c r="MA21" s="33" t="n">
        <v>0</v>
      </c>
      <c r="MB21" s="33" t="n">
        <v>0</v>
      </c>
      <c r="MC21" s="33" t="n">
        <v>0</v>
      </c>
      <c r="MD21" s="33" t="n">
        <v>0</v>
      </c>
      <c r="ME21" s="33" t="n">
        <v>0</v>
      </c>
      <c r="MF21" s="33" t="n">
        <v>0</v>
      </c>
      <c r="MG21" s="33" t="n">
        <v>0</v>
      </c>
      <c r="MH21" s="33" t="n">
        <v>0</v>
      </c>
      <c r="MI21" s="33" t="n">
        <v>0</v>
      </c>
      <c r="MJ21" s="33" t="n">
        <v>0</v>
      </c>
      <c r="MK21" s="33" t="n">
        <v>0</v>
      </c>
      <c r="ML21" s="33" t="n">
        <v>0</v>
      </c>
      <c r="MM21" s="33" t="n">
        <v>0</v>
      </c>
      <c r="MN21" s="33" t="n">
        <v>0</v>
      </c>
      <c r="MO21" s="33" t="n">
        <v>0</v>
      </c>
      <c r="MP21" s="33" t="n">
        <v>0</v>
      </c>
      <c r="MQ21" s="33" t="n">
        <v>0</v>
      </c>
      <c r="MR21" s="33" t="n">
        <v>0</v>
      </c>
      <c r="MS21" s="33" t="n">
        <v>0</v>
      </c>
      <c r="MT21" s="33" t="n">
        <v>0</v>
      </c>
      <c r="MU21" s="33" t="n">
        <v>0</v>
      </c>
      <c r="MV21" s="33" t="n">
        <v>0</v>
      </c>
      <c r="MW21" s="33" t="n">
        <v>0</v>
      </c>
      <c r="MX21" s="33" t="n">
        <v>0</v>
      </c>
      <c r="MY21" s="33" t="n">
        <v>0</v>
      </c>
      <c r="MZ21" s="33" t="n">
        <v>0</v>
      </c>
      <c r="NA21" s="33" t="n">
        <v>0</v>
      </c>
      <c r="NB21" s="33" t="n">
        <v>0</v>
      </c>
      <c r="NC21" s="33" t="n">
        <v>0</v>
      </c>
      <c r="ND21" s="33" t="n">
        <v>0</v>
      </c>
      <c r="NE21" s="33" t="n">
        <v>0</v>
      </c>
      <c r="NF21" s="33" t="n">
        <v>0</v>
      </c>
      <c r="NG21" s="33" t="n">
        <v>0</v>
      </c>
      <c r="NH21" s="33" t="n">
        <v>0</v>
      </c>
      <c r="NI21" s="33" t="n">
        <v>0</v>
      </c>
      <c r="NJ21" s="33" t="n">
        <v>0</v>
      </c>
      <c r="NK21" s="33" t="n">
        <v>0</v>
      </c>
      <c r="NL21" s="33" t="n">
        <v>0</v>
      </c>
      <c r="NM21" s="33" t="n">
        <v>0</v>
      </c>
      <c r="NN21" s="33" t="n">
        <v>0</v>
      </c>
      <c r="NO21" s="33" t="n">
        <v>0</v>
      </c>
      <c r="NP21" s="33" t="n">
        <v>0</v>
      </c>
      <c r="NQ21" s="33" t="n">
        <v>0</v>
      </c>
      <c r="NR21" s="33" t="n">
        <v>0</v>
      </c>
      <c r="NS21" s="33" t="n">
        <v>0</v>
      </c>
      <c r="NT21" s="33" t="n">
        <v>0</v>
      </c>
      <c r="NU21" s="33" t="n">
        <v>0</v>
      </c>
      <c r="NV21" s="33" t="n">
        <v>0</v>
      </c>
      <c r="NW21" s="33" t="n">
        <v>0</v>
      </c>
      <c r="NX21" s="33" t="n">
        <v>0</v>
      </c>
      <c r="NY21" s="33" t="n">
        <v>0</v>
      </c>
      <c r="NZ21" s="33" t="n">
        <v>0</v>
      </c>
      <c r="OA21" s="33" t="n">
        <v>0</v>
      </c>
      <c r="OB21" s="33" t="n">
        <v>0</v>
      </c>
      <c r="OC21" s="33" t="n">
        <v>0</v>
      </c>
      <c r="OD21" s="33" t="n">
        <v>0</v>
      </c>
      <c r="OE21" s="33" t="n">
        <v>0</v>
      </c>
      <c r="OF21" s="33" t="n">
        <v>0</v>
      </c>
      <c r="OG21" s="33" t="n">
        <v>0</v>
      </c>
      <c r="OH21" s="33" t="n">
        <v>0</v>
      </c>
      <c r="OI21" s="33" t="n">
        <v>0</v>
      </c>
      <c r="OJ21" s="33" t="n">
        <v>0</v>
      </c>
      <c r="OK21" s="33" t="n">
        <v>0</v>
      </c>
      <c r="OL21" s="33" t="n">
        <v>0</v>
      </c>
      <c r="OM21" s="33" t="n">
        <v>0</v>
      </c>
      <c r="ON21" s="33" t="n">
        <v>0</v>
      </c>
      <c r="OO21" s="33" t="n">
        <v>0</v>
      </c>
      <c r="OP21" s="33" t="n">
        <v>0</v>
      </c>
      <c r="OQ21" s="33" t="n">
        <v>0</v>
      </c>
      <c r="OR21" s="33" t="n">
        <v>0</v>
      </c>
      <c r="OS21" s="33" t="n">
        <v>0</v>
      </c>
      <c r="OT21" s="33" t="n">
        <v>0</v>
      </c>
      <c r="OU21" s="33" t="n">
        <v>0</v>
      </c>
      <c r="OV21" s="33" t="n">
        <v>0</v>
      </c>
      <c r="OW21" s="33" t="n">
        <v>0</v>
      </c>
      <c r="OX21" s="33" t="n">
        <v>0</v>
      </c>
      <c r="OY21" s="33" t="n">
        <v>0</v>
      </c>
      <c r="OZ21" s="33" t="n">
        <v>0</v>
      </c>
      <c r="PA21" s="33" t="n">
        <v>0</v>
      </c>
      <c r="PB21" s="33" t="n">
        <v>0</v>
      </c>
      <c r="PC21" s="33" t="n">
        <v>0</v>
      </c>
      <c r="PD21" s="33" t="n">
        <v>0</v>
      </c>
      <c r="PE21" s="33" t="n">
        <v>0</v>
      </c>
      <c r="PF21" s="33" t="n">
        <v>0</v>
      </c>
      <c r="PG21" s="33" t="n">
        <v>0</v>
      </c>
      <c r="PH21" s="33" t="n">
        <v>0</v>
      </c>
      <c r="PI21" s="33" t="n">
        <v>0</v>
      </c>
      <c r="PJ21" s="33" t="n">
        <v>0</v>
      </c>
      <c r="PK21" s="33" t="n">
        <v>0</v>
      </c>
      <c r="PL21" s="33" t="n">
        <v>0</v>
      </c>
      <c r="PM21" s="33" t="n">
        <v>0</v>
      </c>
      <c r="PN21" s="33" t="n">
        <v>0</v>
      </c>
      <c r="PO21" s="33" t="n">
        <v>0</v>
      </c>
      <c r="PP21" s="33" t="n">
        <v>0</v>
      </c>
      <c r="PQ21" s="33" t="n">
        <v>0</v>
      </c>
      <c r="PR21" s="33" t="n">
        <v>0</v>
      </c>
      <c r="PS21" s="33" t="n">
        <v>0</v>
      </c>
      <c r="PT21" s="33" t="n">
        <v>0</v>
      </c>
      <c r="PU21" s="33" t="n">
        <v>0</v>
      </c>
      <c r="PV21" s="33" t="n">
        <v>0</v>
      </c>
      <c r="PW21" s="33" t="n">
        <v>0</v>
      </c>
      <c r="PX21" s="33" t="n">
        <v>0</v>
      </c>
      <c r="PY21" s="33" t="n">
        <v>0</v>
      </c>
      <c r="PZ21" s="33" t="n">
        <v>0</v>
      </c>
      <c r="QA21" s="33" t="n">
        <v>0</v>
      </c>
      <c r="QB21" s="33" t="n">
        <v>0</v>
      </c>
      <c r="QC21" s="33" t="n">
        <v>0</v>
      </c>
      <c r="QD21" s="33" t="n">
        <v>0</v>
      </c>
      <c r="QE21" s="33" t="n">
        <v>0</v>
      </c>
      <c r="QF21" s="33" t="n">
        <v>0</v>
      </c>
      <c r="QG21" s="33" t="n">
        <v>0</v>
      </c>
      <c r="QH21" s="33" t="n">
        <v>0</v>
      </c>
      <c r="QI21" s="33" t="n">
        <v>0</v>
      </c>
      <c r="QJ21" s="33" t="n">
        <v>0</v>
      </c>
      <c r="QK21" s="33" t="n">
        <v>0</v>
      </c>
      <c r="QL21" s="33" t="n">
        <v>0</v>
      </c>
      <c r="QM21" s="33" t="n">
        <v>0</v>
      </c>
      <c r="QN21" s="33" t="n">
        <v>0</v>
      </c>
      <c r="QO21" s="33" t="n">
        <v>0</v>
      </c>
      <c r="QP21" s="33" t="n">
        <v>0</v>
      </c>
      <c r="QQ21" s="33" t="n">
        <v>0</v>
      </c>
      <c r="QR21" s="33" t="n">
        <v>0</v>
      </c>
      <c r="QS21" s="33" t="n">
        <v>0</v>
      </c>
      <c r="QT21" s="33" t="n">
        <v>0</v>
      </c>
      <c r="QU21" s="33" t="n">
        <v>0</v>
      </c>
      <c r="QV21" s="33" t="n">
        <v>0</v>
      </c>
      <c r="QW21" s="33" t="n">
        <v>0</v>
      </c>
      <c r="QX21" s="33" t="n">
        <v>0</v>
      </c>
      <c r="QY21" s="33" t="n">
        <v>0</v>
      </c>
      <c r="QZ21" s="33" t="n">
        <v>0</v>
      </c>
      <c r="RA21" s="33" t="n">
        <v>0</v>
      </c>
      <c r="RB21" s="33" t="n">
        <v>0</v>
      </c>
      <c r="RC21" s="33" t="n">
        <v>0</v>
      </c>
      <c r="RD21" s="33" t="n">
        <v>0</v>
      </c>
      <c r="RE21" s="33" t="n">
        <v>0</v>
      </c>
      <c r="RF21" s="33" t="n">
        <v>0</v>
      </c>
      <c r="RG21" s="33" t="n">
        <v>0</v>
      </c>
      <c r="RH21" s="33" t="n">
        <v>0</v>
      </c>
      <c r="RI21" s="33" t="n">
        <v>0</v>
      </c>
      <c r="RJ21" s="33" t="n">
        <v>0</v>
      </c>
      <c r="RK21" s="33" t="n">
        <v>0</v>
      </c>
      <c r="RL21" s="33" t="n">
        <v>0</v>
      </c>
      <c r="RM21" s="33" t="n">
        <v>0</v>
      </c>
      <c r="RN21" s="33" t="n">
        <v>0</v>
      </c>
      <c r="RO21" s="33" t="n">
        <v>0</v>
      </c>
      <c r="RP21" s="33" t="n">
        <v>0</v>
      </c>
      <c r="RQ21" s="33" t="n">
        <v>0</v>
      </c>
      <c r="RR21" s="33" t="n">
        <v>0</v>
      </c>
      <c r="RS21" s="33" t="n">
        <v>0</v>
      </c>
      <c r="RT21" s="33" t="n">
        <v>0</v>
      </c>
      <c r="RU21" s="33" t="n">
        <v>0</v>
      </c>
      <c r="RV21" s="33" t="n">
        <v>0</v>
      </c>
      <c r="RW21" s="33" t="n">
        <v>0</v>
      </c>
    </row>
    <row r="22" hidden="1" outlineLevel="1" ht="13.05" customHeight="1">
      <c r="E22" s="21" t="inlineStr">
        <is>
          <t>Trading Costs</t>
        </is>
      </c>
      <c r="F22" s="29" t="n"/>
      <c r="G22" s="29" t="inlineStr">
        <is>
          <t>kEUR</t>
        </is>
      </c>
      <c r="H22" s="29" t="n"/>
      <c r="I22" s="29" t="n"/>
      <c r="J22" s="32" t="n">
        <v>0</v>
      </c>
      <c r="K22" s="29" t="n"/>
      <c r="L22" s="33" t="n">
        <v>0</v>
      </c>
      <c r="M22" s="33" t="n">
        <v>0</v>
      </c>
      <c r="N22" s="33" t="n">
        <v>0</v>
      </c>
      <c r="O22" s="33" t="n">
        <v>0</v>
      </c>
      <c r="P22" s="33" t="n">
        <v>0</v>
      </c>
      <c r="Q22" s="33" t="n">
        <v>0</v>
      </c>
      <c r="R22" s="33" t="n">
        <v>0</v>
      </c>
      <c r="S22" s="33" t="n">
        <v>0</v>
      </c>
      <c r="T22" s="33" t="n">
        <v>0</v>
      </c>
      <c r="U22" s="33" t="n">
        <v>0</v>
      </c>
      <c r="V22" s="33" t="n">
        <v>0</v>
      </c>
      <c r="W22" s="33" t="n">
        <v>0</v>
      </c>
      <c r="X22" s="33" t="n">
        <v>0</v>
      </c>
      <c r="Y22" s="33" t="n">
        <v>0</v>
      </c>
      <c r="Z22" s="33" t="n">
        <v>0</v>
      </c>
      <c r="AA22" s="33" t="n">
        <v>0</v>
      </c>
      <c r="AB22" s="33" t="n">
        <v>0</v>
      </c>
      <c r="AC22" s="33" t="n">
        <v>0</v>
      </c>
      <c r="AD22" s="33" t="n">
        <v>0</v>
      </c>
      <c r="AE22" s="33" t="n">
        <v>0</v>
      </c>
      <c r="AF22" s="33" t="n">
        <v>0</v>
      </c>
      <c r="AG22" s="33" t="n">
        <v>0</v>
      </c>
      <c r="AH22" s="33" t="n">
        <v>0</v>
      </c>
      <c r="AI22" s="33" t="n">
        <v>0</v>
      </c>
      <c r="AJ22" s="33" t="n">
        <v>0</v>
      </c>
      <c r="AK22" s="33" t="n">
        <v>0</v>
      </c>
      <c r="AL22" s="33" t="n">
        <v>0</v>
      </c>
      <c r="AM22" s="33" t="n">
        <v>0</v>
      </c>
      <c r="AN22" s="33" t="n">
        <v>0</v>
      </c>
      <c r="AO22" s="33" t="n">
        <v>0</v>
      </c>
      <c r="AP22" s="33" t="n">
        <v>0</v>
      </c>
      <c r="AQ22" s="33" t="n">
        <v>0</v>
      </c>
      <c r="AR22" s="33" t="n">
        <v>0</v>
      </c>
      <c r="AS22" s="33" t="n">
        <v>0</v>
      </c>
      <c r="AT22" s="33" t="n">
        <v>0</v>
      </c>
      <c r="AU22" s="33" t="n">
        <v>0</v>
      </c>
      <c r="AV22" s="33" t="n">
        <v>0</v>
      </c>
      <c r="AW22" s="33" t="n">
        <v>0</v>
      </c>
      <c r="AX22" s="33" t="n">
        <v>0</v>
      </c>
      <c r="AY22" s="33" t="n">
        <v>0</v>
      </c>
      <c r="AZ22" s="33" t="n">
        <v>0</v>
      </c>
      <c r="BA22" s="33" t="n">
        <v>0</v>
      </c>
      <c r="BB22" s="33" t="n">
        <v>0</v>
      </c>
      <c r="BC22" s="33" t="n">
        <v>0</v>
      </c>
      <c r="BD22" s="33" t="n">
        <v>0</v>
      </c>
      <c r="BE22" s="33" t="n">
        <v>0</v>
      </c>
      <c r="BF22" s="33" t="n">
        <v>0</v>
      </c>
      <c r="BG22" s="33" t="n">
        <v>0</v>
      </c>
      <c r="BH22" s="33" t="n">
        <v>0</v>
      </c>
      <c r="BI22" s="33" t="n">
        <v>0</v>
      </c>
      <c r="BJ22" s="33" t="n">
        <v>0</v>
      </c>
      <c r="BK22" s="33" t="n">
        <v>0</v>
      </c>
      <c r="BL22" s="33" t="n">
        <v>0</v>
      </c>
      <c r="BM22" s="33" t="n">
        <v>0</v>
      </c>
      <c r="BN22" s="33" t="n">
        <v>0</v>
      </c>
      <c r="BO22" s="33" t="n">
        <v>0</v>
      </c>
      <c r="BP22" s="33" t="n">
        <v>0</v>
      </c>
      <c r="BQ22" s="33" t="n">
        <v>0</v>
      </c>
      <c r="BR22" s="33" t="n">
        <v>0</v>
      </c>
      <c r="BS22" s="33" t="n">
        <v>0</v>
      </c>
      <c r="BT22" s="33" t="n">
        <v>0</v>
      </c>
      <c r="BU22" s="33" t="n">
        <v>0</v>
      </c>
      <c r="BV22" s="33" t="n">
        <v>0</v>
      </c>
      <c r="BW22" s="33" t="n">
        <v>0</v>
      </c>
      <c r="BX22" s="33" t="n">
        <v>0</v>
      </c>
      <c r="BY22" s="33" t="n">
        <v>0</v>
      </c>
      <c r="BZ22" s="33" t="n">
        <v>0</v>
      </c>
      <c r="CA22" s="33" t="n">
        <v>0</v>
      </c>
      <c r="CB22" s="33" t="n">
        <v>0</v>
      </c>
      <c r="CC22" s="33" t="n">
        <v>0</v>
      </c>
      <c r="CD22" s="33" t="n">
        <v>0</v>
      </c>
      <c r="CE22" s="33" t="n">
        <v>0</v>
      </c>
      <c r="CF22" s="33" t="n">
        <v>0</v>
      </c>
      <c r="CG22" s="33" t="n">
        <v>0</v>
      </c>
      <c r="CH22" s="33" t="n">
        <v>0</v>
      </c>
      <c r="CI22" s="33" t="n">
        <v>0</v>
      </c>
      <c r="CJ22" s="33" t="n">
        <v>0</v>
      </c>
      <c r="CK22" s="33" t="n">
        <v>0</v>
      </c>
      <c r="CL22" s="33" t="n">
        <v>0</v>
      </c>
      <c r="CM22" s="33" t="n">
        <v>0</v>
      </c>
      <c r="CN22" s="33" t="n">
        <v>0</v>
      </c>
      <c r="CO22" s="33" t="n">
        <v>0</v>
      </c>
      <c r="CP22" s="33" t="n">
        <v>0</v>
      </c>
      <c r="CQ22" s="33" t="n">
        <v>0</v>
      </c>
      <c r="CR22" s="33" t="n">
        <v>0</v>
      </c>
      <c r="CS22" s="33" t="n">
        <v>0</v>
      </c>
      <c r="CT22" s="33" t="n">
        <v>0</v>
      </c>
      <c r="CU22" s="33" t="n">
        <v>0</v>
      </c>
      <c r="CV22" s="33" t="n">
        <v>0</v>
      </c>
      <c r="CW22" s="33" t="n">
        <v>0</v>
      </c>
      <c r="CX22" s="33" t="n">
        <v>0</v>
      </c>
      <c r="CY22" s="33" t="n">
        <v>0</v>
      </c>
      <c r="CZ22" s="33" t="n">
        <v>0</v>
      </c>
      <c r="DA22" s="33" t="n">
        <v>0</v>
      </c>
      <c r="DB22" s="33" t="n">
        <v>0</v>
      </c>
      <c r="DC22" s="33" t="n">
        <v>0</v>
      </c>
      <c r="DD22" s="33" t="n">
        <v>0</v>
      </c>
      <c r="DE22" s="33" t="n">
        <v>0</v>
      </c>
      <c r="DF22" s="33" t="n">
        <v>0</v>
      </c>
      <c r="DG22" s="33" t="n">
        <v>0</v>
      </c>
      <c r="DH22" s="33" t="n">
        <v>0</v>
      </c>
      <c r="DI22" s="33" t="n">
        <v>0</v>
      </c>
      <c r="DJ22" s="33" t="n">
        <v>0</v>
      </c>
      <c r="DK22" s="33" t="n">
        <v>0</v>
      </c>
      <c r="DL22" s="33" t="n">
        <v>0</v>
      </c>
      <c r="DM22" s="33" t="n">
        <v>0</v>
      </c>
      <c r="DN22" s="33" t="n">
        <v>0</v>
      </c>
      <c r="DO22" s="33" t="n">
        <v>0</v>
      </c>
      <c r="DP22" s="33" t="n">
        <v>0</v>
      </c>
      <c r="DQ22" s="33" t="n">
        <v>0</v>
      </c>
      <c r="DR22" s="33" t="n">
        <v>0</v>
      </c>
      <c r="DS22" s="33" t="n">
        <v>0</v>
      </c>
      <c r="DT22" s="33" t="n">
        <v>0</v>
      </c>
      <c r="DU22" s="33" t="n">
        <v>0</v>
      </c>
      <c r="DV22" s="33" t="n">
        <v>0</v>
      </c>
      <c r="DW22" s="33" t="n">
        <v>0</v>
      </c>
      <c r="DX22" s="33" t="n">
        <v>0</v>
      </c>
      <c r="DY22" s="33" t="n">
        <v>0</v>
      </c>
      <c r="DZ22" s="33" t="n">
        <v>0</v>
      </c>
      <c r="EA22" s="33" t="n">
        <v>0</v>
      </c>
      <c r="EB22" s="33" t="n">
        <v>0</v>
      </c>
      <c r="EC22" s="33" t="n">
        <v>0</v>
      </c>
      <c r="ED22" s="33" t="n">
        <v>0</v>
      </c>
      <c r="EE22" s="33" t="n">
        <v>0</v>
      </c>
      <c r="EF22" s="33" t="n">
        <v>0</v>
      </c>
      <c r="EG22" s="33" t="n">
        <v>0</v>
      </c>
      <c r="EH22" s="33" t="n">
        <v>0</v>
      </c>
      <c r="EI22" s="33" t="n">
        <v>0</v>
      </c>
      <c r="EJ22" s="33" t="n">
        <v>0</v>
      </c>
      <c r="EK22" s="33" t="n">
        <v>0</v>
      </c>
      <c r="EL22" s="33" t="n">
        <v>0</v>
      </c>
      <c r="EM22" s="33" t="n">
        <v>0</v>
      </c>
      <c r="EN22" s="33" t="n">
        <v>0</v>
      </c>
      <c r="EO22" s="33" t="n">
        <v>0</v>
      </c>
      <c r="EP22" s="33" t="n">
        <v>0</v>
      </c>
      <c r="EQ22" s="33" t="n">
        <v>0</v>
      </c>
      <c r="ER22" s="33" t="n">
        <v>0</v>
      </c>
      <c r="ES22" s="33" t="n">
        <v>0</v>
      </c>
      <c r="ET22" s="33" t="n">
        <v>0</v>
      </c>
      <c r="EU22" s="33" t="n">
        <v>0</v>
      </c>
      <c r="EV22" s="33" t="n">
        <v>0</v>
      </c>
      <c r="EW22" s="33" t="n">
        <v>0</v>
      </c>
      <c r="EX22" s="33" t="n">
        <v>0</v>
      </c>
      <c r="EY22" s="33" t="n">
        <v>0</v>
      </c>
      <c r="EZ22" s="33" t="n">
        <v>0</v>
      </c>
      <c r="FA22" s="33" t="n">
        <v>0</v>
      </c>
      <c r="FB22" s="33" t="n">
        <v>0</v>
      </c>
      <c r="FC22" s="33" t="n">
        <v>0</v>
      </c>
      <c r="FD22" s="33" t="n">
        <v>0</v>
      </c>
      <c r="FE22" s="33" t="n">
        <v>0</v>
      </c>
      <c r="FF22" s="33" t="n">
        <v>0</v>
      </c>
      <c r="FG22" s="33" t="n">
        <v>0</v>
      </c>
      <c r="FH22" s="33" t="n">
        <v>0</v>
      </c>
      <c r="FI22" s="33" t="n">
        <v>0</v>
      </c>
      <c r="FJ22" s="33" t="n">
        <v>0</v>
      </c>
      <c r="FK22" s="33" t="n">
        <v>0</v>
      </c>
      <c r="FL22" s="33" t="n">
        <v>0</v>
      </c>
      <c r="FM22" s="33" t="n">
        <v>0</v>
      </c>
      <c r="FN22" s="33" t="n">
        <v>0</v>
      </c>
      <c r="FO22" s="33" t="n">
        <v>0</v>
      </c>
      <c r="FP22" s="33" t="n">
        <v>0</v>
      </c>
      <c r="FQ22" s="33" t="n">
        <v>0</v>
      </c>
      <c r="FR22" s="33" t="n">
        <v>0</v>
      </c>
      <c r="FS22" s="33" t="n">
        <v>0</v>
      </c>
      <c r="FT22" s="33" t="n">
        <v>0</v>
      </c>
      <c r="FU22" s="33" t="n">
        <v>0</v>
      </c>
      <c r="FV22" s="33" t="n">
        <v>0</v>
      </c>
      <c r="FW22" s="33" t="n">
        <v>0</v>
      </c>
      <c r="FX22" s="33" t="n">
        <v>0</v>
      </c>
      <c r="FY22" s="33" t="n">
        <v>0</v>
      </c>
      <c r="FZ22" s="33" t="n">
        <v>0</v>
      </c>
      <c r="GA22" s="33" t="n">
        <v>0</v>
      </c>
      <c r="GB22" s="33" t="n">
        <v>0</v>
      </c>
      <c r="GC22" s="33" t="n">
        <v>0</v>
      </c>
      <c r="GD22" s="33" t="n">
        <v>0</v>
      </c>
      <c r="GE22" s="33" t="n">
        <v>0</v>
      </c>
      <c r="GF22" s="33" t="n">
        <v>0</v>
      </c>
      <c r="GG22" s="33" t="n">
        <v>0</v>
      </c>
      <c r="GH22" s="33" t="n">
        <v>0</v>
      </c>
      <c r="GI22" s="33" t="n">
        <v>0</v>
      </c>
      <c r="GJ22" s="33" t="n">
        <v>0</v>
      </c>
      <c r="GK22" s="33" t="n">
        <v>0</v>
      </c>
      <c r="GL22" s="33" t="n">
        <v>0</v>
      </c>
      <c r="GM22" s="33" t="n">
        <v>0</v>
      </c>
      <c r="GN22" s="33" t="n">
        <v>0</v>
      </c>
      <c r="GO22" s="33" t="n">
        <v>0</v>
      </c>
      <c r="GP22" s="33" t="n">
        <v>0</v>
      </c>
      <c r="GQ22" s="33" t="n">
        <v>0</v>
      </c>
      <c r="GR22" s="33" t="n">
        <v>0</v>
      </c>
      <c r="GS22" s="33" t="n">
        <v>0</v>
      </c>
      <c r="GT22" s="33" t="n">
        <v>0</v>
      </c>
      <c r="GU22" s="33" t="n">
        <v>0</v>
      </c>
      <c r="GV22" s="33" t="n">
        <v>0</v>
      </c>
      <c r="GW22" s="33" t="n">
        <v>0</v>
      </c>
      <c r="GX22" s="33" t="n">
        <v>0</v>
      </c>
      <c r="GY22" s="33" t="n">
        <v>0</v>
      </c>
      <c r="GZ22" s="33" t="n">
        <v>0</v>
      </c>
      <c r="HA22" s="33" t="n">
        <v>0</v>
      </c>
      <c r="HB22" s="33" t="n">
        <v>0</v>
      </c>
      <c r="HC22" s="33" t="n">
        <v>0</v>
      </c>
      <c r="HD22" s="33" t="n">
        <v>0</v>
      </c>
      <c r="HE22" s="33" t="n">
        <v>0</v>
      </c>
      <c r="HF22" s="33" t="n">
        <v>0</v>
      </c>
      <c r="HG22" s="33" t="n">
        <v>0</v>
      </c>
      <c r="HH22" s="33" t="n">
        <v>0</v>
      </c>
      <c r="HI22" s="33" t="n">
        <v>0</v>
      </c>
      <c r="HJ22" s="33" t="n">
        <v>0</v>
      </c>
      <c r="HK22" s="33" t="n">
        <v>0</v>
      </c>
      <c r="HL22" s="33" t="n">
        <v>0</v>
      </c>
      <c r="HM22" s="33" t="n">
        <v>0</v>
      </c>
      <c r="HN22" s="33" t="n">
        <v>0</v>
      </c>
      <c r="HO22" s="33" t="n">
        <v>0</v>
      </c>
      <c r="HP22" s="33" t="n">
        <v>0</v>
      </c>
      <c r="HQ22" s="33" t="n">
        <v>0</v>
      </c>
      <c r="HR22" s="33" t="n">
        <v>0</v>
      </c>
      <c r="HS22" s="33" t="n">
        <v>0</v>
      </c>
      <c r="HT22" s="33" t="n">
        <v>0</v>
      </c>
      <c r="HU22" s="33" t="n">
        <v>0</v>
      </c>
      <c r="HV22" s="33" t="n">
        <v>0</v>
      </c>
      <c r="HW22" s="33" t="n">
        <v>0</v>
      </c>
      <c r="HX22" s="33" t="n">
        <v>0</v>
      </c>
      <c r="HY22" s="33" t="n">
        <v>0</v>
      </c>
      <c r="HZ22" s="33" t="n">
        <v>0</v>
      </c>
      <c r="IA22" s="33" t="n">
        <v>0</v>
      </c>
      <c r="IB22" s="33" t="n">
        <v>0</v>
      </c>
      <c r="IC22" s="33" t="n">
        <v>0</v>
      </c>
      <c r="ID22" s="33" t="n">
        <v>0</v>
      </c>
      <c r="IE22" s="33" t="n">
        <v>0</v>
      </c>
      <c r="IF22" s="33" t="n">
        <v>0</v>
      </c>
      <c r="IG22" s="33" t="n">
        <v>0</v>
      </c>
      <c r="IH22" s="33" t="n">
        <v>0</v>
      </c>
      <c r="II22" s="33" t="n">
        <v>0</v>
      </c>
      <c r="IJ22" s="33" t="n">
        <v>0</v>
      </c>
      <c r="IK22" s="33" t="n">
        <v>0</v>
      </c>
      <c r="IL22" s="33" t="n">
        <v>0</v>
      </c>
      <c r="IM22" s="33" t="n">
        <v>0</v>
      </c>
      <c r="IN22" s="33" t="n">
        <v>0</v>
      </c>
      <c r="IO22" s="33" t="n">
        <v>0</v>
      </c>
      <c r="IP22" s="33" t="n">
        <v>0</v>
      </c>
      <c r="IQ22" s="33" t="n">
        <v>0</v>
      </c>
      <c r="IR22" s="33" t="n">
        <v>0</v>
      </c>
      <c r="IS22" s="33" t="n">
        <v>0</v>
      </c>
      <c r="IT22" s="33" t="n">
        <v>0</v>
      </c>
      <c r="IU22" s="33" t="n">
        <v>0</v>
      </c>
      <c r="IV22" s="33" t="n">
        <v>0</v>
      </c>
      <c r="IW22" s="33" t="n">
        <v>0</v>
      </c>
      <c r="IX22" s="33" t="n">
        <v>0</v>
      </c>
      <c r="IY22" s="33" t="n">
        <v>0</v>
      </c>
      <c r="IZ22" s="33" t="n">
        <v>0</v>
      </c>
      <c r="JA22" s="33" t="n">
        <v>0</v>
      </c>
      <c r="JB22" s="33" t="n">
        <v>0</v>
      </c>
      <c r="JC22" s="33" t="n">
        <v>0</v>
      </c>
      <c r="JD22" s="33" t="n">
        <v>0</v>
      </c>
      <c r="JE22" s="33" t="n">
        <v>0</v>
      </c>
      <c r="JF22" s="33" t="n">
        <v>0</v>
      </c>
      <c r="JG22" s="33" t="n">
        <v>0</v>
      </c>
      <c r="JH22" s="33" t="n">
        <v>0</v>
      </c>
      <c r="JI22" s="33" t="n">
        <v>0</v>
      </c>
      <c r="JJ22" s="33" t="n">
        <v>0</v>
      </c>
      <c r="JK22" s="33" t="n">
        <v>0</v>
      </c>
      <c r="JL22" s="33" t="n">
        <v>0</v>
      </c>
      <c r="JM22" s="33" t="n">
        <v>0</v>
      </c>
      <c r="JN22" s="33" t="n">
        <v>0</v>
      </c>
      <c r="JO22" s="33" t="n">
        <v>0</v>
      </c>
      <c r="JP22" s="33" t="n">
        <v>0</v>
      </c>
      <c r="JQ22" s="33" t="n">
        <v>0</v>
      </c>
      <c r="JR22" s="33" t="n">
        <v>0</v>
      </c>
      <c r="JS22" s="33" t="n">
        <v>0</v>
      </c>
      <c r="JT22" s="33" t="n">
        <v>0</v>
      </c>
      <c r="JU22" s="33" t="n">
        <v>0</v>
      </c>
      <c r="JV22" s="33" t="n">
        <v>0</v>
      </c>
      <c r="JW22" s="33" t="n">
        <v>0</v>
      </c>
      <c r="JX22" s="33" t="n">
        <v>0</v>
      </c>
      <c r="JY22" s="33" t="n">
        <v>0</v>
      </c>
      <c r="JZ22" s="33" t="n">
        <v>0</v>
      </c>
      <c r="KA22" s="33" t="n">
        <v>0</v>
      </c>
      <c r="KB22" s="33" t="n">
        <v>0</v>
      </c>
      <c r="KC22" s="33" t="n">
        <v>0</v>
      </c>
      <c r="KD22" s="33" t="n">
        <v>0</v>
      </c>
      <c r="KE22" s="33" t="n">
        <v>0</v>
      </c>
      <c r="KF22" s="33" t="n">
        <v>0</v>
      </c>
      <c r="KG22" s="33" t="n">
        <v>0</v>
      </c>
      <c r="KH22" s="33" t="n">
        <v>0</v>
      </c>
      <c r="KI22" s="33" t="n">
        <v>0</v>
      </c>
      <c r="KJ22" s="33" t="n">
        <v>0</v>
      </c>
      <c r="KK22" s="33" t="n">
        <v>0</v>
      </c>
      <c r="KL22" s="33" t="n">
        <v>0</v>
      </c>
      <c r="KM22" s="33" t="n">
        <v>0</v>
      </c>
      <c r="KN22" s="33" t="n">
        <v>0</v>
      </c>
      <c r="KO22" s="33" t="n">
        <v>0</v>
      </c>
      <c r="KP22" s="33" t="n">
        <v>0</v>
      </c>
      <c r="KQ22" s="33" t="n">
        <v>0</v>
      </c>
      <c r="KR22" s="33" t="n">
        <v>0</v>
      </c>
      <c r="KS22" s="33" t="n">
        <v>0</v>
      </c>
      <c r="KT22" s="33" t="n">
        <v>0</v>
      </c>
      <c r="KU22" s="33" t="n">
        <v>0</v>
      </c>
      <c r="KV22" s="33" t="n">
        <v>0</v>
      </c>
      <c r="KW22" s="33" t="n">
        <v>0</v>
      </c>
      <c r="KX22" s="33" t="n">
        <v>0</v>
      </c>
      <c r="KY22" s="33" t="n">
        <v>0</v>
      </c>
      <c r="KZ22" s="33" t="n">
        <v>0</v>
      </c>
      <c r="LA22" s="33" t="n">
        <v>0</v>
      </c>
      <c r="LB22" s="33" t="n">
        <v>0</v>
      </c>
      <c r="LC22" s="33" t="n">
        <v>0</v>
      </c>
      <c r="LD22" s="33" t="n">
        <v>0</v>
      </c>
      <c r="LE22" s="33" t="n">
        <v>0</v>
      </c>
      <c r="LF22" s="33" t="n">
        <v>0</v>
      </c>
      <c r="LG22" s="33" t="n">
        <v>0</v>
      </c>
      <c r="LH22" s="33" t="n">
        <v>0</v>
      </c>
      <c r="LI22" s="33" t="n">
        <v>0</v>
      </c>
      <c r="LJ22" s="33" t="n">
        <v>0</v>
      </c>
      <c r="LK22" s="33" t="n">
        <v>0</v>
      </c>
      <c r="LL22" s="33" t="n">
        <v>0</v>
      </c>
      <c r="LM22" s="33" t="n">
        <v>0</v>
      </c>
      <c r="LN22" s="33" t="n">
        <v>0</v>
      </c>
      <c r="LO22" s="33" t="n">
        <v>0</v>
      </c>
      <c r="LP22" s="33" t="n">
        <v>0</v>
      </c>
      <c r="LQ22" s="33" t="n">
        <v>0</v>
      </c>
      <c r="LR22" s="33" t="n">
        <v>0</v>
      </c>
      <c r="LS22" s="33" t="n">
        <v>0</v>
      </c>
      <c r="LT22" s="33" t="n">
        <v>0</v>
      </c>
      <c r="LU22" s="33" t="n">
        <v>0</v>
      </c>
      <c r="LV22" s="33" t="n">
        <v>0</v>
      </c>
      <c r="LW22" s="33" t="n">
        <v>0</v>
      </c>
      <c r="LX22" s="33" t="n">
        <v>0</v>
      </c>
      <c r="LY22" s="33" t="n">
        <v>0</v>
      </c>
      <c r="LZ22" s="33" t="n">
        <v>0</v>
      </c>
      <c r="MA22" s="33" t="n">
        <v>0</v>
      </c>
      <c r="MB22" s="33" t="n">
        <v>0</v>
      </c>
      <c r="MC22" s="33" t="n">
        <v>0</v>
      </c>
      <c r="MD22" s="33" t="n">
        <v>0</v>
      </c>
      <c r="ME22" s="33" t="n">
        <v>0</v>
      </c>
      <c r="MF22" s="33" t="n">
        <v>0</v>
      </c>
      <c r="MG22" s="33" t="n">
        <v>0</v>
      </c>
      <c r="MH22" s="33" t="n">
        <v>0</v>
      </c>
      <c r="MI22" s="33" t="n">
        <v>0</v>
      </c>
      <c r="MJ22" s="33" t="n">
        <v>0</v>
      </c>
      <c r="MK22" s="33" t="n">
        <v>0</v>
      </c>
      <c r="ML22" s="33" t="n">
        <v>0</v>
      </c>
      <c r="MM22" s="33" t="n">
        <v>0</v>
      </c>
      <c r="MN22" s="33" t="n">
        <v>0</v>
      </c>
      <c r="MO22" s="33" t="n">
        <v>0</v>
      </c>
      <c r="MP22" s="33" t="n">
        <v>0</v>
      </c>
      <c r="MQ22" s="33" t="n">
        <v>0</v>
      </c>
      <c r="MR22" s="33" t="n">
        <v>0</v>
      </c>
      <c r="MS22" s="33" t="n">
        <v>0</v>
      </c>
      <c r="MT22" s="33" t="n">
        <v>0</v>
      </c>
      <c r="MU22" s="33" t="n">
        <v>0</v>
      </c>
      <c r="MV22" s="33" t="n">
        <v>0</v>
      </c>
      <c r="MW22" s="33" t="n">
        <v>0</v>
      </c>
      <c r="MX22" s="33" t="n">
        <v>0</v>
      </c>
      <c r="MY22" s="33" t="n">
        <v>0</v>
      </c>
      <c r="MZ22" s="33" t="n">
        <v>0</v>
      </c>
      <c r="NA22" s="33" t="n">
        <v>0</v>
      </c>
      <c r="NB22" s="33" t="n">
        <v>0</v>
      </c>
      <c r="NC22" s="33" t="n">
        <v>0</v>
      </c>
      <c r="ND22" s="33" t="n">
        <v>0</v>
      </c>
      <c r="NE22" s="33" t="n">
        <v>0</v>
      </c>
      <c r="NF22" s="33" t="n">
        <v>0</v>
      </c>
      <c r="NG22" s="33" t="n">
        <v>0</v>
      </c>
      <c r="NH22" s="33" t="n">
        <v>0</v>
      </c>
      <c r="NI22" s="33" t="n">
        <v>0</v>
      </c>
      <c r="NJ22" s="33" t="n">
        <v>0</v>
      </c>
      <c r="NK22" s="33" t="n">
        <v>0</v>
      </c>
      <c r="NL22" s="33" t="n">
        <v>0</v>
      </c>
      <c r="NM22" s="33" t="n">
        <v>0</v>
      </c>
      <c r="NN22" s="33" t="n">
        <v>0</v>
      </c>
      <c r="NO22" s="33" t="n">
        <v>0</v>
      </c>
      <c r="NP22" s="33" t="n">
        <v>0</v>
      </c>
      <c r="NQ22" s="33" t="n">
        <v>0</v>
      </c>
      <c r="NR22" s="33" t="n">
        <v>0</v>
      </c>
      <c r="NS22" s="33" t="n">
        <v>0</v>
      </c>
      <c r="NT22" s="33" t="n">
        <v>0</v>
      </c>
      <c r="NU22" s="33" t="n">
        <v>0</v>
      </c>
      <c r="NV22" s="33" t="n">
        <v>0</v>
      </c>
      <c r="NW22" s="33" t="n">
        <v>0</v>
      </c>
      <c r="NX22" s="33" t="n">
        <v>0</v>
      </c>
      <c r="NY22" s="33" t="n">
        <v>0</v>
      </c>
      <c r="NZ22" s="33" t="n">
        <v>0</v>
      </c>
      <c r="OA22" s="33" t="n">
        <v>0</v>
      </c>
      <c r="OB22" s="33" t="n">
        <v>0</v>
      </c>
      <c r="OC22" s="33" t="n">
        <v>0</v>
      </c>
      <c r="OD22" s="33" t="n">
        <v>0</v>
      </c>
      <c r="OE22" s="33" t="n">
        <v>0</v>
      </c>
      <c r="OF22" s="33" t="n">
        <v>0</v>
      </c>
      <c r="OG22" s="33" t="n">
        <v>0</v>
      </c>
      <c r="OH22" s="33" t="n">
        <v>0</v>
      </c>
      <c r="OI22" s="33" t="n">
        <v>0</v>
      </c>
      <c r="OJ22" s="33" t="n">
        <v>0</v>
      </c>
      <c r="OK22" s="33" t="n">
        <v>0</v>
      </c>
      <c r="OL22" s="33" t="n">
        <v>0</v>
      </c>
      <c r="OM22" s="33" t="n">
        <v>0</v>
      </c>
      <c r="ON22" s="33" t="n">
        <v>0</v>
      </c>
      <c r="OO22" s="33" t="n">
        <v>0</v>
      </c>
      <c r="OP22" s="33" t="n">
        <v>0</v>
      </c>
      <c r="OQ22" s="33" t="n">
        <v>0</v>
      </c>
      <c r="OR22" s="33" t="n">
        <v>0</v>
      </c>
      <c r="OS22" s="33" t="n">
        <v>0</v>
      </c>
      <c r="OT22" s="33" t="n">
        <v>0</v>
      </c>
      <c r="OU22" s="33" t="n">
        <v>0</v>
      </c>
      <c r="OV22" s="33" t="n">
        <v>0</v>
      </c>
      <c r="OW22" s="33" t="n">
        <v>0</v>
      </c>
      <c r="OX22" s="33" t="n">
        <v>0</v>
      </c>
      <c r="OY22" s="33" t="n">
        <v>0</v>
      </c>
      <c r="OZ22" s="33" t="n">
        <v>0</v>
      </c>
      <c r="PA22" s="33" t="n">
        <v>0</v>
      </c>
      <c r="PB22" s="33" t="n">
        <v>0</v>
      </c>
      <c r="PC22" s="33" t="n">
        <v>0</v>
      </c>
      <c r="PD22" s="33" t="n">
        <v>0</v>
      </c>
      <c r="PE22" s="33" t="n">
        <v>0</v>
      </c>
      <c r="PF22" s="33" t="n">
        <v>0</v>
      </c>
      <c r="PG22" s="33" t="n">
        <v>0</v>
      </c>
      <c r="PH22" s="33" t="n">
        <v>0</v>
      </c>
      <c r="PI22" s="33" t="n">
        <v>0</v>
      </c>
      <c r="PJ22" s="33" t="n">
        <v>0</v>
      </c>
      <c r="PK22" s="33" t="n">
        <v>0</v>
      </c>
      <c r="PL22" s="33" t="n">
        <v>0</v>
      </c>
      <c r="PM22" s="33" t="n">
        <v>0</v>
      </c>
      <c r="PN22" s="33" t="n">
        <v>0</v>
      </c>
      <c r="PO22" s="33" t="n">
        <v>0</v>
      </c>
      <c r="PP22" s="33" t="n">
        <v>0</v>
      </c>
      <c r="PQ22" s="33" t="n">
        <v>0</v>
      </c>
      <c r="PR22" s="33" t="n">
        <v>0</v>
      </c>
      <c r="PS22" s="33" t="n">
        <v>0</v>
      </c>
      <c r="PT22" s="33" t="n">
        <v>0</v>
      </c>
      <c r="PU22" s="33" t="n">
        <v>0</v>
      </c>
      <c r="PV22" s="33" t="n">
        <v>0</v>
      </c>
      <c r="PW22" s="33" t="n">
        <v>0</v>
      </c>
      <c r="PX22" s="33" t="n">
        <v>0</v>
      </c>
      <c r="PY22" s="33" t="n">
        <v>0</v>
      </c>
      <c r="PZ22" s="33" t="n">
        <v>0</v>
      </c>
      <c r="QA22" s="33" t="n">
        <v>0</v>
      </c>
      <c r="QB22" s="33" t="n">
        <v>0</v>
      </c>
      <c r="QC22" s="33" t="n">
        <v>0</v>
      </c>
      <c r="QD22" s="33" t="n">
        <v>0</v>
      </c>
      <c r="QE22" s="33" t="n">
        <v>0</v>
      </c>
      <c r="QF22" s="33" t="n">
        <v>0</v>
      </c>
      <c r="QG22" s="33" t="n">
        <v>0</v>
      </c>
      <c r="QH22" s="33" t="n">
        <v>0</v>
      </c>
      <c r="QI22" s="33" t="n">
        <v>0</v>
      </c>
      <c r="QJ22" s="33" t="n">
        <v>0</v>
      </c>
      <c r="QK22" s="33" t="n">
        <v>0</v>
      </c>
      <c r="QL22" s="33" t="n">
        <v>0</v>
      </c>
      <c r="QM22" s="33" t="n">
        <v>0</v>
      </c>
      <c r="QN22" s="33" t="n">
        <v>0</v>
      </c>
      <c r="QO22" s="33" t="n">
        <v>0</v>
      </c>
      <c r="QP22" s="33" t="n">
        <v>0</v>
      </c>
      <c r="QQ22" s="33" t="n">
        <v>0</v>
      </c>
      <c r="QR22" s="33" t="n">
        <v>0</v>
      </c>
      <c r="QS22" s="33" t="n">
        <v>0</v>
      </c>
      <c r="QT22" s="33" t="n">
        <v>0</v>
      </c>
      <c r="QU22" s="33" t="n">
        <v>0</v>
      </c>
      <c r="QV22" s="33" t="n">
        <v>0</v>
      </c>
      <c r="QW22" s="33" t="n">
        <v>0</v>
      </c>
      <c r="QX22" s="33" t="n">
        <v>0</v>
      </c>
      <c r="QY22" s="33" t="n">
        <v>0</v>
      </c>
      <c r="QZ22" s="33" t="n">
        <v>0</v>
      </c>
      <c r="RA22" s="33" t="n">
        <v>0</v>
      </c>
      <c r="RB22" s="33" t="n">
        <v>0</v>
      </c>
      <c r="RC22" s="33" t="n">
        <v>0</v>
      </c>
      <c r="RD22" s="33" t="n">
        <v>0</v>
      </c>
      <c r="RE22" s="33" t="n">
        <v>0</v>
      </c>
      <c r="RF22" s="33" t="n">
        <v>0</v>
      </c>
      <c r="RG22" s="33" t="n">
        <v>0</v>
      </c>
      <c r="RH22" s="33" t="n">
        <v>0</v>
      </c>
      <c r="RI22" s="33" t="n">
        <v>0</v>
      </c>
      <c r="RJ22" s="33" t="n">
        <v>0</v>
      </c>
      <c r="RK22" s="33" t="n">
        <v>0</v>
      </c>
      <c r="RL22" s="33" t="n">
        <v>0</v>
      </c>
      <c r="RM22" s="33" t="n">
        <v>0</v>
      </c>
      <c r="RN22" s="33" t="n">
        <v>0</v>
      </c>
      <c r="RO22" s="33" t="n">
        <v>0</v>
      </c>
      <c r="RP22" s="33" t="n">
        <v>0</v>
      </c>
      <c r="RQ22" s="33" t="n">
        <v>0</v>
      </c>
      <c r="RR22" s="33" t="n">
        <v>0</v>
      </c>
      <c r="RS22" s="33" t="n">
        <v>0</v>
      </c>
      <c r="RT22" s="33" t="n">
        <v>0</v>
      </c>
      <c r="RU22" s="33" t="n">
        <v>0</v>
      </c>
      <c r="RV22" s="33" t="n">
        <v>0</v>
      </c>
      <c r="RW22" s="33" t="n">
        <v>0</v>
      </c>
    </row>
    <row r="23" hidden="1" outlineLevel="1" ht="13.05" customHeight="1">
      <c r="E23" s="21" t="inlineStr">
        <is>
          <t>Other</t>
        </is>
      </c>
      <c r="F23" s="29" t="n"/>
      <c r="G23" s="29" t="inlineStr">
        <is>
          <t>kEUR</t>
        </is>
      </c>
      <c r="H23" s="29" t="n"/>
      <c r="I23" s="29" t="n"/>
      <c r="J23" s="32" t="n">
        <v>0</v>
      </c>
      <c r="K23" s="29" t="n"/>
      <c r="L23" s="33" t="n">
        <v>0</v>
      </c>
      <c r="M23" s="33" t="n">
        <v>0</v>
      </c>
      <c r="N23" s="33" t="n">
        <v>0</v>
      </c>
      <c r="O23" s="33" t="n">
        <v>0</v>
      </c>
      <c r="P23" s="33" t="n">
        <v>0</v>
      </c>
      <c r="Q23" s="33" t="n">
        <v>0</v>
      </c>
      <c r="R23" s="33" t="n">
        <v>0</v>
      </c>
      <c r="S23" s="33" t="n">
        <v>0</v>
      </c>
      <c r="T23" s="33" t="n">
        <v>0</v>
      </c>
      <c r="U23" s="33" t="n">
        <v>0</v>
      </c>
      <c r="V23" s="33" t="n">
        <v>0</v>
      </c>
      <c r="W23" s="33" t="n">
        <v>0</v>
      </c>
      <c r="X23" s="33" t="n">
        <v>0</v>
      </c>
      <c r="Y23" s="33" t="n">
        <v>0</v>
      </c>
      <c r="Z23" s="33" t="n">
        <v>0</v>
      </c>
      <c r="AA23" s="33" t="n">
        <v>0</v>
      </c>
      <c r="AB23" s="33" t="n">
        <v>0</v>
      </c>
      <c r="AC23" s="33" t="n">
        <v>0</v>
      </c>
      <c r="AD23" s="33" t="n">
        <v>0</v>
      </c>
      <c r="AE23" s="33" t="n">
        <v>0</v>
      </c>
      <c r="AF23" s="33" t="n">
        <v>0</v>
      </c>
      <c r="AG23" s="33" t="n">
        <v>0</v>
      </c>
      <c r="AH23" s="33" t="n">
        <v>0</v>
      </c>
      <c r="AI23" s="33" t="n">
        <v>0</v>
      </c>
      <c r="AJ23" s="33" t="n">
        <v>0</v>
      </c>
      <c r="AK23" s="33" t="n">
        <v>0</v>
      </c>
      <c r="AL23" s="33" t="n">
        <v>0</v>
      </c>
      <c r="AM23" s="33" t="n">
        <v>0</v>
      </c>
      <c r="AN23" s="33" t="n">
        <v>0</v>
      </c>
      <c r="AO23" s="33" t="n">
        <v>0</v>
      </c>
      <c r="AP23" s="33" t="n">
        <v>0</v>
      </c>
      <c r="AQ23" s="33" t="n">
        <v>0</v>
      </c>
      <c r="AR23" s="33" t="n">
        <v>0</v>
      </c>
      <c r="AS23" s="33" t="n">
        <v>0</v>
      </c>
      <c r="AT23" s="33" t="n">
        <v>0</v>
      </c>
      <c r="AU23" s="33" t="n">
        <v>0</v>
      </c>
      <c r="AV23" s="33" t="n">
        <v>0</v>
      </c>
      <c r="AW23" s="33" t="n">
        <v>0</v>
      </c>
      <c r="AX23" s="33" t="n">
        <v>0</v>
      </c>
      <c r="AY23" s="33" t="n">
        <v>0</v>
      </c>
      <c r="AZ23" s="33" t="n">
        <v>0</v>
      </c>
      <c r="BA23" s="33" t="n">
        <v>0</v>
      </c>
      <c r="BB23" s="33" t="n">
        <v>0</v>
      </c>
      <c r="BC23" s="33" t="n">
        <v>0</v>
      </c>
      <c r="BD23" s="33" t="n">
        <v>0</v>
      </c>
      <c r="BE23" s="33" t="n">
        <v>0</v>
      </c>
      <c r="BF23" s="33" t="n">
        <v>0</v>
      </c>
      <c r="BG23" s="33" t="n">
        <v>0</v>
      </c>
      <c r="BH23" s="33" t="n">
        <v>0</v>
      </c>
      <c r="BI23" s="33" t="n">
        <v>0</v>
      </c>
      <c r="BJ23" s="33" t="n">
        <v>0</v>
      </c>
      <c r="BK23" s="33" t="n">
        <v>0</v>
      </c>
      <c r="BL23" s="33" t="n">
        <v>0</v>
      </c>
      <c r="BM23" s="33" t="n">
        <v>0</v>
      </c>
      <c r="BN23" s="33" t="n">
        <v>0</v>
      </c>
      <c r="BO23" s="33" t="n">
        <v>0</v>
      </c>
      <c r="BP23" s="33" t="n">
        <v>0</v>
      </c>
      <c r="BQ23" s="33" t="n">
        <v>0</v>
      </c>
      <c r="BR23" s="33" t="n">
        <v>0</v>
      </c>
      <c r="BS23" s="33" t="n">
        <v>0</v>
      </c>
      <c r="BT23" s="33" t="n">
        <v>0</v>
      </c>
      <c r="BU23" s="33" t="n">
        <v>0</v>
      </c>
      <c r="BV23" s="33" t="n">
        <v>0</v>
      </c>
      <c r="BW23" s="33" t="n">
        <v>0</v>
      </c>
      <c r="BX23" s="33" t="n">
        <v>0</v>
      </c>
      <c r="BY23" s="33" t="n">
        <v>0</v>
      </c>
      <c r="BZ23" s="33" t="n">
        <v>0</v>
      </c>
      <c r="CA23" s="33" t="n">
        <v>0</v>
      </c>
      <c r="CB23" s="33" t="n">
        <v>0</v>
      </c>
      <c r="CC23" s="33" t="n">
        <v>0</v>
      </c>
      <c r="CD23" s="33" t="n">
        <v>0</v>
      </c>
      <c r="CE23" s="33" t="n">
        <v>0</v>
      </c>
      <c r="CF23" s="33" t="n">
        <v>0</v>
      </c>
      <c r="CG23" s="33" t="n">
        <v>0</v>
      </c>
      <c r="CH23" s="33" t="n">
        <v>0</v>
      </c>
      <c r="CI23" s="33" t="n">
        <v>0</v>
      </c>
      <c r="CJ23" s="33" t="n">
        <v>0</v>
      </c>
      <c r="CK23" s="33" t="n">
        <v>0</v>
      </c>
      <c r="CL23" s="33" t="n">
        <v>0</v>
      </c>
      <c r="CM23" s="33" t="n">
        <v>0</v>
      </c>
      <c r="CN23" s="33" t="n">
        <v>0</v>
      </c>
      <c r="CO23" s="33" t="n">
        <v>0</v>
      </c>
      <c r="CP23" s="33" t="n">
        <v>0</v>
      </c>
      <c r="CQ23" s="33" t="n">
        <v>0</v>
      </c>
      <c r="CR23" s="33" t="n">
        <v>0</v>
      </c>
      <c r="CS23" s="33" t="n">
        <v>0</v>
      </c>
      <c r="CT23" s="33" t="n">
        <v>0</v>
      </c>
      <c r="CU23" s="33" t="n">
        <v>0</v>
      </c>
      <c r="CV23" s="33" t="n">
        <v>0</v>
      </c>
      <c r="CW23" s="33" t="n">
        <v>0</v>
      </c>
      <c r="CX23" s="33" t="n">
        <v>0</v>
      </c>
      <c r="CY23" s="33" t="n">
        <v>0</v>
      </c>
      <c r="CZ23" s="33" t="n">
        <v>0</v>
      </c>
      <c r="DA23" s="33" t="n">
        <v>0</v>
      </c>
      <c r="DB23" s="33" t="n">
        <v>0</v>
      </c>
      <c r="DC23" s="33" t="n">
        <v>0</v>
      </c>
      <c r="DD23" s="33" t="n">
        <v>0</v>
      </c>
      <c r="DE23" s="33" t="n">
        <v>0</v>
      </c>
      <c r="DF23" s="33" t="n">
        <v>0</v>
      </c>
      <c r="DG23" s="33" t="n">
        <v>0</v>
      </c>
      <c r="DH23" s="33" t="n">
        <v>0</v>
      </c>
      <c r="DI23" s="33" t="n">
        <v>0</v>
      </c>
      <c r="DJ23" s="33" t="n">
        <v>0</v>
      </c>
      <c r="DK23" s="33" t="n">
        <v>0</v>
      </c>
      <c r="DL23" s="33" t="n">
        <v>0</v>
      </c>
      <c r="DM23" s="33" t="n">
        <v>0</v>
      </c>
      <c r="DN23" s="33" t="n">
        <v>0</v>
      </c>
      <c r="DO23" s="33" t="n">
        <v>0</v>
      </c>
      <c r="DP23" s="33" t="n">
        <v>0</v>
      </c>
      <c r="DQ23" s="33" t="n">
        <v>0</v>
      </c>
      <c r="DR23" s="33" t="n">
        <v>0</v>
      </c>
      <c r="DS23" s="33" t="n">
        <v>0</v>
      </c>
      <c r="DT23" s="33" t="n">
        <v>0</v>
      </c>
      <c r="DU23" s="33" t="n">
        <v>0</v>
      </c>
      <c r="DV23" s="33" t="n">
        <v>0</v>
      </c>
      <c r="DW23" s="33" t="n">
        <v>0</v>
      </c>
      <c r="DX23" s="33" t="n">
        <v>0</v>
      </c>
      <c r="DY23" s="33" t="n">
        <v>0</v>
      </c>
      <c r="DZ23" s="33" t="n">
        <v>0</v>
      </c>
      <c r="EA23" s="33" t="n">
        <v>0</v>
      </c>
      <c r="EB23" s="33" t="n">
        <v>0</v>
      </c>
      <c r="EC23" s="33" t="n">
        <v>0</v>
      </c>
      <c r="ED23" s="33" t="n">
        <v>0</v>
      </c>
      <c r="EE23" s="33" t="n">
        <v>0</v>
      </c>
      <c r="EF23" s="33" t="n">
        <v>0</v>
      </c>
      <c r="EG23" s="33" t="n">
        <v>0</v>
      </c>
      <c r="EH23" s="33" t="n">
        <v>0</v>
      </c>
      <c r="EI23" s="33" t="n">
        <v>0</v>
      </c>
      <c r="EJ23" s="33" t="n">
        <v>0</v>
      </c>
      <c r="EK23" s="33" t="n">
        <v>0</v>
      </c>
      <c r="EL23" s="33" t="n">
        <v>0</v>
      </c>
      <c r="EM23" s="33" t="n">
        <v>0</v>
      </c>
      <c r="EN23" s="33" t="n">
        <v>0</v>
      </c>
      <c r="EO23" s="33" t="n">
        <v>0</v>
      </c>
      <c r="EP23" s="33" t="n">
        <v>0</v>
      </c>
      <c r="EQ23" s="33" t="n">
        <v>0</v>
      </c>
      <c r="ER23" s="33" t="n">
        <v>0</v>
      </c>
      <c r="ES23" s="33" t="n">
        <v>0</v>
      </c>
      <c r="ET23" s="33" t="n">
        <v>0</v>
      </c>
      <c r="EU23" s="33" t="n">
        <v>0</v>
      </c>
      <c r="EV23" s="33" t="n">
        <v>0</v>
      </c>
      <c r="EW23" s="33" t="n">
        <v>0</v>
      </c>
      <c r="EX23" s="33" t="n">
        <v>0</v>
      </c>
      <c r="EY23" s="33" t="n">
        <v>0</v>
      </c>
      <c r="EZ23" s="33" t="n">
        <v>0</v>
      </c>
      <c r="FA23" s="33" t="n">
        <v>0</v>
      </c>
      <c r="FB23" s="33" t="n">
        <v>0</v>
      </c>
      <c r="FC23" s="33" t="n">
        <v>0</v>
      </c>
      <c r="FD23" s="33" t="n">
        <v>0</v>
      </c>
      <c r="FE23" s="33" t="n">
        <v>0</v>
      </c>
      <c r="FF23" s="33" t="n">
        <v>0</v>
      </c>
      <c r="FG23" s="33" t="n">
        <v>0</v>
      </c>
      <c r="FH23" s="33" t="n">
        <v>0</v>
      </c>
      <c r="FI23" s="33" t="n">
        <v>0</v>
      </c>
      <c r="FJ23" s="33" t="n">
        <v>0</v>
      </c>
      <c r="FK23" s="33" t="n">
        <v>0</v>
      </c>
      <c r="FL23" s="33" t="n">
        <v>0</v>
      </c>
      <c r="FM23" s="33" t="n">
        <v>0</v>
      </c>
      <c r="FN23" s="33" t="n">
        <v>0</v>
      </c>
      <c r="FO23" s="33" t="n">
        <v>0</v>
      </c>
      <c r="FP23" s="33" t="n">
        <v>0</v>
      </c>
      <c r="FQ23" s="33" t="n">
        <v>0</v>
      </c>
      <c r="FR23" s="33" t="n">
        <v>0</v>
      </c>
      <c r="FS23" s="33" t="n">
        <v>0</v>
      </c>
      <c r="FT23" s="33" t="n">
        <v>0</v>
      </c>
      <c r="FU23" s="33" t="n">
        <v>0</v>
      </c>
      <c r="FV23" s="33" t="n">
        <v>0</v>
      </c>
      <c r="FW23" s="33" t="n">
        <v>0</v>
      </c>
      <c r="FX23" s="33" t="n">
        <v>0</v>
      </c>
      <c r="FY23" s="33" t="n">
        <v>0</v>
      </c>
      <c r="FZ23" s="33" t="n">
        <v>0</v>
      </c>
      <c r="GA23" s="33" t="n">
        <v>0</v>
      </c>
      <c r="GB23" s="33" t="n">
        <v>0</v>
      </c>
      <c r="GC23" s="33" t="n">
        <v>0</v>
      </c>
      <c r="GD23" s="33" t="n">
        <v>0</v>
      </c>
      <c r="GE23" s="33" t="n">
        <v>0</v>
      </c>
      <c r="GF23" s="33" t="n">
        <v>0</v>
      </c>
      <c r="GG23" s="33" t="n">
        <v>0</v>
      </c>
      <c r="GH23" s="33" t="n">
        <v>0</v>
      </c>
      <c r="GI23" s="33" t="n">
        <v>0</v>
      </c>
      <c r="GJ23" s="33" t="n">
        <v>0</v>
      </c>
      <c r="GK23" s="33" t="n">
        <v>0</v>
      </c>
      <c r="GL23" s="33" t="n">
        <v>0</v>
      </c>
      <c r="GM23" s="33" t="n">
        <v>0</v>
      </c>
      <c r="GN23" s="33" t="n">
        <v>0</v>
      </c>
      <c r="GO23" s="33" t="n">
        <v>0</v>
      </c>
      <c r="GP23" s="33" t="n">
        <v>0</v>
      </c>
      <c r="GQ23" s="33" t="n">
        <v>0</v>
      </c>
      <c r="GR23" s="33" t="n">
        <v>0</v>
      </c>
      <c r="GS23" s="33" t="n">
        <v>0</v>
      </c>
      <c r="GT23" s="33" t="n">
        <v>0</v>
      </c>
      <c r="GU23" s="33" t="n">
        <v>0</v>
      </c>
      <c r="GV23" s="33" t="n">
        <v>0</v>
      </c>
      <c r="GW23" s="33" t="n">
        <v>0</v>
      </c>
      <c r="GX23" s="33" t="n">
        <v>0</v>
      </c>
      <c r="GY23" s="33" t="n">
        <v>0</v>
      </c>
      <c r="GZ23" s="33" t="n">
        <v>0</v>
      </c>
      <c r="HA23" s="33" t="n">
        <v>0</v>
      </c>
      <c r="HB23" s="33" t="n">
        <v>0</v>
      </c>
      <c r="HC23" s="33" t="n">
        <v>0</v>
      </c>
      <c r="HD23" s="33" t="n">
        <v>0</v>
      </c>
      <c r="HE23" s="33" t="n">
        <v>0</v>
      </c>
      <c r="HF23" s="33" t="n">
        <v>0</v>
      </c>
      <c r="HG23" s="33" t="n">
        <v>0</v>
      </c>
      <c r="HH23" s="33" t="n">
        <v>0</v>
      </c>
      <c r="HI23" s="33" t="n">
        <v>0</v>
      </c>
      <c r="HJ23" s="33" t="n">
        <v>0</v>
      </c>
      <c r="HK23" s="33" t="n">
        <v>0</v>
      </c>
      <c r="HL23" s="33" t="n">
        <v>0</v>
      </c>
      <c r="HM23" s="33" t="n">
        <v>0</v>
      </c>
      <c r="HN23" s="33" t="n">
        <v>0</v>
      </c>
      <c r="HO23" s="33" t="n">
        <v>0</v>
      </c>
      <c r="HP23" s="33" t="n">
        <v>0</v>
      </c>
      <c r="HQ23" s="33" t="n">
        <v>0</v>
      </c>
      <c r="HR23" s="33" t="n">
        <v>0</v>
      </c>
      <c r="HS23" s="33" t="n">
        <v>0</v>
      </c>
      <c r="HT23" s="33" t="n">
        <v>0</v>
      </c>
      <c r="HU23" s="33" t="n">
        <v>0</v>
      </c>
      <c r="HV23" s="33" t="n">
        <v>0</v>
      </c>
      <c r="HW23" s="33" t="n">
        <v>0</v>
      </c>
      <c r="HX23" s="33" t="n">
        <v>0</v>
      </c>
      <c r="HY23" s="33" t="n">
        <v>0</v>
      </c>
      <c r="HZ23" s="33" t="n">
        <v>0</v>
      </c>
      <c r="IA23" s="33" t="n">
        <v>0</v>
      </c>
      <c r="IB23" s="33" t="n">
        <v>0</v>
      </c>
      <c r="IC23" s="33" t="n">
        <v>0</v>
      </c>
      <c r="ID23" s="33" t="n">
        <v>0</v>
      </c>
      <c r="IE23" s="33" t="n">
        <v>0</v>
      </c>
      <c r="IF23" s="33" t="n">
        <v>0</v>
      </c>
      <c r="IG23" s="33" t="n">
        <v>0</v>
      </c>
      <c r="IH23" s="33" t="n">
        <v>0</v>
      </c>
      <c r="II23" s="33" t="n">
        <v>0</v>
      </c>
      <c r="IJ23" s="33" t="n">
        <v>0</v>
      </c>
      <c r="IK23" s="33" t="n">
        <v>0</v>
      </c>
      <c r="IL23" s="33" t="n">
        <v>0</v>
      </c>
      <c r="IM23" s="33" t="n">
        <v>0</v>
      </c>
      <c r="IN23" s="33" t="n">
        <v>0</v>
      </c>
      <c r="IO23" s="33" t="n">
        <v>0</v>
      </c>
      <c r="IP23" s="33" t="n">
        <v>0</v>
      </c>
      <c r="IQ23" s="33" t="n">
        <v>0</v>
      </c>
      <c r="IR23" s="33" t="n">
        <v>0</v>
      </c>
      <c r="IS23" s="33" t="n">
        <v>0</v>
      </c>
      <c r="IT23" s="33" t="n">
        <v>0</v>
      </c>
      <c r="IU23" s="33" t="n">
        <v>0</v>
      </c>
      <c r="IV23" s="33" t="n">
        <v>0</v>
      </c>
      <c r="IW23" s="33" t="n">
        <v>0</v>
      </c>
      <c r="IX23" s="33" t="n">
        <v>0</v>
      </c>
      <c r="IY23" s="33" t="n">
        <v>0</v>
      </c>
      <c r="IZ23" s="33" t="n">
        <v>0</v>
      </c>
      <c r="JA23" s="33" t="n">
        <v>0</v>
      </c>
      <c r="JB23" s="33" t="n">
        <v>0</v>
      </c>
      <c r="JC23" s="33" t="n">
        <v>0</v>
      </c>
      <c r="JD23" s="33" t="n">
        <v>0</v>
      </c>
      <c r="JE23" s="33" t="n">
        <v>0</v>
      </c>
      <c r="JF23" s="33" t="n">
        <v>0</v>
      </c>
      <c r="JG23" s="33" t="n">
        <v>0</v>
      </c>
      <c r="JH23" s="33" t="n">
        <v>0</v>
      </c>
      <c r="JI23" s="33" t="n">
        <v>0</v>
      </c>
      <c r="JJ23" s="33" t="n">
        <v>0</v>
      </c>
      <c r="JK23" s="33" t="n">
        <v>0</v>
      </c>
      <c r="JL23" s="33" t="n">
        <v>0</v>
      </c>
      <c r="JM23" s="33" t="n">
        <v>0</v>
      </c>
      <c r="JN23" s="33" t="n">
        <v>0</v>
      </c>
      <c r="JO23" s="33" t="n">
        <v>0</v>
      </c>
      <c r="JP23" s="33" t="n">
        <v>0</v>
      </c>
      <c r="JQ23" s="33" t="n">
        <v>0</v>
      </c>
      <c r="JR23" s="33" t="n">
        <v>0</v>
      </c>
      <c r="JS23" s="33" t="n">
        <v>0</v>
      </c>
      <c r="JT23" s="33" t="n">
        <v>0</v>
      </c>
      <c r="JU23" s="33" t="n">
        <v>0</v>
      </c>
      <c r="JV23" s="33" t="n">
        <v>0</v>
      </c>
      <c r="JW23" s="33" t="n">
        <v>0</v>
      </c>
      <c r="JX23" s="33" t="n">
        <v>0</v>
      </c>
      <c r="JY23" s="33" t="n">
        <v>0</v>
      </c>
      <c r="JZ23" s="33" t="n">
        <v>0</v>
      </c>
      <c r="KA23" s="33" t="n">
        <v>0</v>
      </c>
      <c r="KB23" s="33" t="n">
        <v>0</v>
      </c>
      <c r="KC23" s="33" t="n">
        <v>0</v>
      </c>
      <c r="KD23" s="33" t="n">
        <v>0</v>
      </c>
      <c r="KE23" s="33" t="n">
        <v>0</v>
      </c>
      <c r="KF23" s="33" t="n">
        <v>0</v>
      </c>
      <c r="KG23" s="33" t="n">
        <v>0</v>
      </c>
      <c r="KH23" s="33" t="n">
        <v>0</v>
      </c>
      <c r="KI23" s="33" t="n">
        <v>0</v>
      </c>
      <c r="KJ23" s="33" t="n">
        <v>0</v>
      </c>
      <c r="KK23" s="33" t="n">
        <v>0</v>
      </c>
      <c r="KL23" s="33" t="n">
        <v>0</v>
      </c>
      <c r="KM23" s="33" t="n">
        <v>0</v>
      </c>
      <c r="KN23" s="33" t="n">
        <v>0</v>
      </c>
      <c r="KO23" s="33" t="n">
        <v>0</v>
      </c>
      <c r="KP23" s="33" t="n">
        <v>0</v>
      </c>
      <c r="KQ23" s="33" t="n">
        <v>0</v>
      </c>
      <c r="KR23" s="33" t="n">
        <v>0</v>
      </c>
      <c r="KS23" s="33" t="n">
        <v>0</v>
      </c>
      <c r="KT23" s="33" t="n">
        <v>0</v>
      </c>
      <c r="KU23" s="33" t="n">
        <v>0</v>
      </c>
      <c r="KV23" s="33" t="n">
        <v>0</v>
      </c>
      <c r="KW23" s="33" t="n">
        <v>0</v>
      </c>
      <c r="KX23" s="33" t="n">
        <v>0</v>
      </c>
      <c r="KY23" s="33" t="n">
        <v>0</v>
      </c>
      <c r="KZ23" s="33" t="n">
        <v>0</v>
      </c>
      <c r="LA23" s="33" t="n">
        <v>0</v>
      </c>
      <c r="LB23" s="33" t="n">
        <v>0</v>
      </c>
      <c r="LC23" s="33" t="n">
        <v>0</v>
      </c>
      <c r="LD23" s="33" t="n">
        <v>0</v>
      </c>
      <c r="LE23" s="33" t="n">
        <v>0</v>
      </c>
      <c r="LF23" s="33" t="n">
        <v>0</v>
      </c>
      <c r="LG23" s="33" t="n">
        <v>0</v>
      </c>
      <c r="LH23" s="33" t="n">
        <v>0</v>
      </c>
      <c r="LI23" s="33" t="n">
        <v>0</v>
      </c>
      <c r="LJ23" s="33" t="n">
        <v>0</v>
      </c>
      <c r="LK23" s="33" t="n">
        <v>0</v>
      </c>
      <c r="LL23" s="33" t="n">
        <v>0</v>
      </c>
      <c r="LM23" s="33" t="n">
        <v>0</v>
      </c>
      <c r="LN23" s="33" t="n">
        <v>0</v>
      </c>
      <c r="LO23" s="33" t="n">
        <v>0</v>
      </c>
      <c r="LP23" s="33" t="n">
        <v>0</v>
      </c>
      <c r="LQ23" s="33" t="n">
        <v>0</v>
      </c>
      <c r="LR23" s="33" t="n">
        <v>0</v>
      </c>
      <c r="LS23" s="33" t="n">
        <v>0</v>
      </c>
      <c r="LT23" s="33" t="n">
        <v>0</v>
      </c>
      <c r="LU23" s="33" t="n">
        <v>0</v>
      </c>
      <c r="LV23" s="33" t="n">
        <v>0</v>
      </c>
      <c r="LW23" s="33" t="n">
        <v>0</v>
      </c>
      <c r="LX23" s="33" t="n">
        <v>0</v>
      </c>
      <c r="LY23" s="33" t="n">
        <v>0</v>
      </c>
      <c r="LZ23" s="33" t="n">
        <v>0</v>
      </c>
      <c r="MA23" s="33" t="n">
        <v>0</v>
      </c>
      <c r="MB23" s="33" t="n">
        <v>0</v>
      </c>
      <c r="MC23" s="33" t="n">
        <v>0</v>
      </c>
      <c r="MD23" s="33" t="n">
        <v>0</v>
      </c>
      <c r="ME23" s="33" t="n">
        <v>0</v>
      </c>
      <c r="MF23" s="33" t="n">
        <v>0</v>
      </c>
      <c r="MG23" s="33" t="n">
        <v>0</v>
      </c>
      <c r="MH23" s="33" t="n">
        <v>0</v>
      </c>
      <c r="MI23" s="33" t="n">
        <v>0</v>
      </c>
      <c r="MJ23" s="33" t="n">
        <v>0</v>
      </c>
      <c r="MK23" s="33" t="n">
        <v>0</v>
      </c>
      <c r="ML23" s="33" t="n">
        <v>0</v>
      </c>
      <c r="MM23" s="33" t="n">
        <v>0</v>
      </c>
      <c r="MN23" s="33" t="n">
        <v>0</v>
      </c>
      <c r="MO23" s="33" t="n">
        <v>0</v>
      </c>
      <c r="MP23" s="33" t="n">
        <v>0</v>
      </c>
      <c r="MQ23" s="33" t="n">
        <v>0</v>
      </c>
      <c r="MR23" s="33" t="n">
        <v>0</v>
      </c>
      <c r="MS23" s="33" t="n">
        <v>0</v>
      </c>
      <c r="MT23" s="33" t="n">
        <v>0</v>
      </c>
      <c r="MU23" s="33" t="n">
        <v>0</v>
      </c>
      <c r="MV23" s="33" t="n">
        <v>0</v>
      </c>
      <c r="MW23" s="33" t="n">
        <v>0</v>
      </c>
      <c r="MX23" s="33" t="n">
        <v>0</v>
      </c>
      <c r="MY23" s="33" t="n">
        <v>0</v>
      </c>
      <c r="MZ23" s="33" t="n">
        <v>0</v>
      </c>
      <c r="NA23" s="33" t="n">
        <v>0</v>
      </c>
      <c r="NB23" s="33" t="n">
        <v>0</v>
      </c>
      <c r="NC23" s="33" t="n">
        <v>0</v>
      </c>
      <c r="ND23" s="33" t="n">
        <v>0</v>
      </c>
      <c r="NE23" s="33" t="n">
        <v>0</v>
      </c>
      <c r="NF23" s="33" t="n">
        <v>0</v>
      </c>
      <c r="NG23" s="33" t="n">
        <v>0</v>
      </c>
      <c r="NH23" s="33" t="n">
        <v>0</v>
      </c>
      <c r="NI23" s="33" t="n">
        <v>0</v>
      </c>
      <c r="NJ23" s="33" t="n">
        <v>0</v>
      </c>
      <c r="NK23" s="33" t="n">
        <v>0</v>
      </c>
      <c r="NL23" s="33" t="n">
        <v>0</v>
      </c>
      <c r="NM23" s="33" t="n">
        <v>0</v>
      </c>
      <c r="NN23" s="33" t="n">
        <v>0</v>
      </c>
      <c r="NO23" s="33" t="n">
        <v>0</v>
      </c>
      <c r="NP23" s="33" t="n">
        <v>0</v>
      </c>
      <c r="NQ23" s="33" t="n">
        <v>0</v>
      </c>
      <c r="NR23" s="33" t="n">
        <v>0</v>
      </c>
      <c r="NS23" s="33" t="n">
        <v>0</v>
      </c>
      <c r="NT23" s="33" t="n">
        <v>0</v>
      </c>
      <c r="NU23" s="33" t="n">
        <v>0</v>
      </c>
      <c r="NV23" s="33" t="n">
        <v>0</v>
      </c>
      <c r="NW23" s="33" t="n">
        <v>0</v>
      </c>
      <c r="NX23" s="33" t="n">
        <v>0</v>
      </c>
      <c r="NY23" s="33" t="n">
        <v>0</v>
      </c>
      <c r="NZ23" s="33" t="n">
        <v>0</v>
      </c>
      <c r="OA23" s="33" t="n">
        <v>0</v>
      </c>
      <c r="OB23" s="33" t="n">
        <v>0</v>
      </c>
      <c r="OC23" s="33" t="n">
        <v>0</v>
      </c>
      <c r="OD23" s="33" t="n">
        <v>0</v>
      </c>
      <c r="OE23" s="33" t="n">
        <v>0</v>
      </c>
      <c r="OF23" s="33" t="n">
        <v>0</v>
      </c>
      <c r="OG23" s="33" t="n">
        <v>0</v>
      </c>
      <c r="OH23" s="33" t="n">
        <v>0</v>
      </c>
      <c r="OI23" s="33" t="n">
        <v>0</v>
      </c>
      <c r="OJ23" s="33" t="n">
        <v>0</v>
      </c>
      <c r="OK23" s="33" t="n">
        <v>0</v>
      </c>
      <c r="OL23" s="33" t="n">
        <v>0</v>
      </c>
      <c r="OM23" s="33" t="n">
        <v>0</v>
      </c>
      <c r="ON23" s="33" t="n">
        <v>0</v>
      </c>
      <c r="OO23" s="33" t="n">
        <v>0</v>
      </c>
      <c r="OP23" s="33" t="n">
        <v>0</v>
      </c>
      <c r="OQ23" s="33" t="n">
        <v>0</v>
      </c>
      <c r="OR23" s="33" t="n">
        <v>0</v>
      </c>
      <c r="OS23" s="33" t="n">
        <v>0</v>
      </c>
      <c r="OT23" s="33" t="n">
        <v>0</v>
      </c>
      <c r="OU23" s="33" t="n">
        <v>0</v>
      </c>
      <c r="OV23" s="33" t="n">
        <v>0</v>
      </c>
      <c r="OW23" s="33" t="n">
        <v>0</v>
      </c>
      <c r="OX23" s="33" t="n">
        <v>0</v>
      </c>
      <c r="OY23" s="33" t="n">
        <v>0</v>
      </c>
      <c r="OZ23" s="33" t="n">
        <v>0</v>
      </c>
      <c r="PA23" s="33" t="n">
        <v>0</v>
      </c>
      <c r="PB23" s="33" t="n">
        <v>0</v>
      </c>
      <c r="PC23" s="33" t="n">
        <v>0</v>
      </c>
      <c r="PD23" s="33" t="n">
        <v>0</v>
      </c>
      <c r="PE23" s="33" t="n">
        <v>0</v>
      </c>
      <c r="PF23" s="33" t="n">
        <v>0</v>
      </c>
      <c r="PG23" s="33" t="n">
        <v>0</v>
      </c>
      <c r="PH23" s="33" t="n">
        <v>0</v>
      </c>
      <c r="PI23" s="33" t="n">
        <v>0</v>
      </c>
      <c r="PJ23" s="33" t="n">
        <v>0</v>
      </c>
      <c r="PK23" s="33" t="n">
        <v>0</v>
      </c>
      <c r="PL23" s="33" t="n">
        <v>0</v>
      </c>
      <c r="PM23" s="33" t="n">
        <v>0</v>
      </c>
      <c r="PN23" s="33" t="n">
        <v>0</v>
      </c>
      <c r="PO23" s="33" t="n">
        <v>0</v>
      </c>
      <c r="PP23" s="33" t="n">
        <v>0</v>
      </c>
      <c r="PQ23" s="33" t="n">
        <v>0</v>
      </c>
      <c r="PR23" s="33" t="n">
        <v>0</v>
      </c>
      <c r="PS23" s="33" t="n">
        <v>0</v>
      </c>
      <c r="PT23" s="33" t="n">
        <v>0</v>
      </c>
      <c r="PU23" s="33" t="n">
        <v>0</v>
      </c>
      <c r="PV23" s="33" t="n">
        <v>0</v>
      </c>
      <c r="PW23" s="33" t="n">
        <v>0</v>
      </c>
      <c r="PX23" s="33" t="n">
        <v>0</v>
      </c>
      <c r="PY23" s="33" t="n">
        <v>0</v>
      </c>
      <c r="PZ23" s="33" t="n">
        <v>0</v>
      </c>
      <c r="QA23" s="33" t="n">
        <v>0</v>
      </c>
      <c r="QB23" s="33" t="n">
        <v>0</v>
      </c>
      <c r="QC23" s="33" t="n">
        <v>0</v>
      </c>
      <c r="QD23" s="33" t="n">
        <v>0</v>
      </c>
      <c r="QE23" s="33" t="n">
        <v>0</v>
      </c>
      <c r="QF23" s="33" t="n">
        <v>0</v>
      </c>
      <c r="QG23" s="33" t="n">
        <v>0</v>
      </c>
      <c r="QH23" s="33" t="n">
        <v>0</v>
      </c>
      <c r="QI23" s="33" t="n">
        <v>0</v>
      </c>
      <c r="QJ23" s="33" t="n">
        <v>0</v>
      </c>
      <c r="QK23" s="33" t="n">
        <v>0</v>
      </c>
      <c r="QL23" s="33" t="n">
        <v>0</v>
      </c>
      <c r="QM23" s="33" t="n">
        <v>0</v>
      </c>
      <c r="QN23" s="33" t="n">
        <v>0</v>
      </c>
      <c r="QO23" s="33" t="n">
        <v>0</v>
      </c>
      <c r="QP23" s="33" t="n">
        <v>0</v>
      </c>
      <c r="QQ23" s="33" t="n">
        <v>0</v>
      </c>
      <c r="QR23" s="33" t="n">
        <v>0</v>
      </c>
      <c r="QS23" s="33" t="n">
        <v>0</v>
      </c>
      <c r="QT23" s="33" t="n">
        <v>0</v>
      </c>
      <c r="QU23" s="33" t="n">
        <v>0</v>
      </c>
      <c r="QV23" s="33" t="n">
        <v>0</v>
      </c>
      <c r="QW23" s="33" t="n">
        <v>0</v>
      </c>
      <c r="QX23" s="33" t="n">
        <v>0</v>
      </c>
      <c r="QY23" s="33" t="n">
        <v>0</v>
      </c>
      <c r="QZ23" s="33" t="n">
        <v>0</v>
      </c>
      <c r="RA23" s="33" t="n">
        <v>0</v>
      </c>
      <c r="RB23" s="33" t="n">
        <v>0</v>
      </c>
      <c r="RC23" s="33" t="n">
        <v>0</v>
      </c>
      <c r="RD23" s="33" t="n">
        <v>0</v>
      </c>
      <c r="RE23" s="33" t="n">
        <v>0</v>
      </c>
      <c r="RF23" s="33" t="n">
        <v>0</v>
      </c>
      <c r="RG23" s="33" t="n">
        <v>0</v>
      </c>
      <c r="RH23" s="33" t="n">
        <v>0</v>
      </c>
      <c r="RI23" s="33" t="n">
        <v>0</v>
      </c>
      <c r="RJ23" s="33" t="n">
        <v>0</v>
      </c>
      <c r="RK23" s="33" t="n">
        <v>0</v>
      </c>
      <c r="RL23" s="33" t="n">
        <v>0</v>
      </c>
      <c r="RM23" s="33" t="n">
        <v>0</v>
      </c>
      <c r="RN23" s="33" t="n">
        <v>0</v>
      </c>
      <c r="RO23" s="33" t="n">
        <v>0</v>
      </c>
      <c r="RP23" s="33" t="n">
        <v>0</v>
      </c>
      <c r="RQ23" s="33" t="n">
        <v>0</v>
      </c>
      <c r="RR23" s="33" t="n">
        <v>0</v>
      </c>
      <c r="RS23" s="33" t="n">
        <v>0</v>
      </c>
      <c r="RT23" s="33" t="n">
        <v>0</v>
      </c>
      <c r="RU23" s="33" t="n">
        <v>0</v>
      </c>
      <c r="RV23" s="33" t="n">
        <v>0</v>
      </c>
      <c r="RW23" s="33" t="n">
        <v>0</v>
      </c>
    </row>
    <row r="24" ht="13.05" customHeight="1">
      <c r="E24" s="25" t="inlineStr">
        <is>
          <t>Total OPEX</t>
        </is>
      </c>
      <c r="F24" s="26" t="n"/>
      <c r="G24" s="26" t="inlineStr">
        <is>
          <t>kEUR</t>
        </is>
      </c>
      <c r="H24" s="26" t="n"/>
      <c r="I24" s="26" t="n"/>
      <c r="J24" s="27" t="n">
        <v>1290809.899302105</v>
      </c>
      <c r="K24" s="26" t="n"/>
      <c r="L24" s="28" t="n">
        <v>1875.5</v>
      </c>
      <c r="M24" s="28" t="n">
        <v>1875.5</v>
      </c>
      <c r="N24" s="28" t="n">
        <v>1875.5</v>
      </c>
      <c r="O24" s="28" t="n">
        <v>1875.5</v>
      </c>
      <c r="P24" s="28" t="n">
        <v>1875.5</v>
      </c>
      <c r="Q24" s="28" t="n">
        <v>1875.5</v>
      </c>
      <c r="R24" s="28" t="n">
        <v>1875.5</v>
      </c>
      <c r="S24" s="28" t="n">
        <v>1875.5</v>
      </c>
      <c r="T24" s="28" t="n">
        <v>1875.5</v>
      </c>
      <c r="U24" s="28" t="n">
        <v>1875.5</v>
      </c>
      <c r="V24" s="28" t="n">
        <v>1875.5</v>
      </c>
      <c r="W24" s="28" t="n">
        <v>1875.5</v>
      </c>
      <c r="X24" s="28" t="n">
        <v>1875.5</v>
      </c>
      <c r="Y24" s="28" t="n">
        <v>1875.5</v>
      </c>
      <c r="Z24" s="28" t="n">
        <v>1875.5</v>
      </c>
      <c r="AA24" s="28" t="n">
        <v>1875.5</v>
      </c>
      <c r="AB24" s="28" t="n">
        <v>1875.5</v>
      </c>
      <c r="AC24" s="28" t="n">
        <v>1875.5</v>
      </c>
      <c r="AD24" s="28" t="n">
        <v>1875.5</v>
      </c>
      <c r="AE24" s="28" t="n">
        <v>1875.5</v>
      </c>
      <c r="AF24" s="28" t="n">
        <v>1875.5</v>
      </c>
      <c r="AG24" s="28" t="n">
        <v>1875.5</v>
      </c>
      <c r="AH24" s="28" t="n">
        <v>1875.5</v>
      </c>
      <c r="AI24" s="28" t="n">
        <v>1875.5</v>
      </c>
      <c r="AJ24" s="28" t="n">
        <v>1875.5</v>
      </c>
      <c r="AK24" s="28" t="n">
        <v>1875.5</v>
      </c>
      <c r="AL24" s="28" t="n">
        <v>1875.5</v>
      </c>
      <c r="AM24" s="28" t="n">
        <v>1875.5</v>
      </c>
      <c r="AN24" s="28" t="n">
        <v>1875.5</v>
      </c>
      <c r="AO24" s="28" t="n">
        <v>1875.5</v>
      </c>
      <c r="AP24" s="28" t="n">
        <v>1875.5</v>
      </c>
      <c r="AQ24" s="28" t="n">
        <v>1875.5</v>
      </c>
      <c r="AR24" s="28" t="n">
        <v>1875.5</v>
      </c>
      <c r="AS24" s="28" t="n">
        <v>1875.5</v>
      </c>
      <c r="AT24" s="28" t="n">
        <v>1875.5</v>
      </c>
      <c r="AU24" s="28" t="n">
        <v>1875.5</v>
      </c>
      <c r="AV24" s="28" t="n">
        <v>1875.5</v>
      </c>
      <c r="AW24" s="28" t="n">
        <v>1875.5</v>
      </c>
      <c r="AX24" s="28" t="n">
        <v>1875.5</v>
      </c>
      <c r="AY24" s="28" t="n">
        <v>1875.5</v>
      </c>
      <c r="AZ24" s="28" t="n">
        <v>1875.5</v>
      </c>
      <c r="BA24" s="28" t="n">
        <v>1875.5</v>
      </c>
      <c r="BB24" s="28" t="n">
        <v>1875.5</v>
      </c>
      <c r="BC24" s="28" t="n">
        <v>1875.5</v>
      </c>
      <c r="BD24" s="28" t="n">
        <v>1875.5</v>
      </c>
      <c r="BE24" s="28" t="n">
        <v>1875.5</v>
      </c>
      <c r="BF24" s="28" t="n">
        <v>1875.5</v>
      </c>
      <c r="BG24" s="28" t="n">
        <v>1875.5</v>
      </c>
      <c r="BH24" s="28" t="n">
        <v>1875.5</v>
      </c>
      <c r="BI24" s="28" t="n">
        <v>1875.5</v>
      </c>
      <c r="BJ24" s="28" t="n">
        <v>1875.5</v>
      </c>
      <c r="BK24" s="28" t="n">
        <v>1875.5</v>
      </c>
      <c r="BL24" s="28" t="n">
        <v>1875.5</v>
      </c>
      <c r="BM24" s="28" t="n">
        <v>1875.5</v>
      </c>
      <c r="BN24" s="28" t="n">
        <v>1875.5</v>
      </c>
      <c r="BO24" s="28" t="n">
        <v>1875.5</v>
      </c>
      <c r="BP24" s="28" t="n">
        <v>1875.5</v>
      </c>
      <c r="BQ24" s="28" t="n">
        <v>1875.5</v>
      </c>
      <c r="BR24" s="28" t="n">
        <v>1875.5</v>
      </c>
      <c r="BS24" s="28" t="n">
        <v>1875.5</v>
      </c>
      <c r="BT24" s="28" t="n">
        <v>1875.5</v>
      </c>
      <c r="BU24" s="28" t="n">
        <v>1875.5</v>
      </c>
      <c r="BV24" s="28" t="n">
        <v>1875.5</v>
      </c>
      <c r="BW24" s="28" t="n">
        <v>1875.5</v>
      </c>
      <c r="BX24" s="28" t="n">
        <v>1875.5</v>
      </c>
      <c r="BY24" s="28" t="n">
        <v>1875.5</v>
      </c>
      <c r="BZ24" s="28" t="n">
        <v>1875.5</v>
      </c>
      <c r="CA24" s="28" t="n">
        <v>1875.5</v>
      </c>
      <c r="CB24" s="28" t="n">
        <v>1875.5</v>
      </c>
      <c r="CC24" s="28" t="n">
        <v>1875.5</v>
      </c>
      <c r="CD24" s="28" t="n">
        <v>1875.5</v>
      </c>
      <c r="CE24" s="28" t="n">
        <v>1875.5</v>
      </c>
      <c r="CF24" s="28" t="n">
        <v>1875.5</v>
      </c>
      <c r="CG24" s="28" t="n">
        <v>1875.5</v>
      </c>
      <c r="CH24" s="28" t="n">
        <v>1875.5</v>
      </c>
      <c r="CI24" s="28" t="n">
        <v>1875.5</v>
      </c>
      <c r="CJ24" s="28" t="n">
        <v>1875.5</v>
      </c>
      <c r="CK24" s="28" t="n">
        <v>1875.5</v>
      </c>
      <c r="CL24" s="28" t="n">
        <v>1875.5</v>
      </c>
      <c r="CM24" s="28" t="n">
        <v>1875.5</v>
      </c>
      <c r="CN24" s="28" t="n">
        <v>1875.5</v>
      </c>
      <c r="CO24" s="28" t="n">
        <v>1875.5</v>
      </c>
      <c r="CP24" s="28" t="n">
        <v>1875.5</v>
      </c>
      <c r="CQ24" s="28" t="n">
        <v>1875.5</v>
      </c>
      <c r="CR24" s="28" t="n">
        <v>1875.5</v>
      </c>
      <c r="CS24" s="28" t="n">
        <v>1875.5</v>
      </c>
      <c r="CT24" s="28" t="n">
        <v>1875.5</v>
      </c>
      <c r="CU24" s="28" t="n">
        <v>1875.5</v>
      </c>
      <c r="CV24" s="28" t="n">
        <v>1875.5</v>
      </c>
      <c r="CW24" s="28" t="n">
        <v>1875.5</v>
      </c>
      <c r="CX24" s="28" t="n">
        <v>1875.5</v>
      </c>
      <c r="CY24" s="28" t="n">
        <v>1875.5</v>
      </c>
      <c r="CZ24" s="28" t="n">
        <v>1875.5</v>
      </c>
      <c r="DA24" s="28" t="n">
        <v>1875.5</v>
      </c>
      <c r="DB24" s="28" t="n">
        <v>1875.5</v>
      </c>
      <c r="DC24" s="28" t="n">
        <v>1875.5</v>
      </c>
      <c r="DD24" s="28" t="n">
        <v>1922.3875</v>
      </c>
      <c r="DE24" s="28" t="n">
        <v>1922.3875</v>
      </c>
      <c r="DF24" s="28" t="n">
        <v>1922.3875</v>
      </c>
      <c r="DG24" s="28" t="n">
        <v>1922.3875</v>
      </c>
      <c r="DH24" s="28" t="n">
        <v>1922.3875</v>
      </c>
      <c r="DI24" s="28" t="n">
        <v>1922.3875</v>
      </c>
      <c r="DJ24" s="28" t="n">
        <v>1922.3875</v>
      </c>
      <c r="DK24" s="28" t="n">
        <v>1922.3875</v>
      </c>
      <c r="DL24" s="28" t="n">
        <v>1922.3875</v>
      </c>
      <c r="DM24" s="28" t="n">
        <v>1922.3875</v>
      </c>
      <c r="DN24" s="28" t="n">
        <v>1922.3875</v>
      </c>
      <c r="DO24" s="28" t="n">
        <v>1922.3875</v>
      </c>
      <c r="DP24" s="28" t="n">
        <v>1970.4471875</v>
      </c>
      <c r="DQ24" s="28" t="n">
        <v>1970.4471875</v>
      </c>
      <c r="DR24" s="28" t="n">
        <v>1970.4471875</v>
      </c>
      <c r="DS24" s="28" t="n">
        <v>1970.4471875</v>
      </c>
      <c r="DT24" s="28" t="n">
        <v>1970.4471875</v>
      </c>
      <c r="DU24" s="28" t="n">
        <v>1970.4471875</v>
      </c>
      <c r="DV24" s="28" t="n">
        <v>1970.4471875</v>
      </c>
      <c r="DW24" s="28" t="n">
        <v>1970.4471875</v>
      </c>
      <c r="DX24" s="28" t="n">
        <v>1970.4471875</v>
      </c>
      <c r="DY24" s="28" t="n">
        <v>1970.4471875</v>
      </c>
      <c r="DZ24" s="28" t="n">
        <v>1970.4471875</v>
      </c>
      <c r="EA24" s="28" t="n">
        <v>1970.4471875</v>
      </c>
      <c r="EB24" s="28" t="n">
        <v>2019.7083671875</v>
      </c>
      <c r="EC24" s="28" t="n">
        <v>2019.7083671875</v>
      </c>
      <c r="ED24" s="28" t="n">
        <v>2019.7083671875</v>
      </c>
      <c r="EE24" s="28" t="n">
        <v>2019.7083671875</v>
      </c>
      <c r="EF24" s="28" t="n">
        <v>2019.7083671875</v>
      </c>
      <c r="EG24" s="28" t="n">
        <v>2019.7083671875</v>
      </c>
      <c r="EH24" s="28" t="n">
        <v>2019.7083671875</v>
      </c>
      <c r="EI24" s="28" t="n">
        <v>2019.7083671875</v>
      </c>
      <c r="EJ24" s="28" t="n">
        <v>2019.7083671875</v>
      </c>
      <c r="EK24" s="28" t="n">
        <v>2019.7083671875</v>
      </c>
      <c r="EL24" s="28" t="n">
        <v>2019.7083671875</v>
      </c>
      <c r="EM24" s="28" t="n">
        <v>2019.7083671875</v>
      </c>
      <c r="EN24" s="28" t="n">
        <v>2070.201076367186</v>
      </c>
      <c r="EO24" s="28" t="n">
        <v>2070.201076367186</v>
      </c>
      <c r="EP24" s="28" t="n">
        <v>2070.201076367186</v>
      </c>
      <c r="EQ24" s="28" t="n">
        <v>2070.201076367186</v>
      </c>
      <c r="ER24" s="28" t="n">
        <v>2070.201076367186</v>
      </c>
      <c r="ES24" s="28" t="n">
        <v>2070.201076367186</v>
      </c>
      <c r="ET24" s="28" t="n">
        <v>2070.201076367186</v>
      </c>
      <c r="EU24" s="28" t="n">
        <v>2070.201076367186</v>
      </c>
      <c r="EV24" s="28" t="n">
        <v>2070.201076367186</v>
      </c>
      <c r="EW24" s="28" t="n">
        <v>2070.201076367186</v>
      </c>
      <c r="EX24" s="28" t="n">
        <v>2070.201076367186</v>
      </c>
      <c r="EY24" s="28" t="n">
        <v>2070.201076367186</v>
      </c>
      <c r="EZ24" s="28" t="n">
        <v>2121.956103276366</v>
      </c>
      <c r="FA24" s="28" t="n">
        <v>2121.956103276366</v>
      </c>
      <c r="FB24" s="28" t="n">
        <v>2121.956103276366</v>
      </c>
      <c r="FC24" s="28" t="n">
        <v>2121.956103276366</v>
      </c>
      <c r="FD24" s="28" t="n">
        <v>2121.956103276366</v>
      </c>
      <c r="FE24" s="28" t="n">
        <v>2121.956103276366</v>
      </c>
      <c r="FF24" s="28" t="n">
        <v>2121.956103276366</v>
      </c>
      <c r="FG24" s="28" t="n">
        <v>2121.956103276366</v>
      </c>
      <c r="FH24" s="28" t="n">
        <v>2121.956103276366</v>
      </c>
      <c r="FI24" s="28" t="n">
        <v>2121.956103276366</v>
      </c>
      <c r="FJ24" s="28" t="n">
        <v>2121.956103276366</v>
      </c>
      <c r="FK24" s="28" t="n">
        <v>2121.956103276366</v>
      </c>
      <c r="FL24" s="28" t="n">
        <v>2175.005005858275</v>
      </c>
      <c r="FM24" s="28" t="n">
        <v>2175.005005858275</v>
      </c>
      <c r="FN24" s="28" t="n">
        <v>2175.005005858275</v>
      </c>
      <c r="FO24" s="28" t="n">
        <v>2175.005005858275</v>
      </c>
      <c r="FP24" s="28" t="n">
        <v>2175.005005858275</v>
      </c>
      <c r="FQ24" s="28" t="n">
        <v>2175.005005858275</v>
      </c>
      <c r="FR24" s="28" t="n">
        <v>2175.005005858275</v>
      </c>
      <c r="FS24" s="28" t="n">
        <v>2175.005005858275</v>
      </c>
      <c r="FT24" s="28" t="n">
        <v>2175.005005858275</v>
      </c>
      <c r="FU24" s="28" t="n">
        <v>2175.005005858275</v>
      </c>
      <c r="FV24" s="28" t="n">
        <v>2175.005005858275</v>
      </c>
      <c r="FW24" s="28" t="n">
        <v>2175.005005858275</v>
      </c>
      <c r="FX24" s="28" t="n">
        <v>2229.380131004732</v>
      </c>
      <c r="FY24" s="28" t="n">
        <v>2229.380131004732</v>
      </c>
      <c r="FZ24" s="28" t="n">
        <v>2229.380131004732</v>
      </c>
      <c r="GA24" s="28" t="n">
        <v>2229.380131004732</v>
      </c>
      <c r="GB24" s="28" t="n">
        <v>2229.380131004732</v>
      </c>
      <c r="GC24" s="28" t="n">
        <v>2229.380131004732</v>
      </c>
      <c r="GD24" s="28" t="n">
        <v>2229.380131004732</v>
      </c>
      <c r="GE24" s="28" t="n">
        <v>2229.380131004732</v>
      </c>
      <c r="GF24" s="28" t="n">
        <v>2229.380131004732</v>
      </c>
      <c r="GG24" s="28" t="n">
        <v>2229.380131004732</v>
      </c>
      <c r="GH24" s="28" t="n">
        <v>2229.380131004732</v>
      </c>
      <c r="GI24" s="28" t="n">
        <v>2229.380131004732</v>
      </c>
      <c r="GJ24" s="28" t="n">
        <v>2285.11463427985</v>
      </c>
      <c r="GK24" s="28" t="n">
        <v>2285.11463427985</v>
      </c>
      <c r="GL24" s="28" t="n">
        <v>2285.11463427985</v>
      </c>
      <c r="GM24" s="28" t="n">
        <v>2285.11463427985</v>
      </c>
      <c r="GN24" s="28" t="n">
        <v>2285.11463427985</v>
      </c>
      <c r="GO24" s="28" t="n">
        <v>2285.11463427985</v>
      </c>
      <c r="GP24" s="28" t="n">
        <v>2285.11463427985</v>
      </c>
      <c r="GQ24" s="28" t="n">
        <v>2285.11463427985</v>
      </c>
      <c r="GR24" s="28" t="n">
        <v>2285.11463427985</v>
      </c>
      <c r="GS24" s="28" t="n">
        <v>2285.11463427985</v>
      </c>
      <c r="GT24" s="28" t="n">
        <v>2285.11463427985</v>
      </c>
      <c r="GU24" s="28" t="n">
        <v>2285.11463427985</v>
      </c>
      <c r="GV24" s="28" t="n">
        <v>2342.242500136846</v>
      </c>
      <c r="GW24" s="28" t="n">
        <v>2342.242500136846</v>
      </c>
      <c r="GX24" s="28" t="n">
        <v>2342.242500136846</v>
      </c>
      <c r="GY24" s="28" t="n">
        <v>2342.242500136846</v>
      </c>
      <c r="GZ24" s="28" t="n">
        <v>2342.242500136846</v>
      </c>
      <c r="HA24" s="28" t="n">
        <v>2342.242500136846</v>
      </c>
      <c r="HB24" s="28" t="n">
        <v>2342.242500136846</v>
      </c>
      <c r="HC24" s="28" t="n">
        <v>2342.242500136846</v>
      </c>
      <c r="HD24" s="28" t="n">
        <v>2342.242500136846</v>
      </c>
      <c r="HE24" s="28" t="n">
        <v>2342.242500136846</v>
      </c>
      <c r="HF24" s="28" t="n">
        <v>2342.242500136846</v>
      </c>
      <c r="HG24" s="28" t="n">
        <v>2342.242500136846</v>
      </c>
      <c r="HH24" s="28" t="n">
        <v>2400.798562640267</v>
      </c>
      <c r="HI24" s="28" t="n">
        <v>2400.798562640267</v>
      </c>
      <c r="HJ24" s="28" t="n">
        <v>2400.798562640267</v>
      </c>
      <c r="HK24" s="28" t="n">
        <v>2400.798562640267</v>
      </c>
      <c r="HL24" s="28" t="n">
        <v>2400.798562640267</v>
      </c>
      <c r="HM24" s="28" t="n">
        <v>2400.798562640267</v>
      </c>
      <c r="HN24" s="28" t="n">
        <v>2400.798562640267</v>
      </c>
      <c r="HO24" s="28" t="n">
        <v>2400.798562640267</v>
      </c>
      <c r="HP24" s="28" t="n">
        <v>2400.798562640267</v>
      </c>
      <c r="HQ24" s="28" t="n">
        <v>2400.798562640267</v>
      </c>
      <c r="HR24" s="28" t="n">
        <v>2400.798562640267</v>
      </c>
      <c r="HS24" s="28" t="n">
        <v>2400.798562640267</v>
      </c>
      <c r="HT24" s="28" t="n">
        <v>2460.818526706274</v>
      </c>
      <c r="HU24" s="28" t="n">
        <v>2460.818526706274</v>
      </c>
      <c r="HV24" s="28" t="n">
        <v>2460.818526706274</v>
      </c>
      <c r="HW24" s="28" t="n">
        <v>2460.818526706274</v>
      </c>
      <c r="HX24" s="28" t="n">
        <v>2460.818526706274</v>
      </c>
      <c r="HY24" s="28" t="n">
        <v>2460.818526706274</v>
      </c>
      <c r="HZ24" s="28" t="n">
        <v>2460.818526706274</v>
      </c>
      <c r="IA24" s="28" t="n">
        <v>2460.818526706274</v>
      </c>
      <c r="IB24" s="28" t="n">
        <v>2460.818526706274</v>
      </c>
      <c r="IC24" s="28" t="n">
        <v>2460.818526706274</v>
      </c>
      <c r="ID24" s="28" t="n">
        <v>2460.818526706274</v>
      </c>
      <c r="IE24" s="28" t="n">
        <v>2460.818526706274</v>
      </c>
      <c r="IF24" s="28" t="n">
        <v>2522.33898987393</v>
      </c>
      <c r="IG24" s="28" t="n">
        <v>2522.33898987393</v>
      </c>
      <c r="IH24" s="28" t="n">
        <v>2522.33898987393</v>
      </c>
      <c r="II24" s="28" t="n">
        <v>2522.33898987393</v>
      </c>
      <c r="IJ24" s="28" t="n">
        <v>2522.33898987393</v>
      </c>
      <c r="IK24" s="28" t="n">
        <v>2522.33898987393</v>
      </c>
      <c r="IL24" s="28" t="n">
        <v>2522.33898987393</v>
      </c>
      <c r="IM24" s="28" t="n">
        <v>2522.33898987393</v>
      </c>
      <c r="IN24" s="28" t="n">
        <v>2522.33898987393</v>
      </c>
      <c r="IO24" s="28" t="n">
        <v>2522.33898987393</v>
      </c>
      <c r="IP24" s="28" t="n">
        <v>2522.33898987393</v>
      </c>
      <c r="IQ24" s="28" t="n">
        <v>2522.33898987393</v>
      </c>
      <c r="IR24" s="28" t="n">
        <v>2585.397464620778</v>
      </c>
      <c r="IS24" s="28" t="n">
        <v>2585.397464620778</v>
      </c>
      <c r="IT24" s="28" t="n">
        <v>2585.397464620778</v>
      </c>
      <c r="IU24" s="28" t="n">
        <v>2585.397464620778</v>
      </c>
      <c r="IV24" s="28" t="n">
        <v>2585.397464620778</v>
      </c>
      <c r="IW24" s="28" t="n">
        <v>2585.397464620778</v>
      </c>
      <c r="IX24" s="28" t="n">
        <v>2585.397464620778</v>
      </c>
      <c r="IY24" s="28" t="n">
        <v>2585.397464620778</v>
      </c>
      <c r="IZ24" s="28" t="n">
        <v>2585.397464620778</v>
      </c>
      <c r="JA24" s="28" t="n">
        <v>2585.397464620778</v>
      </c>
      <c r="JB24" s="28" t="n">
        <v>2585.397464620778</v>
      </c>
      <c r="JC24" s="28" t="n">
        <v>2585.397464620778</v>
      </c>
      <c r="JD24" s="28" t="n">
        <v>2650.032401236298</v>
      </c>
      <c r="JE24" s="28" t="n">
        <v>2650.032401236298</v>
      </c>
      <c r="JF24" s="28" t="n">
        <v>2650.032401236298</v>
      </c>
      <c r="JG24" s="28" t="n">
        <v>2650.032401236298</v>
      </c>
      <c r="JH24" s="28" t="n">
        <v>2650.032401236298</v>
      </c>
      <c r="JI24" s="28" t="n">
        <v>2650.032401236298</v>
      </c>
      <c r="JJ24" s="28" t="n">
        <v>2650.032401236298</v>
      </c>
      <c r="JK24" s="28" t="n">
        <v>2650.032401236298</v>
      </c>
      <c r="JL24" s="28" t="n">
        <v>2650.032401236298</v>
      </c>
      <c r="JM24" s="28" t="n">
        <v>2650.032401236298</v>
      </c>
      <c r="JN24" s="28" t="n">
        <v>2650.032401236298</v>
      </c>
      <c r="JO24" s="28" t="n">
        <v>2650.032401236298</v>
      </c>
      <c r="JP24" s="28" t="n">
        <v>2716.283211267204</v>
      </c>
      <c r="JQ24" s="28" t="n">
        <v>2716.283211267204</v>
      </c>
      <c r="JR24" s="28" t="n">
        <v>2716.283211267204</v>
      </c>
      <c r="JS24" s="28" t="n">
        <v>2716.283211267204</v>
      </c>
      <c r="JT24" s="28" t="n">
        <v>2716.283211267204</v>
      </c>
      <c r="JU24" s="28" t="n">
        <v>2716.283211267204</v>
      </c>
      <c r="JV24" s="28" t="n">
        <v>2716.283211267204</v>
      </c>
      <c r="JW24" s="28" t="n">
        <v>2716.283211267204</v>
      </c>
      <c r="JX24" s="28" t="n">
        <v>2716.283211267204</v>
      </c>
      <c r="JY24" s="28" t="n">
        <v>2716.283211267204</v>
      </c>
      <c r="JZ24" s="28" t="n">
        <v>2716.283211267204</v>
      </c>
      <c r="KA24" s="28" t="n">
        <v>2716.283211267204</v>
      </c>
      <c r="KB24" s="28" t="n">
        <v>2784.190291548884</v>
      </c>
      <c r="KC24" s="28" t="n">
        <v>2784.190291548884</v>
      </c>
      <c r="KD24" s="28" t="n">
        <v>2784.190291548884</v>
      </c>
      <c r="KE24" s="28" t="n">
        <v>2784.190291548884</v>
      </c>
      <c r="KF24" s="28" t="n">
        <v>2784.190291548884</v>
      </c>
      <c r="KG24" s="28" t="n">
        <v>2784.190291548884</v>
      </c>
      <c r="KH24" s="28" t="n">
        <v>2784.190291548884</v>
      </c>
      <c r="KI24" s="28" t="n">
        <v>2784.190291548884</v>
      </c>
      <c r="KJ24" s="28" t="n">
        <v>2784.190291548884</v>
      </c>
      <c r="KK24" s="28" t="n">
        <v>2784.190291548884</v>
      </c>
      <c r="KL24" s="28" t="n">
        <v>2784.190291548884</v>
      </c>
      <c r="KM24" s="28" t="n">
        <v>2784.190291548884</v>
      </c>
      <c r="KN24" s="28" t="n">
        <v>2853.795048837606</v>
      </c>
      <c r="KO24" s="28" t="n">
        <v>2853.795048837606</v>
      </c>
      <c r="KP24" s="28" t="n">
        <v>2853.795048837606</v>
      </c>
      <c r="KQ24" s="28" t="n">
        <v>2853.795048837606</v>
      </c>
      <c r="KR24" s="28" t="n">
        <v>2853.795048837606</v>
      </c>
      <c r="KS24" s="28" t="n">
        <v>2853.795048837606</v>
      </c>
      <c r="KT24" s="28" t="n">
        <v>2853.795048837606</v>
      </c>
      <c r="KU24" s="28" t="n">
        <v>2853.795048837606</v>
      </c>
      <c r="KV24" s="28" t="n">
        <v>2853.795048837606</v>
      </c>
      <c r="KW24" s="28" t="n">
        <v>2853.795048837606</v>
      </c>
      <c r="KX24" s="28" t="n">
        <v>2853.795048837606</v>
      </c>
      <c r="KY24" s="28" t="n">
        <v>2853.795048837606</v>
      </c>
      <c r="KZ24" s="28" t="n">
        <v>2925.139925058546</v>
      </c>
      <c r="LA24" s="28" t="n">
        <v>2925.139925058546</v>
      </c>
      <c r="LB24" s="28" t="n">
        <v>2925.139925058546</v>
      </c>
      <c r="LC24" s="28" t="n">
        <v>2925.139925058546</v>
      </c>
      <c r="LD24" s="28" t="n">
        <v>2925.139925058546</v>
      </c>
      <c r="LE24" s="28" t="n">
        <v>2925.139925058546</v>
      </c>
      <c r="LF24" s="28" t="n">
        <v>2925.139925058546</v>
      </c>
      <c r="LG24" s="28" t="n">
        <v>2925.139925058546</v>
      </c>
      <c r="LH24" s="28" t="n">
        <v>2925.139925058546</v>
      </c>
      <c r="LI24" s="28" t="n">
        <v>2925.139925058546</v>
      </c>
      <c r="LJ24" s="28" t="n">
        <v>2925.139925058546</v>
      </c>
      <c r="LK24" s="28" t="n">
        <v>2925.139925058546</v>
      </c>
      <c r="LL24" s="28" t="n">
        <v>2998.268423185009</v>
      </c>
      <c r="LM24" s="28" t="n">
        <v>2998.268423185009</v>
      </c>
      <c r="LN24" s="28" t="n">
        <v>2998.268423185009</v>
      </c>
      <c r="LO24" s="28" t="n">
        <v>2998.268423185009</v>
      </c>
      <c r="LP24" s="28" t="n">
        <v>2998.268423185009</v>
      </c>
      <c r="LQ24" s="28" t="n">
        <v>2998.268423185009</v>
      </c>
      <c r="LR24" s="28" t="n">
        <v>2998.268423185009</v>
      </c>
      <c r="LS24" s="28" t="n">
        <v>2998.268423185009</v>
      </c>
      <c r="LT24" s="28" t="n">
        <v>2998.268423185009</v>
      </c>
      <c r="LU24" s="28" t="n">
        <v>2998.268423185009</v>
      </c>
      <c r="LV24" s="28" t="n">
        <v>2998.268423185009</v>
      </c>
      <c r="LW24" s="28" t="n">
        <v>2998.268423185009</v>
      </c>
      <c r="LX24" s="28" t="n">
        <v>3073.225133764634</v>
      </c>
      <c r="LY24" s="28" t="n">
        <v>3073.225133764634</v>
      </c>
      <c r="LZ24" s="28" t="n">
        <v>3073.225133764634</v>
      </c>
      <c r="MA24" s="28" t="n">
        <v>3073.225133764634</v>
      </c>
      <c r="MB24" s="28" t="n">
        <v>3073.225133764634</v>
      </c>
      <c r="MC24" s="28" t="n">
        <v>3073.225133764634</v>
      </c>
      <c r="MD24" s="28" t="n">
        <v>3073.225133764634</v>
      </c>
      <c r="ME24" s="28" t="n">
        <v>3073.225133764634</v>
      </c>
      <c r="MF24" s="28" t="n">
        <v>3073.225133764634</v>
      </c>
      <c r="MG24" s="28" t="n">
        <v>3073.225133764634</v>
      </c>
      <c r="MH24" s="28" t="n">
        <v>3073.225133764634</v>
      </c>
      <c r="MI24" s="28" t="n">
        <v>3073.225133764634</v>
      </c>
      <c r="MJ24" s="28" t="n">
        <v>3150.05576210875</v>
      </c>
      <c r="MK24" s="28" t="n">
        <v>3150.05576210875</v>
      </c>
      <c r="ML24" s="28" t="n">
        <v>3150.05576210875</v>
      </c>
      <c r="MM24" s="28" t="n">
        <v>3150.05576210875</v>
      </c>
      <c r="MN24" s="28" t="n">
        <v>3150.05576210875</v>
      </c>
      <c r="MO24" s="28" t="n">
        <v>3150.05576210875</v>
      </c>
      <c r="MP24" s="28" t="n">
        <v>3150.05576210875</v>
      </c>
      <c r="MQ24" s="28" t="n">
        <v>3150.05576210875</v>
      </c>
      <c r="MR24" s="28" t="n">
        <v>3150.05576210875</v>
      </c>
      <c r="MS24" s="28" t="n">
        <v>3150.05576210875</v>
      </c>
      <c r="MT24" s="28" t="n">
        <v>3150.05576210875</v>
      </c>
      <c r="MU24" s="28" t="n">
        <v>3150.05576210875</v>
      </c>
      <c r="MV24" s="28" t="n">
        <v>3228.807156161469</v>
      </c>
      <c r="MW24" s="28" t="n">
        <v>3228.807156161469</v>
      </c>
      <c r="MX24" s="28" t="n">
        <v>3228.807156161469</v>
      </c>
      <c r="MY24" s="28" t="n">
        <v>3228.807156161469</v>
      </c>
      <c r="MZ24" s="28" t="n">
        <v>3228.807156161469</v>
      </c>
      <c r="NA24" s="28" t="n">
        <v>3228.807156161469</v>
      </c>
      <c r="NB24" s="28" t="n">
        <v>3228.807156161469</v>
      </c>
      <c r="NC24" s="28" t="n">
        <v>3228.807156161469</v>
      </c>
      <c r="ND24" s="28" t="n">
        <v>3228.807156161469</v>
      </c>
      <c r="NE24" s="28" t="n">
        <v>3228.807156161469</v>
      </c>
      <c r="NF24" s="28" t="n">
        <v>3228.807156161469</v>
      </c>
      <c r="NG24" s="28" t="n">
        <v>3228.807156161469</v>
      </c>
      <c r="NH24" s="28" t="n">
        <v>3309.527335065505</v>
      </c>
      <c r="NI24" s="28" t="n">
        <v>3309.527335065505</v>
      </c>
      <c r="NJ24" s="28" t="n">
        <v>3309.527335065505</v>
      </c>
      <c r="NK24" s="28" t="n">
        <v>3309.527335065505</v>
      </c>
      <c r="NL24" s="28" t="n">
        <v>3309.527335065505</v>
      </c>
      <c r="NM24" s="28" t="n">
        <v>3309.527335065505</v>
      </c>
      <c r="NN24" s="28" t="n">
        <v>3309.527335065505</v>
      </c>
      <c r="NO24" s="28" t="n">
        <v>3309.527335065505</v>
      </c>
      <c r="NP24" s="28" t="n">
        <v>3309.527335065505</v>
      </c>
      <c r="NQ24" s="28" t="n">
        <v>3309.527335065505</v>
      </c>
      <c r="NR24" s="28" t="n">
        <v>3309.527335065505</v>
      </c>
      <c r="NS24" s="28" t="n">
        <v>3309.527335065505</v>
      </c>
      <c r="NT24" s="28" t="n">
        <v>3392.265518442142</v>
      </c>
      <c r="NU24" s="28" t="n">
        <v>3392.265518442142</v>
      </c>
      <c r="NV24" s="28" t="n">
        <v>3392.265518442142</v>
      </c>
      <c r="NW24" s="28" t="n">
        <v>3392.265518442142</v>
      </c>
      <c r="NX24" s="28" t="n">
        <v>3392.265518442142</v>
      </c>
      <c r="NY24" s="28" t="n">
        <v>3392.265518442142</v>
      </c>
      <c r="NZ24" s="28" t="n">
        <v>3392.265518442142</v>
      </c>
      <c r="OA24" s="28" t="n">
        <v>3392.265518442142</v>
      </c>
      <c r="OB24" s="28" t="n">
        <v>3392.265518442142</v>
      </c>
      <c r="OC24" s="28" t="n">
        <v>3392.265518442142</v>
      </c>
      <c r="OD24" s="28" t="n">
        <v>3392.265518442142</v>
      </c>
      <c r="OE24" s="28" t="n">
        <v>3392.265518442142</v>
      </c>
      <c r="OF24" s="28" t="n">
        <v>3477.072156403196</v>
      </c>
      <c r="OG24" s="28" t="n">
        <v>3477.072156403196</v>
      </c>
      <c r="OH24" s="28" t="n">
        <v>3477.072156403196</v>
      </c>
      <c r="OI24" s="28" t="n">
        <v>3477.072156403196</v>
      </c>
      <c r="OJ24" s="28" t="n">
        <v>3477.072156403196</v>
      </c>
      <c r="OK24" s="28" t="n">
        <v>3477.072156403196</v>
      </c>
      <c r="OL24" s="28" t="n">
        <v>3477.072156403196</v>
      </c>
      <c r="OM24" s="28" t="n">
        <v>3477.072156403196</v>
      </c>
      <c r="ON24" s="28" t="n">
        <v>3477.072156403196</v>
      </c>
      <c r="OO24" s="28" t="n">
        <v>3477.072156403196</v>
      </c>
      <c r="OP24" s="28" t="n">
        <v>3477.072156403196</v>
      </c>
      <c r="OQ24" s="28" t="n">
        <v>3477.072156403196</v>
      </c>
      <c r="OR24" s="28" t="n">
        <v>3563.998960313275</v>
      </c>
      <c r="OS24" s="28" t="n">
        <v>3563.998960313275</v>
      </c>
      <c r="OT24" s="28" t="n">
        <v>3563.998960313275</v>
      </c>
      <c r="OU24" s="28" t="n">
        <v>3563.998960313275</v>
      </c>
      <c r="OV24" s="28" t="n">
        <v>3563.998960313275</v>
      </c>
      <c r="OW24" s="28" t="n">
        <v>3563.998960313275</v>
      </c>
      <c r="OX24" s="28" t="n">
        <v>3563.998960313275</v>
      </c>
      <c r="OY24" s="28" t="n">
        <v>3563.998960313275</v>
      </c>
      <c r="OZ24" s="28" t="n">
        <v>3563.998960313275</v>
      </c>
      <c r="PA24" s="28" t="n">
        <v>3563.998960313275</v>
      </c>
      <c r="PB24" s="28" t="n">
        <v>3563.998960313275</v>
      </c>
      <c r="PC24" s="28" t="n">
        <v>3563.998960313275</v>
      </c>
      <c r="PD24" s="28" t="n">
        <v>3653.098934321107</v>
      </c>
      <c r="PE24" s="28" t="n">
        <v>3653.098934321107</v>
      </c>
      <c r="PF24" s="28" t="n">
        <v>3653.098934321107</v>
      </c>
      <c r="PG24" s="28" t="n">
        <v>3653.098934321107</v>
      </c>
      <c r="PH24" s="28" t="n">
        <v>3653.098934321107</v>
      </c>
      <c r="PI24" s="28" t="n">
        <v>3653.098934321107</v>
      </c>
      <c r="PJ24" s="28" t="n">
        <v>3653.098934321107</v>
      </c>
      <c r="PK24" s="28" t="n">
        <v>3653.098934321107</v>
      </c>
      <c r="PL24" s="28" t="n">
        <v>3653.098934321107</v>
      </c>
      <c r="PM24" s="28" t="n">
        <v>3653.098934321107</v>
      </c>
      <c r="PN24" s="28" t="n">
        <v>3653.098934321107</v>
      </c>
      <c r="PO24" s="28" t="n">
        <v>3653.098934321107</v>
      </c>
      <c r="PP24" s="28" t="n">
        <v>3744.426407679135</v>
      </c>
      <c r="PQ24" s="28" t="n">
        <v>3744.426407679135</v>
      </c>
      <c r="PR24" s="28" t="n">
        <v>3744.426407679135</v>
      </c>
      <c r="PS24" s="28" t="n">
        <v>3744.426407679135</v>
      </c>
      <c r="PT24" s="28" t="n">
        <v>3744.426407679135</v>
      </c>
      <c r="PU24" s="28" t="n">
        <v>3744.426407679135</v>
      </c>
      <c r="PV24" s="28" t="n">
        <v>3744.426407679135</v>
      </c>
      <c r="PW24" s="28" t="n">
        <v>3744.426407679135</v>
      </c>
      <c r="PX24" s="28" t="n">
        <v>3744.426407679135</v>
      </c>
      <c r="PY24" s="28" t="n">
        <v>3744.426407679135</v>
      </c>
      <c r="PZ24" s="28" t="n">
        <v>3744.426407679135</v>
      </c>
      <c r="QA24" s="28" t="n">
        <v>3744.426407679135</v>
      </c>
      <c r="QB24" s="28" t="n">
        <v>3838.037067871112</v>
      </c>
      <c r="QC24" s="28" t="n">
        <v>3838.037067871112</v>
      </c>
      <c r="QD24" s="28" t="n">
        <v>3838.037067871112</v>
      </c>
      <c r="QE24" s="28" t="n">
        <v>3838.037067871112</v>
      </c>
      <c r="QF24" s="28" t="n">
        <v>3838.037067871112</v>
      </c>
      <c r="QG24" s="28" t="n">
        <v>3838.037067871112</v>
      </c>
      <c r="QH24" s="28" t="n">
        <v>3838.037067871112</v>
      </c>
      <c r="QI24" s="28" t="n">
        <v>3838.037067871112</v>
      </c>
      <c r="QJ24" s="28" t="n">
        <v>3838.037067871112</v>
      </c>
      <c r="QK24" s="28" t="n">
        <v>3838.037067871112</v>
      </c>
      <c r="QL24" s="28" t="n">
        <v>3838.037067871112</v>
      </c>
      <c r="QM24" s="28" t="n">
        <v>3838.037067871112</v>
      </c>
      <c r="QN24" s="28" t="n">
        <v>3933.987994567889</v>
      </c>
      <c r="QO24" s="28" t="n">
        <v>3933.987994567889</v>
      </c>
      <c r="QP24" s="28" t="n">
        <v>3933.987994567889</v>
      </c>
      <c r="QQ24" s="28" t="n">
        <v>3933.987994567889</v>
      </c>
      <c r="QR24" s="28" t="n">
        <v>3933.987994567889</v>
      </c>
      <c r="QS24" s="28" t="n">
        <v>3933.987994567889</v>
      </c>
      <c r="QT24" s="28" t="n">
        <v>3933.987994567889</v>
      </c>
      <c r="QU24" s="28" t="n">
        <v>3933.987994567889</v>
      </c>
      <c r="QV24" s="28" t="n">
        <v>3933.987994567889</v>
      </c>
      <c r="QW24" s="28" t="n">
        <v>3933.987994567889</v>
      </c>
      <c r="QX24" s="28" t="n">
        <v>3933.987994567889</v>
      </c>
      <c r="QY24" s="28" t="n">
        <v>3933.987994567889</v>
      </c>
      <c r="QZ24" s="28" t="n">
        <v>4032.337694432087</v>
      </c>
      <c r="RA24" s="28" t="n">
        <v>4032.337694432087</v>
      </c>
      <c r="RB24" s="28" t="n">
        <v>4032.337694432087</v>
      </c>
      <c r="RC24" s="28" t="n">
        <v>4032.337694432087</v>
      </c>
      <c r="RD24" s="28" t="n">
        <v>4032.337694432087</v>
      </c>
      <c r="RE24" s="28" t="n">
        <v>4032.337694432087</v>
      </c>
      <c r="RF24" s="28" t="n">
        <v>4032.337694432087</v>
      </c>
      <c r="RG24" s="28" t="n">
        <v>4032.337694432087</v>
      </c>
      <c r="RH24" s="28" t="n">
        <v>4032.337694432087</v>
      </c>
      <c r="RI24" s="28" t="n">
        <v>4032.337694432087</v>
      </c>
      <c r="RJ24" s="28" t="n">
        <v>4032.337694432087</v>
      </c>
      <c r="RK24" s="28" t="n">
        <v>4032.337694432087</v>
      </c>
      <c r="RL24" s="28" t="n">
        <v>4133.146136792889</v>
      </c>
      <c r="RM24" s="28" t="n">
        <v>4133.146136792889</v>
      </c>
      <c r="RN24" s="28" t="n">
        <v>4133.146136792889</v>
      </c>
      <c r="RO24" s="28" t="n">
        <v>4133.146136792889</v>
      </c>
      <c r="RP24" s="28" t="n">
        <v>4133.146136792889</v>
      </c>
      <c r="RQ24" s="28" t="n">
        <v>4133.146136792889</v>
      </c>
      <c r="RR24" s="28" t="n">
        <v>4133.146136792889</v>
      </c>
      <c r="RS24" s="28" t="n">
        <v>4133.146136792889</v>
      </c>
      <c r="RT24" s="28" t="n">
        <v>4133.146136792889</v>
      </c>
      <c r="RU24" s="28" t="n">
        <v>4133.146136792889</v>
      </c>
      <c r="RV24" s="28" t="n">
        <v>4133.146136792889</v>
      </c>
      <c r="RW24" s="28" t="n">
        <v>4133.146136792889</v>
      </c>
    </row>
    <row r="25" ht="5.25" customHeight="1"/>
    <row r="26" ht="13.05" customHeight="1">
      <c r="E26" s="39" t="inlineStr">
        <is>
          <t>Capital Expenditure</t>
        </is>
      </c>
      <c r="F26" s="39" t="n"/>
      <c r="G26" s="39" t="n"/>
    </row>
    <row r="27" ht="13.05" customHeight="1">
      <c r="E27" s="21" t="inlineStr">
        <is>
          <t>EPC / Construction</t>
        </is>
      </c>
      <c r="F27" s="29" t="n"/>
      <c r="G27" s="29" t="inlineStr">
        <is>
          <t>kEUR</t>
        </is>
      </c>
      <c r="H27" s="29" t="n"/>
      <c r="I27" s="29" t="n"/>
      <c r="J27" s="32" t="n">
        <v>1175256</v>
      </c>
      <c r="K27" s="29" t="n"/>
      <c r="L27" s="33" t="n">
        <v>0</v>
      </c>
      <c r="M27" s="33" t="n">
        <v>0</v>
      </c>
      <c r="N27" s="33" t="n">
        <v>0</v>
      </c>
      <c r="O27" s="33" t="n">
        <v>0</v>
      </c>
      <c r="P27" s="33" t="n">
        <v>0</v>
      </c>
      <c r="Q27" s="33" t="n">
        <v>0</v>
      </c>
      <c r="R27" s="33" t="n">
        <v>0</v>
      </c>
      <c r="S27" s="33" t="n">
        <v>0</v>
      </c>
      <c r="T27" s="33" t="n">
        <v>0</v>
      </c>
      <c r="U27" s="33" t="n">
        <v>0</v>
      </c>
      <c r="V27" s="33" t="n">
        <v>0</v>
      </c>
      <c r="W27" s="33" t="n">
        <v>0</v>
      </c>
      <c r="X27" s="33" t="n">
        <v>0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0</v>
      </c>
      <c r="AE27" s="33" t="n">
        <v>0</v>
      </c>
      <c r="AF27" s="33" t="n">
        <v>0</v>
      </c>
      <c r="AG27" s="33" t="n">
        <v>0</v>
      </c>
      <c r="AH27" s="33" t="n">
        <v>0</v>
      </c>
      <c r="AI27" s="33" t="n">
        <v>0</v>
      </c>
      <c r="AJ27" s="33" t="n">
        <v>0</v>
      </c>
      <c r="AK27" s="33" t="n">
        <v>0</v>
      </c>
      <c r="AL27" s="33" t="n">
        <v>0</v>
      </c>
      <c r="AM27" s="33" t="n">
        <v>0</v>
      </c>
      <c r="AN27" s="33" t="n">
        <v>0</v>
      </c>
      <c r="AO27" s="33" t="n">
        <v>0</v>
      </c>
      <c r="AP27" s="33" t="n">
        <v>0</v>
      </c>
      <c r="AQ27" s="33" t="n">
        <v>0</v>
      </c>
      <c r="AR27" s="33" t="n">
        <v>0</v>
      </c>
      <c r="AS27" s="33" t="n">
        <v>0</v>
      </c>
      <c r="AT27" s="33" t="n">
        <v>0</v>
      </c>
      <c r="AU27" s="33" t="n">
        <v>0</v>
      </c>
      <c r="AV27" s="33" t="n">
        <v>0</v>
      </c>
      <c r="AW27" s="33" t="n">
        <v>0</v>
      </c>
      <c r="AX27" s="33" t="n">
        <v>0</v>
      </c>
      <c r="AY27" s="33" t="n">
        <v>0</v>
      </c>
      <c r="AZ27" s="33" t="n">
        <v>0</v>
      </c>
      <c r="BA27" s="33" t="n">
        <v>0</v>
      </c>
      <c r="BB27" s="33" t="n">
        <v>0</v>
      </c>
      <c r="BC27" s="33" t="n">
        <v>0</v>
      </c>
      <c r="BD27" s="33" t="n">
        <v>0</v>
      </c>
      <c r="BE27" s="33" t="n">
        <v>0</v>
      </c>
      <c r="BF27" s="33" t="n">
        <v>0</v>
      </c>
      <c r="BG27" s="33" t="n">
        <v>0</v>
      </c>
      <c r="BH27" s="33" t="n">
        <v>32646</v>
      </c>
      <c r="BI27" s="33" t="n">
        <v>32646</v>
      </c>
      <c r="BJ27" s="33" t="n">
        <v>32646</v>
      </c>
      <c r="BK27" s="33" t="n">
        <v>32646</v>
      </c>
      <c r="BL27" s="33" t="n">
        <v>32646</v>
      </c>
      <c r="BM27" s="33" t="n">
        <v>32646</v>
      </c>
      <c r="BN27" s="33" t="n">
        <v>32646</v>
      </c>
      <c r="BO27" s="33" t="n">
        <v>32646</v>
      </c>
      <c r="BP27" s="33" t="n">
        <v>32646</v>
      </c>
      <c r="BQ27" s="33" t="n">
        <v>32646</v>
      </c>
      <c r="BR27" s="33" t="n">
        <v>32646</v>
      </c>
      <c r="BS27" s="33" t="n">
        <v>32646</v>
      </c>
      <c r="BT27" s="33" t="n">
        <v>32646</v>
      </c>
      <c r="BU27" s="33" t="n">
        <v>32646</v>
      </c>
      <c r="BV27" s="33" t="n">
        <v>32646</v>
      </c>
      <c r="BW27" s="33" t="n">
        <v>32646</v>
      </c>
      <c r="BX27" s="33" t="n">
        <v>32646</v>
      </c>
      <c r="BY27" s="33" t="n">
        <v>32646</v>
      </c>
      <c r="BZ27" s="33" t="n">
        <v>32646</v>
      </c>
      <c r="CA27" s="33" t="n">
        <v>32646</v>
      </c>
      <c r="CB27" s="33" t="n">
        <v>32646</v>
      </c>
      <c r="CC27" s="33" t="n">
        <v>32646</v>
      </c>
      <c r="CD27" s="33" t="n">
        <v>32646</v>
      </c>
      <c r="CE27" s="33" t="n">
        <v>32646</v>
      </c>
      <c r="CF27" s="33" t="n">
        <v>32646</v>
      </c>
      <c r="CG27" s="33" t="n">
        <v>32646</v>
      </c>
      <c r="CH27" s="33" t="n">
        <v>32646</v>
      </c>
      <c r="CI27" s="33" t="n">
        <v>32646</v>
      </c>
      <c r="CJ27" s="33" t="n">
        <v>32646</v>
      </c>
      <c r="CK27" s="33" t="n">
        <v>32646</v>
      </c>
      <c r="CL27" s="33" t="n">
        <v>32646</v>
      </c>
      <c r="CM27" s="33" t="n">
        <v>32646</v>
      </c>
      <c r="CN27" s="33" t="n">
        <v>32646</v>
      </c>
      <c r="CO27" s="33" t="n">
        <v>32646</v>
      </c>
      <c r="CP27" s="33" t="n">
        <v>32646</v>
      </c>
      <c r="CQ27" s="33" t="n">
        <v>32646</v>
      </c>
      <c r="CR27" s="33" t="n">
        <v>0</v>
      </c>
      <c r="CS27" s="33" t="n">
        <v>0</v>
      </c>
      <c r="CT27" s="33" t="n">
        <v>0</v>
      </c>
      <c r="CU27" s="33" t="n">
        <v>0</v>
      </c>
      <c r="CV27" s="33" t="n">
        <v>0</v>
      </c>
      <c r="CW27" s="33" t="n">
        <v>0</v>
      </c>
      <c r="CX27" s="33" t="n">
        <v>0</v>
      </c>
      <c r="CY27" s="33" t="n">
        <v>0</v>
      </c>
      <c r="CZ27" s="33" t="n">
        <v>0</v>
      </c>
      <c r="DA27" s="33" t="n">
        <v>0</v>
      </c>
      <c r="DB27" s="33" t="n">
        <v>0</v>
      </c>
      <c r="DC27" s="33" t="n">
        <v>0</v>
      </c>
      <c r="DD27" s="33" t="n">
        <v>0</v>
      </c>
      <c r="DE27" s="33" t="n">
        <v>0</v>
      </c>
      <c r="DF27" s="33" t="n">
        <v>0</v>
      </c>
      <c r="DG27" s="33" t="n">
        <v>0</v>
      </c>
      <c r="DH27" s="33" t="n">
        <v>0</v>
      </c>
      <c r="DI27" s="33" t="n">
        <v>0</v>
      </c>
      <c r="DJ27" s="33" t="n">
        <v>0</v>
      </c>
      <c r="DK27" s="33" t="n">
        <v>0</v>
      </c>
      <c r="DL27" s="33" t="n">
        <v>0</v>
      </c>
      <c r="DM27" s="33" t="n">
        <v>0</v>
      </c>
      <c r="DN27" s="33" t="n">
        <v>0</v>
      </c>
      <c r="DO27" s="33" t="n">
        <v>0</v>
      </c>
      <c r="DP27" s="33" t="n">
        <v>0</v>
      </c>
      <c r="DQ27" s="33" t="n">
        <v>0</v>
      </c>
      <c r="DR27" s="33" t="n">
        <v>0</v>
      </c>
      <c r="DS27" s="33" t="n">
        <v>0</v>
      </c>
      <c r="DT27" s="33" t="n">
        <v>0</v>
      </c>
      <c r="DU27" s="33" t="n">
        <v>0</v>
      </c>
      <c r="DV27" s="33" t="n">
        <v>0</v>
      </c>
      <c r="DW27" s="33" t="n">
        <v>0</v>
      </c>
      <c r="DX27" s="33" t="n">
        <v>0</v>
      </c>
      <c r="DY27" s="33" t="n">
        <v>0</v>
      </c>
      <c r="DZ27" s="33" t="n">
        <v>0</v>
      </c>
      <c r="EA27" s="33" t="n">
        <v>0</v>
      </c>
      <c r="EB27" s="33" t="n">
        <v>0</v>
      </c>
      <c r="EC27" s="33" t="n">
        <v>0</v>
      </c>
      <c r="ED27" s="33" t="n">
        <v>0</v>
      </c>
      <c r="EE27" s="33" t="n">
        <v>0</v>
      </c>
      <c r="EF27" s="33" t="n">
        <v>0</v>
      </c>
      <c r="EG27" s="33" t="n">
        <v>0</v>
      </c>
      <c r="EH27" s="33" t="n">
        <v>0</v>
      </c>
      <c r="EI27" s="33" t="n">
        <v>0</v>
      </c>
      <c r="EJ27" s="33" t="n">
        <v>0</v>
      </c>
      <c r="EK27" s="33" t="n">
        <v>0</v>
      </c>
      <c r="EL27" s="33" t="n">
        <v>0</v>
      </c>
      <c r="EM27" s="33" t="n">
        <v>0</v>
      </c>
      <c r="EN27" s="33" t="n">
        <v>0</v>
      </c>
      <c r="EO27" s="33" t="n">
        <v>0</v>
      </c>
      <c r="EP27" s="33" t="n">
        <v>0</v>
      </c>
      <c r="EQ27" s="33" t="n">
        <v>0</v>
      </c>
      <c r="ER27" s="33" t="n">
        <v>0</v>
      </c>
      <c r="ES27" s="33" t="n">
        <v>0</v>
      </c>
      <c r="ET27" s="33" t="n">
        <v>0</v>
      </c>
      <c r="EU27" s="33" t="n">
        <v>0</v>
      </c>
      <c r="EV27" s="33" t="n">
        <v>0</v>
      </c>
      <c r="EW27" s="33" t="n">
        <v>0</v>
      </c>
      <c r="EX27" s="33" t="n">
        <v>0</v>
      </c>
      <c r="EY27" s="33" t="n">
        <v>0</v>
      </c>
      <c r="EZ27" s="33" t="n">
        <v>0</v>
      </c>
      <c r="FA27" s="33" t="n">
        <v>0</v>
      </c>
      <c r="FB27" s="33" t="n">
        <v>0</v>
      </c>
      <c r="FC27" s="33" t="n">
        <v>0</v>
      </c>
      <c r="FD27" s="33" t="n">
        <v>0</v>
      </c>
      <c r="FE27" s="33" t="n">
        <v>0</v>
      </c>
      <c r="FF27" s="33" t="n">
        <v>0</v>
      </c>
      <c r="FG27" s="33" t="n">
        <v>0</v>
      </c>
      <c r="FH27" s="33" t="n">
        <v>0</v>
      </c>
      <c r="FI27" s="33" t="n">
        <v>0</v>
      </c>
      <c r="FJ27" s="33" t="n">
        <v>0</v>
      </c>
      <c r="FK27" s="33" t="n">
        <v>0</v>
      </c>
      <c r="FL27" s="33" t="n">
        <v>0</v>
      </c>
      <c r="FM27" s="33" t="n">
        <v>0</v>
      </c>
      <c r="FN27" s="33" t="n">
        <v>0</v>
      </c>
      <c r="FO27" s="33" t="n">
        <v>0</v>
      </c>
      <c r="FP27" s="33" t="n">
        <v>0</v>
      </c>
      <c r="FQ27" s="33" t="n">
        <v>0</v>
      </c>
      <c r="FR27" s="33" t="n">
        <v>0</v>
      </c>
      <c r="FS27" s="33" t="n">
        <v>0</v>
      </c>
      <c r="FT27" s="33" t="n">
        <v>0</v>
      </c>
      <c r="FU27" s="33" t="n">
        <v>0</v>
      </c>
      <c r="FV27" s="33" t="n">
        <v>0</v>
      </c>
      <c r="FW27" s="33" t="n">
        <v>0</v>
      </c>
      <c r="FX27" s="33" t="n">
        <v>0</v>
      </c>
      <c r="FY27" s="33" t="n">
        <v>0</v>
      </c>
      <c r="FZ27" s="33" t="n">
        <v>0</v>
      </c>
      <c r="GA27" s="33" t="n">
        <v>0</v>
      </c>
      <c r="GB27" s="33" t="n">
        <v>0</v>
      </c>
      <c r="GC27" s="33" t="n">
        <v>0</v>
      </c>
      <c r="GD27" s="33" t="n">
        <v>0</v>
      </c>
      <c r="GE27" s="33" t="n">
        <v>0</v>
      </c>
      <c r="GF27" s="33" t="n">
        <v>0</v>
      </c>
      <c r="GG27" s="33" t="n">
        <v>0</v>
      </c>
      <c r="GH27" s="33" t="n">
        <v>0</v>
      </c>
      <c r="GI27" s="33" t="n">
        <v>0</v>
      </c>
      <c r="GJ27" s="33" t="n">
        <v>0</v>
      </c>
      <c r="GK27" s="33" t="n">
        <v>0</v>
      </c>
      <c r="GL27" s="33" t="n">
        <v>0</v>
      </c>
      <c r="GM27" s="33" t="n">
        <v>0</v>
      </c>
      <c r="GN27" s="33" t="n">
        <v>0</v>
      </c>
      <c r="GO27" s="33" t="n">
        <v>0</v>
      </c>
      <c r="GP27" s="33" t="n">
        <v>0</v>
      </c>
      <c r="GQ27" s="33" t="n">
        <v>0</v>
      </c>
      <c r="GR27" s="33" t="n">
        <v>0</v>
      </c>
      <c r="GS27" s="33" t="n">
        <v>0</v>
      </c>
      <c r="GT27" s="33" t="n">
        <v>0</v>
      </c>
      <c r="GU27" s="33" t="n">
        <v>0</v>
      </c>
      <c r="GV27" s="33" t="n">
        <v>0</v>
      </c>
      <c r="GW27" s="33" t="n">
        <v>0</v>
      </c>
      <c r="GX27" s="33" t="n">
        <v>0</v>
      </c>
      <c r="GY27" s="33" t="n">
        <v>0</v>
      </c>
      <c r="GZ27" s="33" t="n">
        <v>0</v>
      </c>
      <c r="HA27" s="33" t="n">
        <v>0</v>
      </c>
      <c r="HB27" s="33" t="n">
        <v>0</v>
      </c>
      <c r="HC27" s="33" t="n">
        <v>0</v>
      </c>
      <c r="HD27" s="33" t="n">
        <v>0</v>
      </c>
      <c r="HE27" s="33" t="n">
        <v>0</v>
      </c>
      <c r="HF27" s="33" t="n">
        <v>0</v>
      </c>
      <c r="HG27" s="33" t="n">
        <v>0</v>
      </c>
      <c r="HH27" s="33" t="n">
        <v>0</v>
      </c>
      <c r="HI27" s="33" t="n">
        <v>0</v>
      </c>
      <c r="HJ27" s="33" t="n">
        <v>0</v>
      </c>
      <c r="HK27" s="33" t="n">
        <v>0</v>
      </c>
      <c r="HL27" s="33" t="n">
        <v>0</v>
      </c>
      <c r="HM27" s="33" t="n">
        <v>0</v>
      </c>
      <c r="HN27" s="33" t="n">
        <v>0</v>
      </c>
      <c r="HO27" s="33" t="n">
        <v>0</v>
      </c>
      <c r="HP27" s="33" t="n">
        <v>0</v>
      </c>
      <c r="HQ27" s="33" t="n">
        <v>0</v>
      </c>
      <c r="HR27" s="33" t="n">
        <v>0</v>
      </c>
      <c r="HS27" s="33" t="n">
        <v>0</v>
      </c>
      <c r="HT27" s="33" t="n">
        <v>0</v>
      </c>
      <c r="HU27" s="33" t="n">
        <v>0</v>
      </c>
      <c r="HV27" s="33" t="n">
        <v>0</v>
      </c>
      <c r="HW27" s="33" t="n">
        <v>0</v>
      </c>
      <c r="HX27" s="33" t="n">
        <v>0</v>
      </c>
      <c r="HY27" s="33" t="n">
        <v>0</v>
      </c>
      <c r="HZ27" s="33" t="n">
        <v>0</v>
      </c>
      <c r="IA27" s="33" t="n">
        <v>0</v>
      </c>
      <c r="IB27" s="33" t="n">
        <v>0</v>
      </c>
      <c r="IC27" s="33" t="n">
        <v>0</v>
      </c>
      <c r="ID27" s="33" t="n">
        <v>0</v>
      </c>
      <c r="IE27" s="33" t="n">
        <v>0</v>
      </c>
      <c r="IF27" s="33" t="n">
        <v>0</v>
      </c>
      <c r="IG27" s="33" t="n">
        <v>0</v>
      </c>
      <c r="IH27" s="33" t="n">
        <v>0</v>
      </c>
      <c r="II27" s="33" t="n">
        <v>0</v>
      </c>
      <c r="IJ27" s="33" t="n">
        <v>0</v>
      </c>
      <c r="IK27" s="33" t="n">
        <v>0</v>
      </c>
      <c r="IL27" s="33" t="n">
        <v>0</v>
      </c>
      <c r="IM27" s="33" t="n">
        <v>0</v>
      </c>
      <c r="IN27" s="33" t="n">
        <v>0</v>
      </c>
      <c r="IO27" s="33" t="n">
        <v>0</v>
      </c>
      <c r="IP27" s="33" t="n">
        <v>0</v>
      </c>
      <c r="IQ27" s="33" t="n">
        <v>0</v>
      </c>
      <c r="IR27" s="33" t="n">
        <v>0</v>
      </c>
      <c r="IS27" s="33" t="n">
        <v>0</v>
      </c>
      <c r="IT27" s="33" t="n">
        <v>0</v>
      </c>
      <c r="IU27" s="33" t="n">
        <v>0</v>
      </c>
      <c r="IV27" s="33" t="n">
        <v>0</v>
      </c>
      <c r="IW27" s="33" t="n">
        <v>0</v>
      </c>
      <c r="IX27" s="33" t="n">
        <v>0</v>
      </c>
      <c r="IY27" s="33" t="n">
        <v>0</v>
      </c>
      <c r="IZ27" s="33" t="n">
        <v>0</v>
      </c>
      <c r="JA27" s="33" t="n">
        <v>0</v>
      </c>
      <c r="JB27" s="33" t="n">
        <v>0</v>
      </c>
      <c r="JC27" s="33" t="n">
        <v>0</v>
      </c>
      <c r="JD27" s="33" t="n">
        <v>0</v>
      </c>
      <c r="JE27" s="33" t="n">
        <v>0</v>
      </c>
      <c r="JF27" s="33" t="n">
        <v>0</v>
      </c>
      <c r="JG27" s="33" t="n">
        <v>0</v>
      </c>
      <c r="JH27" s="33" t="n">
        <v>0</v>
      </c>
      <c r="JI27" s="33" t="n">
        <v>0</v>
      </c>
      <c r="JJ27" s="33" t="n">
        <v>0</v>
      </c>
      <c r="JK27" s="33" t="n">
        <v>0</v>
      </c>
      <c r="JL27" s="33" t="n">
        <v>0</v>
      </c>
      <c r="JM27" s="33" t="n">
        <v>0</v>
      </c>
      <c r="JN27" s="33" t="n">
        <v>0</v>
      </c>
      <c r="JO27" s="33" t="n">
        <v>0</v>
      </c>
      <c r="JP27" s="33" t="n">
        <v>0</v>
      </c>
      <c r="JQ27" s="33" t="n">
        <v>0</v>
      </c>
      <c r="JR27" s="33" t="n">
        <v>0</v>
      </c>
      <c r="JS27" s="33" t="n">
        <v>0</v>
      </c>
      <c r="JT27" s="33" t="n">
        <v>0</v>
      </c>
      <c r="JU27" s="33" t="n">
        <v>0</v>
      </c>
      <c r="JV27" s="33" t="n">
        <v>0</v>
      </c>
      <c r="JW27" s="33" t="n">
        <v>0</v>
      </c>
      <c r="JX27" s="33" t="n">
        <v>0</v>
      </c>
      <c r="JY27" s="33" t="n">
        <v>0</v>
      </c>
      <c r="JZ27" s="33" t="n">
        <v>0</v>
      </c>
      <c r="KA27" s="33" t="n">
        <v>0</v>
      </c>
      <c r="KB27" s="33" t="n">
        <v>0</v>
      </c>
      <c r="KC27" s="33" t="n">
        <v>0</v>
      </c>
      <c r="KD27" s="33" t="n">
        <v>0</v>
      </c>
      <c r="KE27" s="33" t="n">
        <v>0</v>
      </c>
      <c r="KF27" s="33" t="n">
        <v>0</v>
      </c>
      <c r="KG27" s="33" t="n">
        <v>0</v>
      </c>
      <c r="KH27" s="33" t="n">
        <v>0</v>
      </c>
      <c r="KI27" s="33" t="n">
        <v>0</v>
      </c>
      <c r="KJ27" s="33" t="n">
        <v>0</v>
      </c>
      <c r="KK27" s="33" t="n">
        <v>0</v>
      </c>
      <c r="KL27" s="33" t="n">
        <v>0</v>
      </c>
      <c r="KM27" s="33" t="n">
        <v>0</v>
      </c>
      <c r="KN27" s="33" t="n">
        <v>0</v>
      </c>
      <c r="KO27" s="33" t="n">
        <v>0</v>
      </c>
      <c r="KP27" s="33" t="n">
        <v>0</v>
      </c>
      <c r="KQ27" s="33" t="n">
        <v>0</v>
      </c>
      <c r="KR27" s="33" t="n">
        <v>0</v>
      </c>
      <c r="KS27" s="33" t="n">
        <v>0</v>
      </c>
      <c r="KT27" s="33" t="n">
        <v>0</v>
      </c>
      <c r="KU27" s="33" t="n">
        <v>0</v>
      </c>
      <c r="KV27" s="33" t="n">
        <v>0</v>
      </c>
      <c r="KW27" s="33" t="n">
        <v>0</v>
      </c>
      <c r="KX27" s="33" t="n">
        <v>0</v>
      </c>
      <c r="KY27" s="33" t="n">
        <v>0</v>
      </c>
      <c r="KZ27" s="33" t="n">
        <v>0</v>
      </c>
      <c r="LA27" s="33" t="n">
        <v>0</v>
      </c>
      <c r="LB27" s="33" t="n">
        <v>0</v>
      </c>
      <c r="LC27" s="33" t="n">
        <v>0</v>
      </c>
      <c r="LD27" s="33" t="n">
        <v>0</v>
      </c>
      <c r="LE27" s="33" t="n">
        <v>0</v>
      </c>
      <c r="LF27" s="33" t="n">
        <v>0</v>
      </c>
      <c r="LG27" s="33" t="n">
        <v>0</v>
      </c>
      <c r="LH27" s="33" t="n">
        <v>0</v>
      </c>
      <c r="LI27" s="33" t="n">
        <v>0</v>
      </c>
      <c r="LJ27" s="33" t="n">
        <v>0</v>
      </c>
      <c r="LK27" s="33" t="n">
        <v>0</v>
      </c>
      <c r="LL27" s="33" t="n">
        <v>0</v>
      </c>
      <c r="LM27" s="33" t="n">
        <v>0</v>
      </c>
      <c r="LN27" s="33" t="n">
        <v>0</v>
      </c>
      <c r="LO27" s="33" t="n">
        <v>0</v>
      </c>
      <c r="LP27" s="33" t="n">
        <v>0</v>
      </c>
      <c r="LQ27" s="33" t="n">
        <v>0</v>
      </c>
      <c r="LR27" s="33" t="n">
        <v>0</v>
      </c>
      <c r="LS27" s="33" t="n">
        <v>0</v>
      </c>
      <c r="LT27" s="33" t="n">
        <v>0</v>
      </c>
      <c r="LU27" s="33" t="n">
        <v>0</v>
      </c>
      <c r="LV27" s="33" t="n">
        <v>0</v>
      </c>
      <c r="LW27" s="33" t="n">
        <v>0</v>
      </c>
      <c r="LX27" s="33" t="n">
        <v>0</v>
      </c>
      <c r="LY27" s="33" t="n">
        <v>0</v>
      </c>
      <c r="LZ27" s="33" t="n">
        <v>0</v>
      </c>
      <c r="MA27" s="33" t="n">
        <v>0</v>
      </c>
      <c r="MB27" s="33" t="n">
        <v>0</v>
      </c>
      <c r="MC27" s="33" t="n">
        <v>0</v>
      </c>
      <c r="MD27" s="33" t="n">
        <v>0</v>
      </c>
      <c r="ME27" s="33" t="n">
        <v>0</v>
      </c>
      <c r="MF27" s="33" t="n">
        <v>0</v>
      </c>
      <c r="MG27" s="33" t="n">
        <v>0</v>
      </c>
      <c r="MH27" s="33" t="n">
        <v>0</v>
      </c>
      <c r="MI27" s="33" t="n">
        <v>0</v>
      </c>
      <c r="MJ27" s="33" t="n">
        <v>0</v>
      </c>
      <c r="MK27" s="33" t="n">
        <v>0</v>
      </c>
      <c r="ML27" s="33" t="n">
        <v>0</v>
      </c>
      <c r="MM27" s="33" t="n">
        <v>0</v>
      </c>
      <c r="MN27" s="33" t="n">
        <v>0</v>
      </c>
      <c r="MO27" s="33" t="n">
        <v>0</v>
      </c>
      <c r="MP27" s="33" t="n">
        <v>0</v>
      </c>
      <c r="MQ27" s="33" t="n">
        <v>0</v>
      </c>
      <c r="MR27" s="33" t="n">
        <v>0</v>
      </c>
      <c r="MS27" s="33" t="n">
        <v>0</v>
      </c>
      <c r="MT27" s="33" t="n">
        <v>0</v>
      </c>
      <c r="MU27" s="33" t="n">
        <v>0</v>
      </c>
      <c r="MV27" s="33" t="n">
        <v>0</v>
      </c>
      <c r="MW27" s="33" t="n">
        <v>0</v>
      </c>
      <c r="MX27" s="33" t="n">
        <v>0</v>
      </c>
      <c r="MY27" s="33" t="n">
        <v>0</v>
      </c>
      <c r="MZ27" s="33" t="n">
        <v>0</v>
      </c>
      <c r="NA27" s="33" t="n">
        <v>0</v>
      </c>
      <c r="NB27" s="33" t="n">
        <v>0</v>
      </c>
      <c r="NC27" s="33" t="n">
        <v>0</v>
      </c>
      <c r="ND27" s="33" t="n">
        <v>0</v>
      </c>
      <c r="NE27" s="33" t="n">
        <v>0</v>
      </c>
      <c r="NF27" s="33" t="n">
        <v>0</v>
      </c>
      <c r="NG27" s="33" t="n">
        <v>0</v>
      </c>
      <c r="NH27" s="33" t="n">
        <v>0</v>
      </c>
      <c r="NI27" s="33" t="n">
        <v>0</v>
      </c>
      <c r="NJ27" s="33" t="n">
        <v>0</v>
      </c>
      <c r="NK27" s="33" t="n">
        <v>0</v>
      </c>
      <c r="NL27" s="33" t="n">
        <v>0</v>
      </c>
      <c r="NM27" s="33" t="n">
        <v>0</v>
      </c>
      <c r="NN27" s="33" t="n">
        <v>0</v>
      </c>
      <c r="NO27" s="33" t="n">
        <v>0</v>
      </c>
      <c r="NP27" s="33" t="n">
        <v>0</v>
      </c>
      <c r="NQ27" s="33" t="n">
        <v>0</v>
      </c>
      <c r="NR27" s="33" t="n">
        <v>0</v>
      </c>
      <c r="NS27" s="33" t="n">
        <v>0</v>
      </c>
      <c r="NT27" s="33" t="n">
        <v>0</v>
      </c>
      <c r="NU27" s="33" t="n">
        <v>0</v>
      </c>
      <c r="NV27" s="33" t="n">
        <v>0</v>
      </c>
      <c r="NW27" s="33" t="n">
        <v>0</v>
      </c>
      <c r="NX27" s="33" t="n">
        <v>0</v>
      </c>
      <c r="NY27" s="33" t="n">
        <v>0</v>
      </c>
      <c r="NZ27" s="33" t="n">
        <v>0</v>
      </c>
      <c r="OA27" s="33" t="n">
        <v>0</v>
      </c>
      <c r="OB27" s="33" t="n">
        <v>0</v>
      </c>
      <c r="OC27" s="33" t="n">
        <v>0</v>
      </c>
      <c r="OD27" s="33" t="n">
        <v>0</v>
      </c>
      <c r="OE27" s="33" t="n">
        <v>0</v>
      </c>
      <c r="OF27" s="33" t="n">
        <v>0</v>
      </c>
      <c r="OG27" s="33" t="n">
        <v>0</v>
      </c>
      <c r="OH27" s="33" t="n">
        <v>0</v>
      </c>
      <c r="OI27" s="33" t="n">
        <v>0</v>
      </c>
      <c r="OJ27" s="33" t="n">
        <v>0</v>
      </c>
      <c r="OK27" s="33" t="n">
        <v>0</v>
      </c>
      <c r="OL27" s="33" t="n">
        <v>0</v>
      </c>
      <c r="OM27" s="33" t="n">
        <v>0</v>
      </c>
      <c r="ON27" s="33" t="n">
        <v>0</v>
      </c>
      <c r="OO27" s="33" t="n">
        <v>0</v>
      </c>
      <c r="OP27" s="33" t="n">
        <v>0</v>
      </c>
      <c r="OQ27" s="33" t="n">
        <v>0</v>
      </c>
      <c r="OR27" s="33" t="n">
        <v>0</v>
      </c>
      <c r="OS27" s="33" t="n">
        <v>0</v>
      </c>
      <c r="OT27" s="33" t="n">
        <v>0</v>
      </c>
      <c r="OU27" s="33" t="n">
        <v>0</v>
      </c>
      <c r="OV27" s="33" t="n">
        <v>0</v>
      </c>
      <c r="OW27" s="33" t="n">
        <v>0</v>
      </c>
      <c r="OX27" s="33" t="n">
        <v>0</v>
      </c>
      <c r="OY27" s="33" t="n">
        <v>0</v>
      </c>
      <c r="OZ27" s="33" t="n">
        <v>0</v>
      </c>
      <c r="PA27" s="33" t="n">
        <v>0</v>
      </c>
      <c r="PB27" s="33" t="n">
        <v>0</v>
      </c>
      <c r="PC27" s="33" t="n">
        <v>0</v>
      </c>
      <c r="PD27" s="33" t="n">
        <v>0</v>
      </c>
      <c r="PE27" s="33" t="n">
        <v>0</v>
      </c>
      <c r="PF27" s="33" t="n">
        <v>0</v>
      </c>
      <c r="PG27" s="33" t="n">
        <v>0</v>
      </c>
      <c r="PH27" s="33" t="n">
        <v>0</v>
      </c>
      <c r="PI27" s="33" t="n">
        <v>0</v>
      </c>
      <c r="PJ27" s="33" t="n">
        <v>0</v>
      </c>
      <c r="PK27" s="33" t="n">
        <v>0</v>
      </c>
      <c r="PL27" s="33" t="n">
        <v>0</v>
      </c>
      <c r="PM27" s="33" t="n">
        <v>0</v>
      </c>
      <c r="PN27" s="33" t="n">
        <v>0</v>
      </c>
      <c r="PO27" s="33" t="n">
        <v>0</v>
      </c>
      <c r="PP27" s="33" t="n">
        <v>0</v>
      </c>
      <c r="PQ27" s="33" t="n">
        <v>0</v>
      </c>
      <c r="PR27" s="33" t="n">
        <v>0</v>
      </c>
      <c r="PS27" s="33" t="n">
        <v>0</v>
      </c>
      <c r="PT27" s="33" t="n">
        <v>0</v>
      </c>
      <c r="PU27" s="33" t="n">
        <v>0</v>
      </c>
      <c r="PV27" s="33" t="n">
        <v>0</v>
      </c>
      <c r="PW27" s="33" t="n">
        <v>0</v>
      </c>
      <c r="PX27" s="33" t="n">
        <v>0</v>
      </c>
      <c r="PY27" s="33" t="n">
        <v>0</v>
      </c>
      <c r="PZ27" s="33" t="n">
        <v>0</v>
      </c>
      <c r="QA27" s="33" t="n">
        <v>0</v>
      </c>
      <c r="QB27" s="33" t="n">
        <v>0</v>
      </c>
      <c r="QC27" s="33" t="n">
        <v>0</v>
      </c>
      <c r="QD27" s="33" t="n">
        <v>0</v>
      </c>
      <c r="QE27" s="33" t="n">
        <v>0</v>
      </c>
      <c r="QF27" s="33" t="n">
        <v>0</v>
      </c>
      <c r="QG27" s="33" t="n">
        <v>0</v>
      </c>
      <c r="QH27" s="33" t="n">
        <v>0</v>
      </c>
      <c r="QI27" s="33" t="n">
        <v>0</v>
      </c>
      <c r="QJ27" s="33" t="n">
        <v>0</v>
      </c>
      <c r="QK27" s="33" t="n">
        <v>0</v>
      </c>
      <c r="QL27" s="33" t="n">
        <v>0</v>
      </c>
      <c r="QM27" s="33" t="n">
        <v>0</v>
      </c>
      <c r="QN27" s="33" t="n">
        <v>0</v>
      </c>
      <c r="QO27" s="33" t="n">
        <v>0</v>
      </c>
      <c r="QP27" s="33" t="n">
        <v>0</v>
      </c>
      <c r="QQ27" s="33" t="n">
        <v>0</v>
      </c>
      <c r="QR27" s="33" t="n">
        <v>0</v>
      </c>
      <c r="QS27" s="33" t="n">
        <v>0</v>
      </c>
      <c r="QT27" s="33" t="n">
        <v>0</v>
      </c>
      <c r="QU27" s="33" t="n">
        <v>0</v>
      </c>
      <c r="QV27" s="33" t="n">
        <v>0</v>
      </c>
      <c r="QW27" s="33" t="n">
        <v>0</v>
      </c>
      <c r="QX27" s="33" t="n">
        <v>0</v>
      </c>
      <c r="QY27" s="33" t="n">
        <v>0</v>
      </c>
      <c r="QZ27" s="33" t="n">
        <v>0</v>
      </c>
      <c r="RA27" s="33" t="n">
        <v>0</v>
      </c>
      <c r="RB27" s="33" t="n">
        <v>0</v>
      </c>
      <c r="RC27" s="33" t="n">
        <v>0</v>
      </c>
      <c r="RD27" s="33" t="n">
        <v>0</v>
      </c>
      <c r="RE27" s="33" t="n">
        <v>0</v>
      </c>
      <c r="RF27" s="33" t="n">
        <v>0</v>
      </c>
      <c r="RG27" s="33" t="n">
        <v>0</v>
      </c>
      <c r="RH27" s="33" t="n">
        <v>0</v>
      </c>
      <c r="RI27" s="33" t="n">
        <v>0</v>
      </c>
      <c r="RJ27" s="33" t="n">
        <v>0</v>
      </c>
      <c r="RK27" s="33" t="n">
        <v>0</v>
      </c>
      <c r="RL27" s="33" t="n">
        <v>0</v>
      </c>
      <c r="RM27" s="33" t="n">
        <v>0</v>
      </c>
      <c r="RN27" s="33" t="n">
        <v>0</v>
      </c>
      <c r="RO27" s="33" t="n">
        <v>0</v>
      </c>
      <c r="RP27" s="33" t="n">
        <v>0</v>
      </c>
      <c r="RQ27" s="33" t="n">
        <v>0</v>
      </c>
      <c r="RR27" s="33" t="n">
        <v>0</v>
      </c>
      <c r="RS27" s="33" t="n">
        <v>0</v>
      </c>
      <c r="RT27" s="33" t="n">
        <v>0</v>
      </c>
      <c r="RU27" s="33" t="n">
        <v>0</v>
      </c>
      <c r="RV27" s="33" t="n">
        <v>0</v>
      </c>
      <c r="RW27" s="33" t="n">
        <v>0</v>
      </c>
    </row>
    <row r="28" hidden="1" outlineLevel="1" ht="13.05" customHeight="1">
      <c r="E28" s="21" t="inlineStr">
        <is>
          <t>Grid Connection</t>
        </is>
      </c>
      <c r="F28" s="29" t="n"/>
      <c r="G28" s="29" t="inlineStr">
        <is>
          <t>kEUR</t>
        </is>
      </c>
      <c r="H28" s="29" t="n"/>
      <c r="I28" s="29" t="n"/>
      <c r="J28" s="32" t="n">
        <v>0</v>
      </c>
      <c r="K28" s="29" t="n"/>
      <c r="L28" s="33" t="n">
        <v>0</v>
      </c>
      <c r="M28" s="33" t="n">
        <v>0</v>
      </c>
      <c r="N28" s="33" t="n">
        <v>0</v>
      </c>
      <c r="O28" s="33" t="n">
        <v>0</v>
      </c>
      <c r="P28" s="33" t="n">
        <v>0</v>
      </c>
      <c r="Q28" s="33" t="n">
        <v>0</v>
      </c>
      <c r="R28" s="33" t="n">
        <v>0</v>
      </c>
      <c r="S28" s="33" t="n">
        <v>0</v>
      </c>
      <c r="T28" s="33" t="n">
        <v>0</v>
      </c>
      <c r="U28" s="33" t="n">
        <v>0</v>
      </c>
      <c r="V28" s="33" t="n">
        <v>0</v>
      </c>
      <c r="W28" s="33" t="n">
        <v>0</v>
      </c>
      <c r="X28" s="33" t="n">
        <v>0</v>
      </c>
      <c r="Y28" s="33" t="n">
        <v>0</v>
      </c>
      <c r="Z28" s="33" t="n">
        <v>0</v>
      </c>
      <c r="AA28" s="33" t="n">
        <v>0</v>
      </c>
      <c r="AB28" s="33" t="n">
        <v>0</v>
      </c>
      <c r="AC28" s="33" t="n">
        <v>0</v>
      </c>
      <c r="AD28" s="33" t="n">
        <v>0</v>
      </c>
      <c r="AE28" s="33" t="n">
        <v>0</v>
      </c>
      <c r="AF28" s="33" t="n">
        <v>0</v>
      </c>
      <c r="AG28" s="33" t="n">
        <v>0</v>
      </c>
      <c r="AH28" s="33" t="n">
        <v>0</v>
      </c>
      <c r="AI28" s="33" t="n">
        <v>0</v>
      </c>
      <c r="AJ28" s="33" t="n">
        <v>0</v>
      </c>
      <c r="AK28" s="33" t="n">
        <v>0</v>
      </c>
      <c r="AL28" s="33" t="n">
        <v>0</v>
      </c>
      <c r="AM28" s="33" t="n">
        <v>0</v>
      </c>
      <c r="AN28" s="33" t="n">
        <v>0</v>
      </c>
      <c r="AO28" s="33" t="n">
        <v>0</v>
      </c>
      <c r="AP28" s="33" t="n">
        <v>0</v>
      </c>
      <c r="AQ28" s="33" t="n">
        <v>0</v>
      </c>
      <c r="AR28" s="33" t="n">
        <v>0</v>
      </c>
      <c r="AS28" s="33" t="n">
        <v>0</v>
      </c>
      <c r="AT28" s="33" t="n">
        <v>0</v>
      </c>
      <c r="AU28" s="33" t="n">
        <v>0</v>
      </c>
      <c r="AV28" s="33" t="n">
        <v>0</v>
      </c>
      <c r="AW28" s="33" t="n">
        <v>0</v>
      </c>
      <c r="AX28" s="33" t="n">
        <v>0</v>
      </c>
      <c r="AY28" s="33" t="n">
        <v>0</v>
      </c>
      <c r="AZ28" s="33" t="n">
        <v>0</v>
      </c>
      <c r="BA28" s="33" t="n">
        <v>0</v>
      </c>
      <c r="BB28" s="33" t="n">
        <v>0</v>
      </c>
      <c r="BC28" s="33" t="n">
        <v>0</v>
      </c>
      <c r="BD28" s="33" t="n">
        <v>0</v>
      </c>
      <c r="BE28" s="33" t="n">
        <v>0</v>
      </c>
      <c r="BF28" s="33" t="n">
        <v>0</v>
      </c>
      <c r="BG28" s="33" t="n">
        <v>0</v>
      </c>
      <c r="BH28" s="33" t="n">
        <v>0</v>
      </c>
      <c r="BI28" s="33" t="n">
        <v>0</v>
      </c>
      <c r="BJ28" s="33" t="n">
        <v>0</v>
      </c>
      <c r="BK28" s="33" t="n">
        <v>0</v>
      </c>
      <c r="BL28" s="33" t="n">
        <v>0</v>
      </c>
      <c r="BM28" s="33" t="n">
        <v>0</v>
      </c>
      <c r="BN28" s="33" t="n">
        <v>0</v>
      </c>
      <c r="BO28" s="33" t="n">
        <v>0</v>
      </c>
      <c r="BP28" s="33" t="n">
        <v>0</v>
      </c>
      <c r="BQ28" s="33" t="n">
        <v>0</v>
      </c>
      <c r="BR28" s="33" t="n">
        <v>0</v>
      </c>
      <c r="BS28" s="33" t="n">
        <v>0</v>
      </c>
      <c r="BT28" s="33" t="n">
        <v>0</v>
      </c>
      <c r="BU28" s="33" t="n">
        <v>0</v>
      </c>
      <c r="BV28" s="33" t="n">
        <v>0</v>
      </c>
      <c r="BW28" s="33" t="n">
        <v>0</v>
      </c>
      <c r="BX28" s="33" t="n">
        <v>0</v>
      </c>
      <c r="BY28" s="33" t="n">
        <v>0</v>
      </c>
      <c r="BZ28" s="33" t="n">
        <v>0</v>
      </c>
      <c r="CA28" s="33" t="n">
        <v>0</v>
      </c>
      <c r="CB28" s="33" t="n">
        <v>0</v>
      </c>
      <c r="CC28" s="33" t="n">
        <v>0</v>
      </c>
      <c r="CD28" s="33" t="n">
        <v>0</v>
      </c>
      <c r="CE28" s="33" t="n">
        <v>0</v>
      </c>
      <c r="CF28" s="33" t="n">
        <v>0</v>
      </c>
      <c r="CG28" s="33" t="n">
        <v>0</v>
      </c>
      <c r="CH28" s="33" t="n">
        <v>0</v>
      </c>
      <c r="CI28" s="33" t="n">
        <v>0</v>
      </c>
      <c r="CJ28" s="33" t="n">
        <v>0</v>
      </c>
      <c r="CK28" s="33" t="n">
        <v>0</v>
      </c>
      <c r="CL28" s="33" t="n">
        <v>0</v>
      </c>
      <c r="CM28" s="33" t="n">
        <v>0</v>
      </c>
      <c r="CN28" s="33" t="n">
        <v>0</v>
      </c>
      <c r="CO28" s="33" t="n">
        <v>0</v>
      </c>
      <c r="CP28" s="33" t="n">
        <v>0</v>
      </c>
      <c r="CQ28" s="33" t="n">
        <v>0</v>
      </c>
      <c r="CR28" s="33" t="n">
        <v>0</v>
      </c>
      <c r="CS28" s="33" t="n">
        <v>0</v>
      </c>
      <c r="CT28" s="33" t="n">
        <v>0</v>
      </c>
      <c r="CU28" s="33" t="n">
        <v>0</v>
      </c>
      <c r="CV28" s="33" t="n">
        <v>0</v>
      </c>
      <c r="CW28" s="33" t="n">
        <v>0</v>
      </c>
      <c r="CX28" s="33" t="n">
        <v>0</v>
      </c>
      <c r="CY28" s="33" t="n">
        <v>0</v>
      </c>
      <c r="CZ28" s="33" t="n">
        <v>0</v>
      </c>
      <c r="DA28" s="33" t="n">
        <v>0</v>
      </c>
      <c r="DB28" s="33" t="n">
        <v>0</v>
      </c>
      <c r="DC28" s="33" t="n">
        <v>0</v>
      </c>
      <c r="DD28" s="33" t="n">
        <v>0</v>
      </c>
      <c r="DE28" s="33" t="n">
        <v>0</v>
      </c>
      <c r="DF28" s="33" t="n">
        <v>0</v>
      </c>
      <c r="DG28" s="33" t="n">
        <v>0</v>
      </c>
      <c r="DH28" s="33" t="n">
        <v>0</v>
      </c>
      <c r="DI28" s="33" t="n">
        <v>0</v>
      </c>
      <c r="DJ28" s="33" t="n">
        <v>0</v>
      </c>
      <c r="DK28" s="33" t="n">
        <v>0</v>
      </c>
      <c r="DL28" s="33" t="n">
        <v>0</v>
      </c>
      <c r="DM28" s="33" t="n">
        <v>0</v>
      </c>
      <c r="DN28" s="33" t="n">
        <v>0</v>
      </c>
      <c r="DO28" s="33" t="n">
        <v>0</v>
      </c>
      <c r="DP28" s="33" t="n">
        <v>0</v>
      </c>
      <c r="DQ28" s="33" t="n">
        <v>0</v>
      </c>
      <c r="DR28" s="33" t="n">
        <v>0</v>
      </c>
      <c r="DS28" s="33" t="n">
        <v>0</v>
      </c>
      <c r="DT28" s="33" t="n">
        <v>0</v>
      </c>
      <c r="DU28" s="33" t="n">
        <v>0</v>
      </c>
      <c r="DV28" s="33" t="n">
        <v>0</v>
      </c>
      <c r="DW28" s="33" t="n">
        <v>0</v>
      </c>
      <c r="DX28" s="33" t="n">
        <v>0</v>
      </c>
      <c r="DY28" s="33" t="n">
        <v>0</v>
      </c>
      <c r="DZ28" s="33" t="n">
        <v>0</v>
      </c>
      <c r="EA28" s="33" t="n">
        <v>0</v>
      </c>
      <c r="EB28" s="33" t="n">
        <v>0</v>
      </c>
      <c r="EC28" s="33" t="n">
        <v>0</v>
      </c>
      <c r="ED28" s="33" t="n">
        <v>0</v>
      </c>
      <c r="EE28" s="33" t="n">
        <v>0</v>
      </c>
      <c r="EF28" s="33" t="n">
        <v>0</v>
      </c>
      <c r="EG28" s="33" t="n">
        <v>0</v>
      </c>
      <c r="EH28" s="33" t="n">
        <v>0</v>
      </c>
      <c r="EI28" s="33" t="n">
        <v>0</v>
      </c>
      <c r="EJ28" s="33" t="n">
        <v>0</v>
      </c>
      <c r="EK28" s="33" t="n">
        <v>0</v>
      </c>
      <c r="EL28" s="33" t="n">
        <v>0</v>
      </c>
      <c r="EM28" s="33" t="n">
        <v>0</v>
      </c>
      <c r="EN28" s="33" t="n">
        <v>0</v>
      </c>
      <c r="EO28" s="33" t="n">
        <v>0</v>
      </c>
      <c r="EP28" s="33" t="n">
        <v>0</v>
      </c>
      <c r="EQ28" s="33" t="n">
        <v>0</v>
      </c>
      <c r="ER28" s="33" t="n">
        <v>0</v>
      </c>
      <c r="ES28" s="33" t="n">
        <v>0</v>
      </c>
      <c r="ET28" s="33" t="n">
        <v>0</v>
      </c>
      <c r="EU28" s="33" t="n">
        <v>0</v>
      </c>
      <c r="EV28" s="33" t="n">
        <v>0</v>
      </c>
      <c r="EW28" s="33" t="n">
        <v>0</v>
      </c>
      <c r="EX28" s="33" t="n">
        <v>0</v>
      </c>
      <c r="EY28" s="33" t="n">
        <v>0</v>
      </c>
      <c r="EZ28" s="33" t="n">
        <v>0</v>
      </c>
      <c r="FA28" s="33" t="n">
        <v>0</v>
      </c>
      <c r="FB28" s="33" t="n">
        <v>0</v>
      </c>
      <c r="FC28" s="33" t="n">
        <v>0</v>
      </c>
      <c r="FD28" s="33" t="n">
        <v>0</v>
      </c>
      <c r="FE28" s="33" t="n">
        <v>0</v>
      </c>
      <c r="FF28" s="33" t="n">
        <v>0</v>
      </c>
      <c r="FG28" s="33" t="n">
        <v>0</v>
      </c>
      <c r="FH28" s="33" t="n">
        <v>0</v>
      </c>
      <c r="FI28" s="33" t="n">
        <v>0</v>
      </c>
      <c r="FJ28" s="33" t="n">
        <v>0</v>
      </c>
      <c r="FK28" s="33" t="n">
        <v>0</v>
      </c>
      <c r="FL28" s="33" t="n">
        <v>0</v>
      </c>
      <c r="FM28" s="33" t="n">
        <v>0</v>
      </c>
      <c r="FN28" s="33" t="n">
        <v>0</v>
      </c>
      <c r="FO28" s="33" t="n">
        <v>0</v>
      </c>
      <c r="FP28" s="33" t="n">
        <v>0</v>
      </c>
      <c r="FQ28" s="33" t="n">
        <v>0</v>
      </c>
      <c r="FR28" s="33" t="n">
        <v>0</v>
      </c>
      <c r="FS28" s="33" t="n">
        <v>0</v>
      </c>
      <c r="FT28" s="33" t="n">
        <v>0</v>
      </c>
      <c r="FU28" s="33" t="n">
        <v>0</v>
      </c>
      <c r="FV28" s="33" t="n">
        <v>0</v>
      </c>
      <c r="FW28" s="33" t="n">
        <v>0</v>
      </c>
      <c r="FX28" s="33" t="n">
        <v>0</v>
      </c>
      <c r="FY28" s="33" t="n">
        <v>0</v>
      </c>
      <c r="FZ28" s="33" t="n">
        <v>0</v>
      </c>
      <c r="GA28" s="33" t="n">
        <v>0</v>
      </c>
      <c r="GB28" s="33" t="n">
        <v>0</v>
      </c>
      <c r="GC28" s="33" t="n">
        <v>0</v>
      </c>
      <c r="GD28" s="33" t="n">
        <v>0</v>
      </c>
      <c r="GE28" s="33" t="n">
        <v>0</v>
      </c>
      <c r="GF28" s="33" t="n">
        <v>0</v>
      </c>
      <c r="GG28" s="33" t="n">
        <v>0</v>
      </c>
      <c r="GH28" s="33" t="n">
        <v>0</v>
      </c>
      <c r="GI28" s="33" t="n">
        <v>0</v>
      </c>
      <c r="GJ28" s="33" t="n">
        <v>0</v>
      </c>
      <c r="GK28" s="33" t="n">
        <v>0</v>
      </c>
      <c r="GL28" s="33" t="n">
        <v>0</v>
      </c>
      <c r="GM28" s="33" t="n">
        <v>0</v>
      </c>
      <c r="GN28" s="33" t="n">
        <v>0</v>
      </c>
      <c r="GO28" s="33" t="n">
        <v>0</v>
      </c>
      <c r="GP28" s="33" t="n">
        <v>0</v>
      </c>
      <c r="GQ28" s="33" t="n">
        <v>0</v>
      </c>
      <c r="GR28" s="33" t="n">
        <v>0</v>
      </c>
      <c r="GS28" s="33" t="n">
        <v>0</v>
      </c>
      <c r="GT28" s="33" t="n">
        <v>0</v>
      </c>
      <c r="GU28" s="33" t="n">
        <v>0</v>
      </c>
      <c r="GV28" s="33" t="n">
        <v>0</v>
      </c>
      <c r="GW28" s="33" t="n">
        <v>0</v>
      </c>
      <c r="GX28" s="33" t="n">
        <v>0</v>
      </c>
      <c r="GY28" s="33" t="n">
        <v>0</v>
      </c>
      <c r="GZ28" s="33" t="n">
        <v>0</v>
      </c>
      <c r="HA28" s="33" t="n">
        <v>0</v>
      </c>
      <c r="HB28" s="33" t="n">
        <v>0</v>
      </c>
      <c r="HC28" s="33" t="n">
        <v>0</v>
      </c>
      <c r="HD28" s="33" t="n">
        <v>0</v>
      </c>
      <c r="HE28" s="33" t="n">
        <v>0</v>
      </c>
      <c r="HF28" s="33" t="n">
        <v>0</v>
      </c>
      <c r="HG28" s="33" t="n">
        <v>0</v>
      </c>
      <c r="HH28" s="33" t="n">
        <v>0</v>
      </c>
      <c r="HI28" s="33" t="n">
        <v>0</v>
      </c>
      <c r="HJ28" s="33" t="n">
        <v>0</v>
      </c>
      <c r="HK28" s="33" t="n">
        <v>0</v>
      </c>
      <c r="HL28" s="33" t="n">
        <v>0</v>
      </c>
      <c r="HM28" s="33" t="n">
        <v>0</v>
      </c>
      <c r="HN28" s="33" t="n">
        <v>0</v>
      </c>
      <c r="HO28" s="33" t="n">
        <v>0</v>
      </c>
      <c r="HP28" s="33" t="n">
        <v>0</v>
      </c>
      <c r="HQ28" s="33" t="n">
        <v>0</v>
      </c>
      <c r="HR28" s="33" t="n">
        <v>0</v>
      </c>
      <c r="HS28" s="33" t="n">
        <v>0</v>
      </c>
      <c r="HT28" s="33" t="n">
        <v>0</v>
      </c>
      <c r="HU28" s="33" t="n">
        <v>0</v>
      </c>
      <c r="HV28" s="33" t="n">
        <v>0</v>
      </c>
      <c r="HW28" s="33" t="n">
        <v>0</v>
      </c>
      <c r="HX28" s="33" t="n">
        <v>0</v>
      </c>
      <c r="HY28" s="33" t="n">
        <v>0</v>
      </c>
      <c r="HZ28" s="33" t="n">
        <v>0</v>
      </c>
      <c r="IA28" s="33" t="n">
        <v>0</v>
      </c>
      <c r="IB28" s="33" t="n">
        <v>0</v>
      </c>
      <c r="IC28" s="33" t="n">
        <v>0</v>
      </c>
      <c r="ID28" s="33" t="n">
        <v>0</v>
      </c>
      <c r="IE28" s="33" t="n">
        <v>0</v>
      </c>
      <c r="IF28" s="33" t="n">
        <v>0</v>
      </c>
      <c r="IG28" s="33" t="n">
        <v>0</v>
      </c>
      <c r="IH28" s="33" t="n">
        <v>0</v>
      </c>
      <c r="II28" s="33" t="n">
        <v>0</v>
      </c>
      <c r="IJ28" s="33" t="n">
        <v>0</v>
      </c>
      <c r="IK28" s="33" t="n">
        <v>0</v>
      </c>
      <c r="IL28" s="33" t="n">
        <v>0</v>
      </c>
      <c r="IM28" s="33" t="n">
        <v>0</v>
      </c>
      <c r="IN28" s="33" t="n">
        <v>0</v>
      </c>
      <c r="IO28" s="33" t="n">
        <v>0</v>
      </c>
      <c r="IP28" s="33" t="n">
        <v>0</v>
      </c>
      <c r="IQ28" s="33" t="n">
        <v>0</v>
      </c>
      <c r="IR28" s="33" t="n">
        <v>0</v>
      </c>
      <c r="IS28" s="33" t="n">
        <v>0</v>
      </c>
      <c r="IT28" s="33" t="n">
        <v>0</v>
      </c>
      <c r="IU28" s="33" t="n">
        <v>0</v>
      </c>
      <c r="IV28" s="33" t="n">
        <v>0</v>
      </c>
      <c r="IW28" s="33" t="n">
        <v>0</v>
      </c>
      <c r="IX28" s="33" t="n">
        <v>0</v>
      </c>
      <c r="IY28" s="33" t="n">
        <v>0</v>
      </c>
      <c r="IZ28" s="33" t="n">
        <v>0</v>
      </c>
      <c r="JA28" s="33" t="n">
        <v>0</v>
      </c>
      <c r="JB28" s="33" t="n">
        <v>0</v>
      </c>
      <c r="JC28" s="33" t="n">
        <v>0</v>
      </c>
      <c r="JD28" s="33" t="n">
        <v>0</v>
      </c>
      <c r="JE28" s="33" t="n">
        <v>0</v>
      </c>
      <c r="JF28" s="33" t="n">
        <v>0</v>
      </c>
      <c r="JG28" s="33" t="n">
        <v>0</v>
      </c>
      <c r="JH28" s="33" t="n">
        <v>0</v>
      </c>
      <c r="JI28" s="33" t="n">
        <v>0</v>
      </c>
      <c r="JJ28" s="33" t="n">
        <v>0</v>
      </c>
      <c r="JK28" s="33" t="n">
        <v>0</v>
      </c>
      <c r="JL28" s="33" t="n">
        <v>0</v>
      </c>
      <c r="JM28" s="33" t="n">
        <v>0</v>
      </c>
      <c r="JN28" s="33" t="n">
        <v>0</v>
      </c>
      <c r="JO28" s="33" t="n">
        <v>0</v>
      </c>
      <c r="JP28" s="33" t="n">
        <v>0</v>
      </c>
      <c r="JQ28" s="33" t="n">
        <v>0</v>
      </c>
      <c r="JR28" s="33" t="n">
        <v>0</v>
      </c>
      <c r="JS28" s="33" t="n">
        <v>0</v>
      </c>
      <c r="JT28" s="33" t="n">
        <v>0</v>
      </c>
      <c r="JU28" s="33" t="n">
        <v>0</v>
      </c>
      <c r="JV28" s="33" t="n">
        <v>0</v>
      </c>
      <c r="JW28" s="33" t="n">
        <v>0</v>
      </c>
      <c r="JX28" s="33" t="n">
        <v>0</v>
      </c>
      <c r="JY28" s="33" t="n">
        <v>0</v>
      </c>
      <c r="JZ28" s="33" t="n">
        <v>0</v>
      </c>
      <c r="KA28" s="33" t="n">
        <v>0</v>
      </c>
      <c r="KB28" s="33" t="n">
        <v>0</v>
      </c>
      <c r="KC28" s="33" t="n">
        <v>0</v>
      </c>
      <c r="KD28" s="33" t="n">
        <v>0</v>
      </c>
      <c r="KE28" s="33" t="n">
        <v>0</v>
      </c>
      <c r="KF28" s="33" t="n">
        <v>0</v>
      </c>
      <c r="KG28" s="33" t="n">
        <v>0</v>
      </c>
      <c r="KH28" s="33" t="n">
        <v>0</v>
      </c>
      <c r="KI28" s="33" t="n">
        <v>0</v>
      </c>
      <c r="KJ28" s="33" t="n">
        <v>0</v>
      </c>
      <c r="KK28" s="33" t="n">
        <v>0</v>
      </c>
      <c r="KL28" s="33" t="n">
        <v>0</v>
      </c>
      <c r="KM28" s="33" t="n">
        <v>0</v>
      </c>
      <c r="KN28" s="33" t="n">
        <v>0</v>
      </c>
      <c r="KO28" s="33" t="n">
        <v>0</v>
      </c>
      <c r="KP28" s="33" t="n">
        <v>0</v>
      </c>
      <c r="KQ28" s="33" t="n">
        <v>0</v>
      </c>
      <c r="KR28" s="33" t="n">
        <v>0</v>
      </c>
      <c r="KS28" s="33" t="n">
        <v>0</v>
      </c>
      <c r="KT28" s="33" t="n">
        <v>0</v>
      </c>
      <c r="KU28" s="33" t="n">
        <v>0</v>
      </c>
      <c r="KV28" s="33" t="n">
        <v>0</v>
      </c>
      <c r="KW28" s="33" t="n">
        <v>0</v>
      </c>
      <c r="KX28" s="33" t="n">
        <v>0</v>
      </c>
      <c r="KY28" s="33" t="n">
        <v>0</v>
      </c>
      <c r="KZ28" s="33" t="n">
        <v>0</v>
      </c>
      <c r="LA28" s="33" t="n">
        <v>0</v>
      </c>
      <c r="LB28" s="33" t="n">
        <v>0</v>
      </c>
      <c r="LC28" s="33" t="n">
        <v>0</v>
      </c>
      <c r="LD28" s="33" t="n">
        <v>0</v>
      </c>
      <c r="LE28" s="33" t="n">
        <v>0</v>
      </c>
      <c r="LF28" s="33" t="n">
        <v>0</v>
      </c>
      <c r="LG28" s="33" t="n">
        <v>0</v>
      </c>
      <c r="LH28" s="33" t="n">
        <v>0</v>
      </c>
      <c r="LI28" s="33" t="n">
        <v>0</v>
      </c>
      <c r="LJ28" s="33" t="n">
        <v>0</v>
      </c>
      <c r="LK28" s="33" t="n">
        <v>0</v>
      </c>
      <c r="LL28" s="33" t="n">
        <v>0</v>
      </c>
      <c r="LM28" s="33" t="n">
        <v>0</v>
      </c>
      <c r="LN28" s="33" t="n">
        <v>0</v>
      </c>
      <c r="LO28" s="33" t="n">
        <v>0</v>
      </c>
      <c r="LP28" s="33" t="n">
        <v>0</v>
      </c>
      <c r="LQ28" s="33" t="n">
        <v>0</v>
      </c>
      <c r="LR28" s="33" t="n">
        <v>0</v>
      </c>
      <c r="LS28" s="33" t="n">
        <v>0</v>
      </c>
      <c r="LT28" s="33" t="n">
        <v>0</v>
      </c>
      <c r="LU28" s="33" t="n">
        <v>0</v>
      </c>
      <c r="LV28" s="33" t="n">
        <v>0</v>
      </c>
      <c r="LW28" s="33" t="n">
        <v>0</v>
      </c>
      <c r="LX28" s="33" t="n">
        <v>0</v>
      </c>
      <c r="LY28" s="33" t="n">
        <v>0</v>
      </c>
      <c r="LZ28" s="33" t="n">
        <v>0</v>
      </c>
      <c r="MA28" s="33" t="n">
        <v>0</v>
      </c>
      <c r="MB28" s="33" t="n">
        <v>0</v>
      </c>
      <c r="MC28" s="33" t="n">
        <v>0</v>
      </c>
      <c r="MD28" s="33" t="n">
        <v>0</v>
      </c>
      <c r="ME28" s="33" t="n">
        <v>0</v>
      </c>
      <c r="MF28" s="33" t="n">
        <v>0</v>
      </c>
      <c r="MG28" s="33" t="n">
        <v>0</v>
      </c>
      <c r="MH28" s="33" t="n">
        <v>0</v>
      </c>
      <c r="MI28" s="33" t="n">
        <v>0</v>
      </c>
      <c r="MJ28" s="33" t="n">
        <v>0</v>
      </c>
      <c r="MK28" s="33" t="n">
        <v>0</v>
      </c>
      <c r="ML28" s="33" t="n">
        <v>0</v>
      </c>
      <c r="MM28" s="33" t="n">
        <v>0</v>
      </c>
      <c r="MN28" s="33" t="n">
        <v>0</v>
      </c>
      <c r="MO28" s="33" t="n">
        <v>0</v>
      </c>
      <c r="MP28" s="33" t="n">
        <v>0</v>
      </c>
      <c r="MQ28" s="33" t="n">
        <v>0</v>
      </c>
      <c r="MR28" s="33" t="n">
        <v>0</v>
      </c>
      <c r="MS28" s="33" t="n">
        <v>0</v>
      </c>
      <c r="MT28" s="33" t="n">
        <v>0</v>
      </c>
      <c r="MU28" s="33" t="n">
        <v>0</v>
      </c>
      <c r="MV28" s="33" t="n">
        <v>0</v>
      </c>
      <c r="MW28" s="33" t="n">
        <v>0</v>
      </c>
      <c r="MX28" s="33" t="n">
        <v>0</v>
      </c>
      <c r="MY28" s="33" t="n">
        <v>0</v>
      </c>
      <c r="MZ28" s="33" t="n">
        <v>0</v>
      </c>
      <c r="NA28" s="33" t="n">
        <v>0</v>
      </c>
      <c r="NB28" s="33" t="n">
        <v>0</v>
      </c>
      <c r="NC28" s="33" t="n">
        <v>0</v>
      </c>
      <c r="ND28" s="33" t="n">
        <v>0</v>
      </c>
      <c r="NE28" s="33" t="n">
        <v>0</v>
      </c>
      <c r="NF28" s="33" t="n">
        <v>0</v>
      </c>
      <c r="NG28" s="33" t="n">
        <v>0</v>
      </c>
      <c r="NH28" s="33" t="n">
        <v>0</v>
      </c>
      <c r="NI28" s="33" t="n">
        <v>0</v>
      </c>
      <c r="NJ28" s="33" t="n">
        <v>0</v>
      </c>
      <c r="NK28" s="33" t="n">
        <v>0</v>
      </c>
      <c r="NL28" s="33" t="n">
        <v>0</v>
      </c>
      <c r="NM28" s="33" t="n">
        <v>0</v>
      </c>
      <c r="NN28" s="33" t="n">
        <v>0</v>
      </c>
      <c r="NO28" s="33" t="n">
        <v>0</v>
      </c>
      <c r="NP28" s="33" t="n">
        <v>0</v>
      </c>
      <c r="NQ28" s="33" t="n">
        <v>0</v>
      </c>
      <c r="NR28" s="33" t="n">
        <v>0</v>
      </c>
      <c r="NS28" s="33" t="n">
        <v>0</v>
      </c>
      <c r="NT28" s="33" t="n">
        <v>0</v>
      </c>
      <c r="NU28" s="33" t="n">
        <v>0</v>
      </c>
      <c r="NV28" s="33" t="n">
        <v>0</v>
      </c>
      <c r="NW28" s="33" t="n">
        <v>0</v>
      </c>
      <c r="NX28" s="33" t="n">
        <v>0</v>
      </c>
      <c r="NY28" s="33" t="n">
        <v>0</v>
      </c>
      <c r="NZ28" s="33" t="n">
        <v>0</v>
      </c>
      <c r="OA28" s="33" t="n">
        <v>0</v>
      </c>
      <c r="OB28" s="33" t="n">
        <v>0</v>
      </c>
      <c r="OC28" s="33" t="n">
        <v>0</v>
      </c>
      <c r="OD28" s="33" t="n">
        <v>0</v>
      </c>
      <c r="OE28" s="33" t="n">
        <v>0</v>
      </c>
      <c r="OF28" s="33" t="n">
        <v>0</v>
      </c>
      <c r="OG28" s="33" t="n">
        <v>0</v>
      </c>
      <c r="OH28" s="33" t="n">
        <v>0</v>
      </c>
      <c r="OI28" s="33" t="n">
        <v>0</v>
      </c>
      <c r="OJ28" s="33" t="n">
        <v>0</v>
      </c>
      <c r="OK28" s="33" t="n">
        <v>0</v>
      </c>
      <c r="OL28" s="33" t="n">
        <v>0</v>
      </c>
      <c r="OM28" s="33" t="n">
        <v>0</v>
      </c>
      <c r="ON28" s="33" t="n">
        <v>0</v>
      </c>
      <c r="OO28" s="33" t="n">
        <v>0</v>
      </c>
      <c r="OP28" s="33" t="n">
        <v>0</v>
      </c>
      <c r="OQ28" s="33" t="n">
        <v>0</v>
      </c>
      <c r="OR28" s="33" t="n">
        <v>0</v>
      </c>
      <c r="OS28" s="33" t="n">
        <v>0</v>
      </c>
      <c r="OT28" s="33" t="n">
        <v>0</v>
      </c>
      <c r="OU28" s="33" t="n">
        <v>0</v>
      </c>
      <c r="OV28" s="33" t="n">
        <v>0</v>
      </c>
      <c r="OW28" s="33" t="n">
        <v>0</v>
      </c>
      <c r="OX28" s="33" t="n">
        <v>0</v>
      </c>
      <c r="OY28" s="33" t="n">
        <v>0</v>
      </c>
      <c r="OZ28" s="33" t="n">
        <v>0</v>
      </c>
      <c r="PA28" s="33" t="n">
        <v>0</v>
      </c>
      <c r="PB28" s="33" t="n">
        <v>0</v>
      </c>
      <c r="PC28" s="33" t="n">
        <v>0</v>
      </c>
      <c r="PD28" s="33" t="n">
        <v>0</v>
      </c>
      <c r="PE28" s="33" t="n">
        <v>0</v>
      </c>
      <c r="PF28" s="33" t="n">
        <v>0</v>
      </c>
      <c r="PG28" s="33" t="n">
        <v>0</v>
      </c>
      <c r="PH28" s="33" t="n">
        <v>0</v>
      </c>
      <c r="PI28" s="33" t="n">
        <v>0</v>
      </c>
      <c r="PJ28" s="33" t="n">
        <v>0</v>
      </c>
      <c r="PK28" s="33" t="n">
        <v>0</v>
      </c>
      <c r="PL28" s="33" t="n">
        <v>0</v>
      </c>
      <c r="PM28" s="33" t="n">
        <v>0</v>
      </c>
      <c r="PN28" s="33" t="n">
        <v>0</v>
      </c>
      <c r="PO28" s="33" t="n">
        <v>0</v>
      </c>
      <c r="PP28" s="33" t="n">
        <v>0</v>
      </c>
      <c r="PQ28" s="33" t="n">
        <v>0</v>
      </c>
      <c r="PR28" s="33" t="n">
        <v>0</v>
      </c>
      <c r="PS28" s="33" t="n">
        <v>0</v>
      </c>
      <c r="PT28" s="33" t="n">
        <v>0</v>
      </c>
      <c r="PU28" s="33" t="n">
        <v>0</v>
      </c>
      <c r="PV28" s="33" t="n">
        <v>0</v>
      </c>
      <c r="PW28" s="33" t="n">
        <v>0</v>
      </c>
      <c r="PX28" s="33" t="n">
        <v>0</v>
      </c>
      <c r="PY28" s="33" t="n">
        <v>0</v>
      </c>
      <c r="PZ28" s="33" t="n">
        <v>0</v>
      </c>
      <c r="QA28" s="33" t="n">
        <v>0</v>
      </c>
      <c r="QB28" s="33" t="n">
        <v>0</v>
      </c>
      <c r="QC28" s="33" t="n">
        <v>0</v>
      </c>
      <c r="QD28" s="33" t="n">
        <v>0</v>
      </c>
      <c r="QE28" s="33" t="n">
        <v>0</v>
      </c>
      <c r="QF28" s="33" t="n">
        <v>0</v>
      </c>
      <c r="QG28" s="33" t="n">
        <v>0</v>
      </c>
      <c r="QH28" s="33" t="n">
        <v>0</v>
      </c>
      <c r="QI28" s="33" t="n">
        <v>0</v>
      </c>
      <c r="QJ28" s="33" t="n">
        <v>0</v>
      </c>
      <c r="QK28" s="33" t="n">
        <v>0</v>
      </c>
      <c r="QL28" s="33" t="n">
        <v>0</v>
      </c>
      <c r="QM28" s="33" t="n">
        <v>0</v>
      </c>
      <c r="QN28" s="33" t="n">
        <v>0</v>
      </c>
      <c r="QO28" s="33" t="n">
        <v>0</v>
      </c>
      <c r="QP28" s="33" t="n">
        <v>0</v>
      </c>
      <c r="QQ28" s="33" t="n">
        <v>0</v>
      </c>
      <c r="QR28" s="33" t="n">
        <v>0</v>
      </c>
      <c r="QS28" s="33" t="n">
        <v>0</v>
      </c>
      <c r="QT28" s="33" t="n">
        <v>0</v>
      </c>
      <c r="QU28" s="33" t="n">
        <v>0</v>
      </c>
      <c r="QV28" s="33" t="n">
        <v>0</v>
      </c>
      <c r="QW28" s="33" t="n">
        <v>0</v>
      </c>
      <c r="QX28" s="33" t="n">
        <v>0</v>
      </c>
      <c r="QY28" s="33" t="n">
        <v>0</v>
      </c>
      <c r="QZ28" s="33" t="n">
        <v>0</v>
      </c>
      <c r="RA28" s="33" t="n">
        <v>0</v>
      </c>
      <c r="RB28" s="33" t="n">
        <v>0</v>
      </c>
      <c r="RC28" s="33" t="n">
        <v>0</v>
      </c>
      <c r="RD28" s="33" t="n">
        <v>0</v>
      </c>
      <c r="RE28" s="33" t="n">
        <v>0</v>
      </c>
      <c r="RF28" s="33" t="n">
        <v>0</v>
      </c>
      <c r="RG28" s="33" t="n">
        <v>0</v>
      </c>
      <c r="RH28" s="33" t="n">
        <v>0</v>
      </c>
      <c r="RI28" s="33" t="n">
        <v>0</v>
      </c>
      <c r="RJ28" s="33" t="n">
        <v>0</v>
      </c>
      <c r="RK28" s="33" t="n">
        <v>0</v>
      </c>
      <c r="RL28" s="33" t="n">
        <v>0</v>
      </c>
      <c r="RM28" s="33" t="n">
        <v>0</v>
      </c>
      <c r="RN28" s="33" t="n">
        <v>0</v>
      </c>
      <c r="RO28" s="33" t="n">
        <v>0</v>
      </c>
      <c r="RP28" s="33" t="n">
        <v>0</v>
      </c>
      <c r="RQ28" s="33" t="n">
        <v>0</v>
      </c>
      <c r="RR28" s="33" t="n">
        <v>0</v>
      </c>
      <c r="RS28" s="33" t="n">
        <v>0</v>
      </c>
      <c r="RT28" s="33" t="n">
        <v>0</v>
      </c>
      <c r="RU28" s="33" t="n">
        <v>0</v>
      </c>
      <c r="RV28" s="33" t="n">
        <v>0</v>
      </c>
      <c r="RW28" s="33" t="n">
        <v>0</v>
      </c>
    </row>
    <row r="29" hidden="1" outlineLevel="1" ht="13.05" customHeight="1">
      <c r="E29" s="21" t="inlineStr">
        <is>
          <t>Development &amp; Permitting</t>
        </is>
      </c>
      <c r="F29" s="29" t="n"/>
      <c r="G29" s="29" t="inlineStr">
        <is>
          <t>kEUR</t>
        </is>
      </c>
      <c r="H29" s="29" t="n"/>
      <c r="I29" s="29" t="n"/>
      <c r="J29" s="32" t="n">
        <v>0</v>
      </c>
      <c r="K29" s="29" t="n"/>
      <c r="L29" s="33" t="n">
        <v>0</v>
      </c>
      <c r="M29" s="33" t="n">
        <v>0</v>
      </c>
      <c r="N29" s="33" t="n">
        <v>0</v>
      </c>
      <c r="O29" s="33" t="n">
        <v>0</v>
      </c>
      <c r="P29" s="33" t="n">
        <v>0</v>
      </c>
      <c r="Q29" s="33" t="n">
        <v>0</v>
      </c>
      <c r="R29" s="33" t="n">
        <v>0</v>
      </c>
      <c r="S29" s="33" t="n">
        <v>0</v>
      </c>
      <c r="T29" s="33" t="n">
        <v>0</v>
      </c>
      <c r="U29" s="33" t="n">
        <v>0</v>
      </c>
      <c r="V29" s="33" t="n">
        <v>0</v>
      </c>
      <c r="W29" s="33" t="n">
        <v>0</v>
      </c>
      <c r="X29" s="33" t="n">
        <v>0</v>
      </c>
      <c r="Y29" s="33" t="n">
        <v>0</v>
      </c>
      <c r="Z29" s="33" t="n">
        <v>0</v>
      </c>
      <c r="AA29" s="33" t="n">
        <v>0</v>
      </c>
      <c r="AB29" s="33" t="n">
        <v>0</v>
      </c>
      <c r="AC29" s="33" t="n">
        <v>0</v>
      </c>
      <c r="AD29" s="33" t="n">
        <v>0</v>
      </c>
      <c r="AE29" s="33" t="n">
        <v>0</v>
      </c>
      <c r="AF29" s="33" t="n">
        <v>0</v>
      </c>
      <c r="AG29" s="33" t="n">
        <v>0</v>
      </c>
      <c r="AH29" s="33" t="n">
        <v>0</v>
      </c>
      <c r="AI29" s="33" t="n">
        <v>0</v>
      </c>
      <c r="AJ29" s="33" t="n">
        <v>0</v>
      </c>
      <c r="AK29" s="33" t="n">
        <v>0</v>
      </c>
      <c r="AL29" s="33" t="n">
        <v>0</v>
      </c>
      <c r="AM29" s="33" t="n">
        <v>0</v>
      </c>
      <c r="AN29" s="33" t="n">
        <v>0</v>
      </c>
      <c r="AO29" s="33" t="n">
        <v>0</v>
      </c>
      <c r="AP29" s="33" t="n">
        <v>0</v>
      </c>
      <c r="AQ29" s="33" t="n">
        <v>0</v>
      </c>
      <c r="AR29" s="33" t="n">
        <v>0</v>
      </c>
      <c r="AS29" s="33" t="n">
        <v>0</v>
      </c>
      <c r="AT29" s="33" t="n">
        <v>0</v>
      </c>
      <c r="AU29" s="33" t="n">
        <v>0</v>
      </c>
      <c r="AV29" s="33" t="n">
        <v>0</v>
      </c>
      <c r="AW29" s="33" t="n">
        <v>0</v>
      </c>
      <c r="AX29" s="33" t="n">
        <v>0</v>
      </c>
      <c r="AY29" s="33" t="n">
        <v>0</v>
      </c>
      <c r="AZ29" s="33" t="n">
        <v>0</v>
      </c>
      <c r="BA29" s="33" t="n">
        <v>0</v>
      </c>
      <c r="BB29" s="33" t="n">
        <v>0</v>
      </c>
      <c r="BC29" s="33" t="n">
        <v>0</v>
      </c>
      <c r="BD29" s="33" t="n">
        <v>0</v>
      </c>
      <c r="BE29" s="33" t="n">
        <v>0</v>
      </c>
      <c r="BF29" s="33" t="n">
        <v>0</v>
      </c>
      <c r="BG29" s="33" t="n">
        <v>0</v>
      </c>
      <c r="BH29" s="33" t="n">
        <v>0</v>
      </c>
      <c r="BI29" s="33" t="n">
        <v>0</v>
      </c>
      <c r="BJ29" s="33" t="n">
        <v>0</v>
      </c>
      <c r="BK29" s="33" t="n">
        <v>0</v>
      </c>
      <c r="BL29" s="33" t="n">
        <v>0</v>
      </c>
      <c r="BM29" s="33" t="n">
        <v>0</v>
      </c>
      <c r="BN29" s="33" t="n">
        <v>0</v>
      </c>
      <c r="BO29" s="33" t="n">
        <v>0</v>
      </c>
      <c r="BP29" s="33" t="n">
        <v>0</v>
      </c>
      <c r="BQ29" s="33" t="n">
        <v>0</v>
      </c>
      <c r="BR29" s="33" t="n">
        <v>0</v>
      </c>
      <c r="BS29" s="33" t="n">
        <v>0</v>
      </c>
      <c r="BT29" s="33" t="n">
        <v>0</v>
      </c>
      <c r="BU29" s="33" t="n">
        <v>0</v>
      </c>
      <c r="BV29" s="33" t="n">
        <v>0</v>
      </c>
      <c r="BW29" s="33" t="n">
        <v>0</v>
      </c>
      <c r="BX29" s="33" t="n">
        <v>0</v>
      </c>
      <c r="BY29" s="33" t="n">
        <v>0</v>
      </c>
      <c r="BZ29" s="33" t="n">
        <v>0</v>
      </c>
      <c r="CA29" s="33" t="n">
        <v>0</v>
      </c>
      <c r="CB29" s="33" t="n">
        <v>0</v>
      </c>
      <c r="CC29" s="33" t="n">
        <v>0</v>
      </c>
      <c r="CD29" s="33" t="n">
        <v>0</v>
      </c>
      <c r="CE29" s="33" t="n">
        <v>0</v>
      </c>
      <c r="CF29" s="33" t="n">
        <v>0</v>
      </c>
      <c r="CG29" s="33" t="n">
        <v>0</v>
      </c>
      <c r="CH29" s="33" t="n">
        <v>0</v>
      </c>
      <c r="CI29" s="33" t="n">
        <v>0</v>
      </c>
      <c r="CJ29" s="33" t="n">
        <v>0</v>
      </c>
      <c r="CK29" s="33" t="n">
        <v>0</v>
      </c>
      <c r="CL29" s="33" t="n">
        <v>0</v>
      </c>
      <c r="CM29" s="33" t="n">
        <v>0</v>
      </c>
      <c r="CN29" s="33" t="n">
        <v>0</v>
      </c>
      <c r="CO29" s="33" t="n">
        <v>0</v>
      </c>
      <c r="CP29" s="33" t="n">
        <v>0</v>
      </c>
      <c r="CQ29" s="33" t="n">
        <v>0</v>
      </c>
      <c r="CR29" s="33" t="n">
        <v>0</v>
      </c>
      <c r="CS29" s="33" t="n">
        <v>0</v>
      </c>
      <c r="CT29" s="33" t="n">
        <v>0</v>
      </c>
      <c r="CU29" s="33" t="n">
        <v>0</v>
      </c>
      <c r="CV29" s="33" t="n">
        <v>0</v>
      </c>
      <c r="CW29" s="33" t="n">
        <v>0</v>
      </c>
      <c r="CX29" s="33" t="n">
        <v>0</v>
      </c>
      <c r="CY29" s="33" t="n">
        <v>0</v>
      </c>
      <c r="CZ29" s="33" t="n">
        <v>0</v>
      </c>
      <c r="DA29" s="33" t="n">
        <v>0</v>
      </c>
      <c r="DB29" s="33" t="n">
        <v>0</v>
      </c>
      <c r="DC29" s="33" t="n">
        <v>0</v>
      </c>
      <c r="DD29" s="33" t="n">
        <v>0</v>
      </c>
      <c r="DE29" s="33" t="n">
        <v>0</v>
      </c>
      <c r="DF29" s="33" t="n">
        <v>0</v>
      </c>
      <c r="DG29" s="33" t="n">
        <v>0</v>
      </c>
      <c r="DH29" s="33" t="n">
        <v>0</v>
      </c>
      <c r="DI29" s="33" t="n">
        <v>0</v>
      </c>
      <c r="DJ29" s="33" t="n">
        <v>0</v>
      </c>
      <c r="DK29" s="33" t="n">
        <v>0</v>
      </c>
      <c r="DL29" s="33" t="n">
        <v>0</v>
      </c>
      <c r="DM29" s="33" t="n">
        <v>0</v>
      </c>
      <c r="DN29" s="33" t="n">
        <v>0</v>
      </c>
      <c r="DO29" s="33" t="n">
        <v>0</v>
      </c>
      <c r="DP29" s="33" t="n">
        <v>0</v>
      </c>
      <c r="DQ29" s="33" t="n">
        <v>0</v>
      </c>
      <c r="DR29" s="33" t="n">
        <v>0</v>
      </c>
      <c r="DS29" s="33" t="n">
        <v>0</v>
      </c>
      <c r="DT29" s="33" t="n">
        <v>0</v>
      </c>
      <c r="DU29" s="33" t="n">
        <v>0</v>
      </c>
      <c r="DV29" s="33" t="n">
        <v>0</v>
      </c>
      <c r="DW29" s="33" t="n">
        <v>0</v>
      </c>
      <c r="DX29" s="33" t="n">
        <v>0</v>
      </c>
      <c r="DY29" s="33" t="n">
        <v>0</v>
      </c>
      <c r="DZ29" s="33" t="n">
        <v>0</v>
      </c>
      <c r="EA29" s="33" t="n">
        <v>0</v>
      </c>
      <c r="EB29" s="33" t="n">
        <v>0</v>
      </c>
      <c r="EC29" s="33" t="n">
        <v>0</v>
      </c>
      <c r="ED29" s="33" t="n">
        <v>0</v>
      </c>
      <c r="EE29" s="33" t="n">
        <v>0</v>
      </c>
      <c r="EF29" s="33" t="n">
        <v>0</v>
      </c>
      <c r="EG29" s="33" t="n">
        <v>0</v>
      </c>
      <c r="EH29" s="33" t="n">
        <v>0</v>
      </c>
      <c r="EI29" s="33" t="n">
        <v>0</v>
      </c>
      <c r="EJ29" s="33" t="n">
        <v>0</v>
      </c>
      <c r="EK29" s="33" t="n">
        <v>0</v>
      </c>
      <c r="EL29" s="33" t="n">
        <v>0</v>
      </c>
      <c r="EM29" s="33" t="n">
        <v>0</v>
      </c>
      <c r="EN29" s="33" t="n">
        <v>0</v>
      </c>
      <c r="EO29" s="33" t="n">
        <v>0</v>
      </c>
      <c r="EP29" s="33" t="n">
        <v>0</v>
      </c>
      <c r="EQ29" s="33" t="n">
        <v>0</v>
      </c>
      <c r="ER29" s="33" t="n">
        <v>0</v>
      </c>
      <c r="ES29" s="33" t="n">
        <v>0</v>
      </c>
      <c r="ET29" s="33" t="n">
        <v>0</v>
      </c>
      <c r="EU29" s="33" t="n">
        <v>0</v>
      </c>
      <c r="EV29" s="33" t="n">
        <v>0</v>
      </c>
      <c r="EW29" s="33" t="n">
        <v>0</v>
      </c>
      <c r="EX29" s="33" t="n">
        <v>0</v>
      </c>
      <c r="EY29" s="33" t="n">
        <v>0</v>
      </c>
      <c r="EZ29" s="33" t="n">
        <v>0</v>
      </c>
      <c r="FA29" s="33" t="n">
        <v>0</v>
      </c>
      <c r="FB29" s="33" t="n">
        <v>0</v>
      </c>
      <c r="FC29" s="33" t="n">
        <v>0</v>
      </c>
      <c r="FD29" s="33" t="n">
        <v>0</v>
      </c>
      <c r="FE29" s="33" t="n">
        <v>0</v>
      </c>
      <c r="FF29" s="33" t="n">
        <v>0</v>
      </c>
      <c r="FG29" s="33" t="n">
        <v>0</v>
      </c>
      <c r="FH29" s="33" t="n">
        <v>0</v>
      </c>
      <c r="FI29" s="33" t="n">
        <v>0</v>
      </c>
      <c r="FJ29" s="33" t="n">
        <v>0</v>
      </c>
      <c r="FK29" s="33" t="n">
        <v>0</v>
      </c>
      <c r="FL29" s="33" t="n">
        <v>0</v>
      </c>
      <c r="FM29" s="33" t="n">
        <v>0</v>
      </c>
      <c r="FN29" s="33" t="n">
        <v>0</v>
      </c>
      <c r="FO29" s="33" t="n">
        <v>0</v>
      </c>
      <c r="FP29" s="33" t="n">
        <v>0</v>
      </c>
      <c r="FQ29" s="33" t="n">
        <v>0</v>
      </c>
      <c r="FR29" s="33" t="n">
        <v>0</v>
      </c>
      <c r="FS29" s="33" t="n">
        <v>0</v>
      </c>
      <c r="FT29" s="33" t="n">
        <v>0</v>
      </c>
      <c r="FU29" s="33" t="n">
        <v>0</v>
      </c>
      <c r="FV29" s="33" t="n">
        <v>0</v>
      </c>
      <c r="FW29" s="33" t="n">
        <v>0</v>
      </c>
      <c r="FX29" s="33" t="n">
        <v>0</v>
      </c>
      <c r="FY29" s="33" t="n">
        <v>0</v>
      </c>
      <c r="FZ29" s="33" t="n">
        <v>0</v>
      </c>
      <c r="GA29" s="33" t="n">
        <v>0</v>
      </c>
      <c r="GB29" s="33" t="n">
        <v>0</v>
      </c>
      <c r="GC29" s="33" t="n">
        <v>0</v>
      </c>
      <c r="GD29" s="33" t="n">
        <v>0</v>
      </c>
      <c r="GE29" s="33" t="n">
        <v>0</v>
      </c>
      <c r="GF29" s="33" t="n">
        <v>0</v>
      </c>
      <c r="GG29" s="33" t="n">
        <v>0</v>
      </c>
      <c r="GH29" s="33" t="n">
        <v>0</v>
      </c>
      <c r="GI29" s="33" t="n">
        <v>0</v>
      </c>
      <c r="GJ29" s="33" t="n">
        <v>0</v>
      </c>
      <c r="GK29" s="33" t="n">
        <v>0</v>
      </c>
      <c r="GL29" s="33" t="n">
        <v>0</v>
      </c>
      <c r="GM29" s="33" t="n">
        <v>0</v>
      </c>
      <c r="GN29" s="33" t="n">
        <v>0</v>
      </c>
      <c r="GO29" s="33" t="n">
        <v>0</v>
      </c>
      <c r="GP29" s="33" t="n">
        <v>0</v>
      </c>
      <c r="GQ29" s="33" t="n">
        <v>0</v>
      </c>
      <c r="GR29" s="33" t="n">
        <v>0</v>
      </c>
      <c r="GS29" s="33" t="n">
        <v>0</v>
      </c>
      <c r="GT29" s="33" t="n">
        <v>0</v>
      </c>
      <c r="GU29" s="33" t="n">
        <v>0</v>
      </c>
      <c r="GV29" s="33" t="n">
        <v>0</v>
      </c>
      <c r="GW29" s="33" t="n">
        <v>0</v>
      </c>
      <c r="GX29" s="33" t="n">
        <v>0</v>
      </c>
      <c r="GY29" s="33" t="n">
        <v>0</v>
      </c>
      <c r="GZ29" s="33" t="n">
        <v>0</v>
      </c>
      <c r="HA29" s="33" t="n">
        <v>0</v>
      </c>
      <c r="HB29" s="33" t="n">
        <v>0</v>
      </c>
      <c r="HC29" s="33" t="n">
        <v>0</v>
      </c>
      <c r="HD29" s="33" t="n">
        <v>0</v>
      </c>
      <c r="HE29" s="33" t="n">
        <v>0</v>
      </c>
      <c r="HF29" s="33" t="n">
        <v>0</v>
      </c>
      <c r="HG29" s="33" t="n">
        <v>0</v>
      </c>
      <c r="HH29" s="33" t="n">
        <v>0</v>
      </c>
      <c r="HI29" s="33" t="n">
        <v>0</v>
      </c>
      <c r="HJ29" s="33" t="n">
        <v>0</v>
      </c>
      <c r="HK29" s="33" t="n">
        <v>0</v>
      </c>
      <c r="HL29" s="33" t="n">
        <v>0</v>
      </c>
      <c r="HM29" s="33" t="n">
        <v>0</v>
      </c>
      <c r="HN29" s="33" t="n">
        <v>0</v>
      </c>
      <c r="HO29" s="33" t="n">
        <v>0</v>
      </c>
      <c r="HP29" s="33" t="n">
        <v>0</v>
      </c>
      <c r="HQ29" s="33" t="n">
        <v>0</v>
      </c>
      <c r="HR29" s="33" t="n">
        <v>0</v>
      </c>
      <c r="HS29" s="33" t="n">
        <v>0</v>
      </c>
      <c r="HT29" s="33" t="n">
        <v>0</v>
      </c>
      <c r="HU29" s="33" t="n">
        <v>0</v>
      </c>
      <c r="HV29" s="33" t="n">
        <v>0</v>
      </c>
      <c r="HW29" s="33" t="n">
        <v>0</v>
      </c>
      <c r="HX29" s="33" t="n">
        <v>0</v>
      </c>
      <c r="HY29" s="33" t="n">
        <v>0</v>
      </c>
      <c r="HZ29" s="33" t="n">
        <v>0</v>
      </c>
      <c r="IA29" s="33" t="n">
        <v>0</v>
      </c>
      <c r="IB29" s="33" t="n">
        <v>0</v>
      </c>
      <c r="IC29" s="33" t="n">
        <v>0</v>
      </c>
      <c r="ID29" s="33" t="n">
        <v>0</v>
      </c>
      <c r="IE29" s="33" t="n">
        <v>0</v>
      </c>
      <c r="IF29" s="33" t="n">
        <v>0</v>
      </c>
      <c r="IG29" s="33" t="n">
        <v>0</v>
      </c>
      <c r="IH29" s="33" t="n">
        <v>0</v>
      </c>
      <c r="II29" s="33" t="n">
        <v>0</v>
      </c>
      <c r="IJ29" s="33" t="n">
        <v>0</v>
      </c>
      <c r="IK29" s="33" t="n">
        <v>0</v>
      </c>
      <c r="IL29" s="33" t="n">
        <v>0</v>
      </c>
      <c r="IM29" s="33" t="n">
        <v>0</v>
      </c>
      <c r="IN29" s="33" t="n">
        <v>0</v>
      </c>
      <c r="IO29" s="33" t="n">
        <v>0</v>
      </c>
      <c r="IP29" s="33" t="n">
        <v>0</v>
      </c>
      <c r="IQ29" s="33" t="n">
        <v>0</v>
      </c>
      <c r="IR29" s="33" t="n">
        <v>0</v>
      </c>
      <c r="IS29" s="33" t="n">
        <v>0</v>
      </c>
      <c r="IT29" s="33" t="n">
        <v>0</v>
      </c>
      <c r="IU29" s="33" t="n">
        <v>0</v>
      </c>
      <c r="IV29" s="33" t="n">
        <v>0</v>
      </c>
      <c r="IW29" s="33" t="n">
        <v>0</v>
      </c>
      <c r="IX29" s="33" t="n">
        <v>0</v>
      </c>
      <c r="IY29" s="33" t="n">
        <v>0</v>
      </c>
      <c r="IZ29" s="33" t="n">
        <v>0</v>
      </c>
      <c r="JA29" s="33" t="n">
        <v>0</v>
      </c>
      <c r="JB29" s="33" t="n">
        <v>0</v>
      </c>
      <c r="JC29" s="33" t="n">
        <v>0</v>
      </c>
      <c r="JD29" s="33" t="n">
        <v>0</v>
      </c>
      <c r="JE29" s="33" t="n">
        <v>0</v>
      </c>
      <c r="JF29" s="33" t="n">
        <v>0</v>
      </c>
      <c r="JG29" s="33" t="n">
        <v>0</v>
      </c>
      <c r="JH29" s="33" t="n">
        <v>0</v>
      </c>
      <c r="JI29" s="33" t="n">
        <v>0</v>
      </c>
      <c r="JJ29" s="33" t="n">
        <v>0</v>
      </c>
      <c r="JK29" s="33" t="n">
        <v>0</v>
      </c>
      <c r="JL29" s="33" t="n">
        <v>0</v>
      </c>
      <c r="JM29" s="33" t="n">
        <v>0</v>
      </c>
      <c r="JN29" s="33" t="n">
        <v>0</v>
      </c>
      <c r="JO29" s="33" t="n">
        <v>0</v>
      </c>
      <c r="JP29" s="33" t="n">
        <v>0</v>
      </c>
      <c r="JQ29" s="33" t="n">
        <v>0</v>
      </c>
      <c r="JR29" s="33" t="n">
        <v>0</v>
      </c>
      <c r="JS29" s="33" t="n">
        <v>0</v>
      </c>
      <c r="JT29" s="33" t="n">
        <v>0</v>
      </c>
      <c r="JU29" s="33" t="n">
        <v>0</v>
      </c>
      <c r="JV29" s="33" t="n">
        <v>0</v>
      </c>
      <c r="JW29" s="33" t="n">
        <v>0</v>
      </c>
      <c r="JX29" s="33" t="n">
        <v>0</v>
      </c>
      <c r="JY29" s="33" t="n">
        <v>0</v>
      </c>
      <c r="JZ29" s="33" t="n">
        <v>0</v>
      </c>
      <c r="KA29" s="33" t="n">
        <v>0</v>
      </c>
      <c r="KB29" s="33" t="n">
        <v>0</v>
      </c>
      <c r="KC29" s="33" t="n">
        <v>0</v>
      </c>
      <c r="KD29" s="33" t="n">
        <v>0</v>
      </c>
      <c r="KE29" s="33" t="n">
        <v>0</v>
      </c>
      <c r="KF29" s="33" t="n">
        <v>0</v>
      </c>
      <c r="KG29" s="33" t="n">
        <v>0</v>
      </c>
      <c r="KH29" s="33" t="n">
        <v>0</v>
      </c>
      <c r="KI29" s="33" t="n">
        <v>0</v>
      </c>
      <c r="KJ29" s="33" t="n">
        <v>0</v>
      </c>
      <c r="KK29" s="33" t="n">
        <v>0</v>
      </c>
      <c r="KL29" s="33" t="n">
        <v>0</v>
      </c>
      <c r="KM29" s="33" t="n">
        <v>0</v>
      </c>
      <c r="KN29" s="33" t="n">
        <v>0</v>
      </c>
      <c r="KO29" s="33" t="n">
        <v>0</v>
      </c>
      <c r="KP29" s="33" t="n">
        <v>0</v>
      </c>
      <c r="KQ29" s="33" t="n">
        <v>0</v>
      </c>
      <c r="KR29" s="33" t="n">
        <v>0</v>
      </c>
      <c r="KS29" s="33" t="n">
        <v>0</v>
      </c>
      <c r="KT29" s="33" t="n">
        <v>0</v>
      </c>
      <c r="KU29" s="33" t="n">
        <v>0</v>
      </c>
      <c r="KV29" s="33" t="n">
        <v>0</v>
      </c>
      <c r="KW29" s="33" t="n">
        <v>0</v>
      </c>
      <c r="KX29" s="33" t="n">
        <v>0</v>
      </c>
      <c r="KY29" s="33" t="n">
        <v>0</v>
      </c>
      <c r="KZ29" s="33" t="n">
        <v>0</v>
      </c>
      <c r="LA29" s="33" t="n">
        <v>0</v>
      </c>
      <c r="LB29" s="33" t="n">
        <v>0</v>
      </c>
      <c r="LC29" s="33" t="n">
        <v>0</v>
      </c>
      <c r="LD29" s="33" t="n">
        <v>0</v>
      </c>
      <c r="LE29" s="33" t="n">
        <v>0</v>
      </c>
      <c r="LF29" s="33" t="n">
        <v>0</v>
      </c>
      <c r="LG29" s="33" t="n">
        <v>0</v>
      </c>
      <c r="LH29" s="33" t="n">
        <v>0</v>
      </c>
      <c r="LI29" s="33" t="n">
        <v>0</v>
      </c>
      <c r="LJ29" s="33" t="n">
        <v>0</v>
      </c>
      <c r="LK29" s="33" t="n">
        <v>0</v>
      </c>
      <c r="LL29" s="33" t="n">
        <v>0</v>
      </c>
      <c r="LM29" s="33" t="n">
        <v>0</v>
      </c>
      <c r="LN29" s="33" t="n">
        <v>0</v>
      </c>
      <c r="LO29" s="33" t="n">
        <v>0</v>
      </c>
      <c r="LP29" s="33" t="n">
        <v>0</v>
      </c>
      <c r="LQ29" s="33" t="n">
        <v>0</v>
      </c>
      <c r="LR29" s="33" t="n">
        <v>0</v>
      </c>
      <c r="LS29" s="33" t="n">
        <v>0</v>
      </c>
      <c r="LT29" s="33" t="n">
        <v>0</v>
      </c>
      <c r="LU29" s="33" t="n">
        <v>0</v>
      </c>
      <c r="LV29" s="33" t="n">
        <v>0</v>
      </c>
      <c r="LW29" s="33" t="n">
        <v>0</v>
      </c>
      <c r="LX29" s="33" t="n">
        <v>0</v>
      </c>
      <c r="LY29" s="33" t="n">
        <v>0</v>
      </c>
      <c r="LZ29" s="33" t="n">
        <v>0</v>
      </c>
      <c r="MA29" s="33" t="n">
        <v>0</v>
      </c>
      <c r="MB29" s="33" t="n">
        <v>0</v>
      </c>
      <c r="MC29" s="33" t="n">
        <v>0</v>
      </c>
      <c r="MD29" s="33" t="n">
        <v>0</v>
      </c>
      <c r="ME29" s="33" t="n">
        <v>0</v>
      </c>
      <c r="MF29" s="33" t="n">
        <v>0</v>
      </c>
      <c r="MG29" s="33" t="n">
        <v>0</v>
      </c>
      <c r="MH29" s="33" t="n">
        <v>0</v>
      </c>
      <c r="MI29" s="33" t="n">
        <v>0</v>
      </c>
      <c r="MJ29" s="33" t="n">
        <v>0</v>
      </c>
      <c r="MK29" s="33" t="n">
        <v>0</v>
      </c>
      <c r="ML29" s="33" t="n">
        <v>0</v>
      </c>
      <c r="MM29" s="33" t="n">
        <v>0</v>
      </c>
      <c r="MN29" s="33" t="n">
        <v>0</v>
      </c>
      <c r="MO29" s="33" t="n">
        <v>0</v>
      </c>
      <c r="MP29" s="33" t="n">
        <v>0</v>
      </c>
      <c r="MQ29" s="33" t="n">
        <v>0</v>
      </c>
      <c r="MR29" s="33" t="n">
        <v>0</v>
      </c>
      <c r="MS29" s="33" t="n">
        <v>0</v>
      </c>
      <c r="MT29" s="33" t="n">
        <v>0</v>
      </c>
      <c r="MU29" s="33" t="n">
        <v>0</v>
      </c>
      <c r="MV29" s="33" t="n">
        <v>0</v>
      </c>
      <c r="MW29" s="33" t="n">
        <v>0</v>
      </c>
      <c r="MX29" s="33" t="n">
        <v>0</v>
      </c>
      <c r="MY29" s="33" t="n">
        <v>0</v>
      </c>
      <c r="MZ29" s="33" t="n">
        <v>0</v>
      </c>
      <c r="NA29" s="33" t="n">
        <v>0</v>
      </c>
      <c r="NB29" s="33" t="n">
        <v>0</v>
      </c>
      <c r="NC29" s="33" t="n">
        <v>0</v>
      </c>
      <c r="ND29" s="33" t="n">
        <v>0</v>
      </c>
      <c r="NE29" s="33" t="n">
        <v>0</v>
      </c>
      <c r="NF29" s="33" t="n">
        <v>0</v>
      </c>
      <c r="NG29" s="33" t="n">
        <v>0</v>
      </c>
      <c r="NH29" s="33" t="n">
        <v>0</v>
      </c>
      <c r="NI29" s="33" t="n">
        <v>0</v>
      </c>
      <c r="NJ29" s="33" t="n">
        <v>0</v>
      </c>
      <c r="NK29" s="33" t="n">
        <v>0</v>
      </c>
      <c r="NL29" s="33" t="n">
        <v>0</v>
      </c>
      <c r="NM29" s="33" t="n">
        <v>0</v>
      </c>
      <c r="NN29" s="33" t="n">
        <v>0</v>
      </c>
      <c r="NO29" s="33" t="n">
        <v>0</v>
      </c>
      <c r="NP29" s="33" t="n">
        <v>0</v>
      </c>
      <c r="NQ29" s="33" t="n">
        <v>0</v>
      </c>
      <c r="NR29" s="33" t="n">
        <v>0</v>
      </c>
      <c r="NS29" s="33" t="n">
        <v>0</v>
      </c>
      <c r="NT29" s="33" t="n">
        <v>0</v>
      </c>
      <c r="NU29" s="33" t="n">
        <v>0</v>
      </c>
      <c r="NV29" s="33" t="n">
        <v>0</v>
      </c>
      <c r="NW29" s="33" t="n">
        <v>0</v>
      </c>
      <c r="NX29" s="33" t="n">
        <v>0</v>
      </c>
      <c r="NY29" s="33" t="n">
        <v>0</v>
      </c>
      <c r="NZ29" s="33" t="n">
        <v>0</v>
      </c>
      <c r="OA29" s="33" t="n">
        <v>0</v>
      </c>
      <c r="OB29" s="33" t="n">
        <v>0</v>
      </c>
      <c r="OC29" s="33" t="n">
        <v>0</v>
      </c>
      <c r="OD29" s="33" t="n">
        <v>0</v>
      </c>
      <c r="OE29" s="33" t="n">
        <v>0</v>
      </c>
      <c r="OF29" s="33" t="n">
        <v>0</v>
      </c>
      <c r="OG29" s="33" t="n">
        <v>0</v>
      </c>
      <c r="OH29" s="33" t="n">
        <v>0</v>
      </c>
      <c r="OI29" s="33" t="n">
        <v>0</v>
      </c>
      <c r="OJ29" s="33" t="n">
        <v>0</v>
      </c>
      <c r="OK29" s="33" t="n">
        <v>0</v>
      </c>
      <c r="OL29" s="33" t="n">
        <v>0</v>
      </c>
      <c r="OM29" s="33" t="n">
        <v>0</v>
      </c>
      <c r="ON29" s="33" t="n">
        <v>0</v>
      </c>
      <c r="OO29" s="33" t="n">
        <v>0</v>
      </c>
      <c r="OP29" s="33" t="n">
        <v>0</v>
      </c>
      <c r="OQ29" s="33" t="n">
        <v>0</v>
      </c>
      <c r="OR29" s="33" t="n">
        <v>0</v>
      </c>
      <c r="OS29" s="33" t="n">
        <v>0</v>
      </c>
      <c r="OT29" s="33" t="n">
        <v>0</v>
      </c>
      <c r="OU29" s="33" t="n">
        <v>0</v>
      </c>
      <c r="OV29" s="33" t="n">
        <v>0</v>
      </c>
      <c r="OW29" s="33" t="n">
        <v>0</v>
      </c>
      <c r="OX29" s="33" t="n">
        <v>0</v>
      </c>
      <c r="OY29" s="33" t="n">
        <v>0</v>
      </c>
      <c r="OZ29" s="33" t="n">
        <v>0</v>
      </c>
      <c r="PA29" s="33" t="n">
        <v>0</v>
      </c>
      <c r="PB29" s="33" t="n">
        <v>0</v>
      </c>
      <c r="PC29" s="33" t="n">
        <v>0</v>
      </c>
      <c r="PD29" s="33" t="n">
        <v>0</v>
      </c>
      <c r="PE29" s="33" t="n">
        <v>0</v>
      </c>
      <c r="PF29" s="33" t="n">
        <v>0</v>
      </c>
      <c r="PG29" s="33" t="n">
        <v>0</v>
      </c>
      <c r="PH29" s="33" t="n">
        <v>0</v>
      </c>
      <c r="PI29" s="33" t="n">
        <v>0</v>
      </c>
      <c r="PJ29" s="33" t="n">
        <v>0</v>
      </c>
      <c r="PK29" s="33" t="n">
        <v>0</v>
      </c>
      <c r="PL29" s="33" t="n">
        <v>0</v>
      </c>
      <c r="PM29" s="33" t="n">
        <v>0</v>
      </c>
      <c r="PN29" s="33" t="n">
        <v>0</v>
      </c>
      <c r="PO29" s="33" t="n">
        <v>0</v>
      </c>
      <c r="PP29" s="33" t="n">
        <v>0</v>
      </c>
      <c r="PQ29" s="33" t="n">
        <v>0</v>
      </c>
      <c r="PR29" s="33" t="n">
        <v>0</v>
      </c>
      <c r="PS29" s="33" t="n">
        <v>0</v>
      </c>
      <c r="PT29" s="33" t="n">
        <v>0</v>
      </c>
      <c r="PU29" s="33" t="n">
        <v>0</v>
      </c>
      <c r="PV29" s="33" t="n">
        <v>0</v>
      </c>
      <c r="PW29" s="33" t="n">
        <v>0</v>
      </c>
      <c r="PX29" s="33" t="n">
        <v>0</v>
      </c>
      <c r="PY29" s="33" t="n">
        <v>0</v>
      </c>
      <c r="PZ29" s="33" t="n">
        <v>0</v>
      </c>
      <c r="QA29" s="33" t="n">
        <v>0</v>
      </c>
      <c r="QB29" s="33" t="n">
        <v>0</v>
      </c>
      <c r="QC29" s="33" t="n">
        <v>0</v>
      </c>
      <c r="QD29" s="33" t="n">
        <v>0</v>
      </c>
      <c r="QE29" s="33" t="n">
        <v>0</v>
      </c>
      <c r="QF29" s="33" t="n">
        <v>0</v>
      </c>
      <c r="QG29" s="33" t="n">
        <v>0</v>
      </c>
      <c r="QH29" s="33" t="n">
        <v>0</v>
      </c>
      <c r="QI29" s="33" t="n">
        <v>0</v>
      </c>
      <c r="QJ29" s="33" t="n">
        <v>0</v>
      </c>
      <c r="QK29" s="33" t="n">
        <v>0</v>
      </c>
      <c r="QL29" s="33" t="n">
        <v>0</v>
      </c>
      <c r="QM29" s="33" t="n">
        <v>0</v>
      </c>
      <c r="QN29" s="33" t="n">
        <v>0</v>
      </c>
      <c r="QO29" s="33" t="n">
        <v>0</v>
      </c>
      <c r="QP29" s="33" t="n">
        <v>0</v>
      </c>
      <c r="QQ29" s="33" t="n">
        <v>0</v>
      </c>
      <c r="QR29" s="33" t="n">
        <v>0</v>
      </c>
      <c r="QS29" s="33" t="n">
        <v>0</v>
      </c>
      <c r="QT29" s="33" t="n">
        <v>0</v>
      </c>
      <c r="QU29" s="33" t="n">
        <v>0</v>
      </c>
      <c r="QV29" s="33" t="n">
        <v>0</v>
      </c>
      <c r="QW29" s="33" t="n">
        <v>0</v>
      </c>
      <c r="QX29" s="33" t="n">
        <v>0</v>
      </c>
      <c r="QY29" s="33" t="n">
        <v>0</v>
      </c>
      <c r="QZ29" s="33" t="n">
        <v>0</v>
      </c>
      <c r="RA29" s="33" t="n">
        <v>0</v>
      </c>
      <c r="RB29" s="33" t="n">
        <v>0</v>
      </c>
      <c r="RC29" s="33" t="n">
        <v>0</v>
      </c>
      <c r="RD29" s="33" t="n">
        <v>0</v>
      </c>
      <c r="RE29" s="33" t="n">
        <v>0</v>
      </c>
      <c r="RF29" s="33" t="n">
        <v>0</v>
      </c>
      <c r="RG29" s="33" t="n">
        <v>0</v>
      </c>
      <c r="RH29" s="33" t="n">
        <v>0</v>
      </c>
      <c r="RI29" s="33" t="n">
        <v>0</v>
      </c>
      <c r="RJ29" s="33" t="n">
        <v>0</v>
      </c>
      <c r="RK29" s="33" t="n">
        <v>0</v>
      </c>
      <c r="RL29" s="33" t="n">
        <v>0</v>
      </c>
      <c r="RM29" s="33" t="n">
        <v>0</v>
      </c>
      <c r="RN29" s="33" t="n">
        <v>0</v>
      </c>
      <c r="RO29" s="33" t="n">
        <v>0</v>
      </c>
      <c r="RP29" s="33" t="n">
        <v>0</v>
      </c>
      <c r="RQ29" s="33" t="n">
        <v>0</v>
      </c>
      <c r="RR29" s="33" t="n">
        <v>0</v>
      </c>
      <c r="RS29" s="33" t="n">
        <v>0</v>
      </c>
      <c r="RT29" s="33" t="n">
        <v>0</v>
      </c>
      <c r="RU29" s="33" t="n">
        <v>0</v>
      </c>
      <c r="RV29" s="33" t="n">
        <v>0</v>
      </c>
      <c r="RW29" s="33" t="n">
        <v>0</v>
      </c>
    </row>
    <row r="30" hidden="1" outlineLevel="1" ht="13.05" customHeight="1">
      <c r="E30" s="21" t="inlineStr">
        <is>
          <t>Land Acquisition</t>
        </is>
      </c>
      <c r="F30" s="29" t="n"/>
      <c r="G30" s="29" t="inlineStr">
        <is>
          <t>kEUR</t>
        </is>
      </c>
      <c r="H30" s="29" t="n"/>
      <c r="I30" s="29" t="n"/>
      <c r="J30" s="32" t="n">
        <v>0</v>
      </c>
      <c r="K30" s="29" t="n"/>
      <c r="L30" s="33" t="n">
        <v>0</v>
      </c>
      <c r="M30" s="33" t="n">
        <v>0</v>
      </c>
      <c r="N30" s="33" t="n">
        <v>0</v>
      </c>
      <c r="O30" s="33" t="n">
        <v>0</v>
      </c>
      <c r="P30" s="33" t="n">
        <v>0</v>
      </c>
      <c r="Q30" s="33" t="n">
        <v>0</v>
      </c>
      <c r="R30" s="33" t="n">
        <v>0</v>
      </c>
      <c r="S30" s="33" t="n">
        <v>0</v>
      </c>
      <c r="T30" s="33" t="n">
        <v>0</v>
      </c>
      <c r="U30" s="33" t="n">
        <v>0</v>
      </c>
      <c r="V30" s="33" t="n">
        <v>0</v>
      </c>
      <c r="W30" s="33" t="n">
        <v>0</v>
      </c>
      <c r="X30" s="33" t="n">
        <v>0</v>
      </c>
      <c r="Y30" s="33" t="n">
        <v>0</v>
      </c>
      <c r="Z30" s="33" t="n">
        <v>0</v>
      </c>
      <c r="AA30" s="33" t="n">
        <v>0</v>
      </c>
      <c r="AB30" s="33" t="n">
        <v>0</v>
      </c>
      <c r="AC30" s="33" t="n">
        <v>0</v>
      </c>
      <c r="AD30" s="33" t="n">
        <v>0</v>
      </c>
      <c r="AE30" s="33" t="n">
        <v>0</v>
      </c>
      <c r="AF30" s="33" t="n">
        <v>0</v>
      </c>
      <c r="AG30" s="33" t="n">
        <v>0</v>
      </c>
      <c r="AH30" s="33" t="n">
        <v>0</v>
      </c>
      <c r="AI30" s="33" t="n">
        <v>0</v>
      </c>
      <c r="AJ30" s="33" t="n">
        <v>0</v>
      </c>
      <c r="AK30" s="33" t="n">
        <v>0</v>
      </c>
      <c r="AL30" s="33" t="n">
        <v>0</v>
      </c>
      <c r="AM30" s="33" t="n">
        <v>0</v>
      </c>
      <c r="AN30" s="33" t="n">
        <v>0</v>
      </c>
      <c r="AO30" s="33" t="n">
        <v>0</v>
      </c>
      <c r="AP30" s="33" t="n">
        <v>0</v>
      </c>
      <c r="AQ30" s="33" t="n">
        <v>0</v>
      </c>
      <c r="AR30" s="33" t="n">
        <v>0</v>
      </c>
      <c r="AS30" s="33" t="n">
        <v>0</v>
      </c>
      <c r="AT30" s="33" t="n">
        <v>0</v>
      </c>
      <c r="AU30" s="33" t="n">
        <v>0</v>
      </c>
      <c r="AV30" s="33" t="n">
        <v>0</v>
      </c>
      <c r="AW30" s="33" t="n">
        <v>0</v>
      </c>
      <c r="AX30" s="33" t="n">
        <v>0</v>
      </c>
      <c r="AY30" s="33" t="n">
        <v>0</v>
      </c>
      <c r="AZ30" s="33" t="n">
        <v>0</v>
      </c>
      <c r="BA30" s="33" t="n">
        <v>0</v>
      </c>
      <c r="BB30" s="33" t="n">
        <v>0</v>
      </c>
      <c r="BC30" s="33" t="n">
        <v>0</v>
      </c>
      <c r="BD30" s="33" t="n">
        <v>0</v>
      </c>
      <c r="BE30" s="33" t="n">
        <v>0</v>
      </c>
      <c r="BF30" s="33" t="n">
        <v>0</v>
      </c>
      <c r="BG30" s="33" t="n">
        <v>0</v>
      </c>
      <c r="BH30" s="33" t="n">
        <v>0</v>
      </c>
      <c r="BI30" s="33" t="n">
        <v>0</v>
      </c>
      <c r="BJ30" s="33" t="n">
        <v>0</v>
      </c>
      <c r="BK30" s="33" t="n">
        <v>0</v>
      </c>
      <c r="BL30" s="33" t="n">
        <v>0</v>
      </c>
      <c r="BM30" s="33" t="n">
        <v>0</v>
      </c>
      <c r="BN30" s="33" t="n">
        <v>0</v>
      </c>
      <c r="BO30" s="33" t="n">
        <v>0</v>
      </c>
      <c r="BP30" s="33" t="n">
        <v>0</v>
      </c>
      <c r="BQ30" s="33" t="n">
        <v>0</v>
      </c>
      <c r="BR30" s="33" t="n">
        <v>0</v>
      </c>
      <c r="BS30" s="33" t="n">
        <v>0</v>
      </c>
      <c r="BT30" s="33" t="n">
        <v>0</v>
      </c>
      <c r="BU30" s="33" t="n">
        <v>0</v>
      </c>
      <c r="BV30" s="33" t="n">
        <v>0</v>
      </c>
      <c r="BW30" s="33" t="n">
        <v>0</v>
      </c>
      <c r="BX30" s="33" t="n">
        <v>0</v>
      </c>
      <c r="BY30" s="33" t="n">
        <v>0</v>
      </c>
      <c r="BZ30" s="33" t="n">
        <v>0</v>
      </c>
      <c r="CA30" s="33" t="n">
        <v>0</v>
      </c>
      <c r="CB30" s="33" t="n">
        <v>0</v>
      </c>
      <c r="CC30" s="33" t="n">
        <v>0</v>
      </c>
      <c r="CD30" s="33" t="n">
        <v>0</v>
      </c>
      <c r="CE30" s="33" t="n">
        <v>0</v>
      </c>
      <c r="CF30" s="33" t="n">
        <v>0</v>
      </c>
      <c r="CG30" s="33" t="n">
        <v>0</v>
      </c>
      <c r="CH30" s="33" t="n">
        <v>0</v>
      </c>
      <c r="CI30" s="33" t="n">
        <v>0</v>
      </c>
      <c r="CJ30" s="33" t="n">
        <v>0</v>
      </c>
      <c r="CK30" s="33" t="n">
        <v>0</v>
      </c>
      <c r="CL30" s="33" t="n">
        <v>0</v>
      </c>
      <c r="CM30" s="33" t="n">
        <v>0</v>
      </c>
      <c r="CN30" s="33" t="n">
        <v>0</v>
      </c>
      <c r="CO30" s="33" t="n">
        <v>0</v>
      </c>
      <c r="CP30" s="33" t="n">
        <v>0</v>
      </c>
      <c r="CQ30" s="33" t="n">
        <v>0</v>
      </c>
      <c r="CR30" s="33" t="n">
        <v>0</v>
      </c>
      <c r="CS30" s="33" t="n">
        <v>0</v>
      </c>
      <c r="CT30" s="33" t="n">
        <v>0</v>
      </c>
      <c r="CU30" s="33" t="n">
        <v>0</v>
      </c>
      <c r="CV30" s="33" t="n">
        <v>0</v>
      </c>
      <c r="CW30" s="33" t="n">
        <v>0</v>
      </c>
      <c r="CX30" s="33" t="n">
        <v>0</v>
      </c>
      <c r="CY30" s="33" t="n">
        <v>0</v>
      </c>
      <c r="CZ30" s="33" t="n">
        <v>0</v>
      </c>
      <c r="DA30" s="33" t="n">
        <v>0</v>
      </c>
      <c r="DB30" s="33" t="n">
        <v>0</v>
      </c>
      <c r="DC30" s="33" t="n">
        <v>0</v>
      </c>
      <c r="DD30" s="33" t="n">
        <v>0</v>
      </c>
      <c r="DE30" s="33" t="n">
        <v>0</v>
      </c>
      <c r="DF30" s="33" t="n">
        <v>0</v>
      </c>
      <c r="DG30" s="33" t="n">
        <v>0</v>
      </c>
      <c r="DH30" s="33" t="n">
        <v>0</v>
      </c>
      <c r="DI30" s="33" t="n">
        <v>0</v>
      </c>
      <c r="DJ30" s="33" t="n">
        <v>0</v>
      </c>
      <c r="DK30" s="33" t="n">
        <v>0</v>
      </c>
      <c r="DL30" s="33" t="n">
        <v>0</v>
      </c>
      <c r="DM30" s="33" t="n">
        <v>0</v>
      </c>
      <c r="DN30" s="33" t="n">
        <v>0</v>
      </c>
      <c r="DO30" s="33" t="n">
        <v>0</v>
      </c>
      <c r="DP30" s="33" t="n">
        <v>0</v>
      </c>
      <c r="DQ30" s="33" t="n">
        <v>0</v>
      </c>
      <c r="DR30" s="33" t="n">
        <v>0</v>
      </c>
      <c r="DS30" s="33" t="n">
        <v>0</v>
      </c>
      <c r="DT30" s="33" t="n">
        <v>0</v>
      </c>
      <c r="DU30" s="33" t="n">
        <v>0</v>
      </c>
      <c r="DV30" s="33" t="n">
        <v>0</v>
      </c>
      <c r="DW30" s="33" t="n">
        <v>0</v>
      </c>
      <c r="DX30" s="33" t="n">
        <v>0</v>
      </c>
      <c r="DY30" s="33" t="n">
        <v>0</v>
      </c>
      <c r="DZ30" s="33" t="n">
        <v>0</v>
      </c>
      <c r="EA30" s="33" t="n">
        <v>0</v>
      </c>
      <c r="EB30" s="33" t="n">
        <v>0</v>
      </c>
      <c r="EC30" s="33" t="n">
        <v>0</v>
      </c>
      <c r="ED30" s="33" t="n">
        <v>0</v>
      </c>
      <c r="EE30" s="33" t="n">
        <v>0</v>
      </c>
      <c r="EF30" s="33" t="n">
        <v>0</v>
      </c>
      <c r="EG30" s="33" t="n">
        <v>0</v>
      </c>
      <c r="EH30" s="33" t="n">
        <v>0</v>
      </c>
      <c r="EI30" s="33" t="n">
        <v>0</v>
      </c>
      <c r="EJ30" s="33" t="n">
        <v>0</v>
      </c>
      <c r="EK30" s="33" t="n">
        <v>0</v>
      </c>
      <c r="EL30" s="33" t="n">
        <v>0</v>
      </c>
      <c r="EM30" s="33" t="n">
        <v>0</v>
      </c>
      <c r="EN30" s="33" t="n">
        <v>0</v>
      </c>
      <c r="EO30" s="33" t="n">
        <v>0</v>
      </c>
      <c r="EP30" s="33" t="n">
        <v>0</v>
      </c>
      <c r="EQ30" s="33" t="n">
        <v>0</v>
      </c>
      <c r="ER30" s="33" t="n">
        <v>0</v>
      </c>
      <c r="ES30" s="33" t="n">
        <v>0</v>
      </c>
      <c r="ET30" s="33" t="n">
        <v>0</v>
      </c>
      <c r="EU30" s="33" t="n">
        <v>0</v>
      </c>
      <c r="EV30" s="33" t="n">
        <v>0</v>
      </c>
      <c r="EW30" s="33" t="n">
        <v>0</v>
      </c>
      <c r="EX30" s="33" t="n">
        <v>0</v>
      </c>
      <c r="EY30" s="33" t="n">
        <v>0</v>
      </c>
      <c r="EZ30" s="33" t="n">
        <v>0</v>
      </c>
      <c r="FA30" s="33" t="n">
        <v>0</v>
      </c>
      <c r="FB30" s="33" t="n">
        <v>0</v>
      </c>
      <c r="FC30" s="33" t="n">
        <v>0</v>
      </c>
      <c r="FD30" s="33" t="n">
        <v>0</v>
      </c>
      <c r="FE30" s="33" t="n">
        <v>0</v>
      </c>
      <c r="FF30" s="33" t="n">
        <v>0</v>
      </c>
      <c r="FG30" s="33" t="n">
        <v>0</v>
      </c>
      <c r="FH30" s="33" t="n">
        <v>0</v>
      </c>
      <c r="FI30" s="33" t="n">
        <v>0</v>
      </c>
      <c r="FJ30" s="33" t="n">
        <v>0</v>
      </c>
      <c r="FK30" s="33" t="n">
        <v>0</v>
      </c>
      <c r="FL30" s="33" t="n">
        <v>0</v>
      </c>
      <c r="FM30" s="33" t="n">
        <v>0</v>
      </c>
      <c r="FN30" s="33" t="n">
        <v>0</v>
      </c>
      <c r="FO30" s="33" t="n">
        <v>0</v>
      </c>
      <c r="FP30" s="33" t="n">
        <v>0</v>
      </c>
      <c r="FQ30" s="33" t="n">
        <v>0</v>
      </c>
      <c r="FR30" s="33" t="n">
        <v>0</v>
      </c>
      <c r="FS30" s="33" t="n">
        <v>0</v>
      </c>
      <c r="FT30" s="33" t="n">
        <v>0</v>
      </c>
      <c r="FU30" s="33" t="n">
        <v>0</v>
      </c>
      <c r="FV30" s="33" t="n">
        <v>0</v>
      </c>
      <c r="FW30" s="33" t="n">
        <v>0</v>
      </c>
      <c r="FX30" s="33" t="n">
        <v>0</v>
      </c>
      <c r="FY30" s="33" t="n">
        <v>0</v>
      </c>
      <c r="FZ30" s="33" t="n">
        <v>0</v>
      </c>
      <c r="GA30" s="33" t="n">
        <v>0</v>
      </c>
      <c r="GB30" s="33" t="n">
        <v>0</v>
      </c>
      <c r="GC30" s="33" t="n">
        <v>0</v>
      </c>
      <c r="GD30" s="33" t="n">
        <v>0</v>
      </c>
      <c r="GE30" s="33" t="n">
        <v>0</v>
      </c>
      <c r="GF30" s="33" t="n">
        <v>0</v>
      </c>
      <c r="GG30" s="33" t="n">
        <v>0</v>
      </c>
      <c r="GH30" s="33" t="n">
        <v>0</v>
      </c>
      <c r="GI30" s="33" t="n">
        <v>0</v>
      </c>
      <c r="GJ30" s="33" t="n">
        <v>0</v>
      </c>
      <c r="GK30" s="33" t="n">
        <v>0</v>
      </c>
      <c r="GL30" s="33" t="n">
        <v>0</v>
      </c>
      <c r="GM30" s="33" t="n">
        <v>0</v>
      </c>
      <c r="GN30" s="33" t="n">
        <v>0</v>
      </c>
      <c r="GO30" s="33" t="n">
        <v>0</v>
      </c>
      <c r="GP30" s="33" t="n">
        <v>0</v>
      </c>
      <c r="GQ30" s="33" t="n">
        <v>0</v>
      </c>
      <c r="GR30" s="33" t="n">
        <v>0</v>
      </c>
      <c r="GS30" s="33" t="n">
        <v>0</v>
      </c>
      <c r="GT30" s="33" t="n">
        <v>0</v>
      </c>
      <c r="GU30" s="33" t="n">
        <v>0</v>
      </c>
      <c r="GV30" s="33" t="n">
        <v>0</v>
      </c>
      <c r="GW30" s="33" t="n">
        <v>0</v>
      </c>
      <c r="GX30" s="33" t="n">
        <v>0</v>
      </c>
      <c r="GY30" s="33" t="n">
        <v>0</v>
      </c>
      <c r="GZ30" s="33" t="n">
        <v>0</v>
      </c>
      <c r="HA30" s="33" t="n">
        <v>0</v>
      </c>
      <c r="HB30" s="33" t="n">
        <v>0</v>
      </c>
      <c r="HC30" s="33" t="n">
        <v>0</v>
      </c>
      <c r="HD30" s="33" t="n">
        <v>0</v>
      </c>
      <c r="HE30" s="33" t="n">
        <v>0</v>
      </c>
      <c r="HF30" s="33" t="n">
        <v>0</v>
      </c>
      <c r="HG30" s="33" t="n">
        <v>0</v>
      </c>
      <c r="HH30" s="33" t="n">
        <v>0</v>
      </c>
      <c r="HI30" s="33" t="n">
        <v>0</v>
      </c>
      <c r="HJ30" s="33" t="n">
        <v>0</v>
      </c>
      <c r="HK30" s="33" t="n">
        <v>0</v>
      </c>
      <c r="HL30" s="33" t="n">
        <v>0</v>
      </c>
      <c r="HM30" s="33" t="n">
        <v>0</v>
      </c>
      <c r="HN30" s="33" t="n">
        <v>0</v>
      </c>
      <c r="HO30" s="33" t="n">
        <v>0</v>
      </c>
      <c r="HP30" s="33" t="n">
        <v>0</v>
      </c>
      <c r="HQ30" s="33" t="n">
        <v>0</v>
      </c>
      <c r="HR30" s="33" t="n">
        <v>0</v>
      </c>
      <c r="HS30" s="33" t="n">
        <v>0</v>
      </c>
      <c r="HT30" s="33" t="n">
        <v>0</v>
      </c>
      <c r="HU30" s="33" t="n">
        <v>0</v>
      </c>
      <c r="HV30" s="33" t="n">
        <v>0</v>
      </c>
      <c r="HW30" s="33" t="n">
        <v>0</v>
      </c>
      <c r="HX30" s="33" t="n">
        <v>0</v>
      </c>
      <c r="HY30" s="33" t="n">
        <v>0</v>
      </c>
      <c r="HZ30" s="33" t="n">
        <v>0</v>
      </c>
      <c r="IA30" s="33" t="n">
        <v>0</v>
      </c>
      <c r="IB30" s="33" t="n">
        <v>0</v>
      </c>
      <c r="IC30" s="33" t="n">
        <v>0</v>
      </c>
      <c r="ID30" s="33" t="n">
        <v>0</v>
      </c>
      <c r="IE30" s="33" t="n">
        <v>0</v>
      </c>
      <c r="IF30" s="33" t="n">
        <v>0</v>
      </c>
      <c r="IG30" s="33" t="n">
        <v>0</v>
      </c>
      <c r="IH30" s="33" t="n">
        <v>0</v>
      </c>
      <c r="II30" s="33" t="n">
        <v>0</v>
      </c>
      <c r="IJ30" s="33" t="n">
        <v>0</v>
      </c>
      <c r="IK30" s="33" t="n">
        <v>0</v>
      </c>
      <c r="IL30" s="33" t="n">
        <v>0</v>
      </c>
      <c r="IM30" s="33" t="n">
        <v>0</v>
      </c>
      <c r="IN30" s="33" t="n">
        <v>0</v>
      </c>
      <c r="IO30" s="33" t="n">
        <v>0</v>
      </c>
      <c r="IP30" s="33" t="n">
        <v>0</v>
      </c>
      <c r="IQ30" s="33" t="n">
        <v>0</v>
      </c>
      <c r="IR30" s="33" t="n">
        <v>0</v>
      </c>
      <c r="IS30" s="33" t="n">
        <v>0</v>
      </c>
      <c r="IT30" s="33" t="n">
        <v>0</v>
      </c>
      <c r="IU30" s="33" t="n">
        <v>0</v>
      </c>
      <c r="IV30" s="33" t="n">
        <v>0</v>
      </c>
      <c r="IW30" s="33" t="n">
        <v>0</v>
      </c>
      <c r="IX30" s="33" t="n">
        <v>0</v>
      </c>
      <c r="IY30" s="33" t="n">
        <v>0</v>
      </c>
      <c r="IZ30" s="33" t="n">
        <v>0</v>
      </c>
      <c r="JA30" s="33" t="n">
        <v>0</v>
      </c>
      <c r="JB30" s="33" t="n">
        <v>0</v>
      </c>
      <c r="JC30" s="33" t="n">
        <v>0</v>
      </c>
      <c r="JD30" s="33" t="n">
        <v>0</v>
      </c>
      <c r="JE30" s="33" t="n">
        <v>0</v>
      </c>
      <c r="JF30" s="33" t="n">
        <v>0</v>
      </c>
      <c r="JG30" s="33" t="n">
        <v>0</v>
      </c>
      <c r="JH30" s="33" t="n">
        <v>0</v>
      </c>
      <c r="JI30" s="33" t="n">
        <v>0</v>
      </c>
      <c r="JJ30" s="33" t="n">
        <v>0</v>
      </c>
      <c r="JK30" s="33" t="n">
        <v>0</v>
      </c>
      <c r="JL30" s="33" t="n">
        <v>0</v>
      </c>
      <c r="JM30" s="33" t="n">
        <v>0</v>
      </c>
      <c r="JN30" s="33" t="n">
        <v>0</v>
      </c>
      <c r="JO30" s="33" t="n">
        <v>0</v>
      </c>
      <c r="JP30" s="33" t="n">
        <v>0</v>
      </c>
      <c r="JQ30" s="33" t="n">
        <v>0</v>
      </c>
      <c r="JR30" s="33" t="n">
        <v>0</v>
      </c>
      <c r="JS30" s="33" t="n">
        <v>0</v>
      </c>
      <c r="JT30" s="33" t="n">
        <v>0</v>
      </c>
      <c r="JU30" s="33" t="n">
        <v>0</v>
      </c>
      <c r="JV30" s="33" t="n">
        <v>0</v>
      </c>
      <c r="JW30" s="33" t="n">
        <v>0</v>
      </c>
      <c r="JX30" s="33" t="n">
        <v>0</v>
      </c>
      <c r="JY30" s="33" t="n">
        <v>0</v>
      </c>
      <c r="JZ30" s="33" t="n">
        <v>0</v>
      </c>
      <c r="KA30" s="33" t="n">
        <v>0</v>
      </c>
      <c r="KB30" s="33" t="n">
        <v>0</v>
      </c>
      <c r="KC30" s="33" t="n">
        <v>0</v>
      </c>
      <c r="KD30" s="33" t="n">
        <v>0</v>
      </c>
      <c r="KE30" s="33" t="n">
        <v>0</v>
      </c>
      <c r="KF30" s="33" t="n">
        <v>0</v>
      </c>
      <c r="KG30" s="33" t="n">
        <v>0</v>
      </c>
      <c r="KH30" s="33" t="n">
        <v>0</v>
      </c>
      <c r="KI30" s="33" t="n">
        <v>0</v>
      </c>
      <c r="KJ30" s="33" t="n">
        <v>0</v>
      </c>
      <c r="KK30" s="33" t="n">
        <v>0</v>
      </c>
      <c r="KL30" s="33" t="n">
        <v>0</v>
      </c>
      <c r="KM30" s="33" t="n">
        <v>0</v>
      </c>
      <c r="KN30" s="33" t="n">
        <v>0</v>
      </c>
      <c r="KO30" s="33" t="n">
        <v>0</v>
      </c>
      <c r="KP30" s="33" t="n">
        <v>0</v>
      </c>
      <c r="KQ30" s="33" t="n">
        <v>0</v>
      </c>
      <c r="KR30" s="33" t="n">
        <v>0</v>
      </c>
      <c r="KS30" s="33" t="n">
        <v>0</v>
      </c>
      <c r="KT30" s="33" t="n">
        <v>0</v>
      </c>
      <c r="KU30" s="33" t="n">
        <v>0</v>
      </c>
      <c r="KV30" s="33" t="n">
        <v>0</v>
      </c>
      <c r="KW30" s="33" t="n">
        <v>0</v>
      </c>
      <c r="KX30" s="33" t="n">
        <v>0</v>
      </c>
      <c r="KY30" s="33" t="n">
        <v>0</v>
      </c>
      <c r="KZ30" s="33" t="n">
        <v>0</v>
      </c>
      <c r="LA30" s="33" t="n">
        <v>0</v>
      </c>
      <c r="LB30" s="33" t="n">
        <v>0</v>
      </c>
      <c r="LC30" s="33" t="n">
        <v>0</v>
      </c>
      <c r="LD30" s="33" t="n">
        <v>0</v>
      </c>
      <c r="LE30" s="33" t="n">
        <v>0</v>
      </c>
      <c r="LF30" s="33" t="n">
        <v>0</v>
      </c>
      <c r="LG30" s="33" t="n">
        <v>0</v>
      </c>
      <c r="LH30" s="33" t="n">
        <v>0</v>
      </c>
      <c r="LI30" s="33" t="n">
        <v>0</v>
      </c>
      <c r="LJ30" s="33" t="n">
        <v>0</v>
      </c>
      <c r="LK30" s="33" t="n">
        <v>0</v>
      </c>
      <c r="LL30" s="33" t="n">
        <v>0</v>
      </c>
      <c r="LM30" s="33" t="n">
        <v>0</v>
      </c>
      <c r="LN30" s="33" t="n">
        <v>0</v>
      </c>
      <c r="LO30" s="33" t="n">
        <v>0</v>
      </c>
      <c r="LP30" s="33" t="n">
        <v>0</v>
      </c>
      <c r="LQ30" s="33" t="n">
        <v>0</v>
      </c>
      <c r="LR30" s="33" t="n">
        <v>0</v>
      </c>
      <c r="LS30" s="33" t="n">
        <v>0</v>
      </c>
      <c r="LT30" s="33" t="n">
        <v>0</v>
      </c>
      <c r="LU30" s="33" t="n">
        <v>0</v>
      </c>
      <c r="LV30" s="33" t="n">
        <v>0</v>
      </c>
      <c r="LW30" s="33" t="n">
        <v>0</v>
      </c>
      <c r="LX30" s="33" t="n">
        <v>0</v>
      </c>
      <c r="LY30" s="33" t="n">
        <v>0</v>
      </c>
      <c r="LZ30" s="33" t="n">
        <v>0</v>
      </c>
      <c r="MA30" s="33" t="n">
        <v>0</v>
      </c>
      <c r="MB30" s="33" t="n">
        <v>0</v>
      </c>
      <c r="MC30" s="33" t="n">
        <v>0</v>
      </c>
      <c r="MD30" s="33" t="n">
        <v>0</v>
      </c>
      <c r="ME30" s="33" t="n">
        <v>0</v>
      </c>
      <c r="MF30" s="33" t="n">
        <v>0</v>
      </c>
      <c r="MG30" s="33" t="n">
        <v>0</v>
      </c>
      <c r="MH30" s="33" t="n">
        <v>0</v>
      </c>
      <c r="MI30" s="33" t="n">
        <v>0</v>
      </c>
      <c r="MJ30" s="33" t="n">
        <v>0</v>
      </c>
      <c r="MK30" s="33" t="n">
        <v>0</v>
      </c>
      <c r="ML30" s="33" t="n">
        <v>0</v>
      </c>
      <c r="MM30" s="33" t="n">
        <v>0</v>
      </c>
      <c r="MN30" s="33" t="n">
        <v>0</v>
      </c>
      <c r="MO30" s="33" t="n">
        <v>0</v>
      </c>
      <c r="MP30" s="33" t="n">
        <v>0</v>
      </c>
      <c r="MQ30" s="33" t="n">
        <v>0</v>
      </c>
      <c r="MR30" s="33" t="n">
        <v>0</v>
      </c>
      <c r="MS30" s="33" t="n">
        <v>0</v>
      </c>
      <c r="MT30" s="33" t="n">
        <v>0</v>
      </c>
      <c r="MU30" s="33" t="n">
        <v>0</v>
      </c>
      <c r="MV30" s="33" t="n">
        <v>0</v>
      </c>
      <c r="MW30" s="33" t="n">
        <v>0</v>
      </c>
      <c r="MX30" s="33" t="n">
        <v>0</v>
      </c>
      <c r="MY30" s="33" t="n">
        <v>0</v>
      </c>
      <c r="MZ30" s="33" t="n">
        <v>0</v>
      </c>
      <c r="NA30" s="33" t="n">
        <v>0</v>
      </c>
      <c r="NB30" s="33" t="n">
        <v>0</v>
      </c>
      <c r="NC30" s="33" t="n">
        <v>0</v>
      </c>
      <c r="ND30" s="33" t="n">
        <v>0</v>
      </c>
      <c r="NE30" s="33" t="n">
        <v>0</v>
      </c>
      <c r="NF30" s="33" t="n">
        <v>0</v>
      </c>
      <c r="NG30" s="33" t="n">
        <v>0</v>
      </c>
      <c r="NH30" s="33" t="n">
        <v>0</v>
      </c>
      <c r="NI30" s="33" t="n">
        <v>0</v>
      </c>
      <c r="NJ30" s="33" t="n">
        <v>0</v>
      </c>
      <c r="NK30" s="33" t="n">
        <v>0</v>
      </c>
      <c r="NL30" s="33" t="n">
        <v>0</v>
      </c>
      <c r="NM30" s="33" t="n">
        <v>0</v>
      </c>
      <c r="NN30" s="33" t="n">
        <v>0</v>
      </c>
      <c r="NO30" s="33" t="n">
        <v>0</v>
      </c>
      <c r="NP30" s="33" t="n">
        <v>0</v>
      </c>
      <c r="NQ30" s="33" t="n">
        <v>0</v>
      </c>
      <c r="NR30" s="33" t="n">
        <v>0</v>
      </c>
      <c r="NS30" s="33" t="n">
        <v>0</v>
      </c>
      <c r="NT30" s="33" t="n">
        <v>0</v>
      </c>
      <c r="NU30" s="33" t="n">
        <v>0</v>
      </c>
      <c r="NV30" s="33" t="n">
        <v>0</v>
      </c>
      <c r="NW30" s="33" t="n">
        <v>0</v>
      </c>
      <c r="NX30" s="33" t="n">
        <v>0</v>
      </c>
      <c r="NY30" s="33" t="n">
        <v>0</v>
      </c>
      <c r="NZ30" s="33" t="n">
        <v>0</v>
      </c>
      <c r="OA30" s="33" t="n">
        <v>0</v>
      </c>
      <c r="OB30" s="33" t="n">
        <v>0</v>
      </c>
      <c r="OC30" s="33" t="n">
        <v>0</v>
      </c>
      <c r="OD30" s="33" t="n">
        <v>0</v>
      </c>
      <c r="OE30" s="33" t="n">
        <v>0</v>
      </c>
      <c r="OF30" s="33" t="n">
        <v>0</v>
      </c>
      <c r="OG30" s="33" t="n">
        <v>0</v>
      </c>
      <c r="OH30" s="33" t="n">
        <v>0</v>
      </c>
      <c r="OI30" s="33" t="n">
        <v>0</v>
      </c>
      <c r="OJ30" s="33" t="n">
        <v>0</v>
      </c>
      <c r="OK30" s="33" t="n">
        <v>0</v>
      </c>
      <c r="OL30" s="33" t="n">
        <v>0</v>
      </c>
      <c r="OM30" s="33" t="n">
        <v>0</v>
      </c>
      <c r="ON30" s="33" t="n">
        <v>0</v>
      </c>
      <c r="OO30" s="33" t="n">
        <v>0</v>
      </c>
      <c r="OP30" s="33" t="n">
        <v>0</v>
      </c>
      <c r="OQ30" s="33" t="n">
        <v>0</v>
      </c>
      <c r="OR30" s="33" t="n">
        <v>0</v>
      </c>
      <c r="OS30" s="33" t="n">
        <v>0</v>
      </c>
      <c r="OT30" s="33" t="n">
        <v>0</v>
      </c>
      <c r="OU30" s="33" t="n">
        <v>0</v>
      </c>
      <c r="OV30" s="33" t="n">
        <v>0</v>
      </c>
      <c r="OW30" s="33" t="n">
        <v>0</v>
      </c>
      <c r="OX30" s="33" t="n">
        <v>0</v>
      </c>
      <c r="OY30" s="33" t="n">
        <v>0</v>
      </c>
      <c r="OZ30" s="33" t="n">
        <v>0</v>
      </c>
      <c r="PA30" s="33" t="n">
        <v>0</v>
      </c>
      <c r="PB30" s="33" t="n">
        <v>0</v>
      </c>
      <c r="PC30" s="33" t="n">
        <v>0</v>
      </c>
      <c r="PD30" s="33" t="n">
        <v>0</v>
      </c>
      <c r="PE30" s="33" t="n">
        <v>0</v>
      </c>
      <c r="PF30" s="33" t="n">
        <v>0</v>
      </c>
      <c r="PG30" s="33" t="n">
        <v>0</v>
      </c>
      <c r="PH30" s="33" t="n">
        <v>0</v>
      </c>
      <c r="PI30" s="33" t="n">
        <v>0</v>
      </c>
      <c r="PJ30" s="33" t="n">
        <v>0</v>
      </c>
      <c r="PK30" s="33" t="n">
        <v>0</v>
      </c>
      <c r="PL30" s="33" t="n">
        <v>0</v>
      </c>
      <c r="PM30" s="33" t="n">
        <v>0</v>
      </c>
      <c r="PN30" s="33" t="n">
        <v>0</v>
      </c>
      <c r="PO30" s="33" t="n">
        <v>0</v>
      </c>
      <c r="PP30" s="33" t="n">
        <v>0</v>
      </c>
      <c r="PQ30" s="33" t="n">
        <v>0</v>
      </c>
      <c r="PR30" s="33" t="n">
        <v>0</v>
      </c>
      <c r="PS30" s="33" t="n">
        <v>0</v>
      </c>
      <c r="PT30" s="33" t="n">
        <v>0</v>
      </c>
      <c r="PU30" s="33" t="n">
        <v>0</v>
      </c>
      <c r="PV30" s="33" t="n">
        <v>0</v>
      </c>
      <c r="PW30" s="33" t="n">
        <v>0</v>
      </c>
      <c r="PX30" s="33" t="n">
        <v>0</v>
      </c>
      <c r="PY30" s="33" t="n">
        <v>0</v>
      </c>
      <c r="PZ30" s="33" t="n">
        <v>0</v>
      </c>
      <c r="QA30" s="33" t="n">
        <v>0</v>
      </c>
      <c r="QB30" s="33" t="n">
        <v>0</v>
      </c>
      <c r="QC30" s="33" t="n">
        <v>0</v>
      </c>
      <c r="QD30" s="33" t="n">
        <v>0</v>
      </c>
      <c r="QE30" s="33" t="n">
        <v>0</v>
      </c>
      <c r="QF30" s="33" t="n">
        <v>0</v>
      </c>
      <c r="QG30" s="33" t="n">
        <v>0</v>
      </c>
      <c r="QH30" s="33" t="n">
        <v>0</v>
      </c>
      <c r="QI30" s="33" t="n">
        <v>0</v>
      </c>
      <c r="QJ30" s="33" t="n">
        <v>0</v>
      </c>
      <c r="QK30" s="33" t="n">
        <v>0</v>
      </c>
      <c r="QL30" s="33" t="n">
        <v>0</v>
      </c>
      <c r="QM30" s="33" t="n">
        <v>0</v>
      </c>
      <c r="QN30" s="33" t="n">
        <v>0</v>
      </c>
      <c r="QO30" s="33" t="n">
        <v>0</v>
      </c>
      <c r="QP30" s="33" t="n">
        <v>0</v>
      </c>
      <c r="QQ30" s="33" t="n">
        <v>0</v>
      </c>
      <c r="QR30" s="33" t="n">
        <v>0</v>
      </c>
      <c r="QS30" s="33" t="n">
        <v>0</v>
      </c>
      <c r="QT30" s="33" t="n">
        <v>0</v>
      </c>
      <c r="QU30" s="33" t="n">
        <v>0</v>
      </c>
      <c r="QV30" s="33" t="n">
        <v>0</v>
      </c>
      <c r="QW30" s="33" t="n">
        <v>0</v>
      </c>
      <c r="QX30" s="33" t="n">
        <v>0</v>
      </c>
      <c r="QY30" s="33" t="n">
        <v>0</v>
      </c>
      <c r="QZ30" s="33" t="n">
        <v>0</v>
      </c>
      <c r="RA30" s="33" t="n">
        <v>0</v>
      </c>
      <c r="RB30" s="33" t="n">
        <v>0</v>
      </c>
      <c r="RC30" s="33" t="n">
        <v>0</v>
      </c>
      <c r="RD30" s="33" t="n">
        <v>0</v>
      </c>
      <c r="RE30" s="33" t="n">
        <v>0</v>
      </c>
      <c r="RF30" s="33" t="n">
        <v>0</v>
      </c>
      <c r="RG30" s="33" t="n">
        <v>0</v>
      </c>
      <c r="RH30" s="33" t="n">
        <v>0</v>
      </c>
      <c r="RI30" s="33" t="n">
        <v>0</v>
      </c>
      <c r="RJ30" s="33" t="n">
        <v>0</v>
      </c>
      <c r="RK30" s="33" t="n">
        <v>0</v>
      </c>
      <c r="RL30" s="33" t="n">
        <v>0</v>
      </c>
      <c r="RM30" s="33" t="n">
        <v>0</v>
      </c>
      <c r="RN30" s="33" t="n">
        <v>0</v>
      </c>
      <c r="RO30" s="33" t="n">
        <v>0</v>
      </c>
      <c r="RP30" s="33" t="n">
        <v>0</v>
      </c>
      <c r="RQ30" s="33" t="n">
        <v>0</v>
      </c>
      <c r="RR30" s="33" t="n">
        <v>0</v>
      </c>
      <c r="RS30" s="33" t="n">
        <v>0</v>
      </c>
      <c r="RT30" s="33" t="n">
        <v>0</v>
      </c>
      <c r="RU30" s="33" t="n">
        <v>0</v>
      </c>
      <c r="RV30" s="33" t="n">
        <v>0</v>
      </c>
      <c r="RW30" s="33" t="n">
        <v>0</v>
      </c>
    </row>
    <row r="31" hidden="1" outlineLevel="1" ht="13.05" customHeight="1">
      <c r="E31" s="21" t="inlineStr">
        <is>
          <t>Contingency</t>
        </is>
      </c>
      <c r="F31" s="29" t="n"/>
      <c r="G31" s="29" t="inlineStr">
        <is>
          <t>kEUR</t>
        </is>
      </c>
      <c r="H31" s="29" t="n"/>
      <c r="I31" s="29" t="n"/>
      <c r="J31" s="32" t="n">
        <v>0</v>
      </c>
      <c r="K31" s="29" t="n"/>
      <c r="L31" s="33" t="n">
        <v>0</v>
      </c>
      <c r="M31" s="33" t="n">
        <v>0</v>
      </c>
      <c r="N31" s="33" t="n">
        <v>0</v>
      </c>
      <c r="O31" s="33" t="n">
        <v>0</v>
      </c>
      <c r="P31" s="33" t="n">
        <v>0</v>
      </c>
      <c r="Q31" s="33" t="n">
        <v>0</v>
      </c>
      <c r="R31" s="33" t="n">
        <v>0</v>
      </c>
      <c r="S31" s="33" t="n">
        <v>0</v>
      </c>
      <c r="T31" s="33" t="n">
        <v>0</v>
      </c>
      <c r="U31" s="33" t="n">
        <v>0</v>
      </c>
      <c r="V31" s="33" t="n">
        <v>0</v>
      </c>
      <c r="W31" s="33" t="n">
        <v>0</v>
      </c>
      <c r="X31" s="33" t="n">
        <v>0</v>
      </c>
      <c r="Y31" s="33" t="n">
        <v>0</v>
      </c>
      <c r="Z31" s="33" t="n">
        <v>0</v>
      </c>
      <c r="AA31" s="33" t="n">
        <v>0</v>
      </c>
      <c r="AB31" s="33" t="n">
        <v>0</v>
      </c>
      <c r="AC31" s="33" t="n">
        <v>0</v>
      </c>
      <c r="AD31" s="33" t="n">
        <v>0</v>
      </c>
      <c r="AE31" s="33" t="n">
        <v>0</v>
      </c>
      <c r="AF31" s="33" t="n">
        <v>0</v>
      </c>
      <c r="AG31" s="33" t="n">
        <v>0</v>
      </c>
      <c r="AH31" s="33" t="n">
        <v>0</v>
      </c>
      <c r="AI31" s="33" t="n">
        <v>0</v>
      </c>
      <c r="AJ31" s="33" t="n">
        <v>0</v>
      </c>
      <c r="AK31" s="33" t="n">
        <v>0</v>
      </c>
      <c r="AL31" s="33" t="n">
        <v>0</v>
      </c>
      <c r="AM31" s="33" t="n">
        <v>0</v>
      </c>
      <c r="AN31" s="33" t="n">
        <v>0</v>
      </c>
      <c r="AO31" s="33" t="n">
        <v>0</v>
      </c>
      <c r="AP31" s="33" t="n">
        <v>0</v>
      </c>
      <c r="AQ31" s="33" t="n">
        <v>0</v>
      </c>
      <c r="AR31" s="33" t="n">
        <v>0</v>
      </c>
      <c r="AS31" s="33" t="n">
        <v>0</v>
      </c>
      <c r="AT31" s="33" t="n">
        <v>0</v>
      </c>
      <c r="AU31" s="33" t="n">
        <v>0</v>
      </c>
      <c r="AV31" s="33" t="n">
        <v>0</v>
      </c>
      <c r="AW31" s="33" t="n">
        <v>0</v>
      </c>
      <c r="AX31" s="33" t="n">
        <v>0</v>
      </c>
      <c r="AY31" s="33" t="n">
        <v>0</v>
      </c>
      <c r="AZ31" s="33" t="n">
        <v>0</v>
      </c>
      <c r="BA31" s="33" t="n">
        <v>0</v>
      </c>
      <c r="BB31" s="33" t="n">
        <v>0</v>
      </c>
      <c r="BC31" s="33" t="n">
        <v>0</v>
      </c>
      <c r="BD31" s="33" t="n">
        <v>0</v>
      </c>
      <c r="BE31" s="33" t="n">
        <v>0</v>
      </c>
      <c r="BF31" s="33" t="n">
        <v>0</v>
      </c>
      <c r="BG31" s="33" t="n">
        <v>0</v>
      </c>
      <c r="BH31" s="33" t="n">
        <v>0</v>
      </c>
      <c r="BI31" s="33" t="n">
        <v>0</v>
      </c>
      <c r="BJ31" s="33" t="n">
        <v>0</v>
      </c>
      <c r="BK31" s="33" t="n">
        <v>0</v>
      </c>
      <c r="BL31" s="33" t="n">
        <v>0</v>
      </c>
      <c r="BM31" s="33" t="n">
        <v>0</v>
      </c>
      <c r="BN31" s="33" t="n">
        <v>0</v>
      </c>
      <c r="BO31" s="33" t="n">
        <v>0</v>
      </c>
      <c r="BP31" s="33" t="n">
        <v>0</v>
      </c>
      <c r="BQ31" s="33" t="n">
        <v>0</v>
      </c>
      <c r="BR31" s="33" t="n">
        <v>0</v>
      </c>
      <c r="BS31" s="33" t="n">
        <v>0</v>
      </c>
      <c r="BT31" s="33" t="n">
        <v>0</v>
      </c>
      <c r="BU31" s="33" t="n">
        <v>0</v>
      </c>
      <c r="BV31" s="33" t="n">
        <v>0</v>
      </c>
      <c r="BW31" s="33" t="n">
        <v>0</v>
      </c>
      <c r="BX31" s="33" t="n">
        <v>0</v>
      </c>
      <c r="BY31" s="33" t="n">
        <v>0</v>
      </c>
      <c r="BZ31" s="33" t="n">
        <v>0</v>
      </c>
      <c r="CA31" s="33" t="n">
        <v>0</v>
      </c>
      <c r="CB31" s="33" t="n">
        <v>0</v>
      </c>
      <c r="CC31" s="33" t="n">
        <v>0</v>
      </c>
      <c r="CD31" s="33" t="n">
        <v>0</v>
      </c>
      <c r="CE31" s="33" t="n">
        <v>0</v>
      </c>
      <c r="CF31" s="33" t="n">
        <v>0</v>
      </c>
      <c r="CG31" s="33" t="n">
        <v>0</v>
      </c>
      <c r="CH31" s="33" t="n">
        <v>0</v>
      </c>
      <c r="CI31" s="33" t="n">
        <v>0</v>
      </c>
      <c r="CJ31" s="33" t="n">
        <v>0</v>
      </c>
      <c r="CK31" s="33" t="n">
        <v>0</v>
      </c>
      <c r="CL31" s="33" t="n">
        <v>0</v>
      </c>
      <c r="CM31" s="33" t="n">
        <v>0</v>
      </c>
      <c r="CN31" s="33" t="n">
        <v>0</v>
      </c>
      <c r="CO31" s="33" t="n">
        <v>0</v>
      </c>
      <c r="CP31" s="33" t="n">
        <v>0</v>
      </c>
      <c r="CQ31" s="33" t="n">
        <v>0</v>
      </c>
      <c r="CR31" s="33" t="n">
        <v>0</v>
      </c>
      <c r="CS31" s="33" t="n">
        <v>0</v>
      </c>
      <c r="CT31" s="33" t="n">
        <v>0</v>
      </c>
      <c r="CU31" s="33" t="n">
        <v>0</v>
      </c>
      <c r="CV31" s="33" t="n">
        <v>0</v>
      </c>
      <c r="CW31" s="33" t="n">
        <v>0</v>
      </c>
      <c r="CX31" s="33" t="n">
        <v>0</v>
      </c>
      <c r="CY31" s="33" t="n">
        <v>0</v>
      </c>
      <c r="CZ31" s="33" t="n">
        <v>0</v>
      </c>
      <c r="DA31" s="33" t="n">
        <v>0</v>
      </c>
      <c r="DB31" s="33" t="n">
        <v>0</v>
      </c>
      <c r="DC31" s="33" t="n">
        <v>0</v>
      </c>
      <c r="DD31" s="33" t="n">
        <v>0</v>
      </c>
      <c r="DE31" s="33" t="n">
        <v>0</v>
      </c>
      <c r="DF31" s="33" t="n">
        <v>0</v>
      </c>
      <c r="DG31" s="33" t="n">
        <v>0</v>
      </c>
      <c r="DH31" s="33" t="n">
        <v>0</v>
      </c>
      <c r="DI31" s="33" t="n">
        <v>0</v>
      </c>
      <c r="DJ31" s="33" t="n">
        <v>0</v>
      </c>
      <c r="DK31" s="33" t="n">
        <v>0</v>
      </c>
      <c r="DL31" s="33" t="n">
        <v>0</v>
      </c>
      <c r="DM31" s="33" t="n">
        <v>0</v>
      </c>
      <c r="DN31" s="33" t="n">
        <v>0</v>
      </c>
      <c r="DO31" s="33" t="n">
        <v>0</v>
      </c>
      <c r="DP31" s="33" t="n">
        <v>0</v>
      </c>
      <c r="DQ31" s="33" t="n">
        <v>0</v>
      </c>
      <c r="DR31" s="33" t="n">
        <v>0</v>
      </c>
      <c r="DS31" s="33" t="n">
        <v>0</v>
      </c>
      <c r="DT31" s="33" t="n">
        <v>0</v>
      </c>
      <c r="DU31" s="33" t="n">
        <v>0</v>
      </c>
      <c r="DV31" s="33" t="n">
        <v>0</v>
      </c>
      <c r="DW31" s="33" t="n">
        <v>0</v>
      </c>
      <c r="DX31" s="33" t="n">
        <v>0</v>
      </c>
      <c r="DY31" s="33" t="n">
        <v>0</v>
      </c>
      <c r="DZ31" s="33" t="n">
        <v>0</v>
      </c>
      <c r="EA31" s="33" t="n">
        <v>0</v>
      </c>
      <c r="EB31" s="33" t="n">
        <v>0</v>
      </c>
      <c r="EC31" s="33" t="n">
        <v>0</v>
      </c>
      <c r="ED31" s="33" t="n">
        <v>0</v>
      </c>
      <c r="EE31" s="33" t="n">
        <v>0</v>
      </c>
      <c r="EF31" s="33" t="n">
        <v>0</v>
      </c>
      <c r="EG31" s="33" t="n">
        <v>0</v>
      </c>
      <c r="EH31" s="33" t="n">
        <v>0</v>
      </c>
      <c r="EI31" s="33" t="n">
        <v>0</v>
      </c>
      <c r="EJ31" s="33" t="n">
        <v>0</v>
      </c>
      <c r="EK31" s="33" t="n">
        <v>0</v>
      </c>
      <c r="EL31" s="33" t="n">
        <v>0</v>
      </c>
      <c r="EM31" s="33" t="n">
        <v>0</v>
      </c>
      <c r="EN31" s="33" t="n">
        <v>0</v>
      </c>
      <c r="EO31" s="33" t="n">
        <v>0</v>
      </c>
      <c r="EP31" s="33" t="n">
        <v>0</v>
      </c>
      <c r="EQ31" s="33" t="n">
        <v>0</v>
      </c>
      <c r="ER31" s="33" t="n">
        <v>0</v>
      </c>
      <c r="ES31" s="33" t="n">
        <v>0</v>
      </c>
      <c r="ET31" s="33" t="n">
        <v>0</v>
      </c>
      <c r="EU31" s="33" t="n">
        <v>0</v>
      </c>
      <c r="EV31" s="33" t="n">
        <v>0</v>
      </c>
      <c r="EW31" s="33" t="n">
        <v>0</v>
      </c>
      <c r="EX31" s="33" t="n">
        <v>0</v>
      </c>
      <c r="EY31" s="33" t="n">
        <v>0</v>
      </c>
      <c r="EZ31" s="33" t="n">
        <v>0</v>
      </c>
      <c r="FA31" s="33" t="n">
        <v>0</v>
      </c>
      <c r="FB31" s="33" t="n">
        <v>0</v>
      </c>
      <c r="FC31" s="33" t="n">
        <v>0</v>
      </c>
      <c r="FD31" s="33" t="n">
        <v>0</v>
      </c>
      <c r="FE31" s="33" t="n">
        <v>0</v>
      </c>
      <c r="FF31" s="33" t="n">
        <v>0</v>
      </c>
      <c r="FG31" s="33" t="n">
        <v>0</v>
      </c>
      <c r="FH31" s="33" t="n">
        <v>0</v>
      </c>
      <c r="FI31" s="33" t="n">
        <v>0</v>
      </c>
      <c r="FJ31" s="33" t="n">
        <v>0</v>
      </c>
      <c r="FK31" s="33" t="n">
        <v>0</v>
      </c>
      <c r="FL31" s="33" t="n">
        <v>0</v>
      </c>
      <c r="FM31" s="33" t="n">
        <v>0</v>
      </c>
      <c r="FN31" s="33" t="n">
        <v>0</v>
      </c>
      <c r="FO31" s="33" t="n">
        <v>0</v>
      </c>
      <c r="FP31" s="33" t="n">
        <v>0</v>
      </c>
      <c r="FQ31" s="33" t="n">
        <v>0</v>
      </c>
      <c r="FR31" s="33" t="n">
        <v>0</v>
      </c>
      <c r="FS31" s="33" t="n">
        <v>0</v>
      </c>
      <c r="FT31" s="33" t="n">
        <v>0</v>
      </c>
      <c r="FU31" s="33" t="n">
        <v>0</v>
      </c>
      <c r="FV31" s="33" t="n">
        <v>0</v>
      </c>
      <c r="FW31" s="33" t="n">
        <v>0</v>
      </c>
      <c r="FX31" s="33" t="n">
        <v>0</v>
      </c>
      <c r="FY31" s="33" t="n">
        <v>0</v>
      </c>
      <c r="FZ31" s="33" t="n">
        <v>0</v>
      </c>
      <c r="GA31" s="33" t="n">
        <v>0</v>
      </c>
      <c r="GB31" s="33" t="n">
        <v>0</v>
      </c>
      <c r="GC31" s="33" t="n">
        <v>0</v>
      </c>
      <c r="GD31" s="33" t="n">
        <v>0</v>
      </c>
      <c r="GE31" s="33" t="n">
        <v>0</v>
      </c>
      <c r="GF31" s="33" t="n">
        <v>0</v>
      </c>
      <c r="GG31" s="33" t="n">
        <v>0</v>
      </c>
      <c r="GH31" s="33" t="n">
        <v>0</v>
      </c>
      <c r="GI31" s="33" t="n">
        <v>0</v>
      </c>
      <c r="GJ31" s="33" t="n">
        <v>0</v>
      </c>
      <c r="GK31" s="33" t="n">
        <v>0</v>
      </c>
      <c r="GL31" s="33" t="n">
        <v>0</v>
      </c>
      <c r="GM31" s="33" t="n">
        <v>0</v>
      </c>
      <c r="GN31" s="33" t="n">
        <v>0</v>
      </c>
      <c r="GO31" s="33" t="n">
        <v>0</v>
      </c>
      <c r="GP31" s="33" t="n">
        <v>0</v>
      </c>
      <c r="GQ31" s="33" t="n">
        <v>0</v>
      </c>
      <c r="GR31" s="33" t="n">
        <v>0</v>
      </c>
      <c r="GS31" s="33" t="n">
        <v>0</v>
      </c>
      <c r="GT31" s="33" t="n">
        <v>0</v>
      </c>
      <c r="GU31" s="33" t="n">
        <v>0</v>
      </c>
      <c r="GV31" s="33" t="n">
        <v>0</v>
      </c>
      <c r="GW31" s="33" t="n">
        <v>0</v>
      </c>
      <c r="GX31" s="33" t="n">
        <v>0</v>
      </c>
      <c r="GY31" s="33" t="n">
        <v>0</v>
      </c>
      <c r="GZ31" s="33" t="n">
        <v>0</v>
      </c>
      <c r="HA31" s="33" t="n">
        <v>0</v>
      </c>
      <c r="HB31" s="33" t="n">
        <v>0</v>
      </c>
      <c r="HC31" s="33" t="n">
        <v>0</v>
      </c>
      <c r="HD31" s="33" t="n">
        <v>0</v>
      </c>
      <c r="HE31" s="33" t="n">
        <v>0</v>
      </c>
      <c r="HF31" s="33" t="n">
        <v>0</v>
      </c>
      <c r="HG31" s="33" t="n">
        <v>0</v>
      </c>
      <c r="HH31" s="33" t="n">
        <v>0</v>
      </c>
      <c r="HI31" s="33" t="n">
        <v>0</v>
      </c>
      <c r="HJ31" s="33" t="n">
        <v>0</v>
      </c>
      <c r="HK31" s="33" t="n">
        <v>0</v>
      </c>
      <c r="HL31" s="33" t="n">
        <v>0</v>
      </c>
      <c r="HM31" s="33" t="n">
        <v>0</v>
      </c>
      <c r="HN31" s="33" t="n">
        <v>0</v>
      </c>
      <c r="HO31" s="33" t="n">
        <v>0</v>
      </c>
      <c r="HP31" s="33" t="n">
        <v>0</v>
      </c>
      <c r="HQ31" s="33" t="n">
        <v>0</v>
      </c>
      <c r="HR31" s="33" t="n">
        <v>0</v>
      </c>
      <c r="HS31" s="33" t="n">
        <v>0</v>
      </c>
      <c r="HT31" s="33" t="n">
        <v>0</v>
      </c>
      <c r="HU31" s="33" t="n">
        <v>0</v>
      </c>
      <c r="HV31" s="33" t="n">
        <v>0</v>
      </c>
      <c r="HW31" s="33" t="n">
        <v>0</v>
      </c>
      <c r="HX31" s="33" t="n">
        <v>0</v>
      </c>
      <c r="HY31" s="33" t="n">
        <v>0</v>
      </c>
      <c r="HZ31" s="33" t="n">
        <v>0</v>
      </c>
      <c r="IA31" s="33" t="n">
        <v>0</v>
      </c>
      <c r="IB31" s="33" t="n">
        <v>0</v>
      </c>
      <c r="IC31" s="33" t="n">
        <v>0</v>
      </c>
      <c r="ID31" s="33" t="n">
        <v>0</v>
      </c>
      <c r="IE31" s="33" t="n">
        <v>0</v>
      </c>
      <c r="IF31" s="33" t="n">
        <v>0</v>
      </c>
      <c r="IG31" s="33" t="n">
        <v>0</v>
      </c>
      <c r="IH31" s="33" t="n">
        <v>0</v>
      </c>
      <c r="II31" s="33" t="n">
        <v>0</v>
      </c>
      <c r="IJ31" s="33" t="n">
        <v>0</v>
      </c>
      <c r="IK31" s="33" t="n">
        <v>0</v>
      </c>
      <c r="IL31" s="33" t="n">
        <v>0</v>
      </c>
      <c r="IM31" s="33" t="n">
        <v>0</v>
      </c>
      <c r="IN31" s="33" t="n">
        <v>0</v>
      </c>
      <c r="IO31" s="33" t="n">
        <v>0</v>
      </c>
      <c r="IP31" s="33" t="n">
        <v>0</v>
      </c>
      <c r="IQ31" s="33" t="n">
        <v>0</v>
      </c>
      <c r="IR31" s="33" t="n">
        <v>0</v>
      </c>
      <c r="IS31" s="33" t="n">
        <v>0</v>
      </c>
      <c r="IT31" s="33" t="n">
        <v>0</v>
      </c>
      <c r="IU31" s="33" t="n">
        <v>0</v>
      </c>
      <c r="IV31" s="33" t="n">
        <v>0</v>
      </c>
      <c r="IW31" s="33" t="n">
        <v>0</v>
      </c>
      <c r="IX31" s="33" t="n">
        <v>0</v>
      </c>
      <c r="IY31" s="33" t="n">
        <v>0</v>
      </c>
      <c r="IZ31" s="33" t="n">
        <v>0</v>
      </c>
      <c r="JA31" s="33" t="n">
        <v>0</v>
      </c>
      <c r="JB31" s="33" t="n">
        <v>0</v>
      </c>
      <c r="JC31" s="33" t="n">
        <v>0</v>
      </c>
      <c r="JD31" s="33" t="n">
        <v>0</v>
      </c>
      <c r="JE31" s="33" t="n">
        <v>0</v>
      </c>
      <c r="JF31" s="33" t="n">
        <v>0</v>
      </c>
      <c r="JG31" s="33" t="n">
        <v>0</v>
      </c>
      <c r="JH31" s="33" t="n">
        <v>0</v>
      </c>
      <c r="JI31" s="33" t="n">
        <v>0</v>
      </c>
      <c r="JJ31" s="33" t="n">
        <v>0</v>
      </c>
      <c r="JK31" s="33" t="n">
        <v>0</v>
      </c>
      <c r="JL31" s="33" t="n">
        <v>0</v>
      </c>
      <c r="JM31" s="33" t="n">
        <v>0</v>
      </c>
      <c r="JN31" s="33" t="n">
        <v>0</v>
      </c>
      <c r="JO31" s="33" t="n">
        <v>0</v>
      </c>
      <c r="JP31" s="33" t="n">
        <v>0</v>
      </c>
      <c r="JQ31" s="33" t="n">
        <v>0</v>
      </c>
      <c r="JR31" s="33" t="n">
        <v>0</v>
      </c>
      <c r="JS31" s="33" t="n">
        <v>0</v>
      </c>
      <c r="JT31" s="33" t="n">
        <v>0</v>
      </c>
      <c r="JU31" s="33" t="n">
        <v>0</v>
      </c>
      <c r="JV31" s="33" t="n">
        <v>0</v>
      </c>
      <c r="JW31" s="33" t="n">
        <v>0</v>
      </c>
      <c r="JX31" s="33" t="n">
        <v>0</v>
      </c>
      <c r="JY31" s="33" t="n">
        <v>0</v>
      </c>
      <c r="JZ31" s="33" t="n">
        <v>0</v>
      </c>
      <c r="KA31" s="33" t="n">
        <v>0</v>
      </c>
      <c r="KB31" s="33" t="n">
        <v>0</v>
      </c>
      <c r="KC31" s="33" t="n">
        <v>0</v>
      </c>
      <c r="KD31" s="33" t="n">
        <v>0</v>
      </c>
      <c r="KE31" s="33" t="n">
        <v>0</v>
      </c>
      <c r="KF31" s="33" t="n">
        <v>0</v>
      </c>
      <c r="KG31" s="33" t="n">
        <v>0</v>
      </c>
      <c r="KH31" s="33" t="n">
        <v>0</v>
      </c>
      <c r="KI31" s="33" t="n">
        <v>0</v>
      </c>
      <c r="KJ31" s="33" t="n">
        <v>0</v>
      </c>
      <c r="KK31" s="33" t="n">
        <v>0</v>
      </c>
      <c r="KL31" s="33" t="n">
        <v>0</v>
      </c>
      <c r="KM31" s="33" t="n">
        <v>0</v>
      </c>
      <c r="KN31" s="33" t="n">
        <v>0</v>
      </c>
      <c r="KO31" s="33" t="n">
        <v>0</v>
      </c>
      <c r="KP31" s="33" t="n">
        <v>0</v>
      </c>
      <c r="KQ31" s="33" t="n">
        <v>0</v>
      </c>
      <c r="KR31" s="33" t="n">
        <v>0</v>
      </c>
      <c r="KS31" s="33" t="n">
        <v>0</v>
      </c>
      <c r="KT31" s="33" t="n">
        <v>0</v>
      </c>
      <c r="KU31" s="33" t="n">
        <v>0</v>
      </c>
      <c r="KV31" s="33" t="n">
        <v>0</v>
      </c>
      <c r="KW31" s="33" t="n">
        <v>0</v>
      </c>
      <c r="KX31" s="33" t="n">
        <v>0</v>
      </c>
      <c r="KY31" s="33" t="n">
        <v>0</v>
      </c>
      <c r="KZ31" s="33" t="n">
        <v>0</v>
      </c>
      <c r="LA31" s="33" t="n">
        <v>0</v>
      </c>
      <c r="LB31" s="33" t="n">
        <v>0</v>
      </c>
      <c r="LC31" s="33" t="n">
        <v>0</v>
      </c>
      <c r="LD31" s="33" t="n">
        <v>0</v>
      </c>
      <c r="LE31" s="33" t="n">
        <v>0</v>
      </c>
      <c r="LF31" s="33" t="n">
        <v>0</v>
      </c>
      <c r="LG31" s="33" t="n">
        <v>0</v>
      </c>
      <c r="LH31" s="33" t="n">
        <v>0</v>
      </c>
      <c r="LI31" s="33" t="n">
        <v>0</v>
      </c>
      <c r="LJ31" s="33" t="n">
        <v>0</v>
      </c>
      <c r="LK31" s="33" t="n">
        <v>0</v>
      </c>
      <c r="LL31" s="33" t="n">
        <v>0</v>
      </c>
      <c r="LM31" s="33" t="n">
        <v>0</v>
      </c>
      <c r="LN31" s="33" t="n">
        <v>0</v>
      </c>
      <c r="LO31" s="33" t="n">
        <v>0</v>
      </c>
      <c r="LP31" s="33" t="n">
        <v>0</v>
      </c>
      <c r="LQ31" s="33" t="n">
        <v>0</v>
      </c>
      <c r="LR31" s="33" t="n">
        <v>0</v>
      </c>
      <c r="LS31" s="33" t="n">
        <v>0</v>
      </c>
      <c r="LT31" s="33" t="n">
        <v>0</v>
      </c>
      <c r="LU31" s="33" t="n">
        <v>0</v>
      </c>
      <c r="LV31" s="33" t="n">
        <v>0</v>
      </c>
      <c r="LW31" s="33" t="n">
        <v>0</v>
      </c>
      <c r="LX31" s="33" t="n">
        <v>0</v>
      </c>
      <c r="LY31" s="33" t="n">
        <v>0</v>
      </c>
      <c r="LZ31" s="33" t="n">
        <v>0</v>
      </c>
      <c r="MA31" s="33" t="n">
        <v>0</v>
      </c>
      <c r="MB31" s="33" t="n">
        <v>0</v>
      </c>
      <c r="MC31" s="33" t="n">
        <v>0</v>
      </c>
      <c r="MD31" s="33" t="n">
        <v>0</v>
      </c>
      <c r="ME31" s="33" t="n">
        <v>0</v>
      </c>
      <c r="MF31" s="33" t="n">
        <v>0</v>
      </c>
      <c r="MG31" s="33" t="n">
        <v>0</v>
      </c>
      <c r="MH31" s="33" t="n">
        <v>0</v>
      </c>
      <c r="MI31" s="33" t="n">
        <v>0</v>
      </c>
      <c r="MJ31" s="33" t="n">
        <v>0</v>
      </c>
      <c r="MK31" s="33" t="n">
        <v>0</v>
      </c>
      <c r="ML31" s="33" t="n">
        <v>0</v>
      </c>
      <c r="MM31" s="33" t="n">
        <v>0</v>
      </c>
      <c r="MN31" s="33" t="n">
        <v>0</v>
      </c>
      <c r="MO31" s="33" t="n">
        <v>0</v>
      </c>
      <c r="MP31" s="33" t="n">
        <v>0</v>
      </c>
      <c r="MQ31" s="33" t="n">
        <v>0</v>
      </c>
      <c r="MR31" s="33" t="n">
        <v>0</v>
      </c>
      <c r="MS31" s="33" t="n">
        <v>0</v>
      </c>
      <c r="MT31" s="33" t="n">
        <v>0</v>
      </c>
      <c r="MU31" s="33" t="n">
        <v>0</v>
      </c>
      <c r="MV31" s="33" t="n">
        <v>0</v>
      </c>
      <c r="MW31" s="33" t="n">
        <v>0</v>
      </c>
      <c r="MX31" s="33" t="n">
        <v>0</v>
      </c>
      <c r="MY31" s="33" t="n">
        <v>0</v>
      </c>
      <c r="MZ31" s="33" t="n">
        <v>0</v>
      </c>
      <c r="NA31" s="33" t="n">
        <v>0</v>
      </c>
      <c r="NB31" s="33" t="n">
        <v>0</v>
      </c>
      <c r="NC31" s="33" t="n">
        <v>0</v>
      </c>
      <c r="ND31" s="33" t="n">
        <v>0</v>
      </c>
      <c r="NE31" s="33" t="n">
        <v>0</v>
      </c>
      <c r="NF31" s="33" t="n">
        <v>0</v>
      </c>
      <c r="NG31" s="33" t="n">
        <v>0</v>
      </c>
      <c r="NH31" s="33" t="n">
        <v>0</v>
      </c>
      <c r="NI31" s="33" t="n">
        <v>0</v>
      </c>
      <c r="NJ31" s="33" t="n">
        <v>0</v>
      </c>
      <c r="NK31" s="33" t="n">
        <v>0</v>
      </c>
      <c r="NL31" s="33" t="n">
        <v>0</v>
      </c>
      <c r="NM31" s="33" t="n">
        <v>0</v>
      </c>
      <c r="NN31" s="33" t="n">
        <v>0</v>
      </c>
      <c r="NO31" s="33" t="n">
        <v>0</v>
      </c>
      <c r="NP31" s="33" t="n">
        <v>0</v>
      </c>
      <c r="NQ31" s="33" t="n">
        <v>0</v>
      </c>
      <c r="NR31" s="33" t="n">
        <v>0</v>
      </c>
      <c r="NS31" s="33" t="n">
        <v>0</v>
      </c>
      <c r="NT31" s="33" t="n">
        <v>0</v>
      </c>
      <c r="NU31" s="33" t="n">
        <v>0</v>
      </c>
      <c r="NV31" s="33" t="n">
        <v>0</v>
      </c>
      <c r="NW31" s="33" t="n">
        <v>0</v>
      </c>
      <c r="NX31" s="33" t="n">
        <v>0</v>
      </c>
      <c r="NY31" s="33" t="n">
        <v>0</v>
      </c>
      <c r="NZ31" s="33" t="n">
        <v>0</v>
      </c>
      <c r="OA31" s="33" t="n">
        <v>0</v>
      </c>
      <c r="OB31" s="33" t="n">
        <v>0</v>
      </c>
      <c r="OC31" s="33" t="n">
        <v>0</v>
      </c>
      <c r="OD31" s="33" t="n">
        <v>0</v>
      </c>
      <c r="OE31" s="33" t="n">
        <v>0</v>
      </c>
      <c r="OF31" s="33" t="n">
        <v>0</v>
      </c>
      <c r="OG31" s="33" t="n">
        <v>0</v>
      </c>
      <c r="OH31" s="33" t="n">
        <v>0</v>
      </c>
      <c r="OI31" s="33" t="n">
        <v>0</v>
      </c>
      <c r="OJ31" s="33" t="n">
        <v>0</v>
      </c>
      <c r="OK31" s="33" t="n">
        <v>0</v>
      </c>
      <c r="OL31" s="33" t="n">
        <v>0</v>
      </c>
      <c r="OM31" s="33" t="n">
        <v>0</v>
      </c>
      <c r="ON31" s="33" t="n">
        <v>0</v>
      </c>
      <c r="OO31" s="33" t="n">
        <v>0</v>
      </c>
      <c r="OP31" s="33" t="n">
        <v>0</v>
      </c>
      <c r="OQ31" s="33" t="n">
        <v>0</v>
      </c>
      <c r="OR31" s="33" t="n">
        <v>0</v>
      </c>
      <c r="OS31" s="33" t="n">
        <v>0</v>
      </c>
      <c r="OT31" s="33" t="n">
        <v>0</v>
      </c>
      <c r="OU31" s="33" t="n">
        <v>0</v>
      </c>
      <c r="OV31" s="33" t="n">
        <v>0</v>
      </c>
      <c r="OW31" s="33" t="n">
        <v>0</v>
      </c>
      <c r="OX31" s="33" t="n">
        <v>0</v>
      </c>
      <c r="OY31" s="33" t="n">
        <v>0</v>
      </c>
      <c r="OZ31" s="33" t="n">
        <v>0</v>
      </c>
      <c r="PA31" s="33" t="n">
        <v>0</v>
      </c>
      <c r="PB31" s="33" t="n">
        <v>0</v>
      </c>
      <c r="PC31" s="33" t="n">
        <v>0</v>
      </c>
      <c r="PD31" s="33" t="n">
        <v>0</v>
      </c>
      <c r="PE31" s="33" t="n">
        <v>0</v>
      </c>
      <c r="PF31" s="33" t="n">
        <v>0</v>
      </c>
      <c r="PG31" s="33" t="n">
        <v>0</v>
      </c>
      <c r="PH31" s="33" t="n">
        <v>0</v>
      </c>
      <c r="PI31" s="33" t="n">
        <v>0</v>
      </c>
      <c r="PJ31" s="33" t="n">
        <v>0</v>
      </c>
      <c r="PK31" s="33" t="n">
        <v>0</v>
      </c>
      <c r="PL31" s="33" t="n">
        <v>0</v>
      </c>
      <c r="PM31" s="33" t="n">
        <v>0</v>
      </c>
      <c r="PN31" s="33" t="n">
        <v>0</v>
      </c>
      <c r="PO31" s="33" t="n">
        <v>0</v>
      </c>
      <c r="PP31" s="33" t="n">
        <v>0</v>
      </c>
      <c r="PQ31" s="33" t="n">
        <v>0</v>
      </c>
      <c r="PR31" s="33" t="n">
        <v>0</v>
      </c>
      <c r="PS31" s="33" t="n">
        <v>0</v>
      </c>
      <c r="PT31" s="33" t="n">
        <v>0</v>
      </c>
      <c r="PU31" s="33" t="n">
        <v>0</v>
      </c>
      <c r="PV31" s="33" t="n">
        <v>0</v>
      </c>
      <c r="PW31" s="33" t="n">
        <v>0</v>
      </c>
      <c r="PX31" s="33" t="n">
        <v>0</v>
      </c>
      <c r="PY31" s="33" t="n">
        <v>0</v>
      </c>
      <c r="PZ31" s="33" t="n">
        <v>0</v>
      </c>
      <c r="QA31" s="33" t="n">
        <v>0</v>
      </c>
      <c r="QB31" s="33" t="n">
        <v>0</v>
      </c>
      <c r="QC31" s="33" t="n">
        <v>0</v>
      </c>
      <c r="QD31" s="33" t="n">
        <v>0</v>
      </c>
      <c r="QE31" s="33" t="n">
        <v>0</v>
      </c>
      <c r="QF31" s="33" t="n">
        <v>0</v>
      </c>
      <c r="QG31" s="33" t="n">
        <v>0</v>
      </c>
      <c r="QH31" s="33" t="n">
        <v>0</v>
      </c>
      <c r="QI31" s="33" t="n">
        <v>0</v>
      </c>
      <c r="QJ31" s="33" t="n">
        <v>0</v>
      </c>
      <c r="QK31" s="33" t="n">
        <v>0</v>
      </c>
      <c r="QL31" s="33" t="n">
        <v>0</v>
      </c>
      <c r="QM31" s="33" t="n">
        <v>0</v>
      </c>
      <c r="QN31" s="33" t="n">
        <v>0</v>
      </c>
      <c r="QO31" s="33" t="n">
        <v>0</v>
      </c>
      <c r="QP31" s="33" t="n">
        <v>0</v>
      </c>
      <c r="QQ31" s="33" t="n">
        <v>0</v>
      </c>
      <c r="QR31" s="33" t="n">
        <v>0</v>
      </c>
      <c r="QS31" s="33" t="n">
        <v>0</v>
      </c>
      <c r="QT31" s="33" t="n">
        <v>0</v>
      </c>
      <c r="QU31" s="33" t="n">
        <v>0</v>
      </c>
      <c r="QV31" s="33" t="n">
        <v>0</v>
      </c>
      <c r="QW31" s="33" t="n">
        <v>0</v>
      </c>
      <c r="QX31" s="33" t="n">
        <v>0</v>
      </c>
      <c r="QY31" s="33" t="n">
        <v>0</v>
      </c>
      <c r="QZ31" s="33" t="n">
        <v>0</v>
      </c>
      <c r="RA31" s="33" t="n">
        <v>0</v>
      </c>
      <c r="RB31" s="33" t="n">
        <v>0</v>
      </c>
      <c r="RC31" s="33" t="n">
        <v>0</v>
      </c>
      <c r="RD31" s="33" t="n">
        <v>0</v>
      </c>
      <c r="RE31" s="33" t="n">
        <v>0</v>
      </c>
      <c r="RF31" s="33" t="n">
        <v>0</v>
      </c>
      <c r="RG31" s="33" t="n">
        <v>0</v>
      </c>
      <c r="RH31" s="33" t="n">
        <v>0</v>
      </c>
      <c r="RI31" s="33" t="n">
        <v>0</v>
      </c>
      <c r="RJ31" s="33" t="n">
        <v>0</v>
      </c>
      <c r="RK31" s="33" t="n">
        <v>0</v>
      </c>
      <c r="RL31" s="33" t="n">
        <v>0</v>
      </c>
      <c r="RM31" s="33" t="n">
        <v>0</v>
      </c>
      <c r="RN31" s="33" t="n">
        <v>0</v>
      </c>
      <c r="RO31" s="33" t="n">
        <v>0</v>
      </c>
      <c r="RP31" s="33" t="n">
        <v>0</v>
      </c>
      <c r="RQ31" s="33" t="n">
        <v>0</v>
      </c>
      <c r="RR31" s="33" t="n">
        <v>0</v>
      </c>
      <c r="RS31" s="33" t="n">
        <v>0</v>
      </c>
      <c r="RT31" s="33" t="n">
        <v>0</v>
      </c>
      <c r="RU31" s="33" t="n">
        <v>0</v>
      </c>
      <c r="RV31" s="33" t="n">
        <v>0</v>
      </c>
      <c r="RW31" s="33" t="n">
        <v>0</v>
      </c>
    </row>
    <row r="32" hidden="1" outlineLevel="1" ht="13.05" customHeight="1">
      <c r="E32" s="21" t="inlineStr">
        <is>
          <t>Other</t>
        </is>
      </c>
      <c r="F32" s="29" t="n"/>
      <c r="G32" s="29" t="inlineStr">
        <is>
          <t>kEUR</t>
        </is>
      </c>
      <c r="H32" s="29" t="n"/>
      <c r="I32" s="29" t="n"/>
      <c r="J32" s="32" t="n">
        <v>0</v>
      </c>
      <c r="K32" s="29" t="n"/>
      <c r="L32" s="33" t="n">
        <v>0</v>
      </c>
      <c r="M32" s="33" t="n">
        <v>0</v>
      </c>
      <c r="N32" s="33" t="n">
        <v>0</v>
      </c>
      <c r="O32" s="33" t="n">
        <v>0</v>
      </c>
      <c r="P32" s="33" t="n">
        <v>0</v>
      </c>
      <c r="Q32" s="33" t="n">
        <v>0</v>
      </c>
      <c r="R32" s="33" t="n">
        <v>0</v>
      </c>
      <c r="S32" s="33" t="n">
        <v>0</v>
      </c>
      <c r="T32" s="33" t="n">
        <v>0</v>
      </c>
      <c r="U32" s="33" t="n">
        <v>0</v>
      </c>
      <c r="V32" s="33" t="n">
        <v>0</v>
      </c>
      <c r="W32" s="33" t="n">
        <v>0</v>
      </c>
      <c r="X32" s="33" t="n">
        <v>0</v>
      </c>
      <c r="Y32" s="33" t="n">
        <v>0</v>
      </c>
      <c r="Z32" s="33" t="n">
        <v>0</v>
      </c>
      <c r="AA32" s="33" t="n">
        <v>0</v>
      </c>
      <c r="AB32" s="33" t="n">
        <v>0</v>
      </c>
      <c r="AC32" s="33" t="n">
        <v>0</v>
      </c>
      <c r="AD32" s="33" t="n">
        <v>0</v>
      </c>
      <c r="AE32" s="33" t="n">
        <v>0</v>
      </c>
      <c r="AF32" s="33" t="n">
        <v>0</v>
      </c>
      <c r="AG32" s="33" t="n">
        <v>0</v>
      </c>
      <c r="AH32" s="33" t="n">
        <v>0</v>
      </c>
      <c r="AI32" s="33" t="n">
        <v>0</v>
      </c>
      <c r="AJ32" s="33" t="n">
        <v>0</v>
      </c>
      <c r="AK32" s="33" t="n">
        <v>0</v>
      </c>
      <c r="AL32" s="33" t="n">
        <v>0</v>
      </c>
      <c r="AM32" s="33" t="n">
        <v>0</v>
      </c>
      <c r="AN32" s="33" t="n">
        <v>0</v>
      </c>
      <c r="AO32" s="33" t="n">
        <v>0</v>
      </c>
      <c r="AP32" s="33" t="n">
        <v>0</v>
      </c>
      <c r="AQ32" s="33" t="n">
        <v>0</v>
      </c>
      <c r="AR32" s="33" t="n">
        <v>0</v>
      </c>
      <c r="AS32" s="33" t="n">
        <v>0</v>
      </c>
      <c r="AT32" s="33" t="n">
        <v>0</v>
      </c>
      <c r="AU32" s="33" t="n">
        <v>0</v>
      </c>
      <c r="AV32" s="33" t="n">
        <v>0</v>
      </c>
      <c r="AW32" s="33" t="n">
        <v>0</v>
      </c>
      <c r="AX32" s="33" t="n">
        <v>0</v>
      </c>
      <c r="AY32" s="33" t="n">
        <v>0</v>
      </c>
      <c r="AZ32" s="33" t="n">
        <v>0</v>
      </c>
      <c r="BA32" s="33" t="n">
        <v>0</v>
      </c>
      <c r="BB32" s="33" t="n">
        <v>0</v>
      </c>
      <c r="BC32" s="33" t="n">
        <v>0</v>
      </c>
      <c r="BD32" s="33" t="n">
        <v>0</v>
      </c>
      <c r="BE32" s="33" t="n">
        <v>0</v>
      </c>
      <c r="BF32" s="33" t="n">
        <v>0</v>
      </c>
      <c r="BG32" s="33" t="n">
        <v>0</v>
      </c>
      <c r="BH32" s="33" t="n">
        <v>0</v>
      </c>
      <c r="BI32" s="33" t="n">
        <v>0</v>
      </c>
      <c r="BJ32" s="33" t="n">
        <v>0</v>
      </c>
      <c r="BK32" s="33" t="n">
        <v>0</v>
      </c>
      <c r="BL32" s="33" t="n">
        <v>0</v>
      </c>
      <c r="BM32" s="33" t="n">
        <v>0</v>
      </c>
      <c r="BN32" s="33" t="n">
        <v>0</v>
      </c>
      <c r="BO32" s="33" t="n">
        <v>0</v>
      </c>
      <c r="BP32" s="33" t="n">
        <v>0</v>
      </c>
      <c r="BQ32" s="33" t="n">
        <v>0</v>
      </c>
      <c r="BR32" s="33" t="n">
        <v>0</v>
      </c>
      <c r="BS32" s="33" t="n">
        <v>0</v>
      </c>
      <c r="BT32" s="33" t="n">
        <v>0</v>
      </c>
      <c r="BU32" s="33" t="n">
        <v>0</v>
      </c>
      <c r="BV32" s="33" t="n">
        <v>0</v>
      </c>
      <c r="BW32" s="33" t="n">
        <v>0</v>
      </c>
      <c r="BX32" s="33" t="n">
        <v>0</v>
      </c>
      <c r="BY32" s="33" t="n">
        <v>0</v>
      </c>
      <c r="BZ32" s="33" t="n">
        <v>0</v>
      </c>
      <c r="CA32" s="33" t="n">
        <v>0</v>
      </c>
      <c r="CB32" s="33" t="n">
        <v>0</v>
      </c>
      <c r="CC32" s="33" t="n">
        <v>0</v>
      </c>
      <c r="CD32" s="33" t="n">
        <v>0</v>
      </c>
      <c r="CE32" s="33" t="n">
        <v>0</v>
      </c>
      <c r="CF32" s="33" t="n">
        <v>0</v>
      </c>
      <c r="CG32" s="33" t="n">
        <v>0</v>
      </c>
      <c r="CH32" s="33" t="n">
        <v>0</v>
      </c>
      <c r="CI32" s="33" t="n">
        <v>0</v>
      </c>
      <c r="CJ32" s="33" t="n">
        <v>0</v>
      </c>
      <c r="CK32" s="33" t="n">
        <v>0</v>
      </c>
      <c r="CL32" s="33" t="n">
        <v>0</v>
      </c>
      <c r="CM32" s="33" t="n">
        <v>0</v>
      </c>
      <c r="CN32" s="33" t="n">
        <v>0</v>
      </c>
      <c r="CO32" s="33" t="n">
        <v>0</v>
      </c>
      <c r="CP32" s="33" t="n">
        <v>0</v>
      </c>
      <c r="CQ32" s="33" t="n">
        <v>0</v>
      </c>
      <c r="CR32" s="33" t="n">
        <v>0</v>
      </c>
      <c r="CS32" s="33" t="n">
        <v>0</v>
      </c>
      <c r="CT32" s="33" t="n">
        <v>0</v>
      </c>
      <c r="CU32" s="33" t="n">
        <v>0</v>
      </c>
      <c r="CV32" s="33" t="n">
        <v>0</v>
      </c>
      <c r="CW32" s="33" t="n">
        <v>0</v>
      </c>
      <c r="CX32" s="33" t="n">
        <v>0</v>
      </c>
      <c r="CY32" s="33" t="n">
        <v>0</v>
      </c>
      <c r="CZ32" s="33" t="n">
        <v>0</v>
      </c>
      <c r="DA32" s="33" t="n">
        <v>0</v>
      </c>
      <c r="DB32" s="33" t="n">
        <v>0</v>
      </c>
      <c r="DC32" s="33" t="n">
        <v>0</v>
      </c>
      <c r="DD32" s="33" t="n">
        <v>0</v>
      </c>
      <c r="DE32" s="33" t="n">
        <v>0</v>
      </c>
      <c r="DF32" s="33" t="n">
        <v>0</v>
      </c>
      <c r="DG32" s="33" t="n">
        <v>0</v>
      </c>
      <c r="DH32" s="33" t="n">
        <v>0</v>
      </c>
      <c r="DI32" s="33" t="n">
        <v>0</v>
      </c>
      <c r="DJ32" s="33" t="n">
        <v>0</v>
      </c>
      <c r="DK32" s="33" t="n">
        <v>0</v>
      </c>
      <c r="DL32" s="33" t="n">
        <v>0</v>
      </c>
      <c r="DM32" s="33" t="n">
        <v>0</v>
      </c>
      <c r="DN32" s="33" t="n">
        <v>0</v>
      </c>
      <c r="DO32" s="33" t="n">
        <v>0</v>
      </c>
      <c r="DP32" s="33" t="n">
        <v>0</v>
      </c>
      <c r="DQ32" s="33" t="n">
        <v>0</v>
      </c>
      <c r="DR32" s="33" t="n">
        <v>0</v>
      </c>
      <c r="DS32" s="33" t="n">
        <v>0</v>
      </c>
      <c r="DT32" s="33" t="n">
        <v>0</v>
      </c>
      <c r="DU32" s="33" t="n">
        <v>0</v>
      </c>
      <c r="DV32" s="33" t="n">
        <v>0</v>
      </c>
      <c r="DW32" s="33" t="n">
        <v>0</v>
      </c>
      <c r="DX32" s="33" t="n">
        <v>0</v>
      </c>
      <c r="DY32" s="33" t="n">
        <v>0</v>
      </c>
      <c r="DZ32" s="33" t="n">
        <v>0</v>
      </c>
      <c r="EA32" s="33" t="n">
        <v>0</v>
      </c>
      <c r="EB32" s="33" t="n">
        <v>0</v>
      </c>
      <c r="EC32" s="33" t="n">
        <v>0</v>
      </c>
      <c r="ED32" s="33" t="n">
        <v>0</v>
      </c>
      <c r="EE32" s="33" t="n">
        <v>0</v>
      </c>
      <c r="EF32" s="33" t="n">
        <v>0</v>
      </c>
      <c r="EG32" s="33" t="n">
        <v>0</v>
      </c>
      <c r="EH32" s="33" t="n">
        <v>0</v>
      </c>
      <c r="EI32" s="33" t="n">
        <v>0</v>
      </c>
      <c r="EJ32" s="33" t="n">
        <v>0</v>
      </c>
      <c r="EK32" s="33" t="n">
        <v>0</v>
      </c>
      <c r="EL32" s="33" t="n">
        <v>0</v>
      </c>
      <c r="EM32" s="33" t="n">
        <v>0</v>
      </c>
      <c r="EN32" s="33" t="n">
        <v>0</v>
      </c>
      <c r="EO32" s="33" t="n">
        <v>0</v>
      </c>
      <c r="EP32" s="33" t="n">
        <v>0</v>
      </c>
      <c r="EQ32" s="33" t="n">
        <v>0</v>
      </c>
      <c r="ER32" s="33" t="n">
        <v>0</v>
      </c>
      <c r="ES32" s="33" t="n">
        <v>0</v>
      </c>
      <c r="ET32" s="33" t="n">
        <v>0</v>
      </c>
      <c r="EU32" s="33" t="n">
        <v>0</v>
      </c>
      <c r="EV32" s="33" t="n">
        <v>0</v>
      </c>
      <c r="EW32" s="33" t="n">
        <v>0</v>
      </c>
      <c r="EX32" s="33" t="n">
        <v>0</v>
      </c>
      <c r="EY32" s="33" t="n">
        <v>0</v>
      </c>
      <c r="EZ32" s="33" t="n">
        <v>0</v>
      </c>
      <c r="FA32" s="33" t="n">
        <v>0</v>
      </c>
      <c r="FB32" s="33" t="n">
        <v>0</v>
      </c>
      <c r="FC32" s="33" t="n">
        <v>0</v>
      </c>
      <c r="FD32" s="33" t="n">
        <v>0</v>
      </c>
      <c r="FE32" s="33" t="n">
        <v>0</v>
      </c>
      <c r="FF32" s="33" t="n">
        <v>0</v>
      </c>
      <c r="FG32" s="33" t="n">
        <v>0</v>
      </c>
      <c r="FH32" s="33" t="n">
        <v>0</v>
      </c>
      <c r="FI32" s="33" t="n">
        <v>0</v>
      </c>
      <c r="FJ32" s="33" t="n">
        <v>0</v>
      </c>
      <c r="FK32" s="33" t="n">
        <v>0</v>
      </c>
      <c r="FL32" s="33" t="n">
        <v>0</v>
      </c>
      <c r="FM32" s="33" t="n">
        <v>0</v>
      </c>
      <c r="FN32" s="33" t="n">
        <v>0</v>
      </c>
      <c r="FO32" s="33" t="n">
        <v>0</v>
      </c>
      <c r="FP32" s="33" t="n">
        <v>0</v>
      </c>
      <c r="FQ32" s="33" t="n">
        <v>0</v>
      </c>
      <c r="FR32" s="33" t="n">
        <v>0</v>
      </c>
      <c r="FS32" s="33" t="n">
        <v>0</v>
      </c>
      <c r="FT32" s="33" t="n">
        <v>0</v>
      </c>
      <c r="FU32" s="33" t="n">
        <v>0</v>
      </c>
      <c r="FV32" s="33" t="n">
        <v>0</v>
      </c>
      <c r="FW32" s="33" t="n">
        <v>0</v>
      </c>
      <c r="FX32" s="33" t="n">
        <v>0</v>
      </c>
      <c r="FY32" s="33" t="n">
        <v>0</v>
      </c>
      <c r="FZ32" s="33" t="n">
        <v>0</v>
      </c>
      <c r="GA32" s="33" t="n">
        <v>0</v>
      </c>
      <c r="GB32" s="33" t="n">
        <v>0</v>
      </c>
      <c r="GC32" s="33" t="n">
        <v>0</v>
      </c>
      <c r="GD32" s="33" t="n">
        <v>0</v>
      </c>
      <c r="GE32" s="33" t="n">
        <v>0</v>
      </c>
      <c r="GF32" s="33" t="n">
        <v>0</v>
      </c>
      <c r="GG32" s="33" t="n">
        <v>0</v>
      </c>
      <c r="GH32" s="33" t="n">
        <v>0</v>
      </c>
      <c r="GI32" s="33" t="n">
        <v>0</v>
      </c>
      <c r="GJ32" s="33" t="n">
        <v>0</v>
      </c>
      <c r="GK32" s="33" t="n">
        <v>0</v>
      </c>
      <c r="GL32" s="33" t="n">
        <v>0</v>
      </c>
      <c r="GM32" s="33" t="n">
        <v>0</v>
      </c>
      <c r="GN32" s="33" t="n">
        <v>0</v>
      </c>
      <c r="GO32" s="33" t="n">
        <v>0</v>
      </c>
      <c r="GP32" s="33" t="n">
        <v>0</v>
      </c>
      <c r="GQ32" s="33" t="n">
        <v>0</v>
      </c>
      <c r="GR32" s="33" t="n">
        <v>0</v>
      </c>
      <c r="GS32" s="33" t="n">
        <v>0</v>
      </c>
      <c r="GT32" s="33" t="n">
        <v>0</v>
      </c>
      <c r="GU32" s="33" t="n">
        <v>0</v>
      </c>
      <c r="GV32" s="33" t="n">
        <v>0</v>
      </c>
      <c r="GW32" s="33" t="n">
        <v>0</v>
      </c>
      <c r="GX32" s="33" t="n">
        <v>0</v>
      </c>
      <c r="GY32" s="33" t="n">
        <v>0</v>
      </c>
      <c r="GZ32" s="33" t="n">
        <v>0</v>
      </c>
      <c r="HA32" s="33" t="n">
        <v>0</v>
      </c>
      <c r="HB32" s="33" t="n">
        <v>0</v>
      </c>
      <c r="HC32" s="33" t="n">
        <v>0</v>
      </c>
      <c r="HD32" s="33" t="n">
        <v>0</v>
      </c>
      <c r="HE32" s="33" t="n">
        <v>0</v>
      </c>
      <c r="HF32" s="33" t="n">
        <v>0</v>
      </c>
      <c r="HG32" s="33" t="n">
        <v>0</v>
      </c>
      <c r="HH32" s="33" t="n">
        <v>0</v>
      </c>
      <c r="HI32" s="33" t="n">
        <v>0</v>
      </c>
      <c r="HJ32" s="33" t="n">
        <v>0</v>
      </c>
      <c r="HK32" s="33" t="n">
        <v>0</v>
      </c>
      <c r="HL32" s="33" t="n">
        <v>0</v>
      </c>
      <c r="HM32" s="33" t="n">
        <v>0</v>
      </c>
      <c r="HN32" s="33" t="n">
        <v>0</v>
      </c>
      <c r="HO32" s="33" t="n">
        <v>0</v>
      </c>
      <c r="HP32" s="33" t="n">
        <v>0</v>
      </c>
      <c r="HQ32" s="33" t="n">
        <v>0</v>
      </c>
      <c r="HR32" s="33" t="n">
        <v>0</v>
      </c>
      <c r="HS32" s="33" t="n">
        <v>0</v>
      </c>
      <c r="HT32" s="33" t="n">
        <v>0</v>
      </c>
      <c r="HU32" s="33" t="n">
        <v>0</v>
      </c>
      <c r="HV32" s="33" t="n">
        <v>0</v>
      </c>
      <c r="HW32" s="33" t="n">
        <v>0</v>
      </c>
      <c r="HX32" s="33" t="n">
        <v>0</v>
      </c>
      <c r="HY32" s="33" t="n">
        <v>0</v>
      </c>
      <c r="HZ32" s="33" t="n">
        <v>0</v>
      </c>
      <c r="IA32" s="33" t="n">
        <v>0</v>
      </c>
      <c r="IB32" s="33" t="n">
        <v>0</v>
      </c>
      <c r="IC32" s="33" t="n">
        <v>0</v>
      </c>
      <c r="ID32" s="33" t="n">
        <v>0</v>
      </c>
      <c r="IE32" s="33" t="n">
        <v>0</v>
      </c>
      <c r="IF32" s="33" t="n">
        <v>0</v>
      </c>
      <c r="IG32" s="33" t="n">
        <v>0</v>
      </c>
      <c r="IH32" s="33" t="n">
        <v>0</v>
      </c>
      <c r="II32" s="33" t="n">
        <v>0</v>
      </c>
      <c r="IJ32" s="33" t="n">
        <v>0</v>
      </c>
      <c r="IK32" s="33" t="n">
        <v>0</v>
      </c>
      <c r="IL32" s="33" t="n">
        <v>0</v>
      </c>
      <c r="IM32" s="33" t="n">
        <v>0</v>
      </c>
      <c r="IN32" s="33" t="n">
        <v>0</v>
      </c>
      <c r="IO32" s="33" t="n">
        <v>0</v>
      </c>
      <c r="IP32" s="33" t="n">
        <v>0</v>
      </c>
      <c r="IQ32" s="33" t="n">
        <v>0</v>
      </c>
      <c r="IR32" s="33" t="n">
        <v>0</v>
      </c>
      <c r="IS32" s="33" t="n">
        <v>0</v>
      </c>
      <c r="IT32" s="33" t="n">
        <v>0</v>
      </c>
      <c r="IU32" s="33" t="n">
        <v>0</v>
      </c>
      <c r="IV32" s="33" t="n">
        <v>0</v>
      </c>
      <c r="IW32" s="33" t="n">
        <v>0</v>
      </c>
      <c r="IX32" s="33" t="n">
        <v>0</v>
      </c>
      <c r="IY32" s="33" t="n">
        <v>0</v>
      </c>
      <c r="IZ32" s="33" t="n">
        <v>0</v>
      </c>
      <c r="JA32" s="33" t="n">
        <v>0</v>
      </c>
      <c r="JB32" s="33" t="n">
        <v>0</v>
      </c>
      <c r="JC32" s="33" t="n">
        <v>0</v>
      </c>
      <c r="JD32" s="33" t="n">
        <v>0</v>
      </c>
      <c r="JE32" s="33" t="n">
        <v>0</v>
      </c>
      <c r="JF32" s="33" t="n">
        <v>0</v>
      </c>
      <c r="JG32" s="33" t="n">
        <v>0</v>
      </c>
      <c r="JH32" s="33" t="n">
        <v>0</v>
      </c>
      <c r="JI32" s="33" t="n">
        <v>0</v>
      </c>
      <c r="JJ32" s="33" t="n">
        <v>0</v>
      </c>
      <c r="JK32" s="33" t="n">
        <v>0</v>
      </c>
      <c r="JL32" s="33" t="n">
        <v>0</v>
      </c>
      <c r="JM32" s="33" t="n">
        <v>0</v>
      </c>
      <c r="JN32" s="33" t="n">
        <v>0</v>
      </c>
      <c r="JO32" s="33" t="n">
        <v>0</v>
      </c>
      <c r="JP32" s="33" t="n">
        <v>0</v>
      </c>
      <c r="JQ32" s="33" t="n">
        <v>0</v>
      </c>
      <c r="JR32" s="33" t="n">
        <v>0</v>
      </c>
      <c r="JS32" s="33" t="n">
        <v>0</v>
      </c>
      <c r="JT32" s="33" t="n">
        <v>0</v>
      </c>
      <c r="JU32" s="33" t="n">
        <v>0</v>
      </c>
      <c r="JV32" s="33" t="n">
        <v>0</v>
      </c>
      <c r="JW32" s="33" t="n">
        <v>0</v>
      </c>
      <c r="JX32" s="33" t="n">
        <v>0</v>
      </c>
      <c r="JY32" s="33" t="n">
        <v>0</v>
      </c>
      <c r="JZ32" s="33" t="n">
        <v>0</v>
      </c>
      <c r="KA32" s="33" t="n">
        <v>0</v>
      </c>
      <c r="KB32" s="33" t="n">
        <v>0</v>
      </c>
      <c r="KC32" s="33" t="n">
        <v>0</v>
      </c>
      <c r="KD32" s="33" t="n">
        <v>0</v>
      </c>
      <c r="KE32" s="33" t="n">
        <v>0</v>
      </c>
      <c r="KF32" s="33" t="n">
        <v>0</v>
      </c>
      <c r="KG32" s="33" t="n">
        <v>0</v>
      </c>
      <c r="KH32" s="33" t="n">
        <v>0</v>
      </c>
      <c r="KI32" s="33" t="n">
        <v>0</v>
      </c>
      <c r="KJ32" s="33" t="n">
        <v>0</v>
      </c>
      <c r="KK32" s="33" t="n">
        <v>0</v>
      </c>
      <c r="KL32" s="33" t="n">
        <v>0</v>
      </c>
      <c r="KM32" s="33" t="n">
        <v>0</v>
      </c>
      <c r="KN32" s="33" t="n">
        <v>0</v>
      </c>
      <c r="KO32" s="33" t="n">
        <v>0</v>
      </c>
      <c r="KP32" s="33" t="n">
        <v>0</v>
      </c>
      <c r="KQ32" s="33" t="n">
        <v>0</v>
      </c>
      <c r="KR32" s="33" t="n">
        <v>0</v>
      </c>
      <c r="KS32" s="33" t="n">
        <v>0</v>
      </c>
      <c r="KT32" s="33" t="n">
        <v>0</v>
      </c>
      <c r="KU32" s="33" t="n">
        <v>0</v>
      </c>
      <c r="KV32" s="33" t="n">
        <v>0</v>
      </c>
      <c r="KW32" s="33" t="n">
        <v>0</v>
      </c>
      <c r="KX32" s="33" t="n">
        <v>0</v>
      </c>
      <c r="KY32" s="33" t="n">
        <v>0</v>
      </c>
      <c r="KZ32" s="33" t="n">
        <v>0</v>
      </c>
      <c r="LA32" s="33" t="n">
        <v>0</v>
      </c>
      <c r="LB32" s="33" t="n">
        <v>0</v>
      </c>
      <c r="LC32" s="33" t="n">
        <v>0</v>
      </c>
      <c r="LD32" s="33" t="n">
        <v>0</v>
      </c>
      <c r="LE32" s="33" t="n">
        <v>0</v>
      </c>
      <c r="LF32" s="33" t="n">
        <v>0</v>
      </c>
      <c r="LG32" s="33" t="n">
        <v>0</v>
      </c>
      <c r="LH32" s="33" t="n">
        <v>0</v>
      </c>
      <c r="LI32" s="33" t="n">
        <v>0</v>
      </c>
      <c r="LJ32" s="33" t="n">
        <v>0</v>
      </c>
      <c r="LK32" s="33" t="n">
        <v>0</v>
      </c>
      <c r="LL32" s="33" t="n">
        <v>0</v>
      </c>
      <c r="LM32" s="33" t="n">
        <v>0</v>
      </c>
      <c r="LN32" s="33" t="n">
        <v>0</v>
      </c>
      <c r="LO32" s="33" t="n">
        <v>0</v>
      </c>
      <c r="LP32" s="33" t="n">
        <v>0</v>
      </c>
      <c r="LQ32" s="33" t="n">
        <v>0</v>
      </c>
      <c r="LR32" s="33" t="n">
        <v>0</v>
      </c>
      <c r="LS32" s="33" t="n">
        <v>0</v>
      </c>
      <c r="LT32" s="33" t="n">
        <v>0</v>
      </c>
      <c r="LU32" s="33" t="n">
        <v>0</v>
      </c>
      <c r="LV32" s="33" t="n">
        <v>0</v>
      </c>
      <c r="LW32" s="33" t="n">
        <v>0</v>
      </c>
      <c r="LX32" s="33" t="n">
        <v>0</v>
      </c>
      <c r="LY32" s="33" t="n">
        <v>0</v>
      </c>
      <c r="LZ32" s="33" t="n">
        <v>0</v>
      </c>
      <c r="MA32" s="33" t="n">
        <v>0</v>
      </c>
      <c r="MB32" s="33" t="n">
        <v>0</v>
      </c>
      <c r="MC32" s="33" t="n">
        <v>0</v>
      </c>
      <c r="MD32" s="33" t="n">
        <v>0</v>
      </c>
      <c r="ME32" s="33" t="n">
        <v>0</v>
      </c>
      <c r="MF32" s="33" t="n">
        <v>0</v>
      </c>
      <c r="MG32" s="33" t="n">
        <v>0</v>
      </c>
      <c r="MH32" s="33" t="n">
        <v>0</v>
      </c>
      <c r="MI32" s="33" t="n">
        <v>0</v>
      </c>
      <c r="MJ32" s="33" t="n">
        <v>0</v>
      </c>
      <c r="MK32" s="33" t="n">
        <v>0</v>
      </c>
      <c r="ML32" s="33" t="n">
        <v>0</v>
      </c>
      <c r="MM32" s="33" t="n">
        <v>0</v>
      </c>
      <c r="MN32" s="33" t="n">
        <v>0</v>
      </c>
      <c r="MO32" s="33" t="n">
        <v>0</v>
      </c>
      <c r="MP32" s="33" t="n">
        <v>0</v>
      </c>
      <c r="MQ32" s="33" t="n">
        <v>0</v>
      </c>
      <c r="MR32" s="33" t="n">
        <v>0</v>
      </c>
      <c r="MS32" s="33" t="n">
        <v>0</v>
      </c>
      <c r="MT32" s="33" t="n">
        <v>0</v>
      </c>
      <c r="MU32" s="33" t="n">
        <v>0</v>
      </c>
      <c r="MV32" s="33" t="n">
        <v>0</v>
      </c>
      <c r="MW32" s="33" t="n">
        <v>0</v>
      </c>
      <c r="MX32" s="33" t="n">
        <v>0</v>
      </c>
      <c r="MY32" s="33" t="n">
        <v>0</v>
      </c>
      <c r="MZ32" s="33" t="n">
        <v>0</v>
      </c>
      <c r="NA32" s="33" t="n">
        <v>0</v>
      </c>
      <c r="NB32" s="33" t="n">
        <v>0</v>
      </c>
      <c r="NC32" s="33" t="n">
        <v>0</v>
      </c>
      <c r="ND32" s="33" t="n">
        <v>0</v>
      </c>
      <c r="NE32" s="33" t="n">
        <v>0</v>
      </c>
      <c r="NF32" s="33" t="n">
        <v>0</v>
      </c>
      <c r="NG32" s="33" t="n">
        <v>0</v>
      </c>
      <c r="NH32" s="33" t="n">
        <v>0</v>
      </c>
      <c r="NI32" s="33" t="n">
        <v>0</v>
      </c>
      <c r="NJ32" s="33" t="n">
        <v>0</v>
      </c>
      <c r="NK32" s="33" t="n">
        <v>0</v>
      </c>
      <c r="NL32" s="33" t="n">
        <v>0</v>
      </c>
      <c r="NM32" s="33" t="n">
        <v>0</v>
      </c>
      <c r="NN32" s="33" t="n">
        <v>0</v>
      </c>
      <c r="NO32" s="33" t="n">
        <v>0</v>
      </c>
      <c r="NP32" s="33" t="n">
        <v>0</v>
      </c>
      <c r="NQ32" s="33" t="n">
        <v>0</v>
      </c>
      <c r="NR32" s="33" t="n">
        <v>0</v>
      </c>
      <c r="NS32" s="33" t="n">
        <v>0</v>
      </c>
      <c r="NT32" s="33" t="n">
        <v>0</v>
      </c>
      <c r="NU32" s="33" t="n">
        <v>0</v>
      </c>
      <c r="NV32" s="33" t="n">
        <v>0</v>
      </c>
      <c r="NW32" s="33" t="n">
        <v>0</v>
      </c>
      <c r="NX32" s="33" t="n">
        <v>0</v>
      </c>
      <c r="NY32" s="33" t="n">
        <v>0</v>
      </c>
      <c r="NZ32" s="33" t="n">
        <v>0</v>
      </c>
      <c r="OA32" s="33" t="n">
        <v>0</v>
      </c>
      <c r="OB32" s="33" t="n">
        <v>0</v>
      </c>
      <c r="OC32" s="33" t="n">
        <v>0</v>
      </c>
      <c r="OD32" s="33" t="n">
        <v>0</v>
      </c>
      <c r="OE32" s="33" t="n">
        <v>0</v>
      </c>
      <c r="OF32" s="33" t="n">
        <v>0</v>
      </c>
      <c r="OG32" s="33" t="n">
        <v>0</v>
      </c>
      <c r="OH32" s="33" t="n">
        <v>0</v>
      </c>
      <c r="OI32" s="33" t="n">
        <v>0</v>
      </c>
      <c r="OJ32" s="33" t="n">
        <v>0</v>
      </c>
      <c r="OK32" s="33" t="n">
        <v>0</v>
      </c>
      <c r="OL32" s="33" t="n">
        <v>0</v>
      </c>
      <c r="OM32" s="33" t="n">
        <v>0</v>
      </c>
      <c r="ON32" s="33" t="n">
        <v>0</v>
      </c>
      <c r="OO32" s="33" t="n">
        <v>0</v>
      </c>
      <c r="OP32" s="33" t="n">
        <v>0</v>
      </c>
      <c r="OQ32" s="33" t="n">
        <v>0</v>
      </c>
      <c r="OR32" s="33" t="n">
        <v>0</v>
      </c>
      <c r="OS32" s="33" t="n">
        <v>0</v>
      </c>
      <c r="OT32" s="33" t="n">
        <v>0</v>
      </c>
      <c r="OU32" s="33" t="n">
        <v>0</v>
      </c>
      <c r="OV32" s="33" t="n">
        <v>0</v>
      </c>
      <c r="OW32" s="33" t="n">
        <v>0</v>
      </c>
      <c r="OX32" s="33" t="n">
        <v>0</v>
      </c>
      <c r="OY32" s="33" t="n">
        <v>0</v>
      </c>
      <c r="OZ32" s="33" t="n">
        <v>0</v>
      </c>
      <c r="PA32" s="33" t="n">
        <v>0</v>
      </c>
      <c r="PB32" s="33" t="n">
        <v>0</v>
      </c>
      <c r="PC32" s="33" t="n">
        <v>0</v>
      </c>
      <c r="PD32" s="33" t="n">
        <v>0</v>
      </c>
      <c r="PE32" s="33" t="n">
        <v>0</v>
      </c>
      <c r="PF32" s="33" t="n">
        <v>0</v>
      </c>
      <c r="PG32" s="33" t="n">
        <v>0</v>
      </c>
      <c r="PH32" s="33" t="n">
        <v>0</v>
      </c>
      <c r="PI32" s="33" t="n">
        <v>0</v>
      </c>
      <c r="PJ32" s="33" t="n">
        <v>0</v>
      </c>
      <c r="PK32" s="33" t="n">
        <v>0</v>
      </c>
      <c r="PL32" s="33" t="n">
        <v>0</v>
      </c>
      <c r="PM32" s="33" t="n">
        <v>0</v>
      </c>
      <c r="PN32" s="33" t="n">
        <v>0</v>
      </c>
      <c r="PO32" s="33" t="n">
        <v>0</v>
      </c>
      <c r="PP32" s="33" t="n">
        <v>0</v>
      </c>
      <c r="PQ32" s="33" t="n">
        <v>0</v>
      </c>
      <c r="PR32" s="33" t="n">
        <v>0</v>
      </c>
      <c r="PS32" s="33" t="n">
        <v>0</v>
      </c>
      <c r="PT32" s="33" t="n">
        <v>0</v>
      </c>
      <c r="PU32" s="33" t="n">
        <v>0</v>
      </c>
      <c r="PV32" s="33" t="n">
        <v>0</v>
      </c>
      <c r="PW32" s="33" t="n">
        <v>0</v>
      </c>
      <c r="PX32" s="33" t="n">
        <v>0</v>
      </c>
      <c r="PY32" s="33" t="n">
        <v>0</v>
      </c>
      <c r="PZ32" s="33" t="n">
        <v>0</v>
      </c>
      <c r="QA32" s="33" t="n">
        <v>0</v>
      </c>
      <c r="QB32" s="33" t="n">
        <v>0</v>
      </c>
      <c r="QC32" s="33" t="n">
        <v>0</v>
      </c>
      <c r="QD32" s="33" t="n">
        <v>0</v>
      </c>
      <c r="QE32" s="33" t="n">
        <v>0</v>
      </c>
      <c r="QF32" s="33" t="n">
        <v>0</v>
      </c>
      <c r="QG32" s="33" t="n">
        <v>0</v>
      </c>
      <c r="QH32" s="33" t="n">
        <v>0</v>
      </c>
      <c r="QI32" s="33" t="n">
        <v>0</v>
      </c>
      <c r="QJ32" s="33" t="n">
        <v>0</v>
      </c>
      <c r="QK32" s="33" t="n">
        <v>0</v>
      </c>
      <c r="QL32" s="33" t="n">
        <v>0</v>
      </c>
      <c r="QM32" s="33" t="n">
        <v>0</v>
      </c>
      <c r="QN32" s="33" t="n">
        <v>0</v>
      </c>
      <c r="QO32" s="33" t="n">
        <v>0</v>
      </c>
      <c r="QP32" s="33" t="n">
        <v>0</v>
      </c>
      <c r="QQ32" s="33" t="n">
        <v>0</v>
      </c>
      <c r="QR32" s="33" t="n">
        <v>0</v>
      </c>
      <c r="QS32" s="33" t="n">
        <v>0</v>
      </c>
      <c r="QT32" s="33" t="n">
        <v>0</v>
      </c>
      <c r="QU32" s="33" t="n">
        <v>0</v>
      </c>
      <c r="QV32" s="33" t="n">
        <v>0</v>
      </c>
      <c r="QW32" s="33" t="n">
        <v>0</v>
      </c>
      <c r="QX32" s="33" t="n">
        <v>0</v>
      </c>
      <c r="QY32" s="33" t="n">
        <v>0</v>
      </c>
      <c r="QZ32" s="33" t="n">
        <v>0</v>
      </c>
      <c r="RA32" s="33" t="n">
        <v>0</v>
      </c>
      <c r="RB32" s="33" t="n">
        <v>0</v>
      </c>
      <c r="RC32" s="33" t="n">
        <v>0</v>
      </c>
      <c r="RD32" s="33" t="n">
        <v>0</v>
      </c>
      <c r="RE32" s="33" t="n">
        <v>0</v>
      </c>
      <c r="RF32" s="33" t="n">
        <v>0</v>
      </c>
      <c r="RG32" s="33" t="n">
        <v>0</v>
      </c>
      <c r="RH32" s="33" t="n">
        <v>0</v>
      </c>
      <c r="RI32" s="33" t="n">
        <v>0</v>
      </c>
      <c r="RJ32" s="33" t="n">
        <v>0</v>
      </c>
      <c r="RK32" s="33" t="n">
        <v>0</v>
      </c>
      <c r="RL32" s="33" t="n">
        <v>0</v>
      </c>
      <c r="RM32" s="33" t="n">
        <v>0</v>
      </c>
      <c r="RN32" s="33" t="n">
        <v>0</v>
      </c>
      <c r="RO32" s="33" t="n">
        <v>0</v>
      </c>
      <c r="RP32" s="33" t="n">
        <v>0</v>
      </c>
      <c r="RQ32" s="33" t="n">
        <v>0</v>
      </c>
      <c r="RR32" s="33" t="n">
        <v>0</v>
      </c>
      <c r="RS32" s="33" t="n">
        <v>0</v>
      </c>
      <c r="RT32" s="33" t="n">
        <v>0</v>
      </c>
      <c r="RU32" s="33" t="n">
        <v>0</v>
      </c>
      <c r="RV32" s="33" t="n">
        <v>0</v>
      </c>
      <c r="RW32" s="33" t="n">
        <v>0</v>
      </c>
    </row>
    <row r="33" hidden="1" outlineLevel="1" ht="13.05" customHeight="1">
      <c r="E33" s="25" t="inlineStr">
        <is>
          <t>Total CAPEX (monthly)</t>
        </is>
      </c>
      <c r="F33" s="26" t="n"/>
      <c r="G33" s="26" t="inlineStr">
        <is>
          <t>kEUR</t>
        </is>
      </c>
      <c r="H33" s="26" t="n"/>
      <c r="I33" s="26" t="n"/>
      <c r="J33" s="27" t="n">
        <v>1175256</v>
      </c>
      <c r="K33" s="26" t="n"/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 t="n">
        <v>0</v>
      </c>
      <c r="AB33" s="28" t="n">
        <v>0</v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28" t="n">
        <v>0</v>
      </c>
      <c r="AJ33" s="28" t="n">
        <v>0</v>
      </c>
      <c r="AK33" s="28" t="n">
        <v>0</v>
      </c>
      <c r="AL33" s="28" t="n">
        <v>0</v>
      </c>
      <c r="AM33" s="28" t="n">
        <v>0</v>
      </c>
      <c r="AN33" s="28" t="n">
        <v>0</v>
      </c>
      <c r="AO33" s="28" t="n">
        <v>0</v>
      </c>
      <c r="AP33" s="28" t="n">
        <v>0</v>
      </c>
      <c r="AQ33" s="28" t="n">
        <v>0</v>
      </c>
      <c r="AR33" s="28" t="n">
        <v>0</v>
      </c>
      <c r="AS33" s="28" t="n">
        <v>0</v>
      </c>
      <c r="AT33" s="28" t="n">
        <v>0</v>
      </c>
      <c r="AU33" s="28" t="n">
        <v>0</v>
      </c>
      <c r="AV33" s="28" t="n">
        <v>0</v>
      </c>
      <c r="AW33" s="28" t="n">
        <v>0</v>
      </c>
      <c r="AX33" s="28" t="n">
        <v>0</v>
      </c>
      <c r="AY33" s="28" t="n">
        <v>0</v>
      </c>
      <c r="AZ33" s="28" t="n">
        <v>0</v>
      </c>
      <c r="BA33" s="28" t="n">
        <v>0</v>
      </c>
      <c r="BB33" s="28" t="n">
        <v>0</v>
      </c>
      <c r="BC33" s="28" t="n">
        <v>0</v>
      </c>
      <c r="BD33" s="28" t="n">
        <v>0</v>
      </c>
      <c r="BE33" s="28" t="n">
        <v>0</v>
      </c>
      <c r="BF33" s="28" t="n">
        <v>0</v>
      </c>
      <c r="BG33" s="28" t="n">
        <v>0</v>
      </c>
      <c r="BH33" s="28" t="n">
        <v>32646</v>
      </c>
      <c r="BI33" s="28" t="n">
        <v>32646</v>
      </c>
      <c r="BJ33" s="28" t="n">
        <v>32646</v>
      </c>
      <c r="BK33" s="28" t="n">
        <v>32646</v>
      </c>
      <c r="BL33" s="28" t="n">
        <v>32646</v>
      </c>
      <c r="BM33" s="28" t="n">
        <v>32646</v>
      </c>
      <c r="BN33" s="28" t="n">
        <v>32646</v>
      </c>
      <c r="BO33" s="28" t="n">
        <v>32646</v>
      </c>
      <c r="BP33" s="28" t="n">
        <v>32646</v>
      </c>
      <c r="BQ33" s="28" t="n">
        <v>32646</v>
      </c>
      <c r="BR33" s="28" t="n">
        <v>32646</v>
      </c>
      <c r="BS33" s="28" t="n">
        <v>32646</v>
      </c>
      <c r="BT33" s="28" t="n">
        <v>32646</v>
      </c>
      <c r="BU33" s="28" t="n">
        <v>32646</v>
      </c>
      <c r="BV33" s="28" t="n">
        <v>32646</v>
      </c>
      <c r="BW33" s="28" t="n">
        <v>32646</v>
      </c>
      <c r="BX33" s="28" t="n">
        <v>32646</v>
      </c>
      <c r="BY33" s="28" t="n">
        <v>32646</v>
      </c>
      <c r="BZ33" s="28" t="n">
        <v>32646</v>
      </c>
      <c r="CA33" s="28" t="n">
        <v>32646</v>
      </c>
      <c r="CB33" s="28" t="n">
        <v>32646</v>
      </c>
      <c r="CC33" s="28" t="n">
        <v>32646</v>
      </c>
      <c r="CD33" s="28" t="n">
        <v>32646</v>
      </c>
      <c r="CE33" s="28" t="n">
        <v>32646</v>
      </c>
      <c r="CF33" s="28" t="n">
        <v>32646</v>
      </c>
      <c r="CG33" s="28" t="n">
        <v>32646</v>
      </c>
      <c r="CH33" s="28" t="n">
        <v>32646</v>
      </c>
      <c r="CI33" s="28" t="n">
        <v>32646</v>
      </c>
      <c r="CJ33" s="28" t="n">
        <v>32646</v>
      </c>
      <c r="CK33" s="28" t="n">
        <v>32646</v>
      </c>
      <c r="CL33" s="28" t="n">
        <v>32646</v>
      </c>
      <c r="CM33" s="28" t="n">
        <v>32646</v>
      </c>
      <c r="CN33" s="28" t="n">
        <v>32646</v>
      </c>
      <c r="CO33" s="28" t="n">
        <v>32646</v>
      </c>
      <c r="CP33" s="28" t="n">
        <v>32646</v>
      </c>
      <c r="CQ33" s="28" t="n">
        <v>32646</v>
      </c>
      <c r="CR33" s="28" t="n">
        <v>0</v>
      </c>
      <c r="CS33" s="28" t="n">
        <v>0</v>
      </c>
      <c r="CT33" s="28" t="n">
        <v>0</v>
      </c>
      <c r="CU33" s="28" t="n">
        <v>0</v>
      </c>
      <c r="CV33" s="28" t="n">
        <v>0</v>
      </c>
      <c r="CW33" s="28" t="n">
        <v>0</v>
      </c>
      <c r="CX33" s="28" t="n">
        <v>0</v>
      </c>
      <c r="CY33" s="28" t="n">
        <v>0</v>
      </c>
      <c r="CZ33" s="28" t="n">
        <v>0</v>
      </c>
      <c r="DA33" s="28" t="n">
        <v>0</v>
      </c>
      <c r="DB33" s="28" t="n">
        <v>0</v>
      </c>
      <c r="DC33" s="28" t="n">
        <v>0</v>
      </c>
      <c r="DD33" s="28" t="n">
        <v>0</v>
      </c>
      <c r="DE33" s="28" t="n">
        <v>0</v>
      </c>
      <c r="DF33" s="28" t="n">
        <v>0</v>
      </c>
      <c r="DG33" s="28" t="n">
        <v>0</v>
      </c>
      <c r="DH33" s="28" t="n">
        <v>0</v>
      </c>
      <c r="DI33" s="28" t="n">
        <v>0</v>
      </c>
      <c r="DJ33" s="28" t="n">
        <v>0</v>
      </c>
      <c r="DK33" s="28" t="n">
        <v>0</v>
      </c>
      <c r="DL33" s="28" t="n">
        <v>0</v>
      </c>
      <c r="DM33" s="28" t="n">
        <v>0</v>
      </c>
      <c r="DN33" s="28" t="n">
        <v>0</v>
      </c>
      <c r="DO33" s="28" t="n">
        <v>0</v>
      </c>
      <c r="DP33" s="28" t="n">
        <v>0</v>
      </c>
      <c r="DQ33" s="28" t="n">
        <v>0</v>
      </c>
      <c r="DR33" s="28" t="n">
        <v>0</v>
      </c>
      <c r="DS33" s="28" t="n">
        <v>0</v>
      </c>
      <c r="DT33" s="28" t="n">
        <v>0</v>
      </c>
      <c r="DU33" s="28" t="n">
        <v>0</v>
      </c>
      <c r="DV33" s="28" t="n">
        <v>0</v>
      </c>
      <c r="DW33" s="28" t="n">
        <v>0</v>
      </c>
      <c r="DX33" s="28" t="n">
        <v>0</v>
      </c>
      <c r="DY33" s="28" t="n">
        <v>0</v>
      </c>
      <c r="DZ33" s="28" t="n">
        <v>0</v>
      </c>
      <c r="EA33" s="28" t="n">
        <v>0</v>
      </c>
      <c r="EB33" s="28" t="n">
        <v>0</v>
      </c>
      <c r="EC33" s="28" t="n">
        <v>0</v>
      </c>
      <c r="ED33" s="28" t="n">
        <v>0</v>
      </c>
      <c r="EE33" s="28" t="n">
        <v>0</v>
      </c>
      <c r="EF33" s="28" t="n">
        <v>0</v>
      </c>
      <c r="EG33" s="28" t="n">
        <v>0</v>
      </c>
      <c r="EH33" s="28" t="n">
        <v>0</v>
      </c>
      <c r="EI33" s="28" t="n">
        <v>0</v>
      </c>
      <c r="EJ33" s="28" t="n">
        <v>0</v>
      </c>
      <c r="EK33" s="28" t="n">
        <v>0</v>
      </c>
      <c r="EL33" s="28" t="n">
        <v>0</v>
      </c>
      <c r="EM33" s="28" t="n">
        <v>0</v>
      </c>
      <c r="EN33" s="28" t="n">
        <v>0</v>
      </c>
      <c r="EO33" s="28" t="n">
        <v>0</v>
      </c>
      <c r="EP33" s="28" t="n">
        <v>0</v>
      </c>
      <c r="EQ33" s="28" t="n">
        <v>0</v>
      </c>
      <c r="ER33" s="28" t="n">
        <v>0</v>
      </c>
      <c r="ES33" s="28" t="n">
        <v>0</v>
      </c>
      <c r="ET33" s="28" t="n">
        <v>0</v>
      </c>
      <c r="EU33" s="28" t="n">
        <v>0</v>
      </c>
      <c r="EV33" s="28" t="n">
        <v>0</v>
      </c>
      <c r="EW33" s="28" t="n">
        <v>0</v>
      </c>
      <c r="EX33" s="28" t="n">
        <v>0</v>
      </c>
      <c r="EY33" s="28" t="n">
        <v>0</v>
      </c>
      <c r="EZ33" s="28" t="n">
        <v>0</v>
      </c>
      <c r="FA33" s="28" t="n">
        <v>0</v>
      </c>
      <c r="FB33" s="28" t="n">
        <v>0</v>
      </c>
      <c r="FC33" s="28" t="n">
        <v>0</v>
      </c>
      <c r="FD33" s="28" t="n">
        <v>0</v>
      </c>
      <c r="FE33" s="28" t="n">
        <v>0</v>
      </c>
      <c r="FF33" s="28" t="n">
        <v>0</v>
      </c>
      <c r="FG33" s="28" t="n">
        <v>0</v>
      </c>
      <c r="FH33" s="28" t="n">
        <v>0</v>
      </c>
      <c r="FI33" s="28" t="n">
        <v>0</v>
      </c>
      <c r="FJ33" s="28" t="n">
        <v>0</v>
      </c>
      <c r="FK33" s="28" t="n">
        <v>0</v>
      </c>
      <c r="FL33" s="28" t="n">
        <v>0</v>
      </c>
      <c r="FM33" s="28" t="n">
        <v>0</v>
      </c>
      <c r="FN33" s="28" t="n">
        <v>0</v>
      </c>
      <c r="FO33" s="28" t="n">
        <v>0</v>
      </c>
      <c r="FP33" s="28" t="n">
        <v>0</v>
      </c>
      <c r="FQ33" s="28" t="n">
        <v>0</v>
      </c>
      <c r="FR33" s="28" t="n">
        <v>0</v>
      </c>
      <c r="FS33" s="28" t="n">
        <v>0</v>
      </c>
      <c r="FT33" s="28" t="n">
        <v>0</v>
      </c>
      <c r="FU33" s="28" t="n">
        <v>0</v>
      </c>
      <c r="FV33" s="28" t="n">
        <v>0</v>
      </c>
      <c r="FW33" s="28" t="n">
        <v>0</v>
      </c>
      <c r="FX33" s="28" t="n">
        <v>0</v>
      </c>
      <c r="FY33" s="28" t="n">
        <v>0</v>
      </c>
      <c r="FZ33" s="28" t="n">
        <v>0</v>
      </c>
      <c r="GA33" s="28" t="n">
        <v>0</v>
      </c>
      <c r="GB33" s="28" t="n">
        <v>0</v>
      </c>
      <c r="GC33" s="28" t="n">
        <v>0</v>
      </c>
      <c r="GD33" s="28" t="n">
        <v>0</v>
      </c>
      <c r="GE33" s="28" t="n">
        <v>0</v>
      </c>
      <c r="GF33" s="28" t="n">
        <v>0</v>
      </c>
      <c r="GG33" s="28" t="n">
        <v>0</v>
      </c>
      <c r="GH33" s="28" t="n">
        <v>0</v>
      </c>
      <c r="GI33" s="28" t="n">
        <v>0</v>
      </c>
      <c r="GJ33" s="28" t="n">
        <v>0</v>
      </c>
      <c r="GK33" s="28" t="n">
        <v>0</v>
      </c>
      <c r="GL33" s="28" t="n">
        <v>0</v>
      </c>
      <c r="GM33" s="28" t="n">
        <v>0</v>
      </c>
      <c r="GN33" s="28" t="n">
        <v>0</v>
      </c>
      <c r="GO33" s="28" t="n">
        <v>0</v>
      </c>
      <c r="GP33" s="28" t="n">
        <v>0</v>
      </c>
      <c r="GQ33" s="28" t="n">
        <v>0</v>
      </c>
      <c r="GR33" s="28" t="n">
        <v>0</v>
      </c>
      <c r="GS33" s="28" t="n">
        <v>0</v>
      </c>
      <c r="GT33" s="28" t="n">
        <v>0</v>
      </c>
      <c r="GU33" s="28" t="n">
        <v>0</v>
      </c>
      <c r="GV33" s="28" t="n">
        <v>0</v>
      </c>
      <c r="GW33" s="28" t="n">
        <v>0</v>
      </c>
      <c r="GX33" s="28" t="n">
        <v>0</v>
      </c>
      <c r="GY33" s="28" t="n">
        <v>0</v>
      </c>
      <c r="GZ33" s="28" t="n">
        <v>0</v>
      </c>
      <c r="HA33" s="28" t="n">
        <v>0</v>
      </c>
      <c r="HB33" s="28" t="n">
        <v>0</v>
      </c>
      <c r="HC33" s="28" t="n">
        <v>0</v>
      </c>
      <c r="HD33" s="28" t="n">
        <v>0</v>
      </c>
      <c r="HE33" s="28" t="n">
        <v>0</v>
      </c>
      <c r="HF33" s="28" t="n">
        <v>0</v>
      </c>
      <c r="HG33" s="28" t="n">
        <v>0</v>
      </c>
      <c r="HH33" s="28" t="n">
        <v>0</v>
      </c>
      <c r="HI33" s="28" t="n">
        <v>0</v>
      </c>
      <c r="HJ33" s="28" t="n">
        <v>0</v>
      </c>
      <c r="HK33" s="28" t="n">
        <v>0</v>
      </c>
      <c r="HL33" s="28" t="n">
        <v>0</v>
      </c>
      <c r="HM33" s="28" t="n">
        <v>0</v>
      </c>
      <c r="HN33" s="28" t="n">
        <v>0</v>
      </c>
      <c r="HO33" s="28" t="n">
        <v>0</v>
      </c>
      <c r="HP33" s="28" t="n">
        <v>0</v>
      </c>
      <c r="HQ33" s="28" t="n">
        <v>0</v>
      </c>
      <c r="HR33" s="28" t="n">
        <v>0</v>
      </c>
      <c r="HS33" s="28" t="n">
        <v>0</v>
      </c>
      <c r="HT33" s="28" t="n">
        <v>0</v>
      </c>
      <c r="HU33" s="28" t="n">
        <v>0</v>
      </c>
      <c r="HV33" s="28" t="n">
        <v>0</v>
      </c>
      <c r="HW33" s="28" t="n">
        <v>0</v>
      </c>
      <c r="HX33" s="28" t="n">
        <v>0</v>
      </c>
      <c r="HY33" s="28" t="n">
        <v>0</v>
      </c>
      <c r="HZ33" s="28" t="n">
        <v>0</v>
      </c>
      <c r="IA33" s="28" t="n">
        <v>0</v>
      </c>
      <c r="IB33" s="28" t="n">
        <v>0</v>
      </c>
      <c r="IC33" s="28" t="n">
        <v>0</v>
      </c>
      <c r="ID33" s="28" t="n">
        <v>0</v>
      </c>
      <c r="IE33" s="28" t="n">
        <v>0</v>
      </c>
      <c r="IF33" s="28" t="n">
        <v>0</v>
      </c>
      <c r="IG33" s="28" t="n">
        <v>0</v>
      </c>
      <c r="IH33" s="28" t="n">
        <v>0</v>
      </c>
      <c r="II33" s="28" t="n">
        <v>0</v>
      </c>
      <c r="IJ33" s="28" t="n">
        <v>0</v>
      </c>
      <c r="IK33" s="28" t="n">
        <v>0</v>
      </c>
      <c r="IL33" s="28" t="n">
        <v>0</v>
      </c>
      <c r="IM33" s="28" t="n">
        <v>0</v>
      </c>
      <c r="IN33" s="28" t="n">
        <v>0</v>
      </c>
      <c r="IO33" s="28" t="n">
        <v>0</v>
      </c>
      <c r="IP33" s="28" t="n">
        <v>0</v>
      </c>
      <c r="IQ33" s="28" t="n">
        <v>0</v>
      </c>
      <c r="IR33" s="28" t="n">
        <v>0</v>
      </c>
      <c r="IS33" s="28" t="n">
        <v>0</v>
      </c>
      <c r="IT33" s="28" t="n">
        <v>0</v>
      </c>
      <c r="IU33" s="28" t="n">
        <v>0</v>
      </c>
      <c r="IV33" s="28" t="n">
        <v>0</v>
      </c>
      <c r="IW33" s="28" t="n">
        <v>0</v>
      </c>
      <c r="IX33" s="28" t="n">
        <v>0</v>
      </c>
      <c r="IY33" s="28" t="n">
        <v>0</v>
      </c>
      <c r="IZ33" s="28" t="n">
        <v>0</v>
      </c>
      <c r="JA33" s="28" t="n">
        <v>0</v>
      </c>
      <c r="JB33" s="28" t="n">
        <v>0</v>
      </c>
      <c r="JC33" s="28" t="n">
        <v>0</v>
      </c>
      <c r="JD33" s="28" t="n">
        <v>0</v>
      </c>
      <c r="JE33" s="28" t="n">
        <v>0</v>
      </c>
      <c r="JF33" s="28" t="n">
        <v>0</v>
      </c>
      <c r="JG33" s="28" t="n">
        <v>0</v>
      </c>
      <c r="JH33" s="28" t="n">
        <v>0</v>
      </c>
      <c r="JI33" s="28" t="n">
        <v>0</v>
      </c>
      <c r="JJ33" s="28" t="n">
        <v>0</v>
      </c>
      <c r="JK33" s="28" t="n">
        <v>0</v>
      </c>
      <c r="JL33" s="28" t="n">
        <v>0</v>
      </c>
      <c r="JM33" s="28" t="n">
        <v>0</v>
      </c>
      <c r="JN33" s="28" t="n">
        <v>0</v>
      </c>
      <c r="JO33" s="28" t="n">
        <v>0</v>
      </c>
      <c r="JP33" s="28" t="n">
        <v>0</v>
      </c>
      <c r="JQ33" s="28" t="n">
        <v>0</v>
      </c>
      <c r="JR33" s="28" t="n">
        <v>0</v>
      </c>
      <c r="JS33" s="28" t="n">
        <v>0</v>
      </c>
      <c r="JT33" s="28" t="n">
        <v>0</v>
      </c>
      <c r="JU33" s="28" t="n">
        <v>0</v>
      </c>
      <c r="JV33" s="28" t="n">
        <v>0</v>
      </c>
      <c r="JW33" s="28" t="n">
        <v>0</v>
      </c>
      <c r="JX33" s="28" t="n">
        <v>0</v>
      </c>
      <c r="JY33" s="28" t="n">
        <v>0</v>
      </c>
      <c r="JZ33" s="28" t="n">
        <v>0</v>
      </c>
      <c r="KA33" s="28" t="n">
        <v>0</v>
      </c>
      <c r="KB33" s="28" t="n">
        <v>0</v>
      </c>
      <c r="KC33" s="28" t="n">
        <v>0</v>
      </c>
      <c r="KD33" s="28" t="n">
        <v>0</v>
      </c>
      <c r="KE33" s="28" t="n">
        <v>0</v>
      </c>
      <c r="KF33" s="28" t="n">
        <v>0</v>
      </c>
      <c r="KG33" s="28" t="n">
        <v>0</v>
      </c>
      <c r="KH33" s="28" t="n">
        <v>0</v>
      </c>
      <c r="KI33" s="28" t="n">
        <v>0</v>
      </c>
      <c r="KJ33" s="28" t="n">
        <v>0</v>
      </c>
      <c r="KK33" s="28" t="n">
        <v>0</v>
      </c>
      <c r="KL33" s="28" t="n">
        <v>0</v>
      </c>
      <c r="KM33" s="28" t="n">
        <v>0</v>
      </c>
      <c r="KN33" s="28" t="n">
        <v>0</v>
      </c>
      <c r="KO33" s="28" t="n">
        <v>0</v>
      </c>
      <c r="KP33" s="28" t="n">
        <v>0</v>
      </c>
      <c r="KQ33" s="28" t="n">
        <v>0</v>
      </c>
      <c r="KR33" s="28" t="n">
        <v>0</v>
      </c>
      <c r="KS33" s="28" t="n">
        <v>0</v>
      </c>
      <c r="KT33" s="28" t="n">
        <v>0</v>
      </c>
      <c r="KU33" s="28" t="n">
        <v>0</v>
      </c>
      <c r="KV33" s="28" t="n">
        <v>0</v>
      </c>
      <c r="KW33" s="28" t="n">
        <v>0</v>
      </c>
      <c r="KX33" s="28" t="n">
        <v>0</v>
      </c>
      <c r="KY33" s="28" t="n">
        <v>0</v>
      </c>
      <c r="KZ33" s="28" t="n">
        <v>0</v>
      </c>
      <c r="LA33" s="28" t="n">
        <v>0</v>
      </c>
      <c r="LB33" s="28" t="n">
        <v>0</v>
      </c>
      <c r="LC33" s="28" t="n">
        <v>0</v>
      </c>
      <c r="LD33" s="28" t="n">
        <v>0</v>
      </c>
      <c r="LE33" s="28" t="n">
        <v>0</v>
      </c>
      <c r="LF33" s="28" t="n">
        <v>0</v>
      </c>
      <c r="LG33" s="28" t="n">
        <v>0</v>
      </c>
      <c r="LH33" s="28" t="n">
        <v>0</v>
      </c>
      <c r="LI33" s="28" t="n">
        <v>0</v>
      </c>
      <c r="LJ33" s="28" t="n">
        <v>0</v>
      </c>
      <c r="LK33" s="28" t="n">
        <v>0</v>
      </c>
      <c r="LL33" s="28" t="n">
        <v>0</v>
      </c>
      <c r="LM33" s="28" t="n">
        <v>0</v>
      </c>
      <c r="LN33" s="28" t="n">
        <v>0</v>
      </c>
      <c r="LO33" s="28" t="n">
        <v>0</v>
      </c>
      <c r="LP33" s="28" t="n">
        <v>0</v>
      </c>
      <c r="LQ33" s="28" t="n">
        <v>0</v>
      </c>
      <c r="LR33" s="28" t="n">
        <v>0</v>
      </c>
      <c r="LS33" s="28" t="n">
        <v>0</v>
      </c>
      <c r="LT33" s="28" t="n">
        <v>0</v>
      </c>
      <c r="LU33" s="28" t="n">
        <v>0</v>
      </c>
      <c r="LV33" s="28" t="n">
        <v>0</v>
      </c>
      <c r="LW33" s="28" t="n">
        <v>0</v>
      </c>
      <c r="LX33" s="28" t="n">
        <v>0</v>
      </c>
      <c r="LY33" s="28" t="n">
        <v>0</v>
      </c>
      <c r="LZ33" s="28" t="n">
        <v>0</v>
      </c>
      <c r="MA33" s="28" t="n">
        <v>0</v>
      </c>
      <c r="MB33" s="28" t="n">
        <v>0</v>
      </c>
      <c r="MC33" s="28" t="n">
        <v>0</v>
      </c>
      <c r="MD33" s="28" t="n">
        <v>0</v>
      </c>
      <c r="ME33" s="28" t="n">
        <v>0</v>
      </c>
      <c r="MF33" s="28" t="n">
        <v>0</v>
      </c>
      <c r="MG33" s="28" t="n">
        <v>0</v>
      </c>
      <c r="MH33" s="28" t="n">
        <v>0</v>
      </c>
      <c r="MI33" s="28" t="n">
        <v>0</v>
      </c>
      <c r="MJ33" s="28" t="n">
        <v>0</v>
      </c>
      <c r="MK33" s="28" t="n">
        <v>0</v>
      </c>
      <c r="ML33" s="28" t="n">
        <v>0</v>
      </c>
      <c r="MM33" s="28" t="n">
        <v>0</v>
      </c>
      <c r="MN33" s="28" t="n">
        <v>0</v>
      </c>
      <c r="MO33" s="28" t="n">
        <v>0</v>
      </c>
      <c r="MP33" s="28" t="n">
        <v>0</v>
      </c>
      <c r="MQ33" s="28" t="n">
        <v>0</v>
      </c>
      <c r="MR33" s="28" t="n">
        <v>0</v>
      </c>
      <c r="MS33" s="28" t="n">
        <v>0</v>
      </c>
      <c r="MT33" s="28" t="n">
        <v>0</v>
      </c>
      <c r="MU33" s="28" t="n">
        <v>0</v>
      </c>
      <c r="MV33" s="28" t="n">
        <v>0</v>
      </c>
      <c r="MW33" s="28" t="n">
        <v>0</v>
      </c>
      <c r="MX33" s="28" t="n">
        <v>0</v>
      </c>
      <c r="MY33" s="28" t="n">
        <v>0</v>
      </c>
      <c r="MZ33" s="28" t="n">
        <v>0</v>
      </c>
      <c r="NA33" s="28" t="n">
        <v>0</v>
      </c>
      <c r="NB33" s="28" t="n">
        <v>0</v>
      </c>
      <c r="NC33" s="28" t="n">
        <v>0</v>
      </c>
      <c r="ND33" s="28" t="n">
        <v>0</v>
      </c>
      <c r="NE33" s="28" t="n">
        <v>0</v>
      </c>
      <c r="NF33" s="28" t="n">
        <v>0</v>
      </c>
      <c r="NG33" s="28" t="n">
        <v>0</v>
      </c>
      <c r="NH33" s="28" t="n">
        <v>0</v>
      </c>
      <c r="NI33" s="28" t="n">
        <v>0</v>
      </c>
      <c r="NJ33" s="28" t="n">
        <v>0</v>
      </c>
      <c r="NK33" s="28" t="n">
        <v>0</v>
      </c>
      <c r="NL33" s="28" t="n">
        <v>0</v>
      </c>
      <c r="NM33" s="28" t="n">
        <v>0</v>
      </c>
      <c r="NN33" s="28" t="n">
        <v>0</v>
      </c>
      <c r="NO33" s="28" t="n">
        <v>0</v>
      </c>
      <c r="NP33" s="28" t="n">
        <v>0</v>
      </c>
      <c r="NQ33" s="28" t="n">
        <v>0</v>
      </c>
      <c r="NR33" s="28" t="n">
        <v>0</v>
      </c>
      <c r="NS33" s="28" t="n">
        <v>0</v>
      </c>
      <c r="NT33" s="28" t="n">
        <v>0</v>
      </c>
      <c r="NU33" s="28" t="n">
        <v>0</v>
      </c>
      <c r="NV33" s="28" t="n">
        <v>0</v>
      </c>
      <c r="NW33" s="28" t="n">
        <v>0</v>
      </c>
      <c r="NX33" s="28" t="n">
        <v>0</v>
      </c>
      <c r="NY33" s="28" t="n">
        <v>0</v>
      </c>
      <c r="NZ33" s="28" t="n">
        <v>0</v>
      </c>
      <c r="OA33" s="28" t="n">
        <v>0</v>
      </c>
      <c r="OB33" s="28" t="n">
        <v>0</v>
      </c>
      <c r="OC33" s="28" t="n">
        <v>0</v>
      </c>
      <c r="OD33" s="28" t="n">
        <v>0</v>
      </c>
      <c r="OE33" s="28" t="n">
        <v>0</v>
      </c>
      <c r="OF33" s="28" t="n">
        <v>0</v>
      </c>
      <c r="OG33" s="28" t="n">
        <v>0</v>
      </c>
      <c r="OH33" s="28" t="n">
        <v>0</v>
      </c>
      <c r="OI33" s="28" t="n">
        <v>0</v>
      </c>
      <c r="OJ33" s="28" t="n">
        <v>0</v>
      </c>
      <c r="OK33" s="28" t="n">
        <v>0</v>
      </c>
      <c r="OL33" s="28" t="n">
        <v>0</v>
      </c>
      <c r="OM33" s="28" t="n">
        <v>0</v>
      </c>
      <c r="ON33" s="28" t="n">
        <v>0</v>
      </c>
      <c r="OO33" s="28" t="n">
        <v>0</v>
      </c>
      <c r="OP33" s="28" t="n">
        <v>0</v>
      </c>
      <c r="OQ33" s="28" t="n">
        <v>0</v>
      </c>
      <c r="OR33" s="28" t="n">
        <v>0</v>
      </c>
      <c r="OS33" s="28" t="n">
        <v>0</v>
      </c>
      <c r="OT33" s="28" t="n">
        <v>0</v>
      </c>
      <c r="OU33" s="28" t="n">
        <v>0</v>
      </c>
      <c r="OV33" s="28" t="n">
        <v>0</v>
      </c>
      <c r="OW33" s="28" t="n">
        <v>0</v>
      </c>
      <c r="OX33" s="28" t="n">
        <v>0</v>
      </c>
      <c r="OY33" s="28" t="n">
        <v>0</v>
      </c>
      <c r="OZ33" s="28" t="n">
        <v>0</v>
      </c>
      <c r="PA33" s="28" t="n">
        <v>0</v>
      </c>
      <c r="PB33" s="28" t="n">
        <v>0</v>
      </c>
      <c r="PC33" s="28" t="n">
        <v>0</v>
      </c>
      <c r="PD33" s="28" t="n">
        <v>0</v>
      </c>
      <c r="PE33" s="28" t="n">
        <v>0</v>
      </c>
      <c r="PF33" s="28" t="n">
        <v>0</v>
      </c>
      <c r="PG33" s="28" t="n">
        <v>0</v>
      </c>
      <c r="PH33" s="28" t="n">
        <v>0</v>
      </c>
      <c r="PI33" s="28" t="n">
        <v>0</v>
      </c>
      <c r="PJ33" s="28" t="n">
        <v>0</v>
      </c>
      <c r="PK33" s="28" t="n">
        <v>0</v>
      </c>
      <c r="PL33" s="28" t="n">
        <v>0</v>
      </c>
      <c r="PM33" s="28" t="n">
        <v>0</v>
      </c>
      <c r="PN33" s="28" t="n">
        <v>0</v>
      </c>
      <c r="PO33" s="28" t="n">
        <v>0</v>
      </c>
      <c r="PP33" s="28" t="n">
        <v>0</v>
      </c>
      <c r="PQ33" s="28" t="n">
        <v>0</v>
      </c>
      <c r="PR33" s="28" t="n">
        <v>0</v>
      </c>
      <c r="PS33" s="28" t="n">
        <v>0</v>
      </c>
      <c r="PT33" s="28" t="n">
        <v>0</v>
      </c>
      <c r="PU33" s="28" t="n">
        <v>0</v>
      </c>
      <c r="PV33" s="28" t="n">
        <v>0</v>
      </c>
      <c r="PW33" s="28" t="n">
        <v>0</v>
      </c>
      <c r="PX33" s="28" t="n">
        <v>0</v>
      </c>
      <c r="PY33" s="28" t="n">
        <v>0</v>
      </c>
      <c r="PZ33" s="28" t="n">
        <v>0</v>
      </c>
      <c r="QA33" s="28" t="n">
        <v>0</v>
      </c>
      <c r="QB33" s="28" t="n">
        <v>0</v>
      </c>
      <c r="QC33" s="28" t="n">
        <v>0</v>
      </c>
      <c r="QD33" s="28" t="n">
        <v>0</v>
      </c>
      <c r="QE33" s="28" t="n">
        <v>0</v>
      </c>
      <c r="QF33" s="28" t="n">
        <v>0</v>
      </c>
      <c r="QG33" s="28" t="n">
        <v>0</v>
      </c>
      <c r="QH33" s="28" t="n">
        <v>0</v>
      </c>
      <c r="QI33" s="28" t="n">
        <v>0</v>
      </c>
      <c r="QJ33" s="28" t="n">
        <v>0</v>
      </c>
      <c r="QK33" s="28" t="n">
        <v>0</v>
      </c>
      <c r="QL33" s="28" t="n">
        <v>0</v>
      </c>
      <c r="QM33" s="28" t="n">
        <v>0</v>
      </c>
      <c r="QN33" s="28" t="n">
        <v>0</v>
      </c>
      <c r="QO33" s="28" t="n">
        <v>0</v>
      </c>
      <c r="QP33" s="28" t="n">
        <v>0</v>
      </c>
      <c r="QQ33" s="28" t="n">
        <v>0</v>
      </c>
      <c r="QR33" s="28" t="n">
        <v>0</v>
      </c>
      <c r="QS33" s="28" t="n">
        <v>0</v>
      </c>
      <c r="QT33" s="28" t="n">
        <v>0</v>
      </c>
      <c r="QU33" s="28" t="n">
        <v>0</v>
      </c>
      <c r="QV33" s="28" t="n">
        <v>0</v>
      </c>
      <c r="QW33" s="28" t="n">
        <v>0</v>
      </c>
      <c r="QX33" s="28" t="n">
        <v>0</v>
      </c>
      <c r="QY33" s="28" t="n">
        <v>0</v>
      </c>
      <c r="QZ33" s="28" t="n">
        <v>0</v>
      </c>
      <c r="RA33" s="28" t="n">
        <v>0</v>
      </c>
      <c r="RB33" s="28" t="n">
        <v>0</v>
      </c>
      <c r="RC33" s="28" t="n">
        <v>0</v>
      </c>
      <c r="RD33" s="28" t="n">
        <v>0</v>
      </c>
      <c r="RE33" s="28" t="n">
        <v>0</v>
      </c>
      <c r="RF33" s="28" t="n">
        <v>0</v>
      </c>
      <c r="RG33" s="28" t="n">
        <v>0</v>
      </c>
      <c r="RH33" s="28" t="n">
        <v>0</v>
      </c>
      <c r="RI33" s="28" t="n">
        <v>0</v>
      </c>
      <c r="RJ33" s="28" t="n">
        <v>0</v>
      </c>
      <c r="RK33" s="28" t="n">
        <v>0</v>
      </c>
      <c r="RL33" s="28" t="n">
        <v>0</v>
      </c>
      <c r="RM33" s="28" t="n">
        <v>0</v>
      </c>
      <c r="RN33" s="28" t="n">
        <v>0</v>
      </c>
      <c r="RO33" s="28" t="n">
        <v>0</v>
      </c>
      <c r="RP33" s="28" t="n">
        <v>0</v>
      </c>
      <c r="RQ33" s="28" t="n">
        <v>0</v>
      </c>
      <c r="RR33" s="28" t="n">
        <v>0</v>
      </c>
      <c r="RS33" s="28" t="n">
        <v>0</v>
      </c>
      <c r="RT33" s="28" t="n">
        <v>0</v>
      </c>
      <c r="RU33" s="28" t="n">
        <v>0</v>
      </c>
      <c r="RV33" s="28" t="n">
        <v>0</v>
      </c>
      <c r="RW33" s="28" t="n">
        <v>0</v>
      </c>
    </row>
    <row r="34" ht="13.05" customHeight="1">
      <c r="E34" s="40" t="inlineStr">
        <is>
          <t>Cumulative CAPEX</t>
        </is>
      </c>
      <c r="F34" s="41" t="n"/>
      <c r="G34" s="41" t="inlineStr">
        <is>
          <t>kEUR</t>
        </is>
      </c>
      <c r="H34" s="41" t="n"/>
      <c r="I34" s="41" t="n"/>
      <c r="J34" s="42" t="n">
        <v>487143612</v>
      </c>
      <c r="K34" s="41" t="n"/>
      <c r="L34" s="43" t="n">
        <v>0</v>
      </c>
      <c r="M34" s="43" t="n">
        <v>0</v>
      </c>
      <c r="N34" s="43" t="n">
        <v>0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3" t="n">
        <v>0</v>
      </c>
      <c r="W34" s="43" t="n">
        <v>0</v>
      </c>
      <c r="X34" s="43" t="n">
        <v>0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3" t="n">
        <v>0</v>
      </c>
      <c r="AG34" s="43" t="n">
        <v>0</v>
      </c>
      <c r="AH34" s="43" t="n">
        <v>0</v>
      </c>
      <c r="AI34" s="43" t="n">
        <v>0</v>
      </c>
      <c r="AJ34" s="43" t="n">
        <v>0</v>
      </c>
      <c r="AK34" s="43" t="n">
        <v>0</v>
      </c>
      <c r="AL34" s="43" t="n">
        <v>0</v>
      </c>
      <c r="AM34" s="43" t="n">
        <v>0</v>
      </c>
      <c r="AN34" s="43" t="n">
        <v>0</v>
      </c>
      <c r="AO34" s="43" t="n">
        <v>0</v>
      </c>
      <c r="AP34" s="43" t="n">
        <v>0</v>
      </c>
      <c r="AQ34" s="43" t="n">
        <v>0</v>
      </c>
      <c r="AR34" s="43" t="n">
        <v>0</v>
      </c>
      <c r="AS34" s="43" t="n">
        <v>0</v>
      </c>
      <c r="AT34" s="43" t="n">
        <v>0</v>
      </c>
      <c r="AU34" s="43" t="n">
        <v>0</v>
      </c>
      <c r="AV34" s="43" t="n">
        <v>0</v>
      </c>
      <c r="AW34" s="43" t="n">
        <v>0</v>
      </c>
      <c r="AX34" s="43" t="n">
        <v>0</v>
      </c>
      <c r="AY34" s="43" t="n">
        <v>0</v>
      </c>
      <c r="AZ34" s="43" t="n">
        <v>0</v>
      </c>
      <c r="BA34" s="43" t="n">
        <v>0</v>
      </c>
      <c r="BB34" s="43" t="n">
        <v>0</v>
      </c>
      <c r="BC34" s="43" t="n">
        <v>0</v>
      </c>
      <c r="BD34" s="43" t="n">
        <v>0</v>
      </c>
      <c r="BE34" s="43" t="n">
        <v>0</v>
      </c>
      <c r="BF34" s="43" t="n">
        <v>0</v>
      </c>
      <c r="BG34" s="43" t="n">
        <v>0</v>
      </c>
      <c r="BH34" s="43" t="n">
        <v>32646</v>
      </c>
      <c r="BI34" s="43" t="n">
        <v>65292</v>
      </c>
      <c r="BJ34" s="43" t="n">
        <v>97938</v>
      </c>
      <c r="BK34" s="43" t="n">
        <v>130584</v>
      </c>
      <c r="BL34" s="43" t="n">
        <v>163230</v>
      </c>
      <c r="BM34" s="43" t="n">
        <v>195876</v>
      </c>
      <c r="BN34" s="43" t="n">
        <v>228522</v>
      </c>
      <c r="BO34" s="43" t="n">
        <v>261168</v>
      </c>
      <c r="BP34" s="43" t="n">
        <v>293814</v>
      </c>
      <c r="BQ34" s="43" t="n">
        <v>326460</v>
      </c>
      <c r="BR34" s="43" t="n">
        <v>359106</v>
      </c>
      <c r="BS34" s="43" t="n">
        <v>391752</v>
      </c>
      <c r="BT34" s="43" t="n">
        <v>424398</v>
      </c>
      <c r="BU34" s="43" t="n">
        <v>457044</v>
      </c>
      <c r="BV34" s="43" t="n">
        <v>489690</v>
      </c>
      <c r="BW34" s="43" t="n">
        <v>522336</v>
      </c>
      <c r="BX34" s="43" t="n">
        <v>554982</v>
      </c>
      <c r="BY34" s="43" t="n">
        <v>587628</v>
      </c>
      <c r="BZ34" s="43" t="n">
        <v>620274</v>
      </c>
      <c r="CA34" s="43" t="n">
        <v>652920</v>
      </c>
      <c r="CB34" s="43" t="n">
        <v>685566</v>
      </c>
      <c r="CC34" s="43" t="n">
        <v>718212</v>
      </c>
      <c r="CD34" s="43" t="n">
        <v>750858</v>
      </c>
      <c r="CE34" s="43" t="n">
        <v>783504</v>
      </c>
      <c r="CF34" s="43" t="n">
        <v>816150</v>
      </c>
      <c r="CG34" s="43" t="n">
        <v>848796</v>
      </c>
      <c r="CH34" s="43" t="n">
        <v>881442</v>
      </c>
      <c r="CI34" s="43" t="n">
        <v>914088</v>
      </c>
      <c r="CJ34" s="43" t="n">
        <v>946734</v>
      </c>
      <c r="CK34" s="43" t="n">
        <v>979380</v>
      </c>
      <c r="CL34" s="43" t="n">
        <v>1012026</v>
      </c>
      <c r="CM34" s="43" t="n">
        <v>1044672</v>
      </c>
      <c r="CN34" s="43" t="n">
        <v>1077318</v>
      </c>
      <c r="CO34" s="43" t="n">
        <v>1109964</v>
      </c>
      <c r="CP34" s="43" t="n">
        <v>1142610</v>
      </c>
      <c r="CQ34" s="43" t="n">
        <v>1175256</v>
      </c>
      <c r="CR34" s="43" t="n">
        <v>1175256</v>
      </c>
      <c r="CS34" s="43" t="n">
        <v>1175256</v>
      </c>
      <c r="CT34" s="43" t="n">
        <v>1175256</v>
      </c>
      <c r="CU34" s="43" t="n">
        <v>1175256</v>
      </c>
      <c r="CV34" s="43" t="n">
        <v>1175256</v>
      </c>
      <c r="CW34" s="43" t="n">
        <v>1175256</v>
      </c>
      <c r="CX34" s="43" t="n">
        <v>1175256</v>
      </c>
      <c r="CY34" s="43" t="n">
        <v>1175256</v>
      </c>
      <c r="CZ34" s="43" t="n">
        <v>1175256</v>
      </c>
      <c r="DA34" s="43" t="n">
        <v>1175256</v>
      </c>
      <c r="DB34" s="43" t="n">
        <v>1175256</v>
      </c>
      <c r="DC34" s="43" t="n">
        <v>1175256</v>
      </c>
      <c r="DD34" s="43" t="n">
        <v>1175256</v>
      </c>
      <c r="DE34" s="43" t="n">
        <v>1175256</v>
      </c>
      <c r="DF34" s="43" t="n">
        <v>1175256</v>
      </c>
      <c r="DG34" s="43" t="n">
        <v>1175256</v>
      </c>
      <c r="DH34" s="43" t="n">
        <v>1175256</v>
      </c>
      <c r="DI34" s="43" t="n">
        <v>1175256</v>
      </c>
      <c r="DJ34" s="43" t="n">
        <v>1175256</v>
      </c>
      <c r="DK34" s="43" t="n">
        <v>1175256</v>
      </c>
      <c r="DL34" s="43" t="n">
        <v>1175256</v>
      </c>
      <c r="DM34" s="43" t="n">
        <v>1175256</v>
      </c>
      <c r="DN34" s="43" t="n">
        <v>1175256</v>
      </c>
      <c r="DO34" s="43" t="n">
        <v>1175256</v>
      </c>
      <c r="DP34" s="43" t="n">
        <v>1175256</v>
      </c>
      <c r="DQ34" s="43" t="n">
        <v>1175256</v>
      </c>
      <c r="DR34" s="43" t="n">
        <v>1175256</v>
      </c>
      <c r="DS34" s="43" t="n">
        <v>1175256</v>
      </c>
      <c r="DT34" s="43" t="n">
        <v>1175256</v>
      </c>
      <c r="DU34" s="43" t="n">
        <v>1175256</v>
      </c>
      <c r="DV34" s="43" t="n">
        <v>1175256</v>
      </c>
      <c r="DW34" s="43" t="n">
        <v>1175256</v>
      </c>
      <c r="DX34" s="43" t="n">
        <v>1175256</v>
      </c>
      <c r="DY34" s="43" t="n">
        <v>1175256</v>
      </c>
      <c r="DZ34" s="43" t="n">
        <v>1175256</v>
      </c>
      <c r="EA34" s="43" t="n">
        <v>1175256</v>
      </c>
      <c r="EB34" s="43" t="n">
        <v>1175256</v>
      </c>
      <c r="EC34" s="43" t="n">
        <v>1175256</v>
      </c>
      <c r="ED34" s="43" t="n">
        <v>1175256</v>
      </c>
      <c r="EE34" s="43" t="n">
        <v>1175256</v>
      </c>
      <c r="EF34" s="43" t="n">
        <v>1175256</v>
      </c>
      <c r="EG34" s="43" t="n">
        <v>1175256</v>
      </c>
      <c r="EH34" s="43" t="n">
        <v>1175256</v>
      </c>
      <c r="EI34" s="43" t="n">
        <v>1175256</v>
      </c>
      <c r="EJ34" s="43" t="n">
        <v>1175256</v>
      </c>
      <c r="EK34" s="43" t="n">
        <v>1175256</v>
      </c>
      <c r="EL34" s="43" t="n">
        <v>1175256</v>
      </c>
      <c r="EM34" s="43" t="n">
        <v>1175256</v>
      </c>
      <c r="EN34" s="43" t="n">
        <v>1175256</v>
      </c>
      <c r="EO34" s="43" t="n">
        <v>1175256</v>
      </c>
      <c r="EP34" s="43" t="n">
        <v>1175256</v>
      </c>
      <c r="EQ34" s="43" t="n">
        <v>1175256</v>
      </c>
      <c r="ER34" s="43" t="n">
        <v>1175256</v>
      </c>
      <c r="ES34" s="43" t="n">
        <v>1175256</v>
      </c>
      <c r="ET34" s="43" t="n">
        <v>1175256</v>
      </c>
      <c r="EU34" s="43" t="n">
        <v>1175256</v>
      </c>
      <c r="EV34" s="43" t="n">
        <v>1175256</v>
      </c>
      <c r="EW34" s="43" t="n">
        <v>1175256</v>
      </c>
      <c r="EX34" s="43" t="n">
        <v>1175256</v>
      </c>
      <c r="EY34" s="43" t="n">
        <v>1175256</v>
      </c>
      <c r="EZ34" s="43" t="n">
        <v>1175256</v>
      </c>
      <c r="FA34" s="43" t="n">
        <v>1175256</v>
      </c>
      <c r="FB34" s="43" t="n">
        <v>1175256</v>
      </c>
      <c r="FC34" s="43" t="n">
        <v>1175256</v>
      </c>
      <c r="FD34" s="43" t="n">
        <v>1175256</v>
      </c>
      <c r="FE34" s="43" t="n">
        <v>1175256</v>
      </c>
      <c r="FF34" s="43" t="n">
        <v>1175256</v>
      </c>
      <c r="FG34" s="43" t="n">
        <v>1175256</v>
      </c>
      <c r="FH34" s="43" t="n">
        <v>1175256</v>
      </c>
      <c r="FI34" s="43" t="n">
        <v>1175256</v>
      </c>
      <c r="FJ34" s="43" t="n">
        <v>1175256</v>
      </c>
      <c r="FK34" s="43" t="n">
        <v>1175256</v>
      </c>
      <c r="FL34" s="43" t="n">
        <v>1175256</v>
      </c>
      <c r="FM34" s="43" t="n">
        <v>1175256</v>
      </c>
      <c r="FN34" s="43" t="n">
        <v>1175256</v>
      </c>
      <c r="FO34" s="43" t="n">
        <v>1175256</v>
      </c>
      <c r="FP34" s="43" t="n">
        <v>1175256</v>
      </c>
      <c r="FQ34" s="43" t="n">
        <v>1175256</v>
      </c>
      <c r="FR34" s="43" t="n">
        <v>1175256</v>
      </c>
      <c r="FS34" s="43" t="n">
        <v>1175256</v>
      </c>
      <c r="FT34" s="43" t="n">
        <v>1175256</v>
      </c>
      <c r="FU34" s="43" t="n">
        <v>1175256</v>
      </c>
      <c r="FV34" s="43" t="n">
        <v>1175256</v>
      </c>
      <c r="FW34" s="43" t="n">
        <v>1175256</v>
      </c>
      <c r="FX34" s="43" t="n">
        <v>1175256</v>
      </c>
      <c r="FY34" s="43" t="n">
        <v>1175256</v>
      </c>
      <c r="FZ34" s="43" t="n">
        <v>1175256</v>
      </c>
      <c r="GA34" s="43" t="n">
        <v>1175256</v>
      </c>
      <c r="GB34" s="43" t="n">
        <v>1175256</v>
      </c>
      <c r="GC34" s="43" t="n">
        <v>1175256</v>
      </c>
      <c r="GD34" s="43" t="n">
        <v>1175256</v>
      </c>
      <c r="GE34" s="43" t="n">
        <v>1175256</v>
      </c>
      <c r="GF34" s="43" t="n">
        <v>1175256</v>
      </c>
      <c r="GG34" s="43" t="n">
        <v>1175256</v>
      </c>
      <c r="GH34" s="43" t="n">
        <v>1175256</v>
      </c>
      <c r="GI34" s="43" t="n">
        <v>1175256</v>
      </c>
      <c r="GJ34" s="43" t="n">
        <v>1175256</v>
      </c>
      <c r="GK34" s="43" t="n">
        <v>1175256</v>
      </c>
      <c r="GL34" s="43" t="n">
        <v>1175256</v>
      </c>
      <c r="GM34" s="43" t="n">
        <v>1175256</v>
      </c>
      <c r="GN34" s="43" t="n">
        <v>1175256</v>
      </c>
      <c r="GO34" s="43" t="n">
        <v>1175256</v>
      </c>
      <c r="GP34" s="43" t="n">
        <v>1175256</v>
      </c>
      <c r="GQ34" s="43" t="n">
        <v>1175256</v>
      </c>
      <c r="GR34" s="43" t="n">
        <v>1175256</v>
      </c>
      <c r="GS34" s="43" t="n">
        <v>1175256</v>
      </c>
      <c r="GT34" s="43" t="n">
        <v>1175256</v>
      </c>
      <c r="GU34" s="43" t="n">
        <v>1175256</v>
      </c>
      <c r="GV34" s="43" t="n">
        <v>1175256</v>
      </c>
      <c r="GW34" s="43" t="n">
        <v>1175256</v>
      </c>
      <c r="GX34" s="43" t="n">
        <v>1175256</v>
      </c>
      <c r="GY34" s="43" t="n">
        <v>1175256</v>
      </c>
      <c r="GZ34" s="43" t="n">
        <v>1175256</v>
      </c>
      <c r="HA34" s="43" t="n">
        <v>1175256</v>
      </c>
      <c r="HB34" s="43" t="n">
        <v>1175256</v>
      </c>
      <c r="HC34" s="43" t="n">
        <v>1175256</v>
      </c>
      <c r="HD34" s="43" t="n">
        <v>1175256</v>
      </c>
      <c r="HE34" s="43" t="n">
        <v>1175256</v>
      </c>
      <c r="HF34" s="43" t="n">
        <v>1175256</v>
      </c>
      <c r="HG34" s="43" t="n">
        <v>1175256</v>
      </c>
      <c r="HH34" s="43" t="n">
        <v>1175256</v>
      </c>
      <c r="HI34" s="43" t="n">
        <v>1175256</v>
      </c>
      <c r="HJ34" s="43" t="n">
        <v>1175256</v>
      </c>
      <c r="HK34" s="43" t="n">
        <v>1175256</v>
      </c>
      <c r="HL34" s="43" t="n">
        <v>1175256</v>
      </c>
      <c r="HM34" s="43" t="n">
        <v>1175256</v>
      </c>
      <c r="HN34" s="43" t="n">
        <v>1175256</v>
      </c>
      <c r="HO34" s="43" t="n">
        <v>1175256</v>
      </c>
      <c r="HP34" s="43" t="n">
        <v>1175256</v>
      </c>
      <c r="HQ34" s="43" t="n">
        <v>1175256</v>
      </c>
      <c r="HR34" s="43" t="n">
        <v>1175256</v>
      </c>
      <c r="HS34" s="43" t="n">
        <v>1175256</v>
      </c>
      <c r="HT34" s="43" t="n">
        <v>1175256</v>
      </c>
      <c r="HU34" s="43" t="n">
        <v>1175256</v>
      </c>
      <c r="HV34" s="43" t="n">
        <v>1175256</v>
      </c>
      <c r="HW34" s="43" t="n">
        <v>1175256</v>
      </c>
      <c r="HX34" s="43" t="n">
        <v>1175256</v>
      </c>
      <c r="HY34" s="43" t="n">
        <v>1175256</v>
      </c>
      <c r="HZ34" s="43" t="n">
        <v>1175256</v>
      </c>
      <c r="IA34" s="43" t="n">
        <v>1175256</v>
      </c>
      <c r="IB34" s="43" t="n">
        <v>1175256</v>
      </c>
      <c r="IC34" s="43" t="n">
        <v>1175256</v>
      </c>
      <c r="ID34" s="43" t="n">
        <v>1175256</v>
      </c>
      <c r="IE34" s="43" t="n">
        <v>1175256</v>
      </c>
      <c r="IF34" s="43" t="n">
        <v>1175256</v>
      </c>
      <c r="IG34" s="43" t="n">
        <v>1175256</v>
      </c>
      <c r="IH34" s="43" t="n">
        <v>1175256</v>
      </c>
      <c r="II34" s="43" t="n">
        <v>1175256</v>
      </c>
      <c r="IJ34" s="43" t="n">
        <v>1175256</v>
      </c>
      <c r="IK34" s="43" t="n">
        <v>1175256</v>
      </c>
      <c r="IL34" s="43" t="n">
        <v>1175256</v>
      </c>
      <c r="IM34" s="43" t="n">
        <v>1175256</v>
      </c>
      <c r="IN34" s="43" t="n">
        <v>1175256</v>
      </c>
      <c r="IO34" s="43" t="n">
        <v>1175256</v>
      </c>
      <c r="IP34" s="43" t="n">
        <v>1175256</v>
      </c>
      <c r="IQ34" s="43" t="n">
        <v>1175256</v>
      </c>
      <c r="IR34" s="43" t="n">
        <v>1175256</v>
      </c>
      <c r="IS34" s="43" t="n">
        <v>1175256</v>
      </c>
      <c r="IT34" s="43" t="n">
        <v>1175256</v>
      </c>
      <c r="IU34" s="43" t="n">
        <v>1175256</v>
      </c>
      <c r="IV34" s="43" t="n">
        <v>1175256</v>
      </c>
      <c r="IW34" s="43" t="n">
        <v>1175256</v>
      </c>
      <c r="IX34" s="43" t="n">
        <v>1175256</v>
      </c>
      <c r="IY34" s="43" t="n">
        <v>1175256</v>
      </c>
      <c r="IZ34" s="43" t="n">
        <v>1175256</v>
      </c>
      <c r="JA34" s="43" t="n">
        <v>1175256</v>
      </c>
      <c r="JB34" s="43" t="n">
        <v>1175256</v>
      </c>
      <c r="JC34" s="43" t="n">
        <v>1175256</v>
      </c>
      <c r="JD34" s="43" t="n">
        <v>1175256</v>
      </c>
      <c r="JE34" s="43" t="n">
        <v>1175256</v>
      </c>
      <c r="JF34" s="43" t="n">
        <v>1175256</v>
      </c>
      <c r="JG34" s="43" t="n">
        <v>1175256</v>
      </c>
      <c r="JH34" s="43" t="n">
        <v>1175256</v>
      </c>
      <c r="JI34" s="43" t="n">
        <v>1175256</v>
      </c>
      <c r="JJ34" s="43" t="n">
        <v>1175256</v>
      </c>
      <c r="JK34" s="43" t="n">
        <v>1175256</v>
      </c>
      <c r="JL34" s="43" t="n">
        <v>1175256</v>
      </c>
      <c r="JM34" s="43" t="n">
        <v>1175256</v>
      </c>
      <c r="JN34" s="43" t="n">
        <v>1175256</v>
      </c>
      <c r="JO34" s="43" t="n">
        <v>1175256</v>
      </c>
      <c r="JP34" s="43" t="n">
        <v>1175256</v>
      </c>
      <c r="JQ34" s="43" t="n">
        <v>1175256</v>
      </c>
      <c r="JR34" s="43" t="n">
        <v>1175256</v>
      </c>
      <c r="JS34" s="43" t="n">
        <v>1175256</v>
      </c>
      <c r="JT34" s="43" t="n">
        <v>1175256</v>
      </c>
      <c r="JU34" s="43" t="n">
        <v>1175256</v>
      </c>
      <c r="JV34" s="43" t="n">
        <v>1175256</v>
      </c>
      <c r="JW34" s="43" t="n">
        <v>1175256</v>
      </c>
      <c r="JX34" s="43" t="n">
        <v>1175256</v>
      </c>
      <c r="JY34" s="43" t="n">
        <v>1175256</v>
      </c>
      <c r="JZ34" s="43" t="n">
        <v>1175256</v>
      </c>
      <c r="KA34" s="43" t="n">
        <v>1175256</v>
      </c>
      <c r="KB34" s="43" t="n">
        <v>1175256</v>
      </c>
      <c r="KC34" s="43" t="n">
        <v>1175256</v>
      </c>
      <c r="KD34" s="43" t="n">
        <v>1175256</v>
      </c>
      <c r="KE34" s="43" t="n">
        <v>1175256</v>
      </c>
      <c r="KF34" s="43" t="n">
        <v>1175256</v>
      </c>
      <c r="KG34" s="43" t="n">
        <v>1175256</v>
      </c>
      <c r="KH34" s="43" t="n">
        <v>1175256</v>
      </c>
      <c r="KI34" s="43" t="n">
        <v>1175256</v>
      </c>
      <c r="KJ34" s="43" t="n">
        <v>1175256</v>
      </c>
      <c r="KK34" s="43" t="n">
        <v>1175256</v>
      </c>
      <c r="KL34" s="43" t="n">
        <v>1175256</v>
      </c>
      <c r="KM34" s="43" t="n">
        <v>1175256</v>
      </c>
      <c r="KN34" s="43" t="n">
        <v>1175256</v>
      </c>
      <c r="KO34" s="43" t="n">
        <v>1175256</v>
      </c>
      <c r="KP34" s="43" t="n">
        <v>1175256</v>
      </c>
      <c r="KQ34" s="43" t="n">
        <v>1175256</v>
      </c>
      <c r="KR34" s="43" t="n">
        <v>1175256</v>
      </c>
      <c r="KS34" s="43" t="n">
        <v>1175256</v>
      </c>
      <c r="KT34" s="43" t="n">
        <v>1175256</v>
      </c>
      <c r="KU34" s="43" t="n">
        <v>1175256</v>
      </c>
      <c r="KV34" s="43" t="n">
        <v>1175256</v>
      </c>
      <c r="KW34" s="43" t="n">
        <v>1175256</v>
      </c>
      <c r="KX34" s="43" t="n">
        <v>1175256</v>
      </c>
      <c r="KY34" s="43" t="n">
        <v>1175256</v>
      </c>
      <c r="KZ34" s="43" t="n">
        <v>1175256</v>
      </c>
      <c r="LA34" s="43" t="n">
        <v>1175256</v>
      </c>
      <c r="LB34" s="43" t="n">
        <v>1175256</v>
      </c>
      <c r="LC34" s="43" t="n">
        <v>1175256</v>
      </c>
      <c r="LD34" s="43" t="n">
        <v>1175256</v>
      </c>
      <c r="LE34" s="43" t="n">
        <v>1175256</v>
      </c>
      <c r="LF34" s="43" t="n">
        <v>1175256</v>
      </c>
      <c r="LG34" s="43" t="n">
        <v>1175256</v>
      </c>
      <c r="LH34" s="43" t="n">
        <v>1175256</v>
      </c>
      <c r="LI34" s="43" t="n">
        <v>1175256</v>
      </c>
      <c r="LJ34" s="43" t="n">
        <v>1175256</v>
      </c>
      <c r="LK34" s="43" t="n">
        <v>1175256</v>
      </c>
      <c r="LL34" s="43" t="n">
        <v>1175256</v>
      </c>
      <c r="LM34" s="43" t="n">
        <v>1175256</v>
      </c>
      <c r="LN34" s="43" t="n">
        <v>1175256</v>
      </c>
      <c r="LO34" s="43" t="n">
        <v>1175256</v>
      </c>
      <c r="LP34" s="43" t="n">
        <v>1175256</v>
      </c>
      <c r="LQ34" s="43" t="n">
        <v>1175256</v>
      </c>
      <c r="LR34" s="43" t="n">
        <v>1175256</v>
      </c>
      <c r="LS34" s="43" t="n">
        <v>1175256</v>
      </c>
      <c r="LT34" s="43" t="n">
        <v>1175256</v>
      </c>
      <c r="LU34" s="43" t="n">
        <v>1175256</v>
      </c>
      <c r="LV34" s="43" t="n">
        <v>1175256</v>
      </c>
      <c r="LW34" s="43" t="n">
        <v>1175256</v>
      </c>
      <c r="LX34" s="43" t="n">
        <v>1175256</v>
      </c>
      <c r="LY34" s="43" t="n">
        <v>1175256</v>
      </c>
      <c r="LZ34" s="43" t="n">
        <v>1175256</v>
      </c>
      <c r="MA34" s="43" t="n">
        <v>1175256</v>
      </c>
      <c r="MB34" s="43" t="n">
        <v>1175256</v>
      </c>
      <c r="MC34" s="43" t="n">
        <v>1175256</v>
      </c>
      <c r="MD34" s="43" t="n">
        <v>1175256</v>
      </c>
      <c r="ME34" s="43" t="n">
        <v>1175256</v>
      </c>
      <c r="MF34" s="43" t="n">
        <v>1175256</v>
      </c>
      <c r="MG34" s="43" t="n">
        <v>1175256</v>
      </c>
      <c r="MH34" s="43" t="n">
        <v>1175256</v>
      </c>
      <c r="MI34" s="43" t="n">
        <v>1175256</v>
      </c>
      <c r="MJ34" s="43" t="n">
        <v>1175256</v>
      </c>
      <c r="MK34" s="43" t="n">
        <v>1175256</v>
      </c>
      <c r="ML34" s="43" t="n">
        <v>1175256</v>
      </c>
      <c r="MM34" s="43" t="n">
        <v>1175256</v>
      </c>
      <c r="MN34" s="43" t="n">
        <v>1175256</v>
      </c>
      <c r="MO34" s="43" t="n">
        <v>1175256</v>
      </c>
      <c r="MP34" s="43" t="n">
        <v>1175256</v>
      </c>
      <c r="MQ34" s="43" t="n">
        <v>1175256</v>
      </c>
      <c r="MR34" s="43" t="n">
        <v>1175256</v>
      </c>
      <c r="MS34" s="43" t="n">
        <v>1175256</v>
      </c>
      <c r="MT34" s="43" t="n">
        <v>1175256</v>
      </c>
      <c r="MU34" s="43" t="n">
        <v>1175256</v>
      </c>
      <c r="MV34" s="43" t="n">
        <v>1175256</v>
      </c>
      <c r="MW34" s="43" t="n">
        <v>1175256</v>
      </c>
      <c r="MX34" s="43" t="n">
        <v>1175256</v>
      </c>
      <c r="MY34" s="43" t="n">
        <v>1175256</v>
      </c>
      <c r="MZ34" s="43" t="n">
        <v>1175256</v>
      </c>
      <c r="NA34" s="43" t="n">
        <v>1175256</v>
      </c>
      <c r="NB34" s="43" t="n">
        <v>1175256</v>
      </c>
      <c r="NC34" s="43" t="n">
        <v>1175256</v>
      </c>
      <c r="ND34" s="43" t="n">
        <v>1175256</v>
      </c>
      <c r="NE34" s="43" t="n">
        <v>1175256</v>
      </c>
      <c r="NF34" s="43" t="n">
        <v>1175256</v>
      </c>
      <c r="NG34" s="43" t="n">
        <v>1175256</v>
      </c>
      <c r="NH34" s="43" t="n">
        <v>1175256</v>
      </c>
      <c r="NI34" s="43" t="n">
        <v>1175256</v>
      </c>
      <c r="NJ34" s="43" t="n">
        <v>1175256</v>
      </c>
      <c r="NK34" s="43" t="n">
        <v>1175256</v>
      </c>
      <c r="NL34" s="43" t="n">
        <v>1175256</v>
      </c>
      <c r="NM34" s="43" t="n">
        <v>1175256</v>
      </c>
      <c r="NN34" s="43" t="n">
        <v>1175256</v>
      </c>
      <c r="NO34" s="43" t="n">
        <v>1175256</v>
      </c>
      <c r="NP34" s="43" t="n">
        <v>1175256</v>
      </c>
      <c r="NQ34" s="43" t="n">
        <v>1175256</v>
      </c>
      <c r="NR34" s="43" t="n">
        <v>1175256</v>
      </c>
      <c r="NS34" s="43" t="n">
        <v>1175256</v>
      </c>
      <c r="NT34" s="43" t="n">
        <v>1175256</v>
      </c>
      <c r="NU34" s="43" t="n">
        <v>1175256</v>
      </c>
      <c r="NV34" s="43" t="n">
        <v>1175256</v>
      </c>
      <c r="NW34" s="43" t="n">
        <v>1175256</v>
      </c>
      <c r="NX34" s="43" t="n">
        <v>1175256</v>
      </c>
      <c r="NY34" s="43" t="n">
        <v>1175256</v>
      </c>
      <c r="NZ34" s="43" t="n">
        <v>1175256</v>
      </c>
      <c r="OA34" s="43" t="n">
        <v>1175256</v>
      </c>
      <c r="OB34" s="43" t="n">
        <v>1175256</v>
      </c>
      <c r="OC34" s="43" t="n">
        <v>1175256</v>
      </c>
      <c r="OD34" s="43" t="n">
        <v>1175256</v>
      </c>
      <c r="OE34" s="43" t="n">
        <v>1175256</v>
      </c>
      <c r="OF34" s="43" t="n">
        <v>1175256</v>
      </c>
      <c r="OG34" s="43" t="n">
        <v>1175256</v>
      </c>
      <c r="OH34" s="43" t="n">
        <v>1175256</v>
      </c>
      <c r="OI34" s="43" t="n">
        <v>1175256</v>
      </c>
      <c r="OJ34" s="43" t="n">
        <v>1175256</v>
      </c>
      <c r="OK34" s="43" t="n">
        <v>1175256</v>
      </c>
      <c r="OL34" s="43" t="n">
        <v>1175256</v>
      </c>
      <c r="OM34" s="43" t="n">
        <v>1175256</v>
      </c>
      <c r="ON34" s="43" t="n">
        <v>1175256</v>
      </c>
      <c r="OO34" s="43" t="n">
        <v>1175256</v>
      </c>
      <c r="OP34" s="43" t="n">
        <v>1175256</v>
      </c>
      <c r="OQ34" s="43" t="n">
        <v>1175256</v>
      </c>
      <c r="OR34" s="43" t="n">
        <v>1175256</v>
      </c>
      <c r="OS34" s="43" t="n">
        <v>1175256</v>
      </c>
      <c r="OT34" s="43" t="n">
        <v>1175256</v>
      </c>
      <c r="OU34" s="43" t="n">
        <v>1175256</v>
      </c>
      <c r="OV34" s="43" t="n">
        <v>1175256</v>
      </c>
      <c r="OW34" s="43" t="n">
        <v>1175256</v>
      </c>
      <c r="OX34" s="43" t="n">
        <v>1175256</v>
      </c>
      <c r="OY34" s="43" t="n">
        <v>1175256</v>
      </c>
      <c r="OZ34" s="43" t="n">
        <v>1175256</v>
      </c>
      <c r="PA34" s="43" t="n">
        <v>1175256</v>
      </c>
      <c r="PB34" s="43" t="n">
        <v>1175256</v>
      </c>
      <c r="PC34" s="43" t="n">
        <v>1175256</v>
      </c>
      <c r="PD34" s="43" t="n">
        <v>1175256</v>
      </c>
      <c r="PE34" s="43" t="n">
        <v>1175256</v>
      </c>
      <c r="PF34" s="43" t="n">
        <v>1175256</v>
      </c>
      <c r="PG34" s="43" t="n">
        <v>1175256</v>
      </c>
      <c r="PH34" s="43" t="n">
        <v>1175256</v>
      </c>
      <c r="PI34" s="43" t="n">
        <v>1175256</v>
      </c>
      <c r="PJ34" s="43" t="n">
        <v>1175256</v>
      </c>
      <c r="PK34" s="43" t="n">
        <v>1175256</v>
      </c>
      <c r="PL34" s="43" t="n">
        <v>1175256</v>
      </c>
      <c r="PM34" s="43" t="n">
        <v>1175256</v>
      </c>
      <c r="PN34" s="43" t="n">
        <v>1175256</v>
      </c>
      <c r="PO34" s="43" t="n">
        <v>1175256</v>
      </c>
      <c r="PP34" s="43" t="n">
        <v>1175256</v>
      </c>
      <c r="PQ34" s="43" t="n">
        <v>1175256</v>
      </c>
      <c r="PR34" s="43" t="n">
        <v>1175256</v>
      </c>
      <c r="PS34" s="43" t="n">
        <v>1175256</v>
      </c>
      <c r="PT34" s="43" t="n">
        <v>1175256</v>
      </c>
      <c r="PU34" s="43" t="n">
        <v>1175256</v>
      </c>
      <c r="PV34" s="43" t="n">
        <v>1175256</v>
      </c>
      <c r="PW34" s="43" t="n">
        <v>1175256</v>
      </c>
      <c r="PX34" s="43" t="n">
        <v>1175256</v>
      </c>
      <c r="PY34" s="43" t="n">
        <v>1175256</v>
      </c>
      <c r="PZ34" s="43" t="n">
        <v>1175256</v>
      </c>
      <c r="QA34" s="43" t="n">
        <v>1175256</v>
      </c>
      <c r="QB34" s="43" t="n">
        <v>1175256</v>
      </c>
      <c r="QC34" s="43" t="n">
        <v>1175256</v>
      </c>
      <c r="QD34" s="43" t="n">
        <v>1175256</v>
      </c>
      <c r="QE34" s="43" t="n">
        <v>1175256</v>
      </c>
      <c r="QF34" s="43" t="n">
        <v>1175256</v>
      </c>
      <c r="QG34" s="43" t="n">
        <v>1175256</v>
      </c>
      <c r="QH34" s="43" t="n">
        <v>1175256</v>
      </c>
      <c r="QI34" s="43" t="n">
        <v>1175256</v>
      </c>
      <c r="QJ34" s="43" t="n">
        <v>1175256</v>
      </c>
      <c r="QK34" s="43" t="n">
        <v>1175256</v>
      </c>
      <c r="QL34" s="43" t="n">
        <v>1175256</v>
      </c>
      <c r="QM34" s="43" t="n">
        <v>1175256</v>
      </c>
      <c r="QN34" s="43" t="n">
        <v>1175256</v>
      </c>
      <c r="QO34" s="43" t="n">
        <v>1175256</v>
      </c>
      <c r="QP34" s="43" t="n">
        <v>1175256</v>
      </c>
      <c r="QQ34" s="43" t="n">
        <v>1175256</v>
      </c>
      <c r="QR34" s="43" t="n">
        <v>1175256</v>
      </c>
      <c r="QS34" s="43" t="n">
        <v>1175256</v>
      </c>
      <c r="QT34" s="43" t="n">
        <v>1175256</v>
      </c>
      <c r="QU34" s="43" t="n">
        <v>1175256</v>
      </c>
      <c r="QV34" s="43" t="n">
        <v>1175256</v>
      </c>
      <c r="QW34" s="43" t="n">
        <v>1175256</v>
      </c>
      <c r="QX34" s="43" t="n">
        <v>1175256</v>
      </c>
      <c r="QY34" s="43" t="n">
        <v>1175256</v>
      </c>
      <c r="QZ34" s="43" t="n">
        <v>1175256</v>
      </c>
      <c r="RA34" s="43" t="n">
        <v>1175256</v>
      </c>
      <c r="RB34" s="43" t="n">
        <v>1175256</v>
      </c>
      <c r="RC34" s="43" t="n">
        <v>1175256</v>
      </c>
      <c r="RD34" s="43" t="n">
        <v>1175256</v>
      </c>
      <c r="RE34" s="43" t="n">
        <v>1175256</v>
      </c>
      <c r="RF34" s="43" t="n">
        <v>1175256</v>
      </c>
      <c r="RG34" s="43" t="n">
        <v>1175256</v>
      </c>
      <c r="RH34" s="43" t="n">
        <v>1175256</v>
      </c>
      <c r="RI34" s="43" t="n">
        <v>1175256</v>
      </c>
      <c r="RJ34" s="43" t="n">
        <v>1175256</v>
      </c>
      <c r="RK34" s="43" t="n">
        <v>1175256</v>
      </c>
      <c r="RL34" s="43" t="n">
        <v>1175256</v>
      </c>
      <c r="RM34" s="43" t="n">
        <v>1175256</v>
      </c>
      <c r="RN34" s="43" t="n">
        <v>1175256</v>
      </c>
      <c r="RO34" s="43" t="n">
        <v>1175256</v>
      </c>
      <c r="RP34" s="43" t="n">
        <v>1175256</v>
      </c>
      <c r="RQ34" s="43" t="n">
        <v>1175256</v>
      </c>
      <c r="RR34" s="43" t="n">
        <v>1175256</v>
      </c>
      <c r="RS34" s="43" t="n">
        <v>1175256</v>
      </c>
      <c r="RT34" s="43" t="n">
        <v>1175256</v>
      </c>
      <c r="RU34" s="43" t="n">
        <v>1175256</v>
      </c>
      <c r="RV34" s="43" t="n">
        <v>1175256</v>
      </c>
      <c r="RW34" s="43" t="n">
        <v>1175256</v>
      </c>
    </row>
    <row r="35" ht="5.25" customHeight="1"/>
    <row r="36" ht="13.05" customHeight="1">
      <c r="E36" s="39" t="inlineStr">
        <is>
          <t>Wind OPEX</t>
        </is>
      </c>
      <c r="F36" s="39" t="n"/>
      <c r="G36" s="39" t="n"/>
    </row>
    <row r="37" ht="13.05" customHeight="1">
      <c r="E37" s="21" t="inlineStr">
        <is>
          <t>O&amp;M</t>
        </is>
      </c>
      <c r="F37" s="29" t="n"/>
      <c r="G37" s="29" t="inlineStr">
        <is>
          <t>kEUR</t>
        </is>
      </c>
      <c r="H37" s="29" t="n"/>
      <c r="I37" s="29" t="n"/>
      <c r="J37" s="32" t="n"/>
      <c r="K37" s="29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B37" s="33" t="n"/>
      <c r="DC37" s="33" t="n"/>
      <c r="DD37" s="33" t="n"/>
      <c r="DE37" s="33" t="n"/>
      <c r="DF37" s="33" t="n"/>
      <c r="DG37" s="33" t="n"/>
      <c r="DH37" s="33" t="n"/>
      <c r="DI37" s="33" t="n"/>
      <c r="DJ37" s="33" t="n"/>
      <c r="DK37" s="33" t="n"/>
      <c r="DL37" s="33" t="n"/>
      <c r="DM37" s="33" t="n"/>
      <c r="DN37" s="33" t="n"/>
      <c r="DO37" s="33" t="n"/>
      <c r="DP37" s="33" t="n"/>
      <c r="DQ37" s="33" t="n"/>
      <c r="DR37" s="33" t="n"/>
      <c r="DS37" s="33" t="n"/>
      <c r="DT37" s="33" t="n"/>
      <c r="DU37" s="33" t="n"/>
      <c r="DV37" s="33" t="n"/>
      <c r="DW37" s="33" t="n"/>
      <c r="DX37" s="33" t="n"/>
      <c r="DY37" s="33" t="n"/>
      <c r="DZ37" s="33" t="n"/>
      <c r="EA37" s="33" t="n"/>
      <c r="EB37" s="33" t="n"/>
      <c r="EC37" s="33" t="n"/>
      <c r="ED37" s="33" t="n"/>
      <c r="EE37" s="33" t="n"/>
      <c r="EF37" s="33" t="n"/>
      <c r="EG37" s="33" t="n"/>
      <c r="EH37" s="33" t="n"/>
      <c r="EI37" s="33" t="n"/>
      <c r="EJ37" s="33" t="n"/>
      <c r="EK37" s="33" t="n"/>
      <c r="EL37" s="33" t="n"/>
      <c r="EM37" s="33" t="n"/>
      <c r="EN37" s="33" t="n"/>
      <c r="EO37" s="33" t="n"/>
      <c r="EP37" s="33" t="n"/>
      <c r="EQ37" s="33" t="n"/>
      <c r="ER37" s="33" t="n"/>
      <c r="ES37" s="33" t="n"/>
      <c r="ET37" s="33" t="n"/>
      <c r="EU37" s="33" t="n"/>
      <c r="EV37" s="33" t="n"/>
      <c r="EW37" s="33" t="n"/>
      <c r="EX37" s="33" t="n"/>
      <c r="EY37" s="33" t="n"/>
      <c r="EZ37" s="33" t="n"/>
      <c r="FA37" s="33" t="n"/>
      <c r="FB37" s="33" t="n"/>
      <c r="FC37" s="33" t="n"/>
      <c r="FD37" s="33" t="n"/>
      <c r="FE37" s="33" t="n"/>
      <c r="FF37" s="33" t="n"/>
      <c r="FG37" s="33" t="n"/>
      <c r="FH37" s="33" t="n"/>
      <c r="FI37" s="33" t="n"/>
      <c r="FJ37" s="33" t="n"/>
      <c r="FK37" s="33" t="n"/>
      <c r="FL37" s="33" t="n"/>
      <c r="FM37" s="33" t="n"/>
      <c r="FN37" s="33" t="n"/>
      <c r="FO37" s="33" t="n"/>
      <c r="FP37" s="33" t="n"/>
      <c r="FQ37" s="33" t="n"/>
      <c r="FR37" s="33" t="n"/>
      <c r="FS37" s="33" t="n"/>
      <c r="FT37" s="33" t="n"/>
      <c r="FU37" s="33" t="n"/>
      <c r="FV37" s="33" t="n"/>
      <c r="FW37" s="33" t="n"/>
      <c r="FX37" s="33" t="n"/>
      <c r="FY37" s="33" t="n"/>
      <c r="FZ37" s="33" t="n"/>
      <c r="GA37" s="33" t="n"/>
      <c r="GB37" s="33" t="n"/>
      <c r="GC37" s="33" t="n"/>
      <c r="GD37" s="33" t="n"/>
      <c r="GE37" s="33" t="n"/>
      <c r="GF37" s="33" t="n"/>
      <c r="GG37" s="33" t="n"/>
      <c r="GH37" s="33" t="n"/>
      <c r="GI37" s="33" t="n"/>
      <c r="GJ37" s="33" t="n"/>
      <c r="GK37" s="33" t="n"/>
      <c r="GL37" s="33" t="n"/>
      <c r="GM37" s="33" t="n"/>
      <c r="GN37" s="33" t="n"/>
      <c r="GO37" s="33" t="n"/>
      <c r="GP37" s="33" t="n"/>
      <c r="GQ37" s="33" t="n"/>
      <c r="GR37" s="33" t="n"/>
      <c r="GS37" s="33" t="n"/>
      <c r="GT37" s="33" t="n"/>
      <c r="GU37" s="33" t="n"/>
      <c r="GV37" s="33" t="n"/>
      <c r="GW37" s="33" t="n"/>
      <c r="GX37" s="33" t="n"/>
      <c r="GY37" s="33" t="n"/>
      <c r="GZ37" s="33" t="n"/>
      <c r="HA37" s="33" t="n"/>
      <c r="HB37" s="33" t="n"/>
      <c r="HC37" s="33" t="n"/>
      <c r="HD37" s="33" t="n"/>
      <c r="HE37" s="33" t="n"/>
      <c r="HF37" s="33" t="n"/>
      <c r="HG37" s="33" t="n"/>
      <c r="HH37" s="33" t="n"/>
      <c r="HI37" s="33" t="n"/>
      <c r="HJ37" s="33" t="n"/>
      <c r="HK37" s="33" t="n"/>
      <c r="HL37" s="33" t="n"/>
      <c r="HM37" s="33" t="n"/>
      <c r="HN37" s="33" t="n"/>
      <c r="HO37" s="33" t="n"/>
      <c r="HP37" s="33" t="n"/>
      <c r="HQ37" s="33" t="n"/>
      <c r="HR37" s="33" t="n"/>
      <c r="HS37" s="33" t="n"/>
      <c r="HT37" s="33" t="n"/>
      <c r="HU37" s="33" t="n"/>
      <c r="HV37" s="33" t="n"/>
      <c r="HW37" s="33" t="n"/>
      <c r="HX37" s="33" t="n"/>
      <c r="HY37" s="33" t="n"/>
      <c r="HZ37" s="33" t="n"/>
      <c r="IA37" s="33" t="n"/>
      <c r="IB37" s="33" t="n"/>
      <c r="IC37" s="33" t="n"/>
      <c r="ID37" s="33" t="n"/>
      <c r="IE37" s="33" t="n"/>
      <c r="IF37" s="33" t="n"/>
      <c r="IG37" s="33" t="n"/>
      <c r="IH37" s="33" t="n"/>
      <c r="II37" s="33" t="n"/>
      <c r="IJ37" s="33" t="n"/>
      <c r="IK37" s="33" t="n"/>
      <c r="IL37" s="33" t="n"/>
      <c r="IM37" s="33" t="n"/>
      <c r="IN37" s="33" t="n"/>
      <c r="IO37" s="33" t="n"/>
      <c r="IP37" s="33" t="n"/>
      <c r="IQ37" s="33" t="n"/>
      <c r="IR37" s="33" t="n"/>
      <c r="IS37" s="33" t="n"/>
      <c r="IT37" s="33" t="n"/>
      <c r="IU37" s="33" t="n"/>
      <c r="IV37" s="33" t="n"/>
      <c r="IW37" s="33" t="n"/>
      <c r="IX37" s="33" t="n"/>
      <c r="IY37" s="33" t="n"/>
      <c r="IZ37" s="33" t="n"/>
      <c r="JA37" s="33" t="n"/>
      <c r="JB37" s="33" t="n"/>
      <c r="JC37" s="33" t="n"/>
      <c r="JD37" s="33" t="n"/>
      <c r="JE37" s="33" t="n"/>
      <c r="JF37" s="33" t="n"/>
      <c r="JG37" s="33" t="n"/>
      <c r="JH37" s="33" t="n"/>
      <c r="JI37" s="33" t="n"/>
      <c r="JJ37" s="33" t="n"/>
      <c r="JK37" s="33" t="n"/>
      <c r="JL37" s="33" t="n"/>
      <c r="JM37" s="33" t="n"/>
      <c r="JN37" s="33" t="n"/>
      <c r="JO37" s="33" t="n"/>
      <c r="JP37" s="33" t="n"/>
      <c r="JQ37" s="33" t="n"/>
      <c r="JR37" s="33" t="n"/>
      <c r="JS37" s="33" t="n"/>
      <c r="JT37" s="33" t="n"/>
      <c r="JU37" s="33" t="n"/>
      <c r="JV37" s="33" t="n"/>
      <c r="JW37" s="33" t="n"/>
      <c r="JX37" s="33" t="n"/>
      <c r="JY37" s="33" t="n"/>
      <c r="JZ37" s="33" t="n"/>
      <c r="KA37" s="33" t="n"/>
      <c r="KB37" s="33" t="n"/>
      <c r="KC37" s="33" t="n"/>
      <c r="KD37" s="33" t="n"/>
      <c r="KE37" s="33" t="n"/>
      <c r="KF37" s="33" t="n"/>
      <c r="KG37" s="33" t="n"/>
      <c r="KH37" s="33" t="n"/>
      <c r="KI37" s="33" t="n"/>
      <c r="KJ37" s="33" t="n"/>
      <c r="KK37" s="33" t="n"/>
      <c r="KL37" s="33" t="n"/>
      <c r="KM37" s="33" t="n"/>
      <c r="KN37" s="33" t="n"/>
      <c r="KO37" s="33" t="n"/>
      <c r="KP37" s="33" t="n"/>
      <c r="KQ37" s="33" t="n"/>
      <c r="KR37" s="33" t="n"/>
      <c r="KS37" s="33" t="n"/>
      <c r="KT37" s="33" t="n"/>
      <c r="KU37" s="33" t="n"/>
      <c r="KV37" s="33" t="n"/>
      <c r="KW37" s="33" t="n"/>
      <c r="KX37" s="33" t="n"/>
      <c r="KY37" s="33" t="n"/>
      <c r="KZ37" s="33" t="n"/>
      <c r="LA37" s="33" t="n"/>
      <c r="LB37" s="33" t="n"/>
      <c r="LC37" s="33" t="n"/>
      <c r="LD37" s="33" t="n"/>
      <c r="LE37" s="33" t="n"/>
      <c r="LF37" s="33" t="n"/>
      <c r="LG37" s="33" t="n"/>
      <c r="LH37" s="33" t="n"/>
      <c r="LI37" s="33" t="n"/>
      <c r="LJ37" s="33" t="n"/>
      <c r="LK37" s="33" t="n"/>
      <c r="LL37" s="33" t="n"/>
      <c r="LM37" s="33" t="n"/>
      <c r="LN37" s="33" t="n"/>
      <c r="LO37" s="33" t="n"/>
      <c r="LP37" s="33" t="n"/>
      <c r="LQ37" s="33" t="n"/>
      <c r="LR37" s="33" t="n"/>
      <c r="LS37" s="33" t="n"/>
      <c r="LT37" s="33" t="n"/>
      <c r="LU37" s="33" t="n"/>
      <c r="LV37" s="33" t="n"/>
      <c r="LW37" s="33" t="n"/>
      <c r="LX37" s="33" t="n"/>
      <c r="LY37" s="33" t="n"/>
      <c r="LZ37" s="33" t="n"/>
      <c r="MA37" s="33" t="n"/>
      <c r="MB37" s="33" t="n"/>
      <c r="MC37" s="33" t="n"/>
      <c r="MD37" s="33" t="n"/>
      <c r="ME37" s="33" t="n"/>
      <c r="MF37" s="33" t="n"/>
      <c r="MG37" s="33" t="n"/>
      <c r="MH37" s="33" t="n"/>
      <c r="MI37" s="33" t="n"/>
      <c r="MJ37" s="33" t="n"/>
      <c r="MK37" s="33" t="n"/>
      <c r="ML37" s="33" t="n"/>
      <c r="MM37" s="33" t="n"/>
      <c r="MN37" s="33" t="n"/>
      <c r="MO37" s="33" t="n"/>
      <c r="MP37" s="33" t="n"/>
      <c r="MQ37" s="33" t="n"/>
      <c r="MR37" s="33" t="n"/>
      <c r="MS37" s="33" t="n"/>
      <c r="MT37" s="33" t="n"/>
      <c r="MU37" s="33" t="n"/>
      <c r="MV37" s="33" t="n"/>
      <c r="MW37" s="33" t="n"/>
      <c r="MX37" s="33" t="n"/>
      <c r="MY37" s="33" t="n"/>
      <c r="MZ37" s="33" t="n"/>
      <c r="NA37" s="33" t="n"/>
      <c r="NB37" s="33" t="n"/>
      <c r="NC37" s="33" t="n"/>
      <c r="ND37" s="33" t="n"/>
      <c r="NE37" s="33" t="n"/>
      <c r="NF37" s="33" t="n"/>
      <c r="NG37" s="33" t="n"/>
      <c r="NH37" s="33" t="n"/>
      <c r="NI37" s="33" t="n"/>
      <c r="NJ37" s="33" t="n"/>
      <c r="NK37" s="33" t="n"/>
      <c r="NL37" s="33" t="n"/>
      <c r="NM37" s="33" t="n"/>
      <c r="NN37" s="33" t="n"/>
      <c r="NO37" s="33" t="n"/>
      <c r="NP37" s="33" t="n"/>
      <c r="NQ37" s="33" t="n"/>
      <c r="NR37" s="33" t="n"/>
      <c r="NS37" s="33" t="n"/>
      <c r="NT37" s="33" t="n"/>
      <c r="NU37" s="33" t="n"/>
      <c r="NV37" s="33" t="n"/>
      <c r="NW37" s="33" t="n"/>
      <c r="NX37" s="33" t="n"/>
      <c r="NY37" s="33" t="n"/>
      <c r="NZ37" s="33" t="n"/>
      <c r="OA37" s="33" t="n"/>
      <c r="OB37" s="33" t="n"/>
      <c r="OC37" s="33" t="n"/>
      <c r="OD37" s="33" t="n"/>
      <c r="OE37" s="33" t="n"/>
      <c r="OF37" s="33" t="n"/>
      <c r="OG37" s="33" t="n"/>
      <c r="OH37" s="33" t="n"/>
      <c r="OI37" s="33" t="n"/>
      <c r="OJ37" s="33" t="n"/>
      <c r="OK37" s="33" t="n"/>
      <c r="OL37" s="33" t="n"/>
      <c r="OM37" s="33" t="n"/>
      <c r="ON37" s="33" t="n"/>
      <c r="OO37" s="33" t="n"/>
      <c r="OP37" s="33" t="n"/>
      <c r="OQ37" s="33" t="n"/>
      <c r="OR37" s="33" t="n"/>
      <c r="OS37" s="33" t="n"/>
      <c r="OT37" s="33" t="n"/>
      <c r="OU37" s="33" t="n"/>
      <c r="OV37" s="33" t="n"/>
      <c r="OW37" s="33" t="n"/>
      <c r="OX37" s="33" t="n"/>
      <c r="OY37" s="33" t="n"/>
      <c r="OZ37" s="33" t="n"/>
      <c r="PA37" s="33" t="n"/>
      <c r="PB37" s="33" t="n"/>
      <c r="PC37" s="33" t="n"/>
      <c r="PD37" s="33" t="n"/>
      <c r="PE37" s="33" t="n"/>
      <c r="PF37" s="33" t="n"/>
      <c r="PG37" s="33" t="n"/>
      <c r="PH37" s="33" t="n"/>
      <c r="PI37" s="33" t="n"/>
      <c r="PJ37" s="33" t="n"/>
      <c r="PK37" s="33" t="n"/>
      <c r="PL37" s="33" t="n"/>
      <c r="PM37" s="33" t="n"/>
      <c r="PN37" s="33" t="n"/>
      <c r="PO37" s="33" t="n"/>
      <c r="PP37" s="33" t="n"/>
      <c r="PQ37" s="33" t="n"/>
      <c r="PR37" s="33" t="n"/>
      <c r="PS37" s="33" t="n"/>
      <c r="PT37" s="33" t="n"/>
      <c r="PU37" s="33" t="n"/>
      <c r="PV37" s="33" t="n"/>
      <c r="PW37" s="33" t="n"/>
      <c r="PX37" s="33" t="n"/>
      <c r="PY37" s="33" t="n"/>
      <c r="PZ37" s="33" t="n"/>
      <c r="QA37" s="33" t="n"/>
      <c r="QB37" s="33" t="n"/>
      <c r="QC37" s="33" t="n"/>
      <c r="QD37" s="33" t="n"/>
      <c r="QE37" s="33" t="n"/>
      <c r="QF37" s="33" t="n"/>
      <c r="QG37" s="33" t="n"/>
      <c r="QH37" s="33" t="n"/>
      <c r="QI37" s="33" t="n"/>
      <c r="QJ37" s="33" t="n"/>
      <c r="QK37" s="33" t="n"/>
      <c r="QL37" s="33" t="n"/>
      <c r="QM37" s="33" t="n"/>
      <c r="QN37" s="33" t="n"/>
      <c r="QO37" s="33" t="n"/>
      <c r="QP37" s="33" t="n"/>
      <c r="QQ37" s="33" t="n"/>
      <c r="QR37" s="33" t="n"/>
      <c r="QS37" s="33" t="n"/>
      <c r="QT37" s="33" t="n"/>
      <c r="QU37" s="33" t="n"/>
      <c r="QV37" s="33" t="n"/>
      <c r="QW37" s="33" t="n"/>
      <c r="QX37" s="33" t="n"/>
      <c r="QY37" s="33" t="n"/>
      <c r="QZ37" s="33" t="n"/>
      <c r="RA37" s="33" t="n"/>
      <c r="RB37" s="33" t="n"/>
      <c r="RC37" s="33" t="n"/>
      <c r="RD37" s="33" t="n"/>
      <c r="RE37" s="33" t="n"/>
      <c r="RF37" s="33" t="n"/>
      <c r="RG37" s="33" t="n"/>
      <c r="RH37" s="33" t="n"/>
      <c r="RI37" s="33" t="n"/>
      <c r="RJ37" s="33" t="n"/>
      <c r="RK37" s="33" t="n"/>
      <c r="RL37" s="33" t="n"/>
      <c r="RM37" s="33" t="n"/>
      <c r="RN37" s="33" t="n"/>
      <c r="RO37" s="33" t="n"/>
      <c r="RP37" s="33" t="n"/>
      <c r="RQ37" s="33" t="n"/>
      <c r="RR37" s="33" t="n"/>
      <c r="RS37" s="33" t="n"/>
      <c r="RT37" s="33" t="n"/>
      <c r="RU37" s="33" t="n"/>
      <c r="RV37" s="33" t="n"/>
      <c r="RW37" s="33" t="n"/>
    </row>
    <row r="38" hidden="1" outlineLevel="1" ht="13.05" customHeight="1">
      <c r="E38" s="21" t="inlineStr">
        <is>
          <t>Land Lease</t>
        </is>
      </c>
      <c r="F38" s="29" t="n"/>
      <c r="G38" s="29" t="inlineStr">
        <is>
          <t>kEUR</t>
        </is>
      </c>
      <c r="H38" s="29" t="n"/>
      <c r="I38" s="29" t="n"/>
      <c r="J38" s="32" t="n"/>
      <c r="K38" s="29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B38" s="33" t="n"/>
      <c r="DC38" s="33" t="n"/>
      <c r="DD38" s="33" t="n"/>
      <c r="DE38" s="33" t="n"/>
      <c r="DF38" s="33" t="n"/>
      <c r="DG38" s="33" t="n"/>
      <c r="DH38" s="33" t="n"/>
      <c r="DI38" s="33" t="n"/>
      <c r="DJ38" s="33" t="n"/>
      <c r="DK38" s="33" t="n"/>
      <c r="DL38" s="33" t="n"/>
      <c r="DM38" s="33" t="n"/>
      <c r="DN38" s="33" t="n"/>
      <c r="DO38" s="33" t="n"/>
      <c r="DP38" s="33" t="n"/>
      <c r="DQ38" s="33" t="n"/>
      <c r="DR38" s="33" t="n"/>
      <c r="DS38" s="33" t="n"/>
      <c r="DT38" s="33" t="n"/>
      <c r="DU38" s="33" t="n"/>
      <c r="DV38" s="33" t="n"/>
      <c r="DW38" s="33" t="n"/>
      <c r="DX38" s="33" t="n"/>
      <c r="DY38" s="33" t="n"/>
      <c r="DZ38" s="33" t="n"/>
      <c r="EA38" s="33" t="n"/>
      <c r="EB38" s="33" t="n"/>
      <c r="EC38" s="33" t="n"/>
      <c r="ED38" s="33" t="n"/>
      <c r="EE38" s="33" t="n"/>
      <c r="EF38" s="33" t="n"/>
      <c r="EG38" s="33" t="n"/>
      <c r="EH38" s="33" t="n"/>
      <c r="EI38" s="33" t="n"/>
      <c r="EJ38" s="33" t="n"/>
      <c r="EK38" s="33" t="n"/>
      <c r="EL38" s="33" t="n"/>
      <c r="EM38" s="33" t="n"/>
      <c r="EN38" s="33" t="n"/>
      <c r="EO38" s="33" t="n"/>
      <c r="EP38" s="33" t="n"/>
      <c r="EQ38" s="33" t="n"/>
      <c r="ER38" s="33" t="n"/>
      <c r="ES38" s="33" t="n"/>
      <c r="ET38" s="33" t="n"/>
      <c r="EU38" s="33" t="n"/>
      <c r="EV38" s="33" t="n"/>
      <c r="EW38" s="33" t="n"/>
      <c r="EX38" s="33" t="n"/>
      <c r="EY38" s="33" t="n"/>
      <c r="EZ38" s="33" t="n"/>
      <c r="FA38" s="33" t="n"/>
      <c r="FB38" s="33" t="n"/>
      <c r="FC38" s="33" t="n"/>
      <c r="FD38" s="33" t="n"/>
      <c r="FE38" s="33" t="n"/>
      <c r="FF38" s="33" t="n"/>
      <c r="FG38" s="33" t="n"/>
      <c r="FH38" s="33" t="n"/>
      <c r="FI38" s="33" t="n"/>
      <c r="FJ38" s="33" t="n"/>
      <c r="FK38" s="33" t="n"/>
      <c r="FL38" s="33" t="n"/>
      <c r="FM38" s="33" t="n"/>
      <c r="FN38" s="33" t="n"/>
      <c r="FO38" s="33" t="n"/>
      <c r="FP38" s="33" t="n"/>
      <c r="FQ38" s="33" t="n"/>
      <c r="FR38" s="33" t="n"/>
      <c r="FS38" s="33" t="n"/>
      <c r="FT38" s="33" t="n"/>
      <c r="FU38" s="33" t="n"/>
      <c r="FV38" s="33" t="n"/>
      <c r="FW38" s="33" t="n"/>
      <c r="FX38" s="33" t="n"/>
      <c r="FY38" s="33" t="n"/>
      <c r="FZ38" s="33" t="n"/>
      <c r="GA38" s="33" t="n"/>
      <c r="GB38" s="33" t="n"/>
      <c r="GC38" s="33" t="n"/>
      <c r="GD38" s="33" t="n"/>
      <c r="GE38" s="33" t="n"/>
      <c r="GF38" s="33" t="n"/>
      <c r="GG38" s="33" t="n"/>
      <c r="GH38" s="33" t="n"/>
      <c r="GI38" s="33" t="n"/>
      <c r="GJ38" s="33" t="n"/>
      <c r="GK38" s="33" t="n"/>
      <c r="GL38" s="33" t="n"/>
      <c r="GM38" s="33" t="n"/>
      <c r="GN38" s="33" t="n"/>
      <c r="GO38" s="33" t="n"/>
      <c r="GP38" s="33" t="n"/>
      <c r="GQ38" s="33" t="n"/>
      <c r="GR38" s="33" t="n"/>
      <c r="GS38" s="33" t="n"/>
      <c r="GT38" s="33" t="n"/>
      <c r="GU38" s="33" t="n"/>
      <c r="GV38" s="33" t="n"/>
      <c r="GW38" s="33" t="n"/>
      <c r="GX38" s="33" t="n"/>
      <c r="GY38" s="33" t="n"/>
      <c r="GZ38" s="33" t="n"/>
      <c r="HA38" s="33" t="n"/>
      <c r="HB38" s="33" t="n"/>
      <c r="HC38" s="33" t="n"/>
      <c r="HD38" s="33" t="n"/>
      <c r="HE38" s="33" t="n"/>
      <c r="HF38" s="33" t="n"/>
      <c r="HG38" s="33" t="n"/>
      <c r="HH38" s="33" t="n"/>
      <c r="HI38" s="33" t="n"/>
      <c r="HJ38" s="33" t="n"/>
      <c r="HK38" s="33" t="n"/>
      <c r="HL38" s="33" t="n"/>
      <c r="HM38" s="33" t="n"/>
      <c r="HN38" s="33" t="n"/>
      <c r="HO38" s="33" t="n"/>
      <c r="HP38" s="33" t="n"/>
      <c r="HQ38" s="33" t="n"/>
      <c r="HR38" s="33" t="n"/>
      <c r="HS38" s="33" t="n"/>
      <c r="HT38" s="33" t="n"/>
      <c r="HU38" s="33" t="n"/>
      <c r="HV38" s="33" t="n"/>
      <c r="HW38" s="33" t="n"/>
      <c r="HX38" s="33" t="n"/>
      <c r="HY38" s="33" t="n"/>
      <c r="HZ38" s="33" t="n"/>
      <c r="IA38" s="33" t="n"/>
      <c r="IB38" s="33" t="n"/>
      <c r="IC38" s="33" t="n"/>
      <c r="ID38" s="33" t="n"/>
      <c r="IE38" s="33" t="n"/>
      <c r="IF38" s="33" t="n"/>
      <c r="IG38" s="33" t="n"/>
      <c r="IH38" s="33" t="n"/>
      <c r="II38" s="33" t="n"/>
      <c r="IJ38" s="33" t="n"/>
      <c r="IK38" s="33" t="n"/>
      <c r="IL38" s="33" t="n"/>
      <c r="IM38" s="33" t="n"/>
      <c r="IN38" s="33" t="n"/>
      <c r="IO38" s="33" t="n"/>
      <c r="IP38" s="33" t="n"/>
      <c r="IQ38" s="33" t="n"/>
      <c r="IR38" s="33" t="n"/>
      <c r="IS38" s="33" t="n"/>
      <c r="IT38" s="33" t="n"/>
      <c r="IU38" s="33" t="n"/>
      <c r="IV38" s="33" t="n"/>
      <c r="IW38" s="33" t="n"/>
      <c r="IX38" s="33" t="n"/>
      <c r="IY38" s="33" t="n"/>
      <c r="IZ38" s="33" t="n"/>
      <c r="JA38" s="33" t="n"/>
      <c r="JB38" s="33" t="n"/>
      <c r="JC38" s="33" t="n"/>
      <c r="JD38" s="33" t="n"/>
      <c r="JE38" s="33" t="n"/>
      <c r="JF38" s="33" t="n"/>
      <c r="JG38" s="33" t="n"/>
      <c r="JH38" s="33" t="n"/>
      <c r="JI38" s="33" t="n"/>
      <c r="JJ38" s="33" t="n"/>
      <c r="JK38" s="33" t="n"/>
      <c r="JL38" s="33" t="n"/>
      <c r="JM38" s="33" t="n"/>
      <c r="JN38" s="33" t="n"/>
      <c r="JO38" s="33" t="n"/>
      <c r="JP38" s="33" t="n"/>
      <c r="JQ38" s="33" t="n"/>
      <c r="JR38" s="33" t="n"/>
      <c r="JS38" s="33" t="n"/>
      <c r="JT38" s="33" t="n"/>
      <c r="JU38" s="33" t="n"/>
      <c r="JV38" s="33" t="n"/>
      <c r="JW38" s="33" t="n"/>
      <c r="JX38" s="33" t="n"/>
      <c r="JY38" s="33" t="n"/>
      <c r="JZ38" s="33" t="n"/>
      <c r="KA38" s="33" t="n"/>
      <c r="KB38" s="33" t="n"/>
      <c r="KC38" s="33" t="n"/>
      <c r="KD38" s="33" t="n"/>
      <c r="KE38" s="33" t="n"/>
      <c r="KF38" s="33" t="n"/>
      <c r="KG38" s="33" t="n"/>
      <c r="KH38" s="33" t="n"/>
      <c r="KI38" s="33" t="n"/>
      <c r="KJ38" s="33" t="n"/>
      <c r="KK38" s="33" t="n"/>
      <c r="KL38" s="33" t="n"/>
      <c r="KM38" s="33" t="n"/>
      <c r="KN38" s="33" t="n"/>
      <c r="KO38" s="33" t="n"/>
      <c r="KP38" s="33" t="n"/>
      <c r="KQ38" s="33" t="n"/>
      <c r="KR38" s="33" t="n"/>
      <c r="KS38" s="33" t="n"/>
      <c r="KT38" s="33" t="n"/>
      <c r="KU38" s="33" t="n"/>
      <c r="KV38" s="33" t="n"/>
      <c r="KW38" s="33" t="n"/>
      <c r="KX38" s="33" t="n"/>
      <c r="KY38" s="33" t="n"/>
      <c r="KZ38" s="33" t="n"/>
      <c r="LA38" s="33" t="n"/>
      <c r="LB38" s="33" t="n"/>
      <c r="LC38" s="33" t="n"/>
      <c r="LD38" s="33" t="n"/>
      <c r="LE38" s="33" t="n"/>
      <c r="LF38" s="33" t="n"/>
      <c r="LG38" s="33" t="n"/>
      <c r="LH38" s="33" t="n"/>
      <c r="LI38" s="33" t="n"/>
      <c r="LJ38" s="33" t="n"/>
      <c r="LK38" s="33" t="n"/>
      <c r="LL38" s="33" t="n"/>
      <c r="LM38" s="33" t="n"/>
      <c r="LN38" s="33" t="n"/>
      <c r="LO38" s="33" t="n"/>
      <c r="LP38" s="33" t="n"/>
      <c r="LQ38" s="33" t="n"/>
      <c r="LR38" s="33" t="n"/>
      <c r="LS38" s="33" t="n"/>
      <c r="LT38" s="33" t="n"/>
      <c r="LU38" s="33" t="n"/>
      <c r="LV38" s="33" t="n"/>
      <c r="LW38" s="33" t="n"/>
      <c r="LX38" s="33" t="n"/>
      <c r="LY38" s="33" t="n"/>
      <c r="LZ38" s="33" t="n"/>
      <c r="MA38" s="33" t="n"/>
      <c r="MB38" s="33" t="n"/>
      <c r="MC38" s="33" t="n"/>
      <c r="MD38" s="33" t="n"/>
      <c r="ME38" s="33" t="n"/>
      <c r="MF38" s="33" t="n"/>
      <c r="MG38" s="33" t="n"/>
      <c r="MH38" s="33" t="n"/>
      <c r="MI38" s="33" t="n"/>
      <c r="MJ38" s="33" t="n"/>
      <c r="MK38" s="33" t="n"/>
      <c r="ML38" s="33" t="n"/>
      <c r="MM38" s="33" t="n"/>
      <c r="MN38" s="33" t="n"/>
      <c r="MO38" s="33" t="n"/>
      <c r="MP38" s="33" t="n"/>
      <c r="MQ38" s="33" t="n"/>
      <c r="MR38" s="33" t="n"/>
      <c r="MS38" s="33" t="n"/>
      <c r="MT38" s="33" t="n"/>
      <c r="MU38" s="33" t="n"/>
      <c r="MV38" s="33" t="n"/>
      <c r="MW38" s="33" t="n"/>
      <c r="MX38" s="33" t="n"/>
      <c r="MY38" s="33" t="n"/>
      <c r="MZ38" s="33" t="n"/>
      <c r="NA38" s="33" t="n"/>
      <c r="NB38" s="33" t="n"/>
      <c r="NC38" s="33" t="n"/>
      <c r="ND38" s="33" t="n"/>
      <c r="NE38" s="33" t="n"/>
      <c r="NF38" s="33" t="n"/>
      <c r="NG38" s="33" t="n"/>
      <c r="NH38" s="33" t="n"/>
      <c r="NI38" s="33" t="n"/>
      <c r="NJ38" s="33" t="n"/>
      <c r="NK38" s="33" t="n"/>
      <c r="NL38" s="33" t="n"/>
      <c r="NM38" s="33" t="n"/>
      <c r="NN38" s="33" t="n"/>
      <c r="NO38" s="33" t="n"/>
      <c r="NP38" s="33" t="n"/>
      <c r="NQ38" s="33" t="n"/>
      <c r="NR38" s="33" t="n"/>
      <c r="NS38" s="33" t="n"/>
      <c r="NT38" s="33" t="n"/>
      <c r="NU38" s="33" t="n"/>
      <c r="NV38" s="33" t="n"/>
      <c r="NW38" s="33" t="n"/>
      <c r="NX38" s="33" t="n"/>
      <c r="NY38" s="33" t="n"/>
      <c r="NZ38" s="33" t="n"/>
      <c r="OA38" s="33" t="n"/>
      <c r="OB38" s="33" t="n"/>
      <c r="OC38" s="33" t="n"/>
      <c r="OD38" s="33" t="n"/>
      <c r="OE38" s="33" t="n"/>
      <c r="OF38" s="33" t="n"/>
      <c r="OG38" s="33" t="n"/>
      <c r="OH38" s="33" t="n"/>
      <c r="OI38" s="33" t="n"/>
      <c r="OJ38" s="33" t="n"/>
      <c r="OK38" s="33" t="n"/>
      <c r="OL38" s="33" t="n"/>
      <c r="OM38" s="33" t="n"/>
      <c r="ON38" s="33" t="n"/>
      <c r="OO38" s="33" t="n"/>
      <c r="OP38" s="33" t="n"/>
      <c r="OQ38" s="33" t="n"/>
      <c r="OR38" s="33" t="n"/>
      <c r="OS38" s="33" t="n"/>
      <c r="OT38" s="33" t="n"/>
      <c r="OU38" s="33" t="n"/>
      <c r="OV38" s="33" t="n"/>
      <c r="OW38" s="33" t="n"/>
      <c r="OX38" s="33" t="n"/>
      <c r="OY38" s="33" t="n"/>
      <c r="OZ38" s="33" t="n"/>
      <c r="PA38" s="33" t="n"/>
      <c r="PB38" s="33" t="n"/>
      <c r="PC38" s="33" t="n"/>
      <c r="PD38" s="33" t="n"/>
      <c r="PE38" s="33" t="n"/>
      <c r="PF38" s="33" t="n"/>
      <c r="PG38" s="33" t="n"/>
      <c r="PH38" s="33" t="n"/>
      <c r="PI38" s="33" t="n"/>
      <c r="PJ38" s="33" t="n"/>
      <c r="PK38" s="33" t="n"/>
      <c r="PL38" s="33" t="n"/>
      <c r="PM38" s="33" t="n"/>
      <c r="PN38" s="33" t="n"/>
      <c r="PO38" s="33" t="n"/>
      <c r="PP38" s="33" t="n"/>
      <c r="PQ38" s="33" t="n"/>
      <c r="PR38" s="33" t="n"/>
      <c r="PS38" s="33" t="n"/>
      <c r="PT38" s="33" t="n"/>
      <c r="PU38" s="33" t="n"/>
      <c r="PV38" s="33" t="n"/>
      <c r="PW38" s="33" t="n"/>
      <c r="PX38" s="33" t="n"/>
      <c r="PY38" s="33" t="n"/>
      <c r="PZ38" s="33" t="n"/>
      <c r="QA38" s="33" t="n"/>
      <c r="QB38" s="33" t="n"/>
      <c r="QC38" s="33" t="n"/>
      <c r="QD38" s="33" t="n"/>
      <c r="QE38" s="33" t="n"/>
      <c r="QF38" s="33" t="n"/>
      <c r="QG38" s="33" t="n"/>
      <c r="QH38" s="33" t="n"/>
      <c r="QI38" s="33" t="n"/>
      <c r="QJ38" s="33" t="n"/>
      <c r="QK38" s="33" t="n"/>
      <c r="QL38" s="33" t="n"/>
      <c r="QM38" s="33" t="n"/>
      <c r="QN38" s="33" t="n"/>
      <c r="QO38" s="33" t="n"/>
      <c r="QP38" s="33" t="n"/>
      <c r="QQ38" s="33" t="n"/>
      <c r="QR38" s="33" t="n"/>
      <c r="QS38" s="33" t="n"/>
      <c r="QT38" s="33" t="n"/>
      <c r="QU38" s="33" t="n"/>
      <c r="QV38" s="33" t="n"/>
      <c r="QW38" s="33" t="n"/>
      <c r="QX38" s="33" t="n"/>
      <c r="QY38" s="33" t="n"/>
      <c r="QZ38" s="33" t="n"/>
      <c r="RA38" s="33" t="n"/>
      <c r="RB38" s="33" t="n"/>
      <c r="RC38" s="33" t="n"/>
      <c r="RD38" s="33" t="n"/>
      <c r="RE38" s="33" t="n"/>
      <c r="RF38" s="33" t="n"/>
      <c r="RG38" s="33" t="n"/>
      <c r="RH38" s="33" t="n"/>
      <c r="RI38" s="33" t="n"/>
      <c r="RJ38" s="33" t="n"/>
      <c r="RK38" s="33" t="n"/>
      <c r="RL38" s="33" t="n"/>
      <c r="RM38" s="33" t="n"/>
      <c r="RN38" s="33" t="n"/>
      <c r="RO38" s="33" t="n"/>
      <c r="RP38" s="33" t="n"/>
      <c r="RQ38" s="33" t="n"/>
      <c r="RR38" s="33" t="n"/>
      <c r="RS38" s="33" t="n"/>
      <c r="RT38" s="33" t="n"/>
      <c r="RU38" s="33" t="n"/>
      <c r="RV38" s="33" t="n"/>
      <c r="RW38" s="33" t="n"/>
    </row>
    <row r="39" hidden="1" outlineLevel="1" ht="13.05" customHeight="1">
      <c r="E39" s="21" t="inlineStr">
        <is>
          <t>Insurance</t>
        </is>
      </c>
      <c r="F39" s="29" t="n"/>
      <c r="G39" s="29" t="inlineStr">
        <is>
          <t>kEUR</t>
        </is>
      </c>
      <c r="H39" s="29" t="n"/>
      <c r="I39" s="29" t="n"/>
      <c r="J39" s="32" t="n"/>
      <c r="K39" s="29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3" t="n"/>
      <c r="AY39" s="33" t="n"/>
      <c r="AZ39" s="33" t="n"/>
      <c r="BA39" s="33" t="n"/>
      <c r="BB39" s="33" t="n"/>
      <c r="BC39" s="33" t="n"/>
      <c r="BD39" s="33" t="n"/>
      <c r="BE39" s="33" t="n"/>
      <c r="BF39" s="33" t="n"/>
      <c r="BG39" s="33" t="n"/>
      <c r="BH39" s="33" t="n"/>
      <c r="BI39" s="33" t="n"/>
      <c r="BJ39" s="33" t="n"/>
      <c r="BK39" s="33" t="n"/>
      <c r="BL39" s="33" t="n"/>
      <c r="BM39" s="33" t="n"/>
      <c r="BN39" s="33" t="n"/>
      <c r="BO39" s="33" t="n"/>
      <c r="BP39" s="33" t="n"/>
      <c r="BQ39" s="33" t="n"/>
      <c r="BR39" s="33" t="n"/>
      <c r="BS39" s="33" t="n"/>
      <c r="BT39" s="33" t="n"/>
      <c r="BU39" s="33" t="n"/>
      <c r="BV39" s="33" t="n"/>
      <c r="BW39" s="33" t="n"/>
      <c r="BX39" s="33" t="n"/>
      <c r="BY39" s="33" t="n"/>
      <c r="BZ39" s="33" t="n"/>
      <c r="CA39" s="33" t="n"/>
      <c r="CB39" s="33" t="n"/>
      <c r="CC39" s="33" t="n"/>
      <c r="CD39" s="33" t="n"/>
      <c r="CE39" s="33" t="n"/>
      <c r="CF39" s="33" t="n"/>
      <c r="CG39" s="33" t="n"/>
      <c r="CH39" s="33" t="n"/>
      <c r="CI39" s="33" t="n"/>
      <c r="CJ39" s="33" t="n"/>
      <c r="CK39" s="33" t="n"/>
      <c r="CL39" s="33" t="n"/>
      <c r="CM39" s="33" t="n"/>
      <c r="CN39" s="33" t="n"/>
      <c r="CO39" s="33" t="n"/>
      <c r="CP39" s="33" t="n"/>
      <c r="CQ39" s="33" t="n"/>
      <c r="CR39" s="33" t="n"/>
      <c r="CS39" s="33" t="n"/>
      <c r="CT39" s="33" t="n"/>
      <c r="CU39" s="33" t="n"/>
      <c r="CV39" s="33" t="n"/>
      <c r="CW39" s="33" t="n"/>
      <c r="CX39" s="33" t="n"/>
      <c r="CY39" s="33" t="n"/>
      <c r="CZ39" s="33" t="n"/>
      <c r="DA39" s="33" t="n"/>
      <c r="DB39" s="33" t="n"/>
      <c r="DC39" s="33" t="n"/>
      <c r="DD39" s="33" t="n"/>
      <c r="DE39" s="33" t="n"/>
      <c r="DF39" s="33" t="n"/>
      <c r="DG39" s="33" t="n"/>
      <c r="DH39" s="33" t="n"/>
      <c r="DI39" s="33" t="n"/>
      <c r="DJ39" s="33" t="n"/>
      <c r="DK39" s="33" t="n"/>
      <c r="DL39" s="33" t="n"/>
      <c r="DM39" s="33" t="n"/>
      <c r="DN39" s="33" t="n"/>
      <c r="DO39" s="33" t="n"/>
      <c r="DP39" s="33" t="n"/>
      <c r="DQ39" s="33" t="n"/>
      <c r="DR39" s="33" t="n"/>
      <c r="DS39" s="33" t="n"/>
      <c r="DT39" s="33" t="n"/>
      <c r="DU39" s="33" t="n"/>
      <c r="DV39" s="33" t="n"/>
      <c r="DW39" s="33" t="n"/>
      <c r="DX39" s="33" t="n"/>
      <c r="DY39" s="33" t="n"/>
      <c r="DZ39" s="33" t="n"/>
      <c r="EA39" s="33" t="n"/>
      <c r="EB39" s="33" t="n"/>
      <c r="EC39" s="33" t="n"/>
      <c r="ED39" s="33" t="n"/>
      <c r="EE39" s="33" t="n"/>
      <c r="EF39" s="33" t="n"/>
      <c r="EG39" s="33" t="n"/>
      <c r="EH39" s="33" t="n"/>
      <c r="EI39" s="33" t="n"/>
      <c r="EJ39" s="33" t="n"/>
      <c r="EK39" s="33" t="n"/>
      <c r="EL39" s="33" t="n"/>
      <c r="EM39" s="33" t="n"/>
      <c r="EN39" s="33" t="n"/>
      <c r="EO39" s="33" t="n"/>
      <c r="EP39" s="33" t="n"/>
      <c r="EQ39" s="33" t="n"/>
      <c r="ER39" s="33" t="n"/>
      <c r="ES39" s="33" t="n"/>
      <c r="ET39" s="33" t="n"/>
      <c r="EU39" s="33" t="n"/>
      <c r="EV39" s="33" t="n"/>
      <c r="EW39" s="33" t="n"/>
      <c r="EX39" s="33" t="n"/>
      <c r="EY39" s="33" t="n"/>
      <c r="EZ39" s="33" t="n"/>
      <c r="FA39" s="33" t="n"/>
      <c r="FB39" s="33" t="n"/>
      <c r="FC39" s="33" t="n"/>
      <c r="FD39" s="33" t="n"/>
      <c r="FE39" s="33" t="n"/>
      <c r="FF39" s="33" t="n"/>
      <c r="FG39" s="33" t="n"/>
      <c r="FH39" s="33" t="n"/>
      <c r="FI39" s="33" t="n"/>
      <c r="FJ39" s="33" t="n"/>
      <c r="FK39" s="33" t="n"/>
      <c r="FL39" s="33" t="n"/>
      <c r="FM39" s="33" t="n"/>
      <c r="FN39" s="33" t="n"/>
      <c r="FO39" s="33" t="n"/>
      <c r="FP39" s="33" t="n"/>
      <c r="FQ39" s="33" t="n"/>
      <c r="FR39" s="33" t="n"/>
      <c r="FS39" s="33" t="n"/>
      <c r="FT39" s="33" t="n"/>
      <c r="FU39" s="33" t="n"/>
      <c r="FV39" s="33" t="n"/>
      <c r="FW39" s="33" t="n"/>
      <c r="FX39" s="33" t="n"/>
      <c r="FY39" s="33" t="n"/>
      <c r="FZ39" s="33" t="n"/>
      <c r="GA39" s="33" t="n"/>
      <c r="GB39" s="33" t="n"/>
      <c r="GC39" s="33" t="n"/>
      <c r="GD39" s="33" t="n"/>
      <c r="GE39" s="33" t="n"/>
      <c r="GF39" s="33" t="n"/>
      <c r="GG39" s="33" t="n"/>
      <c r="GH39" s="33" t="n"/>
      <c r="GI39" s="33" t="n"/>
      <c r="GJ39" s="33" t="n"/>
      <c r="GK39" s="33" t="n"/>
      <c r="GL39" s="33" t="n"/>
      <c r="GM39" s="33" t="n"/>
      <c r="GN39" s="33" t="n"/>
      <c r="GO39" s="33" t="n"/>
      <c r="GP39" s="33" t="n"/>
      <c r="GQ39" s="33" t="n"/>
      <c r="GR39" s="33" t="n"/>
      <c r="GS39" s="33" t="n"/>
      <c r="GT39" s="33" t="n"/>
      <c r="GU39" s="33" t="n"/>
      <c r="GV39" s="33" t="n"/>
      <c r="GW39" s="33" t="n"/>
      <c r="GX39" s="33" t="n"/>
      <c r="GY39" s="33" t="n"/>
      <c r="GZ39" s="33" t="n"/>
      <c r="HA39" s="33" t="n"/>
      <c r="HB39" s="33" t="n"/>
      <c r="HC39" s="33" t="n"/>
      <c r="HD39" s="33" t="n"/>
      <c r="HE39" s="33" t="n"/>
      <c r="HF39" s="33" t="n"/>
      <c r="HG39" s="33" t="n"/>
      <c r="HH39" s="33" t="n"/>
      <c r="HI39" s="33" t="n"/>
      <c r="HJ39" s="33" t="n"/>
      <c r="HK39" s="33" t="n"/>
      <c r="HL39" s="33" t="n"/>
      <c r="HM39" s="33" t="n"/>
      <c r="HN39" s="33" t="n"/>
      <c r="HO39" s="33" t="n"/>
      <c r="HP39" s="33" t="n"/>
      <c r="HQ39" s="33" t="n"/>
      <c r="HR39" s="33" t="n"/>
      <c r="HS39" s="33" t="n"/>
      <c r="HT39" s="33" t="n"/>
      <c r="HU39" s="33" t="n"/>
      <c r="HV39" s="33" t="n"/>
      <c r="HW39" s="33" t="n"/>
      <c r="HX39" s="33" t="n"/>
      <c r="HY39" s="33" t="n"/>
      <c r="HZ39" s="33" t="n"/>
      <c r="IA39" s="33" t="n"/>
      <c r="IB39" s="33" t="n"/>
      <c r="IC39" s="33" t="n"/>
      <c r="ID39" s="33" t="n"/>
      <c r="IE39" s="33" t="n"/>
      <c r="IF39" s="33" t="n"/>
      <c r="IG39" s="33" t="n"/>
      <c r="IH39" s="33" t="n"/>
      <c r="II39" s="33" t="n"/>
      <c r="IJ39" s="33" t="n"/>
      <c r="IK39" s="33" t="n"/>
      <c r="IL39" s="33" t="n"/>
      <c r="IM39" s="33" t="n"/>
      <c r="IN39" s="33" t="n"/>
      <c r="IO39" s="33" t="n"/>
      <c r="IP39" s="33" t="n"/>
      <c r="IQ39" s="33" t="n"/>
      <c r="IR39" s="33" t="n"/>
      <c r="IS39" s="33" t="n"/>
      <c r="IT39" s="33" t="n"/>
      <c r="IU39" s="33" t="n"/>
      <c r="IV39" s="33" t="n"/>
      <c r="IW39" s="33" t="n"/>
      <c r="IX39" s="33" t="n"/>
      <c r="IY39" s="33" t="n"/>
      <c r="IZ39" s="33" t="n"/>
      <c r="JA39" s="33" t="n"/>
      <c r="JB39" s="33" t="n"/>
      <c r="JC39" s="33" t="n"/>
      <c r="JD39" s="33" t="n"/>
      <c r="JE39" s="33" t="n"/>
      <c r="JF39" s="33" t="n"/>
      <c r="JG39" s="33" t="n"/>
      <c r="JH39" s="33" t="n"/>
      <c r="JI39" s="33" t="n"/>
      <c r="JJ39" s="33" t="n"/>
      <c r="JK39" s="33" t="n"/>
      <c r="JL39" s="33" t="n"/>
      <c r="JM39" s="33" t="n"/>
      <c r="JN39" s="33" t="n"/>
      <c r="JO39" s="33" t="n"/>
      <c r="JP39" s="33" t="n"/>
      <c r="JQ39" s="33" t="n"/>
      <c r="JR39" s="33" t="n"/>
      <c r="JS39" s="33" t="n"/>
      <c r="JT39" s="33" t="n"/>
      <c r="JU39" s="33" t="n"/>
      <c r="JV39" s="33" t="n"/>
      <c r="JW39" s="33" t="n"/>
      <c r="JX39" s="33" t="n"/>
      <c r="JY39" s="33" t="n"/>
      <c r="JZ39" s="33" t="n"/>
      <c r="KA39" s="33" t="n"/>
      <c r="KB39" s="33" t="n"/>
      <c r="KC39" s="33" t="n"/>
      <c r="KD39" s="33" t="n"/>
      <c r="KE39" s="33" t="n"/>
      <c r="KF39" s="33" t="n"/>
      <c r="KG39" s="33" t="n"/>
      <c r="KH39" s="33" t="n"/>
      <c r="KI39" s="33" t="n"/>
      <c r="KJ39" s="33" t="n"/>
      <c r="KK39" s="33" t="n"/>
      <c r="KL39" s="33" t="n"/>
      <c r="KM39" s="33" t="n"/>
      <c r="KN39" s="33" t="n"/>
      <c r="KO39" s="33" t="n"/>
      <c r="KP39" s="33" t="n"/>
      <c r="KQ39" s="33" t="n"/>
      <c r="KR39" s="33" t="n"/>
      <c r="KS39" s="33" t="n"/>
      <c r="KT39" s="33" t="n"/>
      <c r="KU39" s="33" t="n"/>
      <c r="KV39" s="33" t="n"/>
      <c r="KW39" s="33" t="n"/>
      <c r="KX39" s="33" t="n"/>
      <c r="KY39" s="33" t="n"/>
      <c r="KZ39" s="33" t="n"/>
      <c r="LA39" s="33" t="n"/>
      <c r="LB39" s="33" t="n"/>
      <c r="LC39" s="33" t="n"/>
      <c r="LD39" s="33" t="n"/>
      <c r="LE39" s="33" t="n"/>
      <c r="LF39" s="33" t="n"/>
      <c r="LG39" s="33" t="n"/>
      <c r="LH39" s="33" t="n"/>
      <c r="LI39" s="33" t="n"/>
      <c r="LJ39" s="33" t="n"/>
      <c r="LK39" s="33" t="n"/>
      <c r="LL39" s="33" t="n"/>
      <c r="LM39" s="33" t="n"/>
      <c r="LN39" s="33" t="n"/>
      <c r="LO39" s="33" t="n"/>
      <c r="LP39" s="33" t="n"/>
      <c r="LQ39" s="33" t="n"/>
      <c r="LR39" s="33" t="n"/>
      <c r="LS39" s="33" t="n"/>
      <c r="LT39" s="33" t="n"/>
      <c r="LU39" s="33" t="n"/>
      <c r="LV39" s="33" t="n"/>
      <c r="LW39" s="33" t="n"/>
      <c r="LX39" s="33" t="n"/>
      <c r="LY39" s="33" t="n"/>
      <c r="LZ39" s="33" t="n"/>
      <c r="MA39" s="33" t="n"/>
      <c r="MB39" s="33" t="n"/>
      <c r="MC39" s="33" t="n"/>
      <c r="MD39" s="33" t="n"/>
      <c r="ME39" s="33" t="n"/>
      <c r="MF39" s="33" t="n"/>
      <c r="MG39" s="33" t="n"/>
      <c r="MH39" s="33" t="n"/>
      <c r="MI39" s="33" t="n"/>
      <c r="MJ39" s="33" t="n"/>
      <c r="MK39" s="33" t="n"/>
      <c r="ML39" s="33" t="n"/>
      <c r="MM39" s="33" t="n"/>
      <c r="MN39" s="33" t="n"/>
      <c r="MO39" s="33" t="n"/>
      <c r="MP39" s="33" t="n"/>
      <c r="MQ39" s="33" t="n"/>
      <c r="MR39" s="33" t="n"/>
      <c r="MS39" s="33" t="n"/>
      <c r="MT39" s="33" t="n"/>
      <c r="MU39" s="33" t="n"/>
      <c r="MV39" s="33" t="n"/>
      <c r="MW39" s="33" t="n"/>
      <c r="MX39" s="33" t="n"/>
      <c r="MY39" s="33" t="n"/>
      <c r="MZ39" s="33" t="n"/>
      <c r="NA39" s="33" t="n"/>
      <c r="NB39" s="33" t="n"/>
      <c r="NC39" s="33" t="n"/>
      <c r="ND39" s="33" t="n"/>
      <c r="NE39" s="33" t="n"/>
      <c r="NF39" s="33" t="n"/>
      <c r="NG39" s="33" t="n"/>
      <c r="NH39" s="33" t="n"/>
      <c r="NI39" s="33" t="n"/>
      <c r="NJ39" s="33" t="n"/>
      <c r="NK39" s="33" t="n"/>
      <c r="NL39" s="33" t="n"/>
      <c r="NM39" s="33" t="n"/>
      <c r="NN39" s="33" t="n"/>
      <c r="NO39" s="33" t="n"/>
      <c r="NP39" s="33" t="n"/>
      <c r="NQ39" s="33" t="n"/>
      <c r="NR39" s="33" t="n"/>
      <c r="NS39" s="33" t="n"/>
      <c r="NT39" s="33" t="n"/>
      <c r="NU39" s="33" t="n"/>
      <c r="NV39" s="33" t="n"/>
      <c r="NW39" s="33" t="n"/>
      <c r="NX39" s="33" t="n"/>
      <c r="NY39" s="33" t="n"/>
      <c r="NZ39" s="33" t="n"/>
      <c r="OA39" s="33" t="n"/>
      <c r="OB39" s="33" t="n"/>
      <c r="OC39" s="33" t="n"/>
      <c r="OD39" s="33" t="n"/>
      <c r="OE39" s="33" t="n"/>
      <c r="OF39" s="33" t="n"/>
      <c r="OG39" s="33" t="n"/>
      <c r="OH39" s="33" t="n"/>
      <c r="OI39" s="33" t="n"/>
      <c r="OJ39" s="33" t="n"/>
      <c r="OK39" s="33" t="n"/>
      <c r="OL39" s="33" t="n"/>
      <c r="OM39" s="33" t="n"/>
      <c r="ON39" s="33" t="n"/>
      <c r="OO39" s="33" t="n"/>
      <c r="OP39" s="33" t="n"/>
      <c r="OQ39" s="33" t="n"/>
      <c r="OR39" s="33" t="n"/>
      <c r="OS39" s="33" t="n"/>
      <c r="OT39" s="33" t="n"/>
      <c r="OU39" s="33" t="n"/>
      <c r="OV39" s="33" t="n"/>
      <c r="OW39" s="33" t="n"/>
      <c r="OX39" s="33" t="n"/>
      <c r="OY39" s="33" t="n"/>
      <c r="OZ39" s="33" t="n"/>
      <c r="PA39" s="33" t="n"/>
      <c r="PB39" s="33" t="n"/>
      <c r="PC39" s="33" t="n"/>
      <c r="PD39" s="33" t="n"/>
      <c r="PE39" s="33" t="n"/>
      <c r="PF39" s="33" t="n"/>
      <c r="PG39" s="33" t="n"/>
      <c r="PH39" s="33" t="n"/>
      <c r="PI39" s="33" t="n"/>
      <c r="PJ39" s="33" t="n"/>
      <c r="PK39" s="33" t="n"/>
      <c r="PL39" s="33" t="n"/>
      <c r="PM39" s="33" t="n"/>
      <c r="PN39" s="33" t="n"/>
      <c r="PO39" s="33" t="n"/>
      <c r="PP39" s="33" t="n"/>
      <c r="PQ39" s="33" t="n"/>
      <c r="PR39" s="33" t="n"/>
      <c r="PS39" s="33" t="n"/>
      <c r="PT39" s="33" t="n"/>
      <c r="PU39" s="33" t="n"/>
      <c r="PV39" s="33" t="n"/>
      <c r="PW39" s="33" t="n"/>
      <c r="PX39" s="33" t="n"/>
      <c r="PY39" s="33" t="n"/>
      <c r="PZ39" s="33" t="n"/>
      <c r="QA39" s="33" t="n"/>
      <c r="QB39" s="33" t="n"/>
      <c r="QC39" s="33" t="n"/>
      <c r="QD39" s="33" t="n"/>
      <c r="QE39" s="33" t="n"/>
      <c r="QF39" s="33" t="n"/>
      <c r="QG39" s="33" t="n"/>
      <c r="QH39" s="33" t="n"/>
      <c r="QI39" s="33" t="n"/>
      <c r="QJ39" s="33" t="n"/>
      <c r="QK39" s="33" t="n"/>
      <c r="QL39" s="33" t="n"/>
      <c r="QM39" s="33" t="n"/>
      <c r="QN39" s="33" t="n"/>
      <c r="QO39" s="33" t="n"/>
      <c r="QP39" s="33" t="n"/>
      <c r="QQ39" s="33" t="n"/>
      <c r="QR39" s="33" t="n"/>
      <c r="QS39" s="33" t="n"/>
      <c r="QT39" s="33" t="n"/>
      <c r="QU39" s="33" t="n"/>
      <c r="QV39" s="33" t="n"/>
      <c r="QW39" s="33" t="n"/>
      <c r="QX39" s="33" t="n"/>
      <c r="QY39" s="33" t="n"/>
      <c r="QZ39" s="33" t="n"/>
      <c r="RA39" s="33" t="n"/>
      <c r="RB39" s="33" t="n"/>
      <c r="RC39" s="33" t="n"/>
      <c r="RD39" s="33" t="n"/>
      <c r="RE39" s="33" t="n"/>
      <c r="RF39" s="33" t="n"/>
      <c r="RG39" s="33" t="n"/>
      <c r="RH39" s="33" t="n"/>
      <c r="RI39" s="33" t="n"/>
      <c r="RJ39" s="33" t="n"/>
      <c r="RK39" s="33" t="n"/>
      <c r="RL39" s="33" t="n"/>
      <c r="RM39" s="33" t="n"/>
      <c r="RN39" s="33" t="n"/>
      <c r="RO39" s="33" t="n"/>
      <c r="RP39" s="33" t="n"/>
      <c r="RQ39" s="33" t="n"/>
      <c r="RR39" s="33" t="n"/>
      <c r="RS39" s="33" t="n"/>
      <c r="RT39" s="33" t="n"/>
      <c r="RU39" s="33" t="n"/>
      <c r="RV39" s="33" t="n"/>
      <c r="RW39" s="33" t="n"/>
    </row>
    <row r="40" hidden="1" outlineLevel="1" ht="13.05" customHeight="1">
      <c r="E40" s="21" t="inlineStr">
        <is>
          <t>Grid Costs</t>
        </is>
      </c>
      <c r="F40" s="29" t="n"/>
      <c r="G40" s="29" t="inlineStr">
        <is>
          <t>kEUR</t>
        </is>
      </c>
      <c r="H40" s="29" t="n"/>
      <c r="I40" s="29" t="n"/>
      <c r="J40" s="32" t="n"/>
      <c r="K40" s="29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3" t="n"/>
      <c r="AY40" s="33" t="n"/>
      <c r="AZ40" s="33" t="n"/>
      <c r="BA40" s="33" t="n"/>
      <c r="BB40" s="33" t="n"/>
      <c r="BC40" s="33" t="n"/>
      <c r="BD40" s="33" t="n"/>
      <c r="BE40" s="33" t="n"/>
      <c r="BF40" s="33" t="n"/>
      <c r="BG40" s="33" t="n"/>
      <c r="BH40" s="33" t="n"/>
      <c r="BI40" s="33" t="n"/>
      <c r="BJ40" s="33" t="n"/>
      <c r="BK40" s="33" t="n"/>
      <c r="BL40" s="33" t="n"/>
      <c r="BM40" s="33" t="n"/>
      <c r="BN40" s="33" t="n"/>
      <c r="BO40" s="33" t="n"/>
      <c r="BP40" s="33" t="n"/>
      <c r="BQ40" s="33" t="n"/>
      <c r="BR40" s="33" t="n"/>
      <c r="BS40" s="33" t="n"/>
      <c r="BT40" s="33" t="n"/>
      <c r="BU40" s="33" t="n"/>
      <c r="BV40" s="33" t="n"/>
      <c r="BW40" s="33" t="n"/>
      <c r="BX40" s="33" t="n"/>
      <c r="BY40" s="33" t="n"/>
      <c r="BZ40" s="33" t="n"/>
      <c r="CA40" s="33" t="n"/>
      <c r="CB40" s="33" t="n"/>
      <c r="CC40" s="33" t="n"/>
      <c r="CD40" s="33" t="n"/>
      <c r="CE40" s="33" t="n"/>
      <c r="CF40" s="33" t="n"/>
      <c r="CG40" s="33" t="n"/>
      <c r="CH40" s="33" t="n"/>
      <c r="CI40" s="33" t="n"/>
      <c r="CJ40" s="33" t="n"/>
      <c r="CK40" s="33" t="n"/>
      <c r="CL40" s="33" t="n"/>
      <c r="CM40" s="33" t="n"/>
      <c r="CN40" s="33" t="n"/>
      <c r="CO40" s="33" t="n"/>
      <c r="CP40" s="33" t="n"/>
      <c r="CQ40" s="33" t="n"/>
      <c r="CR40" s="33" t="n"/>
      <c r="CS40" s="33" t="n"/>
      <c r="CT40" s="33" t="n"/>
      <c r="CU40" s="33" t="n"/>
      <c r="CV40" s="33" t="n"/>
      <c r="CW40" s="33" t="n"/>
      <c r="CX40" s="33" t="n"/>
      <c r="CY40" s="33" t="n"/>
      <c r="CZ40" s="33" t="n"/>
      <c r="DA40" s="33" t="n"/>
      <c r="DB40" s="33" t="n"/>
      <c r="DC40" s="33" t="n"/>
      <c r="DD40" s="33" t="n"/>
      <c r="DE40" s="33" t="n"/>
      <c r="DF40" s="33" t="n"/>
      <c r="DG40" s="33" t="n"/>
      <c r="DH40" s="33" t="n"/>
      <c r="DI40" s="33" t="n"/>
      <c r="DJ40" s="33" t="n"/>
      <c r="DK40" s="33" t="n"/>
      <c r="DL40" s="33" t="n"/>
      <c r="DM40" s="33" t="n"/>
      <c r="DN40" s="33" t="n"/>
      <c r="DO40" s="33" t="n"/>
      <c r="DP40" s="33" t="n"/>
      <c r="DQ40" s="33" t="n"/>
      <c r="DR40" s="33" t="n"/>
      <c r="DS40" s="33" t="n"/>
      <c r="DT40" s="33" t="n"/>
      <c r="DU40" s="33" t="n"/>
      <c r="DV40" s="33" t="n"/>
      <c r="DW40" s="33" t="n"/>
      <c r="DX40" s="33" t="n"/>
      <c r="DY40" s="33" t="n"/>
      <c r="DZ40" s="33" t="n"/>
      <c r="EA40" s="33" t="n"/>
      <c r="EB40" s="33" t="n"/>
      <c r="EC40" s="33" t="n"/>
      <c r="ED40" s="33" t="n"/>
      <c r="EE40" s="33" t="n"/>
      <c r="EF40" s="33" t="n"/>
      <c r="EG40" s="33" t="n"/>
      <c r="EH40" s="33" t="n"/>
      <c r="EI40" s="33" t="n"/>
      <c r="EJ40" s="33" t="n"/>
      <c r="EK40" s="33" t="n"/>
      <c r="EL40" s="33" t="n"/>
      <c r="EM40" s="33" t="n"/>
      <c r="EN40" s="33" t="n"/>
      <c r="EO40" s="33" t="n"/>
      <c r="EP40" s="33" t="n"/>
      <c r="EQ40" s="33" t="n"/>
      <c r="ER40" s="33" t="n"/>
      <c r="ES40" s="33" t="n"/>
      <c r="ET40" s="33" t="n"/>
      <c r="EU40" s="33" t="n"/>
      <c r="EV40" s="33" t="n"/>
      <c r="EW40" s="33" t="n"/>
      <c r="EX40" s="33" t="n"/>
      <c r="EY40" s="33" t="n"/>
      <c r="EZ40" s="33" t="n"/>
      <c r="FA40" s="33" t="n"/>
      <c r="FB40" s="33" t="n"/>
      <c r="FC40" s="33" t="n"/>
      <c r="FD40" s="33" t="n"/>
      <c r="FE40" s="33" t="n"/>
      <c r="FF40" s="33" t="n"/>
      <c r="FG40" s="33" t="n"/>
      <c r="FH40" s="33" t="n"/>
      <c r="FI40" s="33" t="n"/>
      <c r="FJ40" s="33" t="n"/>
      <c r="FK40" s="33" t="n"/>
      <c r="FL40" s="33" t="n"/>
      <c r="FM40" s="33" t="n"/>
      <c r="FN40" s="33" t="n"/>
      <c r="FO40" s="33" t="n"/>
      <c r="FP40" s="33" t="n"/>
      <c r="FQ40" s="33" t="n"/>
      <c r="FR40" s="33" t="n"/>
      <c r="FS40" s="33" t="n"/>
      <c r="FT40" s="33" t="n"/>
      <c r="FU40" s="33" t="n"/>
      <c r="FV40" s="33" t="n"/>
      <c r="FW40" s="33" t="n"/>
      <c r="FX40" s="33" t="n"/>
      <c r="FY40" s="33" t="n"/>
      <c r="FZ40" s="33" t="n"/>
      <c r="GA40" s="33" t="n"/>
      <c r="GB40" s="33" t="n"/>
      <c r="GC40" s="33" t="n"/>
      <c r="GD40" s="33" t="n"/>
      <c r="GE40" s="33" t="n"/>
      <c r="GF40" s="33" t="n"/>
      <c r="GG40" s="33" t="n"/>
      <c r="GH40" s="33" t="n"/>
      <c r="GI40" s="33" t="n"/>
      <c r="GJ40" s="33" t="n"/>
      <c r="GK40" s="33" t="n"/>
      <c r="GL40" s="33" t="n"/>
      <c r="GM40" s="33" t="n"/>
      <c r="GN40" s="33" t="n"/>
      <c r="GO40" s="33" t="n"/>
      <c r="GP40" s="33" t="n"/>
      <c r="GQ40" s="33" t="n"/>
      <c r="GR40" s="33" t="n"/>
      <c r="GS40" s="33" t="n"/>
      <c r="GT40" s="33" t="n"/>
      <c r="GU40" s="33" t="n"/>
      <c r="GV40" s="33" t="n"/>
      <c r="GW40" s="33" t="n"/>
      <c r="GX40" s="33" t="n"/>
      <c r="GY40" s="33" t="n"/>
      <c r="GZ40" s="33" t="n"/>
      <c r="HA40" s="33" t="n"/>
      <c r="HB40" s="33" t="n"/>
      <c r="HC40" s="33" t="n"/>
      <c r="HD40" s="33" t="n"/>
      <c r="HE40" s="33" t="n"/>
      <c r="HF40" s="33" t="n"/>
      <c r="HG40" s="33" t="n"/>
      <c r="HH40" s="33" t="n"/>
      <c r="HI40" s="33" t="n"/>
      <c r="HJ40" s="33" t="n"/>
      <c r="HK40" s="33" t="n"/>
      <c r="HL40" s="33" t="n"/>
      <c r="HM40" s="33" t="n"/>
      <c r="HN40" s="33" t="n"/>
      <c r="HO40" s="33" t="n"/>
      <c r="HP40" s="33" t="n"/>
      <c r="HQ40" s="33" t="n"/>
      <c r="HR40" s="33" t="n"/>
      <c r="HS40" s="33" t="n"/>
      <c r="HT40" s="33" t="n"/>
      <c r="HU40" s="33" t="n"/>
      <c r="HV40" s="33" t="n"/>
      <c r="HW40" s="33" t="n"/>
      <c r="HX40" s="33" t="n"/>
      <c r="HY40" s="33" t="n"/>
      <c r="HZ40" s="33" t="n"/>
      <c r="IA40" s="33" t="n"/>
      <c r="IB40" s="33" t="n"/>
      <c r="IC40" s="33" t="n"/>
      <c r="ID40" s="33" t="n"/>
      <c r="IE40" s="33" t="n"/>
      <c r="IF40" s="33" t="n"/>
      <c r="IG40" s="33" t="n"/>
      <c r="IH40" s="33" t="n"/>
      <c r="II40" s="33" t="n"/>
      <c r="IJ40" s="33" t="n"/>
      <c r="IK40" s="33" t="n"/>
      <c r="IL40" s="33" t="n"/>
      <c r="IM40" s="33" t="n"/>
      <c r="IN40" s="33" t="n"/>
      <c r="IO40" s="33" t="n"/>
      <c r="IP40" s="33" t="n"/>
      <c r="IQ40" s="33" t="n"/>
      <c r="IR40" s="33" t="n"/>
      <c r="IS40" s="33" t="n"/>
      <c r="IT40" s="33" t="n"/>
      <c r="IU40" s="33" t="n"/>
      <c r="IV40" s="33" t="n"/>
      <c r="IW40" s="33" t="n"/>
      <c r="IX40" s="33" t="n"/>
      <c r="IY40" s="33" t="n"/>
      <c r="IZ40" s="33" t="n"/>
      <c r="JA40" s="33" t="n"/>
      <c r="JB40" s="33" t="n"/>
      <c r="JC40" s="33" t="n"/>
      <c r="JD40" s="33" t="n"/>
      <c r="JE40" s="33" t="n"/>
      <c r="JF40" s="33" t="n"/>
      <c r="JG40" s="33" t="n"/>
      <c r="JH40" s="33" t="n"/>
      <c r="JI40" s="33" t="n"/>
      <c r="JJ40" s="33" t="n"/>
      <c r="JK40" s="33" t="n"/>
      <c r="JL40" s="33" t="n"/>
      <c r="JM40" s="33" t="n"/>
      <c r="JN40" s="33" t="n"/>
      <c r="JO40" s="33" t="n"/>
      <c r="JP40" s="33" t="n"/>
      <c r="JQ40" s="33" t="n"/>
      <c r="JR40" s="33" t="n"/>
      <c r="JS40" s="33" t="n"/>
      <c r="JT40" s="33" t="n"/>
      <c r="JU40" s="33" t="n"/>
      <c r="JV40" s="33" t="n"/>
      <c r="JW40" s="33" t="n"/>
      <c r="JX40" s="33" t="n"/>
      <c r="JY40" s="33" t="n"/>
      <c r="JZ40" s="33" t="n"/>
      <c r="KA40" s="33" t="n"/>
      <c r="KB40" s="33" t="n"/>
      <c r="KC40" s="33" t="n"/>
      <c r="KD40" s="33" t="n"/>
      <c r="KE40" s="33" t="n"/>
      <c r="KF40" s="33" t="n"/>
      <c r="KG40" s="33" t="n"/>
      <c r="KH40" s="33" t="n"/>
      <c r="KI40" s="33" t="n"/>
      <c r="KJ40" s="33" t="n"/>
      <c r="KK40" s="33" t="n"/>
      <c r="KL40" s="33" t="n"/>
      <c r="KM40" s="33" t="n"/>
      <c r="KN40" s="33" t="n"/>
      <c r="KO40" s="33" t="n"/>
      <c r="KP40" s="33" t="n"/>
      <c r="KQ40" s="33" t="n"/>
      <c r="KR40" s="33" t="n"/>
      <c r="KS40" s="33" t="n"/>
      <c r="KT40" s="33" t="n"/>
      <c r="KU40" s="33" t="n"/>
      <c r="KV40" s="33" t="n"/>
      <c r="KW40" s="33" t="n"/>
      <c r="KX40" s="33" t="n"/>
      <c r="KY40" s="33" t="n"/>
      <c r="KZ40" s="33" t="n"/>
      <c r="LA40" s="33" t="n"/>
      <c r="LB40" s="33" t="n"/>
      <c r="LC40" s="33" t="n"/>
      <c r="LD40" s="33" t="n"/>
      <c r="LE40" s="33" t="n"/>
      <c r="LF40" s="33" t="n"/>
      <c r="LG40" s="33" t="n"/>
      <c r="LH40" s="33" t="n"/>
      <c r="LI40" s="33" t="n"/>
      <c r="LJ40" s="33" t="n"/>
      <c r="LK40" s="33" t="n"/>
      <c r="LL40" s="33" t="n"/>
      <c r="LM40" s="33" t="n"/>
      <c r="LN40" s="33" t="n"/>
      <c r="LO40" s="33" t="n"/>
      <c r="LP40" s="33" t="n"/>
      <c r="LQ40" s="33" t="n"/>
      <c r="LR40" s="33" t="n"/>
      <c r="LS40" s="33" t="n"/>
      <c r="LT40" s="33" t="n"/>
      <c r="LU40" s="33" t="n"/>
      <c r="LV40" s="33" t="n"/>
      <c r="LW40" s="33" t="n"/>
      <c r="LX40" s="33" t="n"/>
      <c r="LY40" s="33" t="n"/>
      <c r="LZ40" s="33" t="n"/>
      <c r="MA40" s="33" t="n"/>
      <c r="MB40" s="33" t="n"/>
      <c r="MC40" s="33" t="n"/>
      <c r="MD40" s="33" t="n"/>
      <c r="ME40" s="33" t="n"/>
      <c r="MF40" s="33" t="n"/>
      <c r="MG40" s="33" t="n"/>
      <c r="MH40" s="33" t="n"/>
      <c r="MI40" s="33" t="n"/>
      <c r="MJ40" s="33" t="n"/>
      <c r="MK40" s="33" t="n"/>
      <c r="ML40" s="33" t="n"/>
      <c r="MM40" s="33" t="n"/>
      <c r="MN40" s="33" t="n"/>
      <c r="MO40" s="33" t="n"/>
      <c r="MP40" s="33" t="n"/>
      <c r="MQ40" s="33" t="n"/>
      <c r="MR40" s="33" t="n"/>
      <c r="MS40" s="33" t="n"/>
      <c r="MT40" s="33" t="n"/>
      <c r="MU40" s="33" t="n"/>
      <c r="MV40" s="33" t="n"/>
      <c r="MW40" s="33" t="n"/>
      <c r="MX40" s="33" t="n"/>
      <c r="MY40" s="33" t="n"/>
      <c r="MZ40" s="33" t="n"/>
      <c r="NA40" s="33" t="n"/>
      <c r="NB40" s="33" t="n"/>
      <c r="NC40" s="33" t="n"/>
      <c r="ND40" s="33" t="n"/>
      <c r="NE40" s="33" t="n"/>
      <c r="NF40" s="33" t="n"/>
      <c r="NG40" s="33" t="n"/>
      <c r="NH40" s="33" t="n"/>
      <c r="NI40" s="33" t="n"/>
      <c r="NJ40" s="33" t="n"/>
      <c r="NK40" s="33" t="n"/>
      <c r="NL40" s="33" t="n"/>
      <c r="NM40" s="33" t="n"/>
      <c r="NN40" s="33" t="n"/>
      <c r="NO40" s="33" t="n"/>
      <c r="NP40" s="33" t="n"/>
      <c r="NQ40" s="33" t="n"/>
      <c r="NR40" s="33" t="n"/>
      <c r="NS40" s="33" t="n"/>
      <c r="NT40" s="33" t="n"/>
      <c r="NU40" s="33" t="n"/>
      <c r="NV40" s="33" t="n"/>
      <c r="NW40" s="33" t="n"/>
      <c r="NX40" s="33" t="n"/>
      <c r="NY40" s="33" t="n"/>
      <c r="NZ40" s="33" t="n"/>
      <c r="OA40" s="33" t="n"/>
      <c r="OB40" s="33" t="n"/>
      <c r="OC40" s="33" t="n"/>
      <c r="OD40" s="33" t="n"/>
      <c r="OE40" s="33" t="n"/>
      <c r="OF40" s="33" t="n"/>
      <c r="OG40" s="33" t="n"/>
      <c r="OH40" s="33" t="n"/>
      <c r="OI40" s="33" t="n"/>
      <c r="OJ40" s="33" t="n"/>
      <c r="OK40" s="33" t="n"/>
      <c r="OL40" s="33" t="n"/>
      <c r="OM40" s="33" t="n"/>
      <c r="ON40" s="33" t="n"/>
      <c r="OO40" s="33" t="n"/>
      <c r="OP40" s="33" t="n"/>
      <c r="OQ40" s="33" t="n"/>
      <c r="OR40" s="33" t="n"/>
      <c r="OS40" s="33" t="n"/>
      <c r="OT40" s="33" t="n"/>
      <c r="OU40" s="33" t="n"/>
      <c r="OV40" s="33" t="n"/>
      <c r="OW40" s="33" t="n"/>
      <c r="OX40" s="33" t="n"/>
      <c r="OY40" s="33" t="n"/>
      <c r="OZ40" s="33" t="n"/>
      <c r="PA40" s="33" t="n"/>
      <c r="PB40" s="33" t="n"/>
      <c r="PC40" s="33" t="n"/>
      <c r="PD40" s="33" t="n"/>
      <c r="PE40" s="33" t="n"/>
      <c r="PF40" s="33" t="n"/>
      <c r="PG40" s="33" t="n"/>
      <c r="PH40" s="33" t="n"/>
      <c r="PI40" s="33" t="n"/>
      <c r="PJ40" s="33" t="n"/>
      <c r="PK40" s="33" t="n"/>
      <c r="PL40" s="33" t="n"/>
      <c r="PM40" s="33" t="n"/>
      <c r="PN40" s="33" t="n"/>
      <c r="PO40" s="33" t="n"/>
      <c r="PP40" s="33" t="n"/>
      <c r="PQ40" s="33" t="n"/>
      <c r="PR40" s="33" t="n"/>
      <c r="PS40" s="33" t="n"/>
      <c r="PT40" s="33" t="n"/>
      <c r="PU40" s="33" t="n"/>
      <c r="PV40" s="33" t="n"/>
      <c r="PW40" s="33" t="n"/>
      <c r="PX40" s="33" t="n"/>
      <c r="PY40" s="33" t="n"/>
      <c r="PZ40" s="33" t="n"/>
      <c r="QA40" s="33" t="n"/>
      <c r="QB40" s="33" t="n"/>
      <c r="QC40" s="33" t="n"/>
      <c r="QD40" s="33" t="n"/>
      <c r="QE40" s="33" t="n"/>
      <c r="QF40" s="33" t="n"/>
      <c r="QG40" s="33" t="n"/>
      <c r="QH40" s="33" t="n"/>
      <c r="QI40" s="33" t="n"/>
      <c r="QJ40" s="33" t="n"/>
      <c r="QK40" s="33" t="n"/>
      <c r="QL40" s="33" t="n"/>
      <c r="QM40" s="33" t="n"/>
      <c r="QN40" s="33" t="n"/>
      <c r="QO40" s="33" t="n"/>
      <c r="QP40" s="33" t="n"/>
      <c r="QQ40" s="33" t="n"/>
      <c r="QR40" s="33" t="n"/>
      <c r="QS40" s="33" t="n"/>
      <c r="QT40" s="33" t="n"/>
      <c r="QU40" s="33" t="n"/>
      <c r="QV40" s="33" t="n"/>
      <c r="QW40" s="33" t="n"/>
      <c r="QX40" s="33" t="n"/>
      <c r="QY40" s="33" t="n"/>
      <c r="QZ40" s="33" t="n"/>
      <c r="RA40" s="33" t="n"/>
      <c r="RB40" s="33" t="n"/>
      <c r="RC40" s="33" t="n"/>
      <c r="RD40" s="33" t="n"/>
      <c r="RE40" s="33" t="n"/>
      <c r="RF40" s="33" t="n"/>
      <c r="RG40" s="33" t="n"/>
      <c r="RH40" s="33" t="n"/>
      <c r="RI40" s="33" t="n"/>
      <c r="RJ40" s="33" t="n"/>
      <c r="RK40" s="33" t="n"/>
      <c r="RL40" s="33" t="n"/>
      <c r="RM40" s="33" t="n"/>
      <c r="RN40" s="33" t="n"/>
      <c r="RO40" s="33" t="n"/>
      <c r="RP40" s="33" t="n"/>
      <c r="RQ40" s="33" t="n"/>
      <c r="RR40" s="33" t="n"/>
      <c r="RS40" s="33" t="n"/>
      <c r="RT40" s="33" t="n"/>
      <c r="RU40" s="33" t="n"/>
      <c r="RV40" s="33" t="n"/>
      <c r="RW40" s="33" t="n"/>
    </row>
    <row r="41" hidden="1" outlineLevel="1" ht="13.05" customHeight="1">
      <c r="E41" s="21" t="inlineStr">
        <is>
          <t>Other</t>
        </is>
      </c>
      <c r="F41" s="29" t="n"/>
      <c r="G41" s="29" t="inlineStr">
        <is>
          <t>kEUR</t>
        </is>
      </c>
      <c r="H41" s="29" t="n"/>
      <c r="I41" s="29" t="n"/>
      <c r="J41" s="32" t="n"/>
      <c r="K41" s="29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3" t="n"/>
      <c r="AY41" s="33" t="n"/>
      <c r="AZ41" s="33" t="n"/>
      <c r="BA41" s="33" t="n"/>
      <c r="BB41" s="33" t="n"/>
      <c r="BC41" s="33" t="n"/>
      <c r="BD41" s="33" t="n"/>
      <c r="BE41" s="33" t="n"/>
      <c r="BF41" s="33" t="n"/>
      <c r="BG41" s="33" t="n"/>
      <c r="BH41" s="33" t="n"/>
      <c r="BI41" s="33" t="n"/>
      <c r="BJ41" s="33" t="n"/>
      <c r="BK41" s="33" t="n"/>
      <c r="BL41" s="33" t="n"/>
      <c r="BM41" s="33" t="n"/>
      <c r="BN41" s="33" t="n"/>
      <c r="BO41" s="33" t="n"/>
      <c r="BP41" s="33" t="n"/>
      <c r="BQ41" s="33" t="n"/>
      <c r="BR41" s="33" t="n"/>
      <c r="BS41" s="33" t="n"/>
      <c r="BT41" s="33" t="n"/>
      <c r="BU41" s="33" t="n"/>
      <c r="BV41" s="33" t="n"/>
      <c r="BW41" s="33" t="n"/>
      <c r="BX41" s="33" t="n"/>
      <c r="BY41" s="33" t="n"/>
      <c r="BZ41" s="33" t="n"/>
      <c r="CA41" s="33" t="n"/>
      <c r="CB41" s="33" t="n"/>
      <c r="CC41" s="33" t="n"/>
      <c r="CD41" s="33" t="n"/>
      <c r="CE41" s="33" t="n"/>
      <c r="CF41" s="33" t="n"/>
      <c r="CG41" s="33" t="n"/>
      <c r="CH41" s="33" t="n"/>
      <c r="CI41" s="33" t="n"/>
      <c r="CJ41" s="33" t="n"/>
      <c r="CK41" s="33" t="n"/>
      <c r="CL41" s="33" t="n"/>
      <c r="CM41" s="33" t="n"/>
      <c r="CN41" s="33" t="n"/>
      <c r="CO41" s="33" t="n"/>
      <c r="CP41" s="33" t="n"/>
      <c r="CQ41" s="33" t="n"/>
      <c r="CR41" s="33" t="n"/>
      <c r="CS41" s="33" t="n"/>
      <c r="CT41" s="33" t="n"/>
      <c r="CU41" s="33" t="n"/>
      <c r="CV41" s="33" t="n"/>
      <c r="CW41" s="33" t="n"/>
      <c r="CX41" s="33" t="n"/>
      <c r="CY41" s="33" t="n"/>
      <c r="CZ41" s="33" t="n"/>
      <c r="DA41" s="33" t="n"/>
      <c r="DB41" s="33" t="n"/>
      <c r="DC41" s="33" t="n"/>
      <c r="DD41" s="33" t="n"/>
      <c r="DE41" s="33" t="n"/>
      <c r="DF41" s="33" t="n"/>
      <c r="DG41" s="33" t="n"/>
      <c r="DH41" s="33" t="n"/>
      <c r="DI41" s="33" t="n"/>
      <c r="DJ41" s="33" t="n"/>
      <c r="DK41" s="33" t="n"/>
      <c r="DL41" s="33" t="n"/>
      <c r="DM41" s="33" t="n"/>
      <c r="DN41" s="33" t="n"/>
      <c r="DO41" s="33" t="n"/>
      <c r="DP41" s="33" t="n"/>
      <c r="DQ41" s="33" t="n"/>
      <c r="DR41" s="33" t="n"/>
      <c r="DS41" s="33" t="n"/>
      <c r="DT41" s="33" t="n"/>
      <c r="DU41" s="33" t="n"/>
      <c r="DV41" s="33" t="n"/>
      <c r="DW41" s="33" t="n"/>
      <c r="DX41" s="33" t="n"/>
      <c r="DY41" s="33" t="n"/>
      <c r="DZ41" s="33" t="n"/>
      <c r="EA41" s="33" t="n"/>
      <c r="EB41" s="33" t="n"/>
      <c r="EC41" s="33" t="n"/>
      <c r="ED41" s="33" t="n"/>
      <c r="EE41" s="33" t="n"/>
      <c r="EF41" s="33" t="n"/>
      <c r="EG41" s="33" t="n"/>
      <c r="EH41" s="33" t="n"/>
      <c r="EI41" s="33" t="n"/>
      <c r="EJ41" s="33" t="n"/>
      <c r="EK41" s="33" t="n"/>
      <c r="EL41" s="33" t="n"/>
      <c r="EM41" s="33" t="n"/>
      <c r="EN41" s="33" t="n"/>
      <c r="EO41" s="33" t="n"/>
      <c r="EP41" s="33" t="n"/>
      <c r="EQ41" s="33" t="n"/>
      <c r="ER41" s="33" t="n"/>
      <c r="ES41" s="33" t="n"/>
      <c r="ET41" s="33" t="n"/>
      <c r="EU41" s="33" t="n"/>
      <c r="EV41" s="33" t="n"/>
      <c r="EW41" s="33" t="n"/>
      <c r="EX41" s="33" t="n"/>
      <c r="EY41" s="33" t="n"/>
      <c r="EZ41" s="33" t="n"/>
      <c r="FA41" s="33" t="n"/>
      <c r="FB41" s="33" t="n"/>
      <c r="FC41" s="33" t="n"/>
      <c r="FD41" s="33" t="n"/>
      <c r="FE41" s="33" t="n"/>
      <c r="FF41" s="33" t="n"/>
      <c r="FG41" s="33" t="n"/>
      <c r="FH41" s="33" t="n"/>
      <c r="FI41" s="33" t="n"/>
      <c r="FJ41" s="33" t="n"/>
      <c r="FK41" s="33" t="n"/>
      <c r="FL41" s="33" t="n"/>
      <c r="FM41" s="33" t="n"/>
      <c r="FN41" s="33" t="n"/>
      <c r="FO41" s="33" t="n"/>
      <c r="FP41" s="33" t="n"/>
      <c r="FQ41" s="33" t="n"/>
      <c r="FR41" s="33" t="n"/>
      <c r="FS41" s="33" t="n"/>
      <c r="FT41" s="33" t="n"/>
      <c r="FU41" s="33" t="n"/>
      <c r="FV41" s="33" t="n"/>
      <c r="FW41" s="33" t="n"/>
      <c r="FX41" s="33" t="n"/>
      <c r="FY41" s="33" t="n"/>
      <c r="FZ41" s="33" t="n"/>
      <c r="GA41" s="33" t="n"/>
      <c r="GB41" s="33" t="n"/>
      <c r="GC41" s="33" t="n"/>
      <c r="GD41" s="33" t="n"/>
      <c r="GE41" s="33" t="n"/>
      <c r="GF41" s="33" t="n"/>
      <c r="GG41" s="33" t="n"/>
      <c r="GH41" s="33" t="n"/>
      <c r="GI41" s="33" t="n"/>
      <c r="GJ41" s="33" t="n"/>
      <c r="GK41" s="33" t="n"/>
      <c r="GL41" s="33" t="n"/>
      <c r="GM41" s="33" t="n"/>
      <c r="GN41" s="33" t="n"/>
      <c r="GO41" s="33" t="n"/>
      <c r="GP41" s="33" t="n"/>
      <c r="GQ41" s="33" t="n"/>
      <c r="GR41" s="33" t="n"/>
      <c r="GS41" s="33" t="n"/>
      <c r="GT41" s="33" t="n"/>
      <c r="GU41" s="33" t="n"/>
      <c r="GV41" s="33" t="n"/>
      <c r="GW41" s="33" t="n"/>
      <c r="GX41" s="33" t="n"/>
      <c r="GY41" s="33" t="n"/>
      <c r="GZ41" s="33" t="n"/>
      <c r="HA41" s="33" t="n"/>
      <c r="HB41" s="33" t="n"/>
      <c r="HC41" s="33" t="n"/>
      <c r="HD41" s="33" t="n"/>
      <c r="HE41" s="33" t="n"/>
      <c r="HF41" s="33" t="n"/>
      <c r="HG41" s="33" t="n"/>
      <c r="HH41" s="33" t="n"/>
      <c r="HI41" s="33" t="n"/>
      <c r="HJ41" s="33" t="n"/>
      <c r="HK41" s="33" t="n"/>
      <c r="HL41" s="33" t="n"/>
      <c r="HM41" s="33" t="n"/>
      <c r="HN41" s="33" t="n"/>
      <c r="HO41" s="33" t="n"/>
      <c r="HP41" s="33" t="n"/>
      <c r="HQ41" s="33" t="n"/>
      <c r="HR41" s="33" t="n"/>
      <c r="HS41" s="33" t="n"/>
      <c r="HT41" s="33" t="n"/>
      <c r="HU41" s="33" t="n"/>
      <c r="HV41" s="33" t="n"/>
      <c r="HW41" s="33" t="n"/>
      <c r="HX41" s="33" t="n"/>
      <c r="HY41" s="33" t="n"/>
      <c r="HZ41" s="33" t="n"/>
      <c r="IA41" s="33" t="n"/>
      <c r="IB41" s="33" t="n"/>
      <c r="IC41" s="33" t="n"/>
      <c r="ID41" s="33" t="n"/>
      <c r="IE41" s="33" t="n"/>
      <c r="IF41" s="33" t="n"/>
      <c r="IG41" s="33" t="n"/>
      <c r="IH41" s="33" t="n"/>
      <c r="II41" s="33" t="n"/>
      <c r="IJ41" s="33" t="n"/>
      <c r="IK41" s="33" t="n"/>
      <c r="IL41" s="33" t="n"/>
      <c r="IM41" s="33" t="n"/>
      <c r="IN41" s="33" t="n"/>
      <c r="IO41" s="33" t="n"/>
      <c r="IP41" s="33" t="n"/>
      <c r="IQ41" s="33" t="n"/>
      <c r="IR41" s="33" t="n"/>
      <c r="IS41" s="33" t="n"/>
      <c r="IT41" s="33" t="n"/>
      <c r="IU41" s="33" t="n"/>
      <c r="IV41" s="33" t="n"/>
      <c r="IW41" s="33" t="n"/>
      <c r="IX41" s="33" t="n"/>
      <c r="IY41" s="33" t="n"/>
      <c r="IZ41" s="33" t="n"/>
      <c r="JA41" s="33" t="n"/>
      <c r="JB41" s="33" t="n"/>
      <c r="JC41" s="33" t="n"/>
      <c r="JD41" s="33" t="n"/>
      <c r="JE41" s="33" t="n"/>
      <c r="JF41" s="33" t="n"/>
      <c r="JG41" s="33" t="n"/>
      <c r="JH41" s="33" t="n"/>
      <c r="JI41" s="33" t="n"/>
      <c r="JJ41" s="33" t="n"/>
      <c r="JK41" s="33" t="n"/>
      <c r="JL41" s="33" t="n"/>
      <c r="JM41" s="33" t="n"/>
      <c r="JN41" s="33" t="n"/>
      <c r="JO41" s="33" t="n"/>
      <c r="JP41" s="33" t="n"/>
      <c r="JQ41" s="33" t="n"/>
      <c r="JR41" s="33" t="n"/>
      <c r="JS41" s="33" t="n"/>
      <c r="JT41" s="33" t="n"/>
      <c r="JU41" s="33" t="n"/>
      <c r="JV41" s="33" t="n"/>
      <c r="JW41" s="33" t="n"/>
      <c r="JX41" s="33" t="n"/>
      <c r="JY41" s="33" t="n"/>
      <c r="JZ41" s="33" t="n"/>
      <c r="KA41" s="33" t="n"/>
      <c r="KB41" s="33" t="n"/>
      <c r="KC41" s="33" t="n"/>
      <c r="KD41" s="33" t="n"/>
      <c r="KE41" s="33" t="n"/>
      <c r="KF41" s="33" t="n"/>
      <c r="KG41" s="33" t="n"/>
      <c r="KH41" s="33" t="n"/>
      <c r="KI41" s="33" t="n"/>
      <c r="KJ41" s="33" t="n"/>
      <c r="KK41" s="33" t="n"/>
      <c r="KL41" s="33" t="n"/>
      <c r="KM41" s="33" t="n"/>
      <c r="KN41" s="33" t="n"/>
      <c r="KO41" s="33" t="n"/>
      <c r="KP41" s="33" t="n"/>
      <c r="KQ41" s="33" t="n"/>
      <c r="KR41" s="33" t="n"/>
      <c r="KS41" s="33" t="n"/>
      <c r="KT41" s="33" t="n"/>
      <c r="KU41" s="33" t="n"/>
      <c r="KV41" s="33" t="n"/>
      <c r="KW41" s="33" t="n"/>
      <c r="KX41" s="33" t="n"/>
      <c r="KY41" s="33" t="n"/>
      <c r="KZ41" s="33" t="n"/>
      <c r="LA41" s="33" t="n"/>
      <c r="LB41" s="33" t="n"/>
      <c r="LC41" s="33" t="n"/>
      <c r="LD41" s="33" t="n"/>
      <c r="LE41" s="33" t="n"/>
      <c r="LF41" s="33" t="n"/>
      <c r="LG41" s="33" t="n"/>
      <c r="LH41" s="33" t="n"/>
      <c r="LI41" s="33" t="n"/>
      <c r="LJ41" s="33" t="n"/>
      <c r="LK41" s="33" t="n"/>
      <c r="LL41" s="33" t="n"/>
      <c r="LM41" s="33" t="n"/>
      <c r="LN41" s="33" t="n"/>
      <c r="LO41" s="33" t="n"/>
      <c r="LP41" s="33" t="n"/>
      <c r="LQ41" s="33" t="n"/>
      <c r="LR41" s="33" t="n"/>
      <c r="LS41" s="33" t="n"/>
      <c r="LT41" s="33" t="n"/>
      <c r="LU41" s="33" t="n"/>
      <c r="LV41" s="33" t="n"/>
      <c r="LW41" s="33" t="n"/>
      <c r="LX41" s="33" t="n"/>
      <c r="LY41" s="33" t="n"/>
      <c r="LZ41" s="33" t="n"/>
      <c r="MA41" s="33" t="n"/>
      <c r="MB41" s="33" t="n"/>
      <c r="MC41" s="33" t="n"/>
      <c r="MD41" s="33" t="n"/>
      <c r="ME41" s="33" t="n"/>
      <c r="MF41" s="33" t="n"/>
      <c r="MG41" s="33" t="n"/>
      <c r="MH41" s="33" t="n"/>
      <c r="MI41" s="33" t="n"/>
      <c r="MJ41" s="33" t="n"/>
      <c r="MK41" s="33" t="n"/>
      <c r="ML41" s="33" t="n"/>
      <c r="MM41" s="33" t="n"/>
      <c r="MN41" s="33" t="n"/>
      <c r="MO41" s="33" t="n"/>
      <c r="MP41" s="33" t="n"/>
      <c r="MQ41" s="33" t="n"/>
      <c r="MR41" s="33" t="n"/>
      <c r="MS41" s="33" t="n"/>
      <c r="MT41" s="33" t="n"/>
      <c r="MU41" s="33" t="n"/>
      <c r="MV41" s="33" t="n"/>
      <c r="MW41" s="33" t="n"/>
      <c r="MX41" s="33" t="n"/>
      <c r="MY41" s="33" t="n"/>
      <c r="MZ41" s="33" t="n"/>
      <c r="NA41" s="33" t="n"/>
      <c r="NB41" s="33" t="n"/>
      <c r="NC41" s="33" t="n"/>
      <c r="ND41" s="33" t="n"/>
      <c r="NE41" s="33" t="n"/>
      <c r="NF41" s="33" t="n"/>
      <c r="NG41" s="33" t="n"/>
      <c r="NH41" s="33" t="n"/>
      <c r="NI41" s="33" t="n"/>
      <c r="NJ41" s="33" t="n"/>
      <c r="NK41" s="33" t="n"/>
      <c r="NL41" s="33" t="n"/>
      <c r="NM41" s="33" t="n"/>
      <c r="NN41" s="33" t="n"/>
      <c r="NO41" s="33" t="n"/>
      <c r="NP41" s="33" t="n"/>
      <c r="NQ41" s="33" t="n"/>
      <c r="NR41" s="33" t="n"/>
      <c r="NS41" s="33" t="n"/>
      <c r="NT41" s="33" t="n"/>
      <c r="NU41" s="33" t="n"/>
      <c r="NV41" s="33" t="n"/>
      <c r="NW41" s="33" t="n"/>
      <c r="NX41" s="33" t="n"/>
      <c r="NY41" s="33" t="n"/>
      <c r="NZ41" s="33" t="n"/>
      <c r="OA41" s="33" t="n"/>
      <c r="OB41" s="33" t="n"/>
      <c r="OC41" s="33" t="n"/>
      <c r="OD41" s="33" t="n"/>
      <c r="OE41" s="33" t="n"/>
      <c r="OF41" s="33" t="n"/>
      <c r="OG41" s="33" t="n"/>
      <c r="OH41" s="33" t="n"/>
      <c r="OI41" s="33" t="n"/>
      <c r="OJ41" s="33" t="n"/>
      <c r="OK41" s="33" t="n"/>
      <c r="OL41" s="33" t="n"/>
      <c r="OM41" s="33" t="n"/>
      <c r="ON41" s="33" t="n"/>
      <c r="OO41" s="33" t="n"/>
      <c r="OP41" s="33" t="n"/>
      <c r="OQ41" s="33" t="n"/>
      <c r="OR41" s="33" t="n"/>
      <c r="OS41" s="33" t="n"/>
      <c r="OT41" s="33" t="n"/>
      <c r="OU41" s="33" t="n"/>
      <c r="OV41" s="33" t="n"/>
      <c r="OW41" s="33" t="n"/>
      <c r="OX41" s="33" t="n"/>
      <c r="OY41" s="33" t="n"/>
      <c r="OZ41" s="33" t="n"/>
      <c r="PA41" s="33" t="n"/>
      <c r="PB41" s="33" t="n"/>
      <c r="PC41" s="33" t="n"/>
      <c r="PD41" s="33" t="n"/>
      <c r="PE41" s="33" t="n"/>
      <c r="PF41" s="33" t="n"/>
      <c r="PG41" s="33" t="n"/>
      <c r="PH41" s="33" t="n"/>
      <c r="PI41" s="33" t="n"/>
      <c r="PJ41" s="33" t="n"/>
      <c r="PK41" s="33" t="n"/>
      <c r="PL41" s="33" t="n"/>
      <c r="PM41" s="33" t="n"/>
      <c r="PN41" s="33" t="n"/>
      <c r="PO41" s="33" t="n"/>
      <c r="PP41" s="33" t="n"/>
      <c r="PQ41" s="33" t="n"/>
      <c r="PR41" s="33" t="n"/>
      <c r="PS41" s="33" t="n"/>
      <c r="PT41" s="33" t="n"/>
      <c r="PU41" s="33" t="n"/>
      <c r="PV41" s="33" t="n"/>
      <c r="PW41" s="33" t="n"/>
      <c r="PX41" s="33" t="n"/>
      <c r="PY41" s="33" t="n"/>
      <c r="PZ41" s="33" t="n"/>
      <c r="QA41" s="33" t="n"/>
      <c r="QB41" s="33" t="n"/>
      <c r="QC41" s="33" t="n"/>
      <c r="QD41" s="33" t="n"/>
      <c r="QE41" s="33" t="n"/>
      <c r="QF41" s="33" t="n"/>
      <c r="QG41" s="33" t="n"/>
      <c r="QH41" s="33" t="n"/>
      <c r="QI41" s="33" t="n"/>
      <c r="QJ41" s="33" t="n"/>
      <c r="QK41" s="33" t="n"/>
      <c r="QL41" s="33" t="n"/>
      <c r="QM41" s="33" t="n"/>
      <c r="QN41" s="33" t="n"/>
      <c r="QO41" s="33" t="n"/>
      <c r="QP41" s="33" t="n"/>
      <c r="QQ41" s="33" t="n"/>
      <c r="QR41" s="33" t="n"/>
      <c r="QS41" s="33" t="n"/>
      <c r="QT41" s="33" t="n"/>
      <c r="QU41" s="33" t="n"/>
      <c r="QV41" s="33" t="n"/>
      <c r="QW41" s="33" t="n"/>
      <c r="QX41" s="33" t="n"/>
      <c r="QY41" s="33" t="n"/>
      <c r="QZ41" s="33" t="n"/>
      <c r="RA41" s="33" t="n"/>
      <c r="RB41" s="33" t="n"/>
      <c r="RC41" s="33" t="n"/>
      <c r="RD41" s="33" t="n"/>
      <c r="RE41" s="33" t="n"/>
      <c r="RF41" s="33" t="n"/>
      <c r="RG41" s="33" t="n"/>
      <c r="RH41" s="33" t="n"/>
      <c r="RI41" s="33" t="n"/>
      <c r="RJ41" s="33" t="n"/>
      <c r="RK41" s="33" t="n"/>
      <c r="RL41" s="33" t="n"/>
      <c r="RM41" s="33" t="n"/>
      <c r="RN41" s="33" t="n"/>
      <c r="RO41" s="33" t="n"/>
      <c r="RP41" s="33" t="n"/>
      <c r="RQ41" s="33" t="n"/>
      <c r="RR41" s="33" t="n"/>
      <c r="RS41" s="33" t="n"/>
      <c r="RT41" s="33" t="n"/>
      <c r="RU41" s="33" t="n"/>
      <c r="RV41" s="33" t="n"/>
      <c r="RW41" s="33" t="n"/>
    </row>
    <row r="42" ht="13.05" customHeight="1">
      <c r="E42" s="25" t="inlineStr">
        <is>
          <t>Total OPEX</t>
        </is>
      </c>
      <c r="F42" s="26" t="n"/>
      <c r="G42" s="26" t="inlineStr">
        <is>
          <t>kEUR</t>
        </is>
      </c>
      <c r="H42" s="26" t="n"/>
      <c r="I42" s="26" t="n"/>
      <c r="J42" s="27" t="n"/>
      <c r="K42" s="26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  <c r="AS42" s="28" t="n"/>
      <c r="AT42" s="28" t="n"/>
      <c r="AU42" s="28" t="n"/>
      <c r="AV42" s="28" t="n"/>
      <c r="AW42" s="28" t="n"/>
      <c r="AX42" s="28" t="n"/>
      <c r="AY42" s="28" t="n"/>
      <c r="AZ42" s="28" t="n"/>
      <c r="BA42" s="28" t="n"/>
      <c r="BB42" s="28" t="n"/>
      <c r="BC42" s="28" t="n"/>
      <c r="BD42" s="28" t="n"/>
      <c r="BE42" s="28" t="n"/>
      <c r="BF42" s="28" t="n"/>
      <c r="BG42" s="28" t="n"/>
      <c r="BH42" s="28" t="n"/>
      <c r="BI42" s="28" t="n"/>
      <c r="BJ42" s="28" t="n"/>
      <c r="BK42" s="28" t="n"/>
      <c r="BL42" s="28" t="n"/>
      <c r="BM42" s="28" t="n"/>
      <c r="BN42" s="28" t="n"/>
      <c r="BO42" s="28" t="n"/>
      <c r="BP42" s="28" t="n"/>
      <c r="BQ42" s="28" t="n"/>
      <c r="BR42" s="28" t="n"/>
      <c r="BS42" s="28" t="n"/>
      <c r="BT42" s="28" t="n"/>
      <c r="BU42" s="28" t="n"/>
      <c r="BV42" s="28" t="n"/>
      <c r="BW42" s="28" t="n"/>
      <c r="BX42" s="28" t="n"/>
      <c r="BY42" s="28" t="n"/>
      <c r="BZ42" s="28" t="n"/>
      <c r="CA42" s="28" t="n"/>
      <c r="CB42" s="28" t="n"/>
      <c r="CC42" s="28" t="n"/>
      <c r="CD42" s="28" t="n"/>
      <c r="CE42" s="28" t="n"/>
      <c r="CF42" s="28" t="n"/>
      <c r="CG42" s="28" t="n"/>
      <c r="CH42" s="28" t="n"/>
      <c r="CI42" s="28" t="n"/>
      <c r="CJ42" s="28" t="n"/>
      <c r="CK42" s="28" t="n"/>
      <c r="CL42" s="28" t="n"/>
      <c r="CM42" s="28" t="n"/>
      <c r="CN42" s="28" t="n"/>
      <c r="CO42" s="28" t="n"/>
      <c r="CP42" s="28" t="n"/>
      <c r="CQ42" s="28" t="n"/>
      <c r="CR42" s="28" t="n"/>
      <c r="CS42" s="28" t="n"/>
      <c r="CT42" s="28" t="n"/>
      <c r="CU42" s="28" t="n"/>
      <c r="CV42" s="28" t="n"/>
      <c r="CW42" s="28" t="n"/>
      <c r="CX42" s="28" t="n"/>
      <c r="CY42" s="28" t="n"/>
      <c r="CZ42" s="28" t="n"/>
      <c r="DA42" s="28" t="n"/>
      <c r="DB42" s="28" t="n"/>
      <c r="DC42" s="28" t="n"/>
      <c r="DD42" s="28" t="n"/>
      <c r="DE42" s="28" t="n"/>
      <c r="DF42" s="28" t="n"/>
      <c r="DG42" s="28" t="n"/>
      <c r="DH42" s="28" t="n"/>
      <c r="DI42" s="28" t="n"/>
      <c r="DJ42" s="28" t="n"/>
      <c r="DK42" s="28" t="n"/>
      <c r="DL42" s="28" t="n"/>
      <c r="DM42" s="28" t="n"/>
      <c r="DN42" s="28" t="n"/>
      <c r="DO42" s="28" t="n"/>
      <c r="DP42" s="28" t="n"/>
      <c r="DQ42" s="28" t="n"/>
      <c r="DR42" s="28" t="n"/>
      <c r="DS42" s="28" t="n"/>
      <c r="DT42" s="28" t="n"/>
      <c r="DU42" s="28" t="n"/>
      <c r="DV42" s="28" t="n"/>
      <c r="DW42" s="28" t="n"/>
      <c r="DX42" s="28" t="n"/>
      <c r="DY42" s="28" t="n"/>
      <c r="DZ42" s="28" t="n"/>
      <c r="EA42" s="28" t="n"/>
      <c r="EB42" s="28" t="n"/>
      <c r="EC42" s="28" t="n"/>
      <c r="ED42" s="28" t="n"/>
      <c r="EE42" s="28" t="n"/>
      <c r="EF42" s="28" t="n"/>
      <c r="EG42" s="28" t="n"/>
      <c r="EH42" s="28" t="n"/>
      <c r="EI42" s="28" t="n"/>
      <c r="EJ42" s="28" t="n"/>
      <c r="EK42" s="28" t="n"/>
      <c r="EL42" s="28" t="n"/>
      <c r="EM42" s="28" t="n"/>
      <c r="EN42" s="28" t="n"/>
      <c r="EO42" s="28" t="n"/>
      <c r="EP42" s="28" t="n"/>
      <c r="EQ42" s="28" t="n"/>
      <c r="ER42" s="28" t="n"/>
      <c r="ES42" s="28" t="n"/>
      <c r="ET42" s="28" t="n"/>
      <c r="EU42" s="28" t="n"/>
      <c r="EV42" s="28" t="n"/>
      <c r="EW42" s="28" t="n"/>
      <c r="EX42" s="28" t="n"/>
      <c r="EY42" s="28" t="n"/>
      <c r="EZ42" s="28" t="n"/>
      <c r="FA42" s="28" t="n"/>
      <c r="FB42" s="28" t="n"/>
      <c r="FC42" s="28" t="n"/>
      <c r="FD42" s="28" t="n"/>
      <c r="FE42" s="28" t="n"/>
      <c r="FF42" s="28" t="n"/>
      <c r="FG42" s="28" t="n"/>
      <c r="FH42" s="28" t="n"/>
      <c r="FI42" s="28" t="n"/>
      <c r="FJ42" s="28" t="n"/>
      <c r="FK42" s="28" t="n"/>
      <c r="FL42" s="28" t="n"/>
      <c r="FM42" s="28" t="n"/>
      <c r="FN42" s="28" t="n"/>
      <c r="FO42" s="28" t="n"/>
      <c r="FP42" s="28" t="n"/>
      <c r="FQ42" s="28" t="n"/>
      <c r="FR42" s="28" t="n"/>
      <c r="FS42" s="28" t="n"/>
      <c r="FT42" s="28" t="n"/>
      <c r="FU42" s="28" t="n"/>
      <c r="FV42" s="28" t="n"/>
      <c r="FW42" s="28" t="n"/>
      <c r="FX42" s="28" t="n"/>
      <c r="FY42" s="28" t="n"/>
      <c r="FZ42" s="28" t="n"/>
      <c r="GA42" s="28" t="n"/>
      <c r="GB42" s="28" t="n"/>
      <c r="GC42" s="28" t="n"/>
      <c r="GD42" s="28" t="n"/>
      <c r="GE42" s="28" t="n"/>
      <c r="GF42" s="28" t="n"/>
      <c r="GG42" s="28" t="n"/>
      <c r="GH42" s="28" t="n"/>
      <c r="GI42" s="28" t="n"/>
      <c r="GJ42" s="28" t="n"/>
      <c r="GK42" s="28" t="n"/>
      <c r="GL42" s="28" t="n"/>
      <c r="GM42" s="28" t="n"/>
      <c r="GN42" s="28" t="n"/>
      <c r="GO42" s="28" t="n"/>
      <c r="GP42" s="28" t="n"/>
      <c r="GQ42" s="28" t="n"/>
      <c r="GR42" s="28" t="n"/>
      <c r="GS42" s="28" t="n"/>
      <c r="GT42" s="28" t="n"/>
      <c r="GU42" s="28" t="n"/>
      <c r="GV42" s="28" t="n"/>
      <c r="GW42" s="28" t="n"/>
      <c r="GX42" s="28" t="n"/>
      <c r="GY42" s="28" t="n"/>
      <c r="GZ42" s="28" t="n"/>
      <c r="HA42" s="28" t="n"/>
      <c r="HB42" s="28" t="n"/>
      <c r="HC42" s="28" t="n"/>
      <c r="HD42" s="28" t="n"/>
      <c r="HE42" s="28" t="n"/>
      <c r="HF42" s="28" t="n"/>
      <c r="HG42" s="28" t="n"/>
      <c r="HH42" s="28" t="n"/>
      <c r="HI42" s="28" t="n"/>
      <c r="HJ42" s="28" t="n"/>
      <c r="HK42" s="28" t="n"/>
      <c r="HL42" s="28" t="n"/>
      <c r="HM42" s="28" t="n"/>
      <c r="HN42" s="28" t="n"/>
      <c r="HO42" s="28" t="n"/>
      <c r="HP42" s="28" t="n"/>
      <c r="HQ42" s="28" t="n"/>
      <c r="HR42" s="28" t="n"/>
      <c r="HS42" s="28" t="n"/>
      <c r="HT42" s="28" t="n"/>
      <c r="HU42" s="28" t="n"/>
      <c r="HV42" s="28" t="n"/>
      <c r="HW42" s="28" t="n"/>
      <c r="HX42" s="28" t="n"/>
      <c r="HY42" s="28" t="n"/>
      <c r="HZ42" s="28" t="n"/>
      <c r="IA42" s="28" t="n"/>
      <c r="IB42" s="28" t="n"/>
      <c r="IC42" s="28" t="n"/>
      <c r="ID42" s="28" t="n"/>
      <c r="IE42" s="28" t="n"/>
      <c r="IF42" s="28" t="n"/>
      <c r="IG42" s="28" t="n"/>
      <c r="IH42" s="28" t="n"/>
      <c r="II42" s="28" t="n"/>
      <c r="IJ42" s="28" t="n"/>
      <c r="IK42" s="28" t="n"/>
      <c r="IL42" s="28" t="n"/>
      <c r="IM42" s="28" t="n"/>
      <c r="IN42" s="28" t="n"/>
      <c r="IO42" s="28" t="n"/>
      <c r="IP42" s="28" t="n"/>
      <c r="IQ42" s="28" t="n"/>
      <c r="IR42" s="28" t="n"/>
      <c r="IS42" s="28" t="n"/>
      <c r="IT42" s="28" t="n"/>
      <c r="IU42" s="28" t="n"/>
      <c r="IV42" s="28" t="n"/>
      <c r="IW42" s="28" t="n"/>
      <c r="IX42" s="28" t="n"/>
      <c r="IY42" s="28" t="n"/>
      <c r="IZ42" s="28" t="n"/>
      <c r="JA42" s="28" t="n"/>
      <c r="JB42" s="28" t="n"/>
      <c r="JC42" s="28" t="n"/>
      <c r="JD42" s="28" t="n"/>
      <c r="JE42" s="28" t="n"/>
      <c r="JF42" s="28" t="n"/>
      <c r="JG42" s="28" t="n"/>
      <c r="JH42" s="28" t="n"/>
      <c r="JI42" s="28" t="n"/>
      <c r="JJ42" s="28" t="n"/>
      <c r="JK42" s="28" t="n"/>
      <c r="JL42" s="28" t="n"/>
      <c r="JM42" s="28" t="n"/>
      <c r="JN42" s="28" t="n"/>
      <c r="JO42" s="28" t="n"/>
      <c r="JP42" s="28" t="n"/>
      <c r="JQ42" s="28" t="n"/>
      <c r="JR42" s="28" t="n"/>
      <c r="JS42" s="28" t="n"/>
      <c r="JT42" s="28" t="n"/>
      <c r="JU42" s="28" t="n"/>
      <c r="JV42" s="28" t="n"/>
      <c r="JW42" s="28" t="n"/>
      <c r="JX42" s="28" t="n"/>
      <c r="JY42" s="28" t="n"/>
      <c r="JZ42" s="28" t="n"/>
      <c r="KA42" s="28" t="n"/>
      <c r="KB42" s="28" t="n"/>
      <c r="KC42" s="28" t="n"/>
      <c r="KD42" s="28" t="n"/>
      <c r="KE42" s="28" t="n"/>
      <c r="KF42" s="28" t="n"/>
      <c r="KG42" s="28" t="n"/>
      <c r="KH42" s="28" t="n"/>
      <c r="KI42" s="28" t="n"/>
      <c r="KJ42" s="28" t="n"/>
      <c r="KK42" s="28" t="n"/>
      <c r="KL42" s="28" t="n"/>
      <c r="KM42" s="28" t="n"/>
      <c r="KN42" s="28" t="n"/>
      <c r="KO42" s="28" t="n"/>
      <c r="KP42" s="28" t="n"/>
      <c r="KQ42" s="28" t="n"/>
      <c r="KR42" s="28" t="n"/>
      <c r="KS42" s="28" t="n"/>
      <c r="KT42" s="28" t="n"/>
      <c r="KU42" s="28" t="n"/>
      <c r="KV42" s="28" t="n"/>
      <c r="KW42" s="28" t="n"/>
      <c r="KX42" s="28" t="n"/>
      <c r="KY42" s="28" t="n"/>
      <c r="KZ42" s="28" t="n"/>
      <c r="LA42" s="28" t="n"/>
      <c r="LB42" s="28" t="n"/>
      <c r="LC42" s="28" t="n"/>
      <c r="LD42" s="28" t="n"/>
      <c r="LE42" s="28" t="n"/>
      <c r="LF42" s="28" t="n"/>
      <c r="LG42" s="28" t="n"/>
      <c r="LH42" s="28" t="n"/>
      <c r="LI42" s="28" t="n"/>
      <c r="LJ42" s="28" t="n"/>
      <c r="LK42" s="28" t="n"/>
      <c r="LL42" s="28" t="n"/>
      <c r="LM42" s="28" t="n"/>
      <c r="LN42" s="28" t="n"/>
      <c r="LO42" s="28" t="n"/>
      <c r="LP42" s="28" t="n"/>
      <c r="LQ42" s="28" t="n"/>
      <c r="LR42" s="28" t="n"/>
      <c r="LS42" s="28" t="n"/>
      <c r="LT42" s="28" t="n"/>
      <c r="LU42" s="28" t="n"/>
      <c r="LV42" s="28" t="n"/>
      <c r="LW42" s="28" t="n"/>
      <c r="LX42" s="28" t="n"/>
      <c r="LY42" s="28" t="n"/>
      <c r="LZ42" s="28" t="n"/>
      <c r="MA42" s="28" t="n"/>
      <c r="MB42" s="28" t="n"/>
      <c r="MC42" s="28" t="n"/>
      <c r="MD42" s="28" t="n"/>
      <c r="ME42" s="28" t="n"/>
      <c r="MF42" s="28" t="n"/>
      <c r="MG42" s="28" t="n"/>
      <c r="MH42" s="28" t="n"/>
      <c r="MI42" s="28" t="n"/>
      <c r="MJ42" s="28" t="n"/>
      <c r="MK42" s="28" t="n"/>
      <c r="ML42" s="28" t="n"/>
      <c r="MM42" s="28" t="n"/>
      <c r="MN42" s="28" t="n"/>
      <c r="MO42" s="28" t="n"/>
      <c r="MP42" s="28" t="n"/>
      <c r="MQ42" s="28" t="n"/>
      <c r="MR42" s="28" t="n"/>
      <c r="MS42" s="28" t="n"/>
      <c r="MT42" s="28" t="n"/>
      <c r="MU42" s="28" t="n"/>
      <c r="MV42" s="28" t="n"/>
      <c r="MW42" s="28" t="n"/>
      <c r="MX42" s="28" t="n"/>
      <c r="MY42" s="28" t="n"/>
      <c r="MZ42" s="28" t="n"/>
      <c r="NA42" s="28" t="n"/>
      <c r="NB42" s="28" t="n"/>
      <c r="NC42" s="28" t="n"/>
      <c r="ND42" s="28" t="n"/>
      <c r="NE42" s="28" t="n"/>
      <c r="NF42" s="28" t="n"/>
      <c r="NG42" s="28" t="n"/>
      <c r="NH42" s="28" t="n"/>
      <c r="NI42" s="28" t="n"/>
      <c r="NJ42" s="28" t="n"/>
      <c r="NK42" s="28" t="n"/>
      <c r="NL42" s="28" t="n"/>
      <c r="NM42" s="28" t="n"/>
      <c r="NN42" s="28" t="n"/>
      <c r="NO42" s="28" t="n"/>
      <c r="NP42" s="28" t="n"/>
      <c r="NQ42" s="28" t="n"/>
      <c r="NR42" s="28" t="n"/>
      <c r="NS42" s="28" t="n"/>
      <c r="NT42" s="28" t="n"/>
      <c r="NU42" s="28" t="n"/>
      <c r="NV42" s="28" t="n"/>
      <c r="NW42" s="28" t="n"/>
      <c r="NX42" s="28" t="n"/>
      <c r="NY42" s="28" t="n"/>
      <c r="NZ42" s="28" t="n"/>
      <c r="OA42" s="28" t="n"/>
      <c r="OB42" s="28" t="n"/>
      <c r="OC42" s="28" t="n"/>
      <c r="OD42" s="28" t="n"/>
      <c r="OE42" s="28" t="n"/>
      <c r="OF42" s="28" t="n"/>
      <c r="OG42" s="28" t="n"/>
      <c r="OH42" s="28" t="n"/>
      <c r="OI42" s="28" t="n"/>
      <c r="OJ42" s="28" t="n"/>
      <c r="OK42" s="28" t="n"/>
      <c r="OL42" s="28" t="n"/>
      <c r="OM42" s="28" t="n"/>
      <c r="ON42" s="28" t="n"/>
      <c r="OO42" s="28" t="n"/>
      <c r="OP42" s="28" t="n"/>
      <c r="OQ42" s="28" t="n"/>
      <c r="OR42" s="28" t="n"/>
      <c r="OS42" s="28" t="n"/>
      <c r="OT42" s="28" t="n"/>
      <c r="OU42" s="28" t="n"/>
      <c r="OV42" s="28" t="n"/>
      <c r="OW42" s="28" t="n"/>
      <c r="OX42" s="28" t="n"/>
      <c r="OY42" s="28" t="n"/>
      <c r="OZ42" s="28" t="n"/>
      <c r="PA42" s="28" t="n"/>
      <c r="PB42" s="28" t="n"/>
      <c r="PC42" s="28" t="n"/>
      <c r="PD42" s="28" t="n"/>
      <c r="PE42" s="28" t="n"/>
      <c r="PF42" s="28" t="n"/>
      <c r="PG42" s="28" t="n"/>
      <c r="PH42" s="28" t="n"/>
      <c r="PI42" s="28" t="n"/>
      <c r="PJ42" s="28" t="n"/>
      <c r="PK42" s="28" t="n"/>
      <c r="PL42" s="28" t="n"/>
      <c r="PM42" s="28" t="n"/>
      <c r="PN42" s="28" t="n"/>
      <c r="PO42" s="28" t="n"/>
      <c r="PP42" s="28" t="n"/>
      <c r="PQ42" s="28" t="n"/>
      <c r="PR42" s="28" t="n"/>
      <c r="PS42" s="28" t="n"/>
      <c r="PT42" s="28" t="n"/>
      <c r="PU42" s="28" t="n"/>
      <c r="PV42" s="28" t="n"/>
      <c r="PW42" s="28" t="n"/>
      <c r="PX42" s="28" t="n"/>
      <c r="PY42" s="28" t="n"/>
      <c r="PZ42" s="28" t="n"/>
      <c r="QA42" s="28" t="n"/>
      <c r="QB42" s="28" t="n"/>
      <c r="QC42" s="28" t="n"/>
      <c r="QD42" s="28" t="n"/>
      <c r="QE42" s="28" t="n"/>
      <c r="QF42" s="28" t="n"/>
      <c r="QG42" s="28" t="n"/>
      <c r="QH42" s="28" t="n"/>
      <c r="QI42" s="28" t="n"/>
      <c r="QJ42" s="28" t="n"/>
      <c r="QK42" s="28" t="n"/>
      <c r="QL42" s="28" t="n"/>
      <c r="QM42" s="28" t="n"/>
      <c r="QN42" s="28" t="n"/>
      <c r="QO42" s="28" t="n"/>
      <c r="QP42" s="28" t="n"/>
      <c r="QQ42" s="28" t="n"/>
      <c r="QR42" s="28" t="n"/>
      <c r="QS42" s="28" t="n"/>
      <c r="QT42" s="28" t="n"/>
      <c r="QU42" s="28" t="n"/>
      <c r="QV42" s="28" t="n"/>
      <c r="QW42" s="28" t="n"/>
      <c r="QX42" s="28" t="n"/>
      <c r="QY42" s="28" t="n"/>
      <c r="QZ42" s="28" t="n"/>
      <c r="RA42" s="28" t="n"/>
      <c r="RB42" s="28" t="n"/>
      <c r="RC42" s="28" t="n"/>
      <c r="RD42" s="28" t="n"/>
      <c r="RE42" s="28" t="n"/>
      <c r="RF42" s="28" t="n"/>
      <c r="RG42" s="28" t="n"/>
      <c r="RH42" s="28" t="n"/>
      <c r="RI42" s="28" t="n"/>
      <c r="RJ42" s="28" t="n"/>
      <c r="RK42" s="28" t="n"/>
      <c r="RL42" s="28" t="n"/>
      <c r="RM42" s="28" t="n"/>
      <c r="RN42" s="28" t="n"/>
      <c r="RO42" s="28" t="n"/>
      <c r="RP42" s="28" t="n"/>
      <c r="RQ42" s="28" t="n"/>
      <c r="RR42" s="28" t="n"/>
      <c r="RS42" s="28" t="n"/>
      <c r="RT42" s="28" t="n"/>
      <c r="RU42" s="28" t="n"/>
      <c r="RV42" s="28" t="n"/>
      <c r="RW42" s="28" t="n"/>
    </row>
    <row r="43" ht="13.05" customHeight="1">
      <c r="E43" s="39" t="inlineStr">
        <is>
          <t>BESS Repowering</t>
        </is>
      </c>
      <c r="F43" s="39" t="n"/>
      <c r="G43" s="39" t="n"/>
    </row>
    <row r="44" ht="13.05" customHeight="1">
      <c r="E44" s="21" t="inlineStr">
        <is>
          <t>BESS Repowering Cost</t>
        </is>
      </c>
      <c r="F44" s="29" t="n"/>
      <c r="G44" s="29" t="inlineStr">
        <is>
          <t>kEUR</t>
        </is>
      </c>
      <c r="H44" s="29" t="n"/>
      <c r="I44" s="29" t="n"/>
      <c r="J44" s="32" t="n"/>
      <c r="K44" s="29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3" t="n"/>
      <c r="AY44" s="33" t="n"/>
      <c r="AZ44" s="33" t="n"/>
      <c r="BA44" s="33" t="n"/>
      <c r="BB44" s="33" t="n"/>
      <c r="BC44" s="33" t="n"/>
      <c r="BD44" s="33" t="n"/>
      <c r="BE44" s="33" t="n"/>
      <c r="BF44" s="33" t="n"/>
      <c r="BG44" s="33" t="n"/>
      <c r="BH44" s="33" t="n"/>
      <c r="BI44" s="33" t="n"/>
      <c r="BJ44" s="33" t="n"/>
      <c r="BK44" s="33" t="n"/>
      <c r="BL44" s="33" t="n"/>
      <c r="BM44" s="33" t="n"/>
      <c r="BN44" s="33" t="n"/>
      <c r="BO44" s="33" t="n"/>
      <c r="BP44" s="33" t="n"/>
      <c r="BQ44" s="33" t="n"/>
      <c r="BR44" s="33" t="n"/>
      <c r="BS44" s="33" t="n"/>
      <c r="BT44" s="33" t="n"/>
      <c r="BU44" s="33" t="n"/>
      <c r="BV44" s="33" t="n"/>
      <c r="BW44" s="33" t="n"/>
      <c r="BX44" s="33" t="n"/>
      <c r="BY44" s="33" t="n"/>
      <c r="BZ44" s="33" t="n"/>
      <c r="CA44" s="33" t="n"/>
      <c r="CB44" s="33" t="n"/>
      <c r="CC44" s="33" t="n"/>
      <c r="CD44" s="33" t="n"/>
      <c r="CE44" s="33" t="n"/>
      <c r="CF44" s="33" t="n"/>
      <c r="CG44" s="33" t="n"/>
      <c r="CH44" s="33" t="n"/>
      <c r="CI44" s="33" t="n"/>
      <c r="CJ44" s="33" t="n"/>
      <c r="CK44" s="33" t="n"/>
      <c r="CL44" s="33" t="n"/>
      <c r="CM44" s="33" t="n"/>
      <c r="CN44" s="33" t="n"/>
      <c r="CO44" s="33" t="n"/>
      <c r="CP44" s="33" t="n"/>
      <c r="CQ44" s="33" t="n"/>
      <c r="CR44" s="33" t="n"/>
      <c r="CS44" s="33" t="n"/>
      <c r="CT44" s="33" t="n"/>
      <c r="CU44" s="33" t="n"/>
      <c r="CV44" s="33" t="n"/>
      <c r="CW44" s="33" t="n"/>
      <c r="CX44" s="33" t="n"/>
      <c r="CY44" s="33" t="n"/>
      <c r="CZ44" s="33" t="n"/>
      <c r="DA44" s="33" t="n"/>
      <c r="DB44" s="33" t="n"/>
      <c r="DC44" s="33" t="n"/>
      <c r="DD44" s="33" t="n"/>
      <c r="DE44" s="33" t="n"/>
      <c r="DF44" s="33" t="n"/>
      <c r="DG44" s="33" t="n"/>
      <c r="DH44" s="33" t="n"/>
      <c r="DI44" s="33" t="n"/>
      <c r="DJ44" s="33" t="n"/>
      <c r="DK44" s="33" t="n"/>
      <c r="DL44" s="33" t="n"/>
      <c r="DM44" s="33" t="n"/>
      <c r="DN44" s="33" t="n"/>
      <c r="DO44" s="33" t="n"/>
      <c r="DP44" s="33" t="n"/>
      <c r="DQ44" s="33" t="n"/>
      <c r="DR44" s="33" t="n"/>
      <c r="DS44" s="33" t="n"/>
      <c r="DT44" s="33" t="n"/>
      <c r="DU44" s="33" t="n"/>
      <c r="DV44" s="33" t="n"/>
      <c r="DW44" s="33" t="n"/>
      <c r="DX44" s="33" t="n"/>
      <c r="DY44" s="33" t="n"/>
      <c r="DZ44" s="33" t="n"/>
      <c r="EA44" s="33" t="n"/>
      <c r="EB44" s="33" t="n"/>
      <c r="EC44" s="33" t="n"/>
      <c r="ED44" s="33" t="n"/>
      <c r="EE44" s="33" t="n"/>
      <c r="EF44" s="33" t="n"/>
      <c r="EG44" s="33" t="n"/>
      <c r="EH44" s="33" t="n"/>
      <c r="EI44" s="33" t="n"/>
      <c r="EJ44" s="33" t="n"/>
      <c r="EK44" s="33" t="n"/>
      <c r="EL44" s="33" t="n"/>
      <c r="EM44" s="33" t="n"/>
      <c r="EN44" s="33" t="n"/>
      <c r="EO44" s="33" t="n"/>
      <c r="EP44" s="33" t="n"/>
      <c r="EQ44" s="33" t="n"/>
      <c r="ER44" s="33" t="n"/>
      <c r="ES44" s="33" t="n"/>
      <c r="ET44" s="33" t="n"/>
      <c r="EU44" s="33" t="n"/>
      <c r="EV44" s="33" t="n"/>
      <c r="EW44" s="33" t="n"/>
      <c r="EX44" s="33" t="n"/>
      <c r="EY44" s="33" t="n"/>
      <c r="EZ44" s="33" t="n"/>
      <c r="FA44" s="33" t="n"/>
      <c r="FB44" s="33" t="n"/>
      <c r="FC44" s="33" t="n"/>
      <c r="FD44" s="33" t="n"/>
      <c r="FE44" s="33" t="n"/>
      <c r="FF44" s="33" t="n"/>
      <c r="FG44" s="33" t="n"/>
      <c r="FH44" s="33" t="n"/>
      <c r="FI44" s="33" t="n"/>
      <c r="FJ44" s="33" t="n"/>
      <c r="FK44" s="33" t="n"/>
      <c r="FL44" s="33" t="n"/>
      <c r="FM44" s="33" t="n"/>
      <c r="FN44" s="33" t="n"/>
      <c r="FO44" s="33" t="n"/>
      <c r="FP44" s="33" t="n"/>
      <c r="FQ44" s="33" t="n"/>
      <c r="FR44" s="33" t="n"/>
      <c r="FS44" s="33" t="n"/>
      <c r="FT44" s="33" t="n"/>
      <c r="FU44" s="33" t="n"/>
      <c r="FV44" s="33" t="n"/>
      <c r="FW44" s="33" t="n"/>
      <c r="FX44" s="33" t="n"/>
      <c r="FY44" s="33" t="n"/>
      <c r="FZ44" s="33" t="n"/>
      <c r="GA44" s="33" t="n"/>
      <c r="GB44" s="33" t="n"/>
      <c r="GC44" s="33" t="n"/>
      <c r="GD44" s="33" t="n"/>
      <c r="GE44" s="33" t="n"/>
      <c r="GF44" s="33" t="n"/>
      <c r="GG44" s="33" t="n"/>
      <c r="GH44" s="33" t="n"/>
      <c r="GI44" s="33" t="n"/>
      <c r="GJ44" s="33" t="n"/>
      <c r="GK44" s="33" t="n"/>
      <c r="GL44" s="33" t="n"/>
      <c r="GM44" s="33" t="n"/>
      <c r="GN44" s="33" t="n"/>
      <c r="GO44" s="33" t="n"/>
      <c r="GP44" s="33" t="n"/>
      <c r="GQ44" s="33" t="n"/>
      <c r="GR44" s="33" t="n"/>
      <c r="GS44" s="33" t="n"/>
      <c r="GT44" s="33" t="n"/>
      <c r="GU44" s="33" t="n"/>
      <c r="GV44" s="33" t="n"/>
      <c r="GW44" s="33" t="n"/>
      <c r="GX44" s="33" t="n"/>
      <c r="GY44" s="33" t="n"/>
      <c r="GZ44" s="33" t="n"/>
      <c r="HA44" s="33" t="n"/>
      <c r="HB44" s="33" t="n"/>
      <c r="HC44" s="33" t="n"/>
      <c r="HD44" s="33" t="n"/>
      <c r="HE44" s="33" t="n"/>
      <c r="HF44" s="33" t="n"/>
      <c r="HG44" s="33" t="n"/>
      <c r="HH44" s="33" t="n"/>
      <c r="HI44" s="33" t="n"/>
      <c r="HJ44" s="33" t="n"/>
      <c r="HK44" s="33" t="n"/>
      <c r="HL44" s="33" t="n"/>
      <c r="HM44" s="33" t="n"/>
      <c r="HN44" s="33" t="n"/>
      <c r="HO44" s="33" t="n"/>
      <c r="HP44" s="33" t="n"/>
      <c r="HQ44" s="33" t="n"/>
      <c r="HR44" s="33" t="n"/>
      <c r="HS44" s="33" t="n"/>
      <c r="HT44" s="33" t="n"/>
      <c r="HU44" s="33" t="n"/>
      <c r="HV44" s="33" t="n"/>
      <c r="HW44" s="33" t="n"/>
      <c r="HX44" s="33" t="n"/>
      <c r="HY44" s="33" t="n"/>
      <c r="HZ44" s="33" t="n"/>
      <c r="IA44" s="33" t="n"/>
      <c r="IB44" s="33" t="n"/>
      <c r="IC44" s="33" t="n"/>
      <c r="ID44" s="33" t="n"/>
      <c r="IE44" s="33" t="n"/>
      <c r="IF44" s="33" t="n"/>
      <c r="IG44" s="33" t="n"/>
      <c r="IH44" s="33" t="n"/>
      <c r="II44" s="33" t="n"/>
      <c r="IJ44" s="33" t="n"/>
      <c r="IK44" s="33" t="n"/>
      <c r="IL44" s="33" t="n"/>
      <c r="IM44" s="33" t="n"/>
      <c r="IN44" s="33" t="n"/>
      <c r="IO44" s="33" t="n"/>
      <c r="IP44" s="33" t="n"/>
      <c r="IQ44" s="33" t="n"/>
      <c r="IR44" s="33" t="n"/>
      <c r="IS44" s="33" t="n"/>
      <c r="IT44" s="33" t="n"/>
      <c r="IU44" s="33" t="n"/>
      <c r="IV44" s="33" t="n"/>
      <c r="IW44" s="33" t="n"/>
      <c r="IX44" s="33" t="n"/>
      <c r="IY44" s="33" t="n"/>
      <c r="IZ44" s="33" t="n"/>
      <c r="JA44" s="33" t="n"/>
      <c r="JB44" s="33" t="n"/>
      <c r="JC44" s="33" t="n"/>
      <c r="JD44" s="33" t="n"/>
      <c r="JE44" s="33" t="n"/>
      <c r="JF44" s="33" t="n"/>
      <c r="JG44" s="33" t="n"/>
      <c r="JH44" s="33" t="n"/>
      <c r="JI44" s="33" t="n"/>
      <c r="JJ44" s="33" t="n"/>
      <c r="JK44" s="33" t="n"/>
      <c r="JL44" s="33" t="n"/>
      <c r="JM44" s="33" t="n"/>
      <c r="JN44" s="33" t="n"/>
      <c r="JO44" s="33" t="n"/>
      <c r="JP44" s="33" t="n"/>
      <c r="JQ44" s="33" t="n"/>
      <c r="JR44" s="33" t="n"/>
      <c r="JS44" s="33" t="n"/>
      <c r="JT44" s="33" t="n"/>
      <c r="JU44" s="33" t="n"/>
      <c r="JV44" s="33" t="n"/>
      <c r="JW44" s="33" t="n"/>
      <c r="JX44" s="33" t="n"/>
      <c r="JY44" s="33" t="n"/>
      <c r="JZ44" s="33" t="n"/>
      <c r="KA44" s="33" t="n"/>
      <c r="KB44" s="33" t="n"/>
      <c r="KC44" s="33" t="n"/>
      <c r="KD44" s="33" t="n"/>
      <c r="KE44" s="33" t="n"/>
      <c r="KF44" s="33" t="n"/>
      <c r="KG44" s="33" t="n"/>
      <c r="KH44" s="33" t="n"/>
      <c r="KI44" s="33" t="n"/>
      <c r="KJ44" s="33" t="n"/>
      <c r="KK44" s="33" t="n"/>
      <c r="KL44" s="33" t="n"/>
      <c r="KM44" s="33" t="n"/>
      <c r="KN44" s="33" t="n"/>
      <c r="KO44" s="33" t="n"/>
      <c r="KP44" s="33" t="n"/>
      <c r="KQ44" s="33" t="n"/>
      <c r="KR44" s="33" t="n"/>
      <c r="KS44" s="33" t="n"/>
      <c r="KT44" s="33" t="n"/>
      <c r="KU44" s="33" t="n"/>
      <c r="KV44" s="33" t="n"/>
      <c r="KW44" s="33" t="n"/>
      <c r="KX44" s="33" t="n"/>
      <c r="KY44" s="33" t="n"/>
      <c r="KZ44" s="33" t="n"/>
      <c r="LA44" s="33" t="n"/>
      <c r="LB44" s="33" t="n"/>
      <c r="LC44" s="33" t="n"/>
      <c r="LD44" s="33" t="n"/>
      <c r="LE44" s="33" t="n"/>
      <c r="LF44" s="33" t="n"/>
      <c r="LG44" s="33" t="n"/>
      <c r="LH44" s="33" t="n"/>
      <c r="LI44" s="33" t="n"/>
      <c r="LJ44" s="33" t="n"/>
      <c r="LK44" s="33" t="n"/>
      <c r="LL44" s="33" t="n"/>
      <c r="LM44" s="33" t="n"/>
      <c r="LN44" s="33" t="n"/>
      <c r="LO44" s="33" t="n"/>
      <c r="LP44" s="33" t="n"/>
      <c r="LQ44" s="33" t="n"/>
      <c r="LR44" s="33" t="n"/>
      <c r="LS44" s="33" t="n"/>
      <c r="LT44" s="33" t="n"/>
      <c r="LU44" s="33" t="n"/>
      <c r="LV44" s="33" t="n"/>
      <c r="LW44" s="33" t="n"/>
      <c r="LX44" s="33" t="n"/>
      <c r="LY44" s="33" t="n"/>
      <c r="LZ44" s="33" t="n"/>
      <c r="MA44" s="33" t="n"/>
      <c r="MB44" s="33" t="n"/>
      <c r="MC44" s="33" t="n"/>
      <c r="MD44" s="33" t="n"/>
      <c r="ME44" s="33" t="n"/>
      <c r="MF44" s="33" t="n"/>
      <c r="MG44" s="33" t="n"/>
      <c r="MH44" s="33" t="n"/>
      <c r="MI44" s="33" t="n"/>
      <c r="MJ44" s="33" t="n"/>
      <c r="MK44" s="33" t="n"/>
      <c r="ML44" s="33" t="n"/>
      <c r="MM44" s="33" t="n"/>
      <c r="MN44" s="33" t="n"/>
      <c r="MO44" s="33" t="n"/>
      <c r="MP44" s="33" t="n"/>
      <c r="MQ44" s="33" t="n"/>
      <c r="MR44" s="33" t="n"/>
      <c r="MS44" s="33" t="n"/>
      <c r="MT44" s="33" t="n"/>
      <c r="MU44" s="33" t="n"/>
      <c r="MV44" s="33" t="n"/>
      <c r="MW44" s="33" t="n"/>
      <c r="MX44" s="33" t="n"/>
      <c r="MY44" s="33" t="n"/>
      <c r="MZ44" s="33" t="n"/>
      <c r="NA44" s="33" t="n"/>
      <c r="NB44" s="33" t="n"/>
      <c r="NC44" s="33" t="n"/>
      <c r="ND44" s="33" t="n"/>
      <c r="NE44" s="33" t="n"/>
      <c r="NF44" s="33" t="n"/>
      <c r="NG44" s="33" t="n"/>
      <c r="NH44" s="33" t="n"/>
      <c r="NI44" s="33" t="n"/>
      <c r="NJ44" s="33" t="n"/>
      <c r="NK44" s="33" t="n"/>
      <c r="NL44" s="33" t="n"/>
      <c r="NM44" s="33" t="n"/>
      <c r="NN44" s="33" t="n"/>
      <c r="NO44" s="33" t="n"/>
      <c r="NP44" s="33" t="n"/>
      <c r="NQ44" s="33" t="n"/>
      <c r="NR44" s="33" t="n"/>
      <c r="NS44" s="33" t="n"/>
      <c r="NT44" s="33" t="n"/>
      <c r="NU44" s="33" t="n"/>
      <c r="NV44" s="33" t="n"/>
      <c r="NW44" s="33" t="n"/>
      <c r="NX44" s="33" t="n"/>
      <c r="NY44" s="33" t="n"/>
      <c r="NZ44" s="33" t="n"/>
      <c r="OA44" s="33" t="n"/>
      <c r="OB44" s="33" t="n"/>
      <c r="OC44" s="33" t="n"/>
      <c r="OD44" s="33" t="n"/>
      <c r="OE44" s="33" t="n"/>
      <c r="OF44" s="33" t="n"/>
      <c r="OG44" s="33" t="n"/>
      <c r="OH44" s="33" t="n"/>
      <c r="OI44" s="33" t="n"/>
      <c r="OJ44" s="33" t="n"/>
      <c r="OK44" s="33" t="n"/>
      <c r="OL44" s="33" t="n"/>
      <c r="OM44" s="33" t="n"/>
      <c r="ON44" s="33" t="n"/>
      <c r="OO44" s="33" t="n"/>
      <c r="OP44" s="33" t="n"/>
      <c r="OQ44" s="33" t="n"/>
      <c r="OR44" s="33" t="n"/>
      <c r="OS44" s="33" t="n"/>
      <c r="OT44" s="33" t="n"/>
      <c r="OU44" s="33" t="n"/>
      <c r="OV44" s="33" t="n"/>
      <c r="OW44" s="33" t="n"/>
      <c r="OX44" s="33" t="n"/>
      <c r="OY44" s="33" t="n"/>
      <c r="OZ44" s="33" t="n"/>
      <c r="PA44" s="33" t="n"/>
      <c r="PB44" s="33" t="n"/>
      <c r="PC44" s="33" t="n"/>
      <c r="PD44" s="33" t="n"/>
      <c r="PE44" s="33" t="n"/>
      <c r="PF44" s="33" t="n"/>
      <c r="PG44" s="33" t="n"/>
      <c r="PH44" s="33" t="n"/>
      <c r="PI44" s="33" t="n"/>
      <c r="PJ44" s="33" t="n"/>
      <c r="PK44" s="33" t="n"/>
      <c r="PL44" s="33" t="n"/>
      <c r="PM44" s="33" t="n"/>
      <c r="PN44" s="33" t="n"/>
      <c r="PO44" s="33" t="n"/>
      <c r="PP44" s="33" t="n"/>
      <c r="PQ44" s="33" t="n"/>
      <c r="PR44" s="33" t="n"/>
      <c r="PS44" s="33" t="n"/>
      <c r="PT44" s="33" t="n"/>
      <c r="PU44" s="33" t="n"/>
      <c r="PV44" s="33" t="n"/>
      <c r="PW44" s="33" t="n"/>
      <c r="PX44" s="33" t="n"/>
      <c r="PY44" s="33" t="n"/>
      <c r="PZ44" s="33" t="n"/>
      <c r="QA44" s="33" t="n"/>
      <c r="QB44" s="33" t="n"/>
      <c r="QC44" s="33" t="n"/>
      <c r="QD44" s="33" t="n"/>
      <c r="QE44" s="33" t="n"/>
      <c r="QF44" s="33" t="n"/>
      <c r="QG44" s="33" t="n"/>
      <c r="QH44" s="33" t="n"/>
      <c r="QI44" s="33" t="n"/>
      <c r="QJ44" s="33" t="n"/>
      <c r="QK44" s="33" t="n"/>
      <c r="QL44" s="33" t="n"/>
      <c r="QM44" s="33" t="n"/>
      <c r="QN44" s="33" t="n"/>
      <c r="QO44" s="33" t="n"/>
      <c r="QP44" s="33" t="n"/>
      <c r="QQ44" s="33" t="n"/>
      <c r="QR44" s="33" t="n"/>
      <c r="QS44" s="33" t="n"/>
      <c r="QT44" s="33" t="n"/>
      <c r="QU44" s="33" t="n"/>
      <c r="QV44" s="33" t="n"/>
      <c r="QW44" s="33" t="n"/>
      <c r="QX44" s="33" t="n"/>
      <c r="QY44" s="33" t="n"/>
      <c r="QZ44" s="33" t="n"/>
      <c r="RA44" s="33" t="n"/>
      <c r="RB44" s="33" t="n"/>
      <c r="RC44" s="33" t="n"/>
      <c r="RD44" s="33" t="n"/>
      <c r="RE44" s="33" t="n"/>
      <c r="RF44" s="33" t="n"/>
      <c r="RG44" s="33" t="n"/>
      <c r="RH44" s="33" t="n"/>
      <c r="RI44" s="33" t="n"/>
      <c r="RJ44" s="33" t="n"/>
      <c r="RK44" s="33" t="n"/>
      <c r="RL44" s="33" t="n"/>
      <c r="RM44" s="33" t="n"/>
      <c r="RN44" s="33" t="n"/>
      <c r="RO44" s="33" t="n"/>
      <c r="RP44" s="33" t="n"/>
      <c r="RQ44" s="33" t="n"/>
      <c r="RR44" s="33" t="n"/>
      <c r="RS44" s="33" t="n"/>
      <c r="RT44" s="33" t="n"/>
      <c r="RU44" s="33" t="n"/>
      <c r="RV44" s="33" t="n"/>
      <c r="RW44" s="33" t="n"/>
    </row>
    <row r="45" hidden="1" outlineLevel="1" ht="13.05" customHeight="1">
      <c r="E45" s="21" t="inlineStr">
        <is>
          <t>Pre-Repowering Flag</t>
        </is>
      </c>
      <c r="F45" s="29" t="n"/>
      <c r="G45" s="29" t="inlineStr">
        <is>
          <t>kEUR</t>
        </is>
      </c>
      <c r="H45" s="29" t="n"/>
      <c r="I45" s="29" t="n"/>
      <c r="J45" s="32" t="n"/>
      <c r="K45" s="29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3" t="n"/>
      <c r="AY45" s="33" t="n"/>
      <c r="AZ45" s="33" t="n"/>
      <c r="BA45" s="33" t="n"/>
      <c r="BB45" s="33" t="n"/>
      <c r="BC45" s="33" t="n"/>
      <c r="BD45" s="33" t="n"/>
      <c r="BE45" s="33" t="n"/>
      <c r="BF45" s="33" t="n"/>
      <c r="BG45" s="33" t="n"/>
      <c r="BH45" s="33" t="n"/>
      <c r="BI45" s="33" t="n"/>
      <c r="BJ45" s="33" t="n"/>
      <c r="BK45" s="33" t="n"/>
      <c r="BL45" s="33" t="n"/>
      <c r="BM45" s="33" t="n"/>
      <c r="BN45" s="33" t="n"/>
      <c r="BO45" s="33" t="n"/>
      <c r="BP45" s="33" t="n"/>
      <c r="BQ45" s="33" t="n"/>
      <c r="BR45" s="33" t="n"/>
      <c r="BS45" s="33" t="n"/>
      <c r="BT45" s="33" t="n"/>
      <c r="BU45" s="33" t="n"/>
      <c r="BV45" s="33" t="n"/>
      <c r="BW45" s="33" t="n"/>
      <c r="BX45" s="33" t="n"/>
      <c r="BY45" s="33" t="n"/>
      <c r="BZ45" s="33" t="n"/>
      <c r="CA45" s="33" t="n"/>
      <c r="CB45" s="33" t="n"/>
      <c r="CC45" s="33" t="n"/>
      <c r="CD45" s="33" t="n"/>
      <c r="CE45" s="33" t="n"/>
      <c r="CF45" s="33" t="n"/>
      <c r="CG45" s="33" t="n"/>
      <c r="CH45" s="33" t="n"/>
      <c r="CI45" s="33" t="n"/>
      <c r="CJ45" s="33" t="n"/>
      <c r="CK45" s="33" t="n"/>
      <c r="CL45" s="33" t="n"/>
      <c r="CM45" s="33" t="n"/>
      <c r="CN45" s="33" t="n"/>
      <c r="CO45" s="33" t="n"/>
      <c r="CP45" s="33" t="n"/>
      <c r="CQ45" s="33" t="n"/>
      <c r="CR45" s="33" t="n"/>
      <c r="CS45" s="33" t="n"/>
      <c r="CT45" s="33" t="n"/>
      <c r="CU45" s="33" t="n"/>
      <c r="CV45" s="33" t="n"/>
      <c r="CW45" s="33" t="n"/>
      <c r="CX45" s="33" t="n"/>
      <c r="CY45" s="33" t="n"/>
      <c r="CZ45" s="33" t="n"/>
      <c r="DA45" s="33" t="n"/>
      <c r="DB45" s="33" t="n"/>
      <c r="DC45" s="33" t="n"/>
      <c r="DD45" s="33" t="n"/>
      <c r="DE45" s="33" t="n"/>
      <c r="DF45" s="33" t="n"/>
      <c r="DG45" s="33" t="n"/>
      <c r="DH45" s="33" t="n"/>
      <c r="DI45" s="33" t="n"/>
      <c r="DJ45" s="33" t="n"/>
      <c r="DK45" s="33" t="n"/>
      <c r="DL45" s="33" t="n"/>
      <c r="DM45" s="33" t="n"/>
      <c r="DN45" s="33" t="n"/>
      <c r="DO45" s="33" t="n"/>
      <c r="DP45" s="33" t="n"/>
      <c r="DQ45" s="33" t="n"/>
      <c r="DR45" s="33" t="n"/>
      <c r="DS45" s="33" t="n"/>
      <c r="DT45" s="33" t="n"/>
      <c r="DU45" s="33" t="n"/>
      <c r="DV45" s="33" t="n"/>
      <c r="DW45" s="33" t="n"/>
      <c r="DX45" s="33" t="n"/>
      <c r="DY45" s="33" t="n"/>
      <c r="DZ45" s="33" t="n"/>
      <c r="EA45" s="33" t="n"/>
      <c r="EB45" s="33" t="n"/>
      <c r="EC45" s="33" t="n"/>
      <c r="ED45" s="33" t="n"/>
      <c r="EE45" s="33" t="n"/>
      <c r="EF45" s="33" t="n"/>
      <c r="EG45" s="33" t="n"/>
      <c r="EH45" s="33" t="n"/>
      <c r="EI45" s="33" t="n"/>
      <c r="EJ45" s="33" t="n"/>
      <c r="EK45" s="33" t="n"/>
      <c r="EL45" s="33" t="n"/>
      <c r="EM45" s="33" t="n"/>
      <c r="EN45" s="33" t="n"/>
      <c r="EO45" s="33" t="n"/>
      <c r="EP45" s="33" t="n"/>
      <c r="EQ45" s="33" t="n"/>
      <c r="ER45" s="33" t="n"/>
      <c r="ES45" s="33" t="n"/>
      <c r="ET45" s="33" t="n"/>
      <c r="EU45" s="33" t="n"/>
      <c r="EV45" s="33" t="n"/>
      <c r="EW45" s="33" t="n"/>
      <c r="EX45" s="33" t="n"/>
      <c r="EY45" s="33" t="n"/>
      <c r="EZ45" s="33" t="n"/>
      <c r="FA45" s="33" t="n"/>
      <c r="FB45" s="33" t="n"/>
      <c r="FC45" s="33" t="n"/>
      <c r="FD45" s="33" t="n"/>
      <c r="FE45" s="33" t="n"/>
      <c r="FF45" s="33" t="n"/>
      <c r="FG45" s="33" t="n"/>
      <c r="FH45" s="33" t="n"/>
      <c r="FI45" s="33" t="n"/>
      <c r="FJ45" s="33" t="n"/>
      <c r="FK45" s="33" t="n"/>
      <c r="FL45" s="33" t="n"/>
      <c r="FM45" s="33" t="n"/>
      <c r="FN45" s="33" t="n"/>
      <c r="FO45" s="33" t="n"/>
      <c r="FP45" s="33" t="n"/>
      <c r="FQ45" s="33" t="n"/>
      <c r="FR45" s="33" t="n"/>
      <c r="FS45" s="33" t="n"/>
      <c r="FT45" s="33" t="n"/>
      <c r="FU45" s="33" t="n"/>
      <c r="FV45" s="33" t="n"/>
      <c r="FW45" s="33" t="n"/>
      <c r="FX45" s="33" t="n"/>
      <c r="FY45" s="33" t="n"/>
      <c r="FZ45" s="33" t="n"/>
      <c r="GA45" s="33" t="n"/>
      <c r="GB45" s="33" t="n"/>
      <c r="GC45" s="33" t="n"/>
      <c r="GD45" s="33" t="n"/>
      <c r="GE45" s="33" t="n"/>
      <c r="GF45" s="33" t="n"/>
      <c r="GG45" s="33" t="n"/>
      <c r="GH45" s="33" t="n"/>
      <c r="GI45" s="33" t="n"/>
      <c r="GJ45" s="33" t="n"/>
      <c r="GK45" s="33" t="n"/>
      <c r="GL45" s="33" t="n"/>
      <c r="GM45" s="33" t="n"/>
      <c r="GN45" s="33" t="n"/>
      <c r="GO45" s="33" t="n"/>
      <c r="GP45" s="33" t="n"/>
      <c r="GQ45" s="33" t="n"/>
      <c r="GR45" s="33" t="n"/>
      <c r="GS45" s="33" t="n"/>
      <c r="GT45" s="33" t="n"/>
      <c r="GU45" s="33" t="n"/>
      <c r="GV45" s="33" t="n"/>
      <c r="GW45" s="33" t="n"/>
      <c r="GX45" s="33" t="n"/>
      <c r="GY45" s="33" t="n"/>
      <c r="GZ45" s="33" t="n"/>
      <c r="HA45" s="33" t="n"/>
      <c r="HB45" s="33" t="n"/>
      <c r="HC45" s="33" t="n"/>
      <c r="HD45" s="33" t="n"/>
      <c r="HE45" s="33" t="n"/>
      <c r="HF45" s="33" t="n"/>
      <c r="HG45" s="33" t="n"/>
      <c r="HH45" s="33" t="n"/>
      <c r="HI45" s="33" t="n"/>
      <c r="HJ45" s="33" t="n"/>
      <c r="HK45" s="33" t="n"/>
      <c r="HL45" s="33" t="n"/>
      <c r="HM45" s="33" t="n"/>
      <c r="HN45" s="33" t="n"/>
      <c r="HO45" s="33" t="n"/>
      <c r="HP45" s="33" t="n"/>
      <c r="HQ45" s="33" t="n"/>
      <c r="HR45" s="33" t="n"/>
      <c r="HS45" s="33" t="n"/>
      <c r="HT45" s="33" t="n"/>
      <c r="HU45" s="33" t="n"/>
      <c r="HV45" s="33" t="n"/>
      <c r="HW45" s="33" t="n"/>
      <c r="HX45" s="33" t="n"/>
      <c r="HY45" s="33" t="n"/>
      <c r="HZ45" s="33" t="n"/>
      <c r="IA45" s="33" t="n"/>
      <c r="IB45" s="33" t="n"/>
      <c r="IC45" s="33" t="n"/>
      <c r="ID45" s="33" t="n"/>
      <c r="IE45" s="33" t="n"/>
      <c r="IF45" s="33" t="n"/>
      <c r="IG45" s="33" t="n"/>
      <c r="IH45" s="33" t="n"/>
      <c r="II45" s="33" t="n"/>
      <c r="IJ45" s="33" t="n"/>
      <c r="IK45" s="33" t="n"/>
      <c r="IL45" s="33" t="n"/>
      <c r="IM45" s="33" t="n"/>
      <c r="IN45" s="33" t="n"/>
      <c r="IO45" s="33" t="n"/>
      <c r="IP45" s="33" t="n"/>
      <c r="IQ45" s="33" t="n"/>
      <c r="IR45" s="33" t="n"/>
      <c r="IS45" s="33" t="n"/>
      <c r="IT45" s="33" t="n"/>
      <c r="IU45" s="33" t="n"/>
      <c r="IV45" s="33" t="n"/>
      <c r="IW45" s="33" t="n"/>
      <c r="IX45" s="33" t="n"/>
      <c r="IY45" s="33" t="n"/>
      <c r="IZ45" s="33" t="n"/>
      <c r="JA45" s="33" t="n"/>
      <c r="JB45" s="33" t="n"/>
      <c r="JC45" s="33" t="n"/>
      <c r="JD45" s="33" t="n"/>
      <c r="JE45" s="33" t="n"/>
      <c r="JF45" s="33" t="n"/>
      <c r="JG45" s="33" t="n"/>
      <c r="JH45" s="33" t="n"/>
      <c r="JI45" s="33" t="n"/>
      <c r="JJ45" s="33" t="n"/>
      <c r="JK45" s="33" t="n"/>
      <c r="JL45" s="33" t="n"/>
      <c r="JM45" s="33" t="n"/>
      <c r="JN45" s="33" t="n"/>
      <c r="JO45" s="33" t="n"/>
      <c r="JP45" s="33" t="n"/>
      <c r="JQ45" s="33" t="n"/>
      <c r="JR45" s="33" t="n"/>
      <c r="JS45" s="33" t="n"/>
      <c r="JT45" s="33" t="n"/>
      <c r="JU45" s="33" t="n"/>
      <c r="JV45" s="33" t="n"/>
      <c r="JW45" s="33" t="n"/>
      <c r="JX45" s="33" t="n"/>
      <c r="JY45" s="33" t="n"/>
      <c r="JZ45" s="33" t="n"/>
      <c r="KA45" s="33" t="n"/>
      <c r="KB45" s="33" t="n"/>
      <c r="KC45" s="33" t="n"/>
      <c r="KD45" s="33" t="n"/>
      <c r="KE45" s="33" t="n"/>
      <c r="KF45" s="33" t="n"/>
      <c r="KG45" s="33" t="n"/>
      <c r="KH45" s="33" t="n"/>
      <c r="KI45" s="33" t="n"/>
      <c r="KJ45" s="33" t="n"/>
      <c r="KK45" s="33" t="n"/>
      <c r="KL45" s="33" t="n"/>
      <c r="KM45" s="33" t="n"/>
      <c r="KN45" s="33" t="n"/>
      <c r="KO45" s="33" t="n"/>
      <c r="KP45" s="33" t="n"/>
      <c r="KQ45" s="33" t="n"/>
      <c r="KR45" s="33" t="n"/>
      <c r="KS45" s="33" t="n"/>
      <c r="KT45" s="33" t="n"/>
      <c r="KU45" s="33" t="n"/>
      <c r="KV45" s="33" t="n"/>
      <c r="KW45" s="33" t="n"/>
      <c r="KX45" s="33" t="n"/>
      <c r="KY45" s="33" t="n"/>
      <c r="KZ45" s="33" t="n"/>
      <c r="LA45" s="33" t="n"/>
      <c r="LB45" s="33" t="n"/>
      <c r="LC45" s="33" t="n"/>
      <c r="LD45" s="33" t="n"/>
      <c r="LE45" s="33" t="n"/>
      <c r="LF45" s="33" t="n"/>
      <c r="LG45" s="33" t="n"/>
      <c r="LH45" s="33" t="n"/>
      <c r="LI45" s="33" t="n"/>
      <c r="LJ45" s="33" t="n"/>
      <c r="LK45" s="33" t="n"/>
      <c r="LL45" s="33" t="n"/>
      <c r="LM45" s="33" t="n"/>
      <c r="LN45" s="33" t="n"/>
      <c r="LO45" s="33" t="n"/>
      <c r="LP45" s="33" t="n"/>
      <c r="LQ45" s="33" t="n"/>
      <c r="LR45" s="33" t="n"/>
      <c r="LS45" s="33" t="n"/>
      <c r="LT45" s="33" t="n"/>
      <c r="LU45" s="33" t="n"/>
      <c r="LV45" s="33" t="n"/>
      <c r="LW45" s="33" t="n"/>
      <c r="LX45" s="33" t="n"/>
      <c r="LY45" s="33" t="n"/>
      <c r="LZ45" s="33" t="n"/>
      <c r="MA45" s="33" t="n"/>
      <c r="MB45" s="33" t="n"/>
      <c r="MC45" s="33" t="n"/>
      <c r="MD45" s="33" t="n"/>
      <c r="ME45" s="33" t="n"/>
      <c r="MF45" s="33" t="n"/>
      <c r="MG45" s="33" t="n"/>
      <c r="MH45" s="33" t="n"/>
      <c r="MI45" s="33" t="n"/>
      <c r="MJ45" s="33" t="n"/>
      <c r="MK45" s="33" t="n"/>
      <c r="ML45" s="33" t="n"/>
      <c r="MM45" s="33" t="n"/>
      <c r="MN45" s="33" t="n"/>
      <c r="MO45" s="33" t="n"/>
      <c r="MP45" s="33" t="n"/>
      <c r="MQ45" s="33" t="n"/>
      <c r="MR45" s="33" t="n"/>
      <c r="MS45" s="33" t="n"/>
      <c r="MT45" s="33" t="n"/>
      <c r="MU45" s="33" t="n"/>
      <c r="MV45" s="33" t="n"/>
      <c r="MW45" s="33" t="n"/>
      <c r="MX45" s="33" t="n"/>
      <c r="MY45" s="33" t="n"/>
      <c r="MZ45" s="33" t="n"/>
      <c r="NA45" s="33" t="n"/>
      <c r="NB45" s="33" t="n"/>
      <c r="NC45" s="33" t="n"/>
      <c r="ND45" s="33" t="n"/>
      <c r="NE45" s="33" t="n"/>
      <c r="NF45" s="33" t="n"/>
      <c r="NG45" s="33" t="n"/>
      <c r="NH45" s="33" t="n"/>
      <c r="NI45" s="33" t="n"/>
      <c r="NJ45" s="33" t="n"/>
      <c r="NK45" s="33" t="n"/>
      <c r="NL45" s="33" t="n"/>
      <c r="NM45" s="33" t="n"/>
      <c r="NN45" s="33" t="n"/>
      <c r="NO45" s="33" t="n"/>
      <c r="NP45" s="33" t="n"/>
      <c r="NQ45" s="33" t="n"/>
      <c r="NR45" s="33" t="n"/>
      <c r="NS45" s="33" t="n"/>
      <c r="NT45" s="33" t="n"/>
      <c r="NU45" s="33" t="n"/>
      <c r="NV45" s="33" t="n"/>
      <c r="NW45" s="33" t="n"/>
      <c r="NX45" s="33" t="n"/>
      <c r="NY45" s="33" t="n"/>
      <c r="NZ45" s="33" t="n"/>
      <c r="OA45" s="33" t="n"/>
      <c r="OB45" s="33" t="n"/>
      <c r="OC45" s="33" t="n"/>
      <c r="OD45" s="33" t="n"/>
      <c r="OE45" s="33" t="n"/>
      <c r="OF45" s="33" t="n"/>
      <c r="OG45" s="33" t="n"/>
      <c r="OH45" s="33" t="n"/>
      <c r="OI45" s="33" t="n"/>
      <c r="OJ45" s="33" t="n"/>
      <c r="OK45" s="33" t="n"/>
      <c r="OL45" s="33" t="n"/>
      <c r="OM45" s="33" t="n"/>
      <c r="ON45" s="33" t="n"/>
      <c r="OO45" s="33" t="n"/>
      <c r="OP45" s="33" t="n"/>
      <c r="OQ45" s="33" t="n"/>
      <c r="OR45" s="33" t="n"/>
      <c r="OS45" s="33" t="n"/>
      <c r="OT45" s="33" t="n"/>
      <c r="OU45" s="33" t="n"/>
      <c r="OV45" s="33" t="n"/>
      <c r="OW45" s="33" t="n"/>
      <c r="OX45" s="33" t="n"/>
      <c r="OY45" s="33" t="n"/>
      <c r="OZ45" s="33" t="n"/>
      <c r="PA45" s="33" t="n"/>
      <c r="PB45" s="33" t="n"/>
      <c r="PC45" s="33" t="n"/>
      <c r="PD45" s="33" t="n"/>
      <c r="PE45" s="33" t="n"/>
      <c r="PF45" s="33" t="n"/>
      <c r="PG45" s="33" t="n"/>
      <c r="PH45" s="33" t="n"/>
      <c r="PI45" s="33" t="n"/>
      <c r="PJ45" s="33" t="n"/>
      <c r="PK45" s="33" t="n"/>
      <c r="PL45" s="33" t="n"/>
      <c r="PM45" s="33" t="n"/>
      <c r="PN45" s="33" t="n"/>
      <c r="PO45" s="33" t="n"/>
      <c r="PP45" s="33" t="n"/>
      <c r="PQ45" s="33" t="n"/>
      <c r="PR45" s="33" t="n"/>
      <c r="PS45" s="33" t="n"/>
      <c r="PT45" s="33" t="n"/>
      <c r="PU45" s="33" t="n"/>
      <c r="PV45" s="33" t="n"/>
      <c r="PW45" s="33" t="n"/>
      <c r="PX45" s="33" t="n"/>
      <c r="PY45" s="33" t="n"/>
      <c r="PZ45" s="33" t="n"/>
      <c r="QA45" s="33" t="n"/>
      <c r="QB45" s="33" t="n"/>
      <c r="QC45" s="33" t="n"/>
      <c r="QD45" s="33" t="n"/>
      <c r="QE45" s="33" t="n"/>
      <c r="QF45" s="33" t="n"/>
      <c r="QG45" s="33" t="n"/>
      <c r="QH45" s="33" t="n"/>
      <c r="QI45" s="33" t="n"/>
      <c r="QJ45" s="33" t="n"/>
      <c r="QK45" s="33" t="n"/>
      <c r="QL45" s="33" t="n"/>
      <c r="QM45" s="33" t="n"/>
      <c r="QN45" s="33" t="n"/>
      <c r="QO45" s="33" t="n"/>
      <c r="QP45" s="33" t="n"/>
      <c r="QQ45" s="33" t="n"/>
      <c r="QR45" s="33" t="n"/>
      <c r="QS45" s="33" t="n"/>
      <c r="QT45" s="33" t="n"/>
      <c r="QU45" s="33" t="n"/>
      <c r="QV45" s="33" t="n"/>
      <c r="QW45" s="33" t="n"/>
      <c r="QX45" s="33" t="n"/>
      <c r="QY45" s="33" t="n"/>
      <c r="QZ45" s="33" t="n"/>
      <c r="RA45" s="33" t="n"/>
      <c r="RB45" s="33" t="n"/>
      <c r="RC45" s="33" t="n"/>
      <c r="RD45" s="33" t="n"/>
      <c r="RE45" s="33" t="n"/>
      <c r="RF45" s="33" t="n"/>
      <c r="RG45" s="33" t="n"/>
      <c r="RH45" s="33" t="n"/>
      <c r="RI45" s="33" t="n"/>
      <c r="RJ45" s="33" t="n"/>
      <c r="RK45" s="33" t="n"/>
      <c r="RL45" s="33" t="n"/>
      <c r="RM45" s="33" t="n"/>
      <c r="RN45" s="33" t="n"/>
      <c r="RO45" s="33" t="n"/>
      <c r="RP45" s="33" t="n"/>
      <c r="RQ45" s="33" t="n"/>
      <c r="RR45" s="33" t="n"/>
      <c r="RS45" s="33" t="n"/>
      <c r="RT45" s="33" t="n"/>
      <c r="RU45" s="33" t="n"/>
      <c r="RV45" s="33" t="n"/>
      <c r="RW45" s="33" t="n"/>
    </row>
    <row r="46" hidden="1" outlineLevel="1" ht="13.05" customHeight="1">
      <c r="E46" s="21" t="inlineStr">
        <is>
          <t>Post-Repowering Flag</t>
        </is>
      </c>
      <c r="F46" s="29" t="n"/>
      <c r="G46" s="29" t="inlineStr">
        <is>
          <t>kEUR</t>
        </is>
      </c>
      <c r="H46" s="29" t="n"/>
      <c r="I46" s="29" t="n"/>
      <c r="J46" s="32" t="n"/>
      <c r="K46" s="29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3" t="n"/>
      <c r="AY46" s="33" t="n"/>
      <c r="AZ46" s="33" t="n"/>
      <c r="BA46" s="33" t="n"/>
      <c r="BB46" s="33" t="n"/>
      <c r="BC46" s="33" t="n"/>
      <c r="BD46" s="33" t="n"/>
      <c r="BE46" s="33" t="n"/>
      <c r="BF46" s="33" t="n"/>
      <c r="BG46" s="33" t="n"/>
      <c r="BH46" s="33" t="n"/>
      <c r="BI46" s="33" t="n"/>
      <c r="BJ46" s="33" t="n"/>
      <c r="BK46" s="33" t="n"/>
      <c r="BL46" s="33" t="n"/>
      <c r="BM46" s="33" t="n"/>
      <c r="BN46" s="33" t="n"/>
      <c r="BO46" s="33" t="n"/>
      <c r="BP46" s="33" t="n"/>
      <c r="BQ46" s="33" t="n"/>
      <c r="BR46" s="33" t="n"/>
      <c r="BS46" s="33" t="n"/>
      <c r="BT46" s="33" t="n"/>
      <c r="BU46" s="33" t="n"/>
      <c r="BV46" s="33" t="n"/>
      <c r="BW46" s="33" t="n"/>
      <c r="BX46" s="33" t="n"/>
      <c r="BY46" s="33" t="n"/>
      <c r="BZ46" s="33" t="n"/>
      <c r="CA46" s="33" t="n"/>
      <c r="CB46" s="33" t="n"/>
      <c r="CC46" s="33" t="n"/>
      <c r="CD46" s="33" t="n"/>
      <c r="CE46" s="33" t="n"/>
      <c r="CF46" s="33" t="n"/>
      <c r="CG46" s="33" t="n"/>
      <c r="CH46" s="33" t="n"/>
      <c r="CI46" s="33" t="n"/>
      <c r="CJ46" s="33" t="n"/>
      <c r="CK46" s="33" t="n"/>
      <c r="CL46" s="33" t="n"/>
      <c r="CM46" s="33" t="n"/>
      <c r="CN46" s="33" t="n"/>
      <c r="CO46" s="33" t="n"/>
      <c r="CP46" s="33" t="n"/>
      <c r="CQ46" s="33" t="n"/>
      <c r="CR46" s="33" t="n"/>
      <c r="CS46" s="33" t="n"/>
      <c r="CT46" s="33" t="n"/>
      <c r="CU46" s="33" t="n"/>
      <c r="CV46" s="33" t="n"/>
      <c r="CW46" s="33" t="n"/>
      <c r="CX46" s="33" t="n"/>
      <c r="CY46" s="33" t="n"/>
      <c r="CZ46" s="33" t="n"/>
      <c r="DA46" s="33" t="n"/>
      <c r="DB46" s="33" t="n"/>
      <c r="DC46" s="33" t="n"/>
      <c r="DD46" s="33" t="n"/>
      <c r="DE46" s="33" t="n"/>
      <c r="DF46" s="33" t="n"/>
      <c r="DG46" s="33" t="n"/>
      <c r="DH46" s="33" t="n"/>
      <c r="DI46" s="33" t="n"/>
      <c r="DJ46" s="33" t="n"/>
      <c r="DK46" s="33" t="n"/>
      <c r="DL46" s="33" t="n"/>
      <c r="DM46" s="33" t="n"/>
      <c r="DN46" s="33" t="n"/>
      <c r="DO46" s="33" t="n"/>
      <c r="DP46" s="33" t="n"/>
      <c r="DQ46" s="33" t="n"/>
      <c r="DR46" s="33" t="n"/>
      <c r="DS46" s="33" t="n"/>
      <c r="DT46" s="33" t="n"/>
      <c r="DU46" s="33" t="n"/>
      <c r="DV46" s="33" t="n"/>
      <c r="DW46" s="33" t="n"/>
      <c r="DX46" s="33" t="n"/>
      <c r="DY46" s="33" t="n"/>
      <c r="DZ46" s="33" t="n"/>
      <c r="EA46" s="33" t="n"/>
      <c r="EB46" s="33" t="n"/>
      <c r="EC46" s="33" t="n"/>
      <c r="ED46" s="33" t="n"/>
      <c r="EE46" s="33" t="n"/>
      <c r="EF46" s="33" t="n"/>
      <c r="EG46" s="33" t="n"/>
      <c r="EH46" s="33" t="n"/>
      <c r="EI46" s="33" t="n"/>
      <c r="EJ46" s="33" t="n"/>
      <c r="EK46" s="33" t="n"/>
      <c r="EL46" s="33" t="n"/>
      <c r="EM46" s="33" t="n"/>
      <c r="EN46" s="33" t="n"/>
      <c r="EO46" s="33" t="n"/>
      <c r="EP46" s="33" t="n"/>
      <c r="EQ46" s="33" t="n"/>
      <c r="ER46" s="33" t="n"/>
      <c r="ES46" s="33" t="n"/>
      <c r="ET46" s="33" t="n"/>
      <c r="EU46" s="33" t="n"/>
      <c r="EV46" s="33" t="n"/>
      <c r="EW46" s="33" t="n"/>
      <c r="EX46" s="33" t="n"/>
      <c r="EY46" s="33" t="n"/>
      <c r="EZ46" s="33" t="n"/>
      <c r="FA46" s="33" t="n"/>
      <c r="FB46" s="33" t="n"/>
      <c r="FC46" s="33" t="n"/>
      <c r="FD46" s="33" t="n"/>
      <c r="FE46" s="33" t="n"/>
      <c r="FF46" s="33" t="n"/>
      <c r="FG46" s="33" t="n"/>
      <c r="FH46" s="33" t="n"/>
      <c r="FI46" s="33" t="n"/>
      <c r="FJ46" s="33" t="n"/>
      <c r="FK46" s="33" t="n"/>
      <c r="FL46" s="33" t="n"/>
      <c r="FM46" s="33" t="n"/>
      <c r="FN46" s="33" t="n"/>
      <c r="FO46" s="33" t="n"/>
      <c r="FP46" s="33" t="n"/>
      <c r="FQ46" s="33" t="n"/>
      <c r="FR46" s="33" t="n"/>
      <c r="FS46" s="33" t="n"/>
      <c r="FT46" s="33" t="n"/>
      <c r="FU46" s="33" t="n"/>
      <c r="FV46" s="33" t="n"/>
      <c r="FW46" s="33" t="n"/>
      <c r="FX46" s="33" t="n"/>
      <c r="FY46" s="33" t="n"/>
      <c r="FZ46" s="33" t="n"/>
      <c r="GA46" s="33" t="n"/>
      <c r="GB46" s="33" t="n"/>
      <c r="GC46" s="33" t="n"/>
      <c r="GD46" s="33" t="n"/>
      <c r="GE46" s="33" t="n"/>
      <c r="GF46" s="33" t="n"/>
      <c r="GG46" s="33" t="n"/>
      <c r="GH46" s="33" t="n"/>
      <c r="GI46" s="33" t="n"/>
      <c r="GJ46" s="33" t="n"/>
      <c r="GK46" s="33" t="n"/>
      <c r="GL46" s="33" t="n"/>
      <c r="GM46" s="33" t="n"/>
      <c r="GN46" s="33" t="n"/>
      <c r="GO46" s="33" t="n"/>
      <c r="GP46" s="33" t="n"/>
      <c r="GQ46" s="33" t="n"/>
      <c r="GR46" s="33" t="n"/>
      <c r="GS46" s="33" t="n"/>
      <c r="GT46" s="33" t="n"/>
      <c r="GU46" s="33" t="n"/>
      <c r="GV46" s="33" t="n"/>
      <c r="GW46" s="33" t="n"/>
      <c r="GX46" s="33" t="n"/>
      <c r="GY46" s="33" t="n"/>
      <c r="GZ46" s="33" t="n"/>
      <c r="HA46" s="33" t="n"/>
      <c r="HB46" s="33" t="n"/>
      <c r="HC46" s="33" t="n"/>
      <c r="HD46" s="33" t="n"/>
      <c r="HE46" s="33" t="n"/>
      <c r="HF46" s="33" t="n"/>
      <c r="HG46" s="33" t="n"/>
      <c r="HH46" s="33" t="n"/>
      <c r="HI46" s="33" t="n"/>
      <c r="HJ46" s="33" t="n"/>
      <c r="HK46" s="33" t="n"/>
      <c r="HL46" s="33" t="n"/>
      <c r="HM46" s="33" t="n"/>
      <c r="HN46" s="33" t="n"/>
      <c r="HO46" s="33" t="n"/>
      <c r="HP46" s="33" t="n"/>
      <c r="HQ46" s="33" t="n"/>
      <c r="HR46" s="33" t="n"/>
      <c r="HS46" s="33" t="n"/>
      <c r="HT46" s="33" t="n"/>
      <c r="HU46" s="33" t="n"/>
      <c r="HV46" s="33" t="n"/>
      <c r="HW46" s="33" t="n"/>
      <c r="HX46" s="33" t="n"/>
      <c r="HY46" s="33" t="n"/>
      <c r="HZ46" s="33" t="n"/>
      <c r="IA46" s="33" t="n"/>
      <c r="IB46" s="33" t="n"/>
      <c r="IC46" s="33" t="n"/>
      <c r="ID46" s="33" t="n"/>
      <c r="IE46" s="33" t="n"/>
      <c r="IF46" s="33" t="n"/>
      <c r="IG46" s="33" t="n"/>
      <c r="IH46" s="33" t="n"/>
      <c r="II46" s="33" t="n"/>
      <c r="IJ46" s="33" t="n"/>
      <c r="IK46" s="33" t="n"/>
      <c r="IL46" s="33" t="n"/>
      <c r="IM46" s="33" t="n"/>
      <c r="IN46" s="33" t="n"/>
      <c r="IO46" s="33" t="n"/>
      <c r="IP46" s="33" t="n"/>
      <c r="IQ46" s="33" t="n"/>
      <c r="IR46" s="33" t="n"/>
      <c r="IS46" s="33" t="n"/>
      <c r="IT46" s="33" t="n"/>
      <c r="IU46" s="33" t="n"/>
      <c r="IV46" s="33" t="n"/>
      <c r="IW46" s="33" t="n"/>
      <c r="IX46" s="33" t="n"/>
      <c r="IY46" s="33" t="n"/>
      <c r="IZ46" s="33" t="n"/>
      <c r="JA46" s="33" t="n"/>
      <c r="JB46" s="33" t="n"/>
      <c r="JC46" s="33" t="n"/>
      <c r="JD46" s="33" t="n"/>
      <c r="JE46" s="33" t="n"/>
      <c r="JF46" s="33" t="n"/>
      <c r="JG46" s="33" t="n"/>
      <c r="JH46" s="33" t="n"/>
      <c r="JI46" s="33" t="n"/>
      <c r="JJ46" s="33" t="n"/>
      <c r="JK46" s="33" t="n"/>
      <c r="JL46" s="33" t="n"/>
      <c r="JM46" s="33" t="n"/>
      <c r="JN46" s="33" t="n"/>
      <c r="JO46" s="33" t="n"/>
      <c r="JP46" s="33" t="n"/>
      <c r="JQ46" s="33" t="n"/>
      <c r="JR46" s="33" t="n"/>
      <c r="JS46" s="33" t="n"/>
      <c r="JT46" s="33" t="n"/>
      <c r="JU46" s="33" t="n"/>
      <c r="JV46" s="33" t="n"/>
      <c r="JW46" s="33" t="n"/>
      <c r="JX46" s="33" t="n"/>
      <c r="JY46" s="33" t="n"/>
      <c r="JZ46" s="33" t="n"/>
      <c r="KA46" s="33" t="n"/>
      <c r="KB46" s="33" t="n"/>
      <c r="KC46" s="33" t="n"/>
      <c r="KD46" s="33" t="n"/>
      <c r="KE46" s="33" t="n"/>
      <c r="KF46" s="33" t="n"/>
      <c r="KG46" s="33" t="n"/>
      <c r="KH46" s="33" t="n"/>
      <c r="KI46" s="33" t="n"/>
      <c r="KJ46" s="33" t="n"/>
      <c r="KK46" s="33" t="n"/>
      <c r="KL46" s="33" t="n"/>
      <c r="KM46" s="33" t="n"/>
      <c r="KN46" s="33" t="n"/>
      <c r="KO46" s="33" t="n"/>
      <c r="KP46" s="33" t="n"/>
      <c r="KQ46" s="33" t="n"/>
      <c r="KR46" s="33" t="n"/>
      <c r="KS46" s="33" t="n"/>
      <c r="KT46" s="33" t="n"/>
      <c r="KU46" s="33" t="n"/>
      <c r="KV46" s="33" t="n"/>
      <c r="KW46" s="33" t="n"/>
      <c r="KX46" s="33" t="n"/>
      <c r="KY46" s="33" t="n"/>
      <c r="KZ46" s="33" t="n"/>
      <c r="LA46" s="33" t="n"/>
      <c r="LB46" s="33" t="n"/>
      <c r="LC46" s="33" t="n"/>
      <c r="LD46" s="33" t="n"/>
      <c r="LE46" s="33" t="n"/>
      <c r="LF46" s="33" t="n"/>
      <c r="LG46" s="33" t="n"/>
      <c r="LH46" s="33" t="n"/>
      <c r="LI46" s="33" t="n"/>
      <c r="LJ46" s="33" t="n"/>
      <c r="LK46" s="33" t="n"/>
      <c r="LL46" s="33" t="n"/>
      <c r="LM46" s="33" t="n"/>
      <c r="LN46" s="33" t="n"/>
      <c r="LO46" s="33" t="n"/>
      <c r="LP46" s="33" t="n"/>
      <c r="LQ46" s="33" t="n"/>
      <c r="LR46" s="33" t="n"/>
      <c r="LS46" s="33" t="n"/>
      <c r="LT46" s="33" t="n"/>
      <c r="LU46" s="33" t="n"/>
      <c r="LV46" s="33" t="n"/>
      <c r="LW46" s="33" t="n"/>
      <c r="LX46" s="33" t="n"/>
      <c r="LY46" s="33" t="n"/>
      <c r="LZ46" s="33" t="n"/>
      <c r="MA46" s="33" t="n"/>
      <c r="MB46" s="33" t="n"/>
      <c r="MC46" s="33" t="n"/>
      <c r="MD46" s="33" t="n"/>
      <c r="ME46" s="33" t="n"/>
      <c r="MF46" s="33" t="n"/>
      <c r="MG46" s="33" t="n"/>
      <c r="MH46" s="33" t="n"/>
      <c r="MI46" s="33" t="n"/>
      <c r="MJ46" s="33" t="n"/>
      <c r="MK46" s="33" t="n"/>
      <c r="ML46" s="33" t="n"/>
      <c r="MM46" s="33" t="n"/>
      <c r="MN46" s="33" t="n"/>
      <c r="MO46" s="33" t="n"/>
      <c r="MP46" s="33" t="n"/>
      <c r="MQ46" s="33" t="n"/>
      <c r="MR46" s="33" t="n"/>
      <c r="MS46" s="33" t="n"/>
      <c r="MT46" s="33" t="n"/>
      <c r="MU46" s="33" t="n"/>
      <c r="MV46" s="33" t="n"/>
      <c r="MW46" s="33" t="n"/>
      <c r="MX46" s="33" t="n"/>
      <c r="MY46" s="33" t="n"/>
      <c r="MZ46" s="33" t="n"/>
      <c r="NA46" s="33" t="n"/>
      <c r="NB46" s="33" t="n"/>
      <c r="NC46" s="33" t="n"/>
      <c r="ND46" s="33" t="n"/>
      <c r="NE46" s="33" t="n"/>
      <c r="NF46" s="33" t="n"/>
      <c r="NG46" s="33" t="n"/>
      <c r="NH46" s="33" t="n"/>
      <c r="NI46" s="33" t="n"/>
      <c r="NJ46" s="33" t="n"/>
      <c r="NK46" s="33" t="n"/>
      <c r="NL46" s="33" t="n"/>
      <c r="NM46" s="33" t="n"/>
      <c r="NN46" s="33" t="n"/>
      <c r="NO46" s="33" t="n"/>
      <c r="NP46" s="33" t="n"/>
      <c r="NQ46" s="33" t="n"/>
      <c r="NR46" s="33" t="n"/>
      <c r="NS46" s="33" t="n"/>
      <c r="NT46" s="33" t="n"/>
      <c r="NU46" s="33" t="n"/>
      <c r="NV46" s="33" t="n"/>
      <c r="NW46" s="33" t="n"/>
      <c r="NX46" s="33" t="n"/>
      <c r="NY46" s="33" t="n"/>
      <c r="NZ46" s="33" t="n"/>
      <c r="OA46" s="33" t="n"/>
      <c r="OB46" s="33" t="n"/>
      <c r="OC46" s="33" t="n"/>
      <c r="OD46" s="33" t="n"/>
      <c r="OE46" s="33" t="n"/>
      <c r="OF46" s="33" t="n"/>
      <c r="OG46" s="33" t="n"/>
      <c r="OH46" s="33" t="n"/>
      <c r="OI46" s="33" t="n"/>
      <c r="OJ46" s="33" t="n"/>
      <c r="OK46" s="33" t="n"/>
      <c r="OL46" s="33" t="n"/>
      <c r="OM46" s="33" t="n"/>
      <c r="ON46" s="33" t="n"/>
      <c r="OO46" s="33" t="n"/>
      <c r="OP46" s="33" t="n"/>
      <c r="OQ46" s="33" t="n"/>
      <c r="OR46" s="33" t="n"/>
      <c r="OS46" s="33" t="n"/>
      <c r="OT46" s="33" t="n"/>
      <c r="OU46" s="33" t="n"/>
      <c r="OV46" s="33" t="n"/>
      <c r="OW46" s="33" t="n"/>
      <c r="OX46" s="33" t="n"/>
      <c r="OY46" s="33" t="n"/>
      <c r="OZ46" s="33" t="n"/>
      <c r="PA46" s="33" t="n"/>
      <c r="PB46" s="33" t="n"/>
      <c r="PC46" s="33" t="n"/>
      <c r="PD46" s="33" t="n"/>
      <c r="PE46" s="33" t="n"/>
      <c r="PF46" s="33" t="n"/>
      <c r="PG46" s="33" t="n"/>
      <c r="PH46" s="33" t="n"/>
      <c r="PI46" s="33" t="n"/>
      <c r="PJ46" s="33" t="n"/>
      <c r="PK46" s="33" t="n"/>
      <c r="PL46" s="33" t="n"/>
      <c r="PM46" s="33" t="n"/>
      <c r="PN46" s="33" t="n"/>
      <c r="PO46" s="33" t="n"/>
      <c r="PP46" s="33" t="n"/>
      <c r="PQ46" s="33" t="n"/>
      <c r="PR46" s="33" t="n"/>
      <c r="PS46" s="33" t="n"/>
      <c r="PT46" s="33" t="n"/>
      <c r="PU46" s="33" t="n"/>
      <c r="PV46" s="33" t="n"/>
      <c r="PW46" s="33" t="n"/>
      <c r="PX46" s="33" t="n"/>
      <c r="PY46" s="33" t="n"/>
      <c r="PZ46" s="33" t="n"/>
      <c r="QA46" s="33" t="n"/>
      <c r="QB46" s="33" t="n"/>
      <c r="QC46" s="33" t="n"/>
      <c r="QD46" s="33" t="n"/>
      <c r="QE46" s="33" t="n"/>
      <c r="QF46" s="33" t="n"/>
      <c r="QG46" s="33" t="n"/>
      <c r="QH46" s="33" t="n"/>
      <c r="QI46" s="33" t="n"/>
      <c r="QJ46" s="33" t="n"/>
      <c r="QK46" s="33" t="n"/>
      <c r="QL46" s="33" t="n"/>
      <c r="QM46" s="33" t="n"/>
      <c r="QN46" s="33" t="n"/>
      <c r="QO46" s="33" t="n"/>
      <c r="QP46" s="33" t="n"/>
      <c r="QQ46" s="33" t="n"/>
      <c r="QR46" s="33" t="n"/>
      <c r="QS46" s="33" t="n"/>
      <c r="QT46" s="33" t="n"/>
      <c r="QU46" s="33" t="n"/>
      <c r="QV46" s="33" t="n"/>
      <c r="QW46" s="33" t="n"/>
      <c r="QX46" s="33" t="n"/>
      <c r="QY46" s="33" t="n"/>
      <c r="QZ46" s="33" t="n"/>
      <c r="RA46" s="33" t="n"/>
      <c r="RB46" s="33" t="n"/>
      <c r="RC46" s="33" t="n"/>
      <c r="RD46" s="33" t="n"/>
      <c r="RE46" s="33" t="n"/>
      <c r="RF46" s="33" t="n"/>
      <c r="RG46" s="33" t="n"/>
      <c r="RH46" s="33" t="n"/>
      <c r="RI46" s="33" t="n"/>
      <c r="RJ46" s="33" t="n"/>
      <c r="RK46" s="33" t="n"/>
      <c r="RL46" s="33" t="n"/>
      <c r="RM46" s="33" t="n"/>
      <c r="RN46" s="33" t="n"/>
      <c r="RO46" s="33" t="n"/>
      <c r="RP46" s="33" t="n"/>
      <c r="RQ46" s="33" t="n"/>
      <c r="RR46" s="33" t="n"/>
      <c r="RS46" s="33" t="n"/>
      <c r="RT46" s="33" t="n"/>
      <c r="RU46" s="33" t="n"/>
      <c r="RV46" s="33" t="n"/>
      <c r="RW46" s="33" t="n"/>
    </row>
    <row r="47" hidden="1" outlineLevel="1" ht="13.05" customHeight="1">
      <c r="E47" s="21" t="inlineStr">
        <is>
          <t>Tax Depreciation (repowering)</t>
        </is>
      </c>
      <c r="F47" s="29" t="n"/>
      <c r="G47" s="29" t="inlineStr">
        <is>
          <t>kEUR</t>
        </is>
      </c>
      <c r="H47" s="29" t="n"/>
      <c r="I47" s="29" t="n"/>
      <c r="J47" s="32" t="n"/>
      <c r="K47" s="29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3" t="n"/>
      <c r="AY47" s="33" t="n"/>
      <c r="AZ47" s="33" t="n"/>
      <c r="BA47" s="33" t="n"/>
      <c r="BB47" s="33" t="n"/>
      <c r="BC47" s="33" t="n"/>
      <c r="BD47" s="33" t="n"/>
      <c r="BE47" s="33" t="n"/>
      <c r="BF47" s="33" t="n"/>
      <c r="BG47" s="33" t="n"/>
      <c r="BH47" s="33" t="n"/>
      <c r="BI47" s="33" t="n"/>
      <c r="BJ47" s="33" t="n"/>
      <c r="BK47" s="33" t="n"/>
      <c r="BL47" s="33" t="n"/>
      <c r="BM47" s="33" t="n"/>
      <c r="BN47" s="33" t="n"/>
      <c r="BO47" s="33" t="n"/>
      <c r="BP47" s="33" t="n"/>
      <c r="BQ47" s="33" t="n"/>
      <c r="BR47" s="33" t="n"/>
      <c r="BS47" s="33" t="n"/>
      <c r="BT47" s="33" t="n"/>
      <c r="BU47" s="33" t="n"/>
      <c r="BV47" s="33" t="n"/>
      <c r="BW47" s="33" t="n"/>
      <c r="BX47" s="33" t="n"/>
      <c r="BY47" s="33" t="n"/>
      <c r="BZ47" s="33" t="n"/>
      <c r="CA47" s="33" t="n"/>
      <c r="CB47" s="33" t="n"/>
      <c r="CC47" s="33" t="n"/>
      <c r="CD47" s="33" t="n"/>
      <c r="CE47" s="33" t="n"/>
      <c r="CF47" s="33" t="n"/>
      <c r="CG47" s="33" t="n"/>
      <c r="CH47" s="33" t="n"/>
      <c r="CI47" s="33" t="n"/>
      <c r="CJ47" s="33" t="n"/>
      <c r="CK47" s="33" t="n"/>
      <c r="CL47" s="33" t="n"/>
      <c r="CM47" s="33" t="n"/>
      <c r="CN47" s="33" t="n"/>
      <c r="CO47" s="33" t="n"/>
      <c r="CP47" s="33" t="n"/>
      <c r="CQ47" s="33" t="n"/>
      <c r="CR47" s="33" t="n"/>
      <c r="CS47" s="33" t="n"/>
      <c r="CT47" s="33" t="n"/>
      <c r="CU47" s="33" t="n"/>
      <c r="CV47" s="33" t="n"/>
      <c r="CW47" s="33" t="n"/>
      <c r="CX47" s="33" t="n"/>
      <c r="CY47" s="33" t="n"/>
      <c r="CZ47" s="33" t="n"/>
      <c r="DA47" s="33" t="n"/>
      <c r="DB47" s="33" t="n"/>
      <c r="DC47" s="33" t="n"/>
      <c r="DD47" s="33" t="n"/>
      <c r="DE47" s="33" t="n"/>
      <c r="DF47" s="33" t="n"/>
      <c r="DG47" s="33" t="n"/>
      <c r="DH47" s="33" t="n"/>
      <c r="DI47" s="33" t="n"/>
      <c r="DJ47" s="33" t="n"/>
      <c r="DK47" s="33" t="n"/>
      <c r="DL47" s="33" t="n"/>
      <c r="DM47" s="33" t="n"/>
      <c r="DN47" s="33" t="n"/>
      <c r="DO47" s="33" t="n"/>
      <c r="DP47" s="33" t="n"/>
      <c r="DQ47" s="33" t="n"/>
      <c r="DR47" s="33" t="n"/>
      <c r="DS47" s="33" t="n"/>
      <c r="DT47" s="33" t="n"/>
      <c r="DU47" s="33" t="n"/>
      <c r="DV47" s="33" t="n"/>
      <c r="DW47" s="33" t="n"/>
      <c r="DX47" s="33" t="n"/>
      <c r="DY47" s="33" t="n"/>
      <c r="DZ47" s="33" t="n"/>
      <c r="EA47" s="33" t="n"/>
      <c r="EB47" s="33" t="n"/>
      <c r="EC47" s="33" t="n"/>
      <c r="ED47" s="33" t="n"/>
      <c r="EE47" s="33" t="n"/>
      <c r="EF47" s="33" t="n"/>
      <c r="EG47" s="33" t="n"/>
      <c r="EH47" s="33" t="n"/>
      <c r="EI47" s="33" t="n"/>
      <c r="EJ47" s="33" t="n"/>
      <c r="EK47" s="33" t="n"/>
      <c r="EL47" s="33" t="n"/>
      <c r="EM47" s="33" t="n"/>
      <c r="EN47" s="33" t="n"/>
      <c r="EO47" s="33" t="n"/>
      <c r="EP47" s="33" t="n"/>
      <c r="EQ47" s="33" t="n"/>
      <c r="ER47" s="33" t="n"/>
      <c r="ES47" s="33" t="n"/>
      <c r="ET47" s="33" t="n"/>
      <c r="EU47" s="33" t="n"/>
      <c r="EV47" s="33" t="n"/>
      <c r="EW47" s="33" t="n"/>
      <c r="EX47" s="33" t="n"/>
      <c r="EY47" s="33" t="n"/>
      <c r="EZ47" s="33" t="n"/>
      <c r="FA47" s="33" t="n"/>
      <c r="FB47" s="33" t="n"/>
      <c r="FC47" s="33" t="n"/>
      <c r="FD47" s="33" t="n"/>
      <c r="FE47" s="33" t="n"/>
      <c r="FF47" s="33" t="n"/>
      <c r="FG47" s="33" t="n"/>
      <c r="FH47" s="33" t="n"/>
      <c r="FI47" s="33" t="n"/>
      <c r="FJ47" s="33" t="n"/>
      <c r="FK47" s="33" t="n"/>
      <c r="FL47" s="33" t="n"/>
      <c r="FM47" s="33" t="n"/>
      <c r="FN47" s="33" t="n"/>
      <c r="FO47" s="33" t="n"/>
      <c r="FP47" s="33" t="n"/>
      <c r="FQ47" s="33" t="n"/>
      <c r="FR47" s="33" t="n"/>
      <c r="FS47" s="33" t="n"/>
      <c r="FT47" s="33" t="n"/>
      <c r="FU47" s="33" t="n"/>
      <c r="FV47" s="33" t="n"/>
      <c r="FW47" s="33" t="n"/>
      <c r="FX47" s="33" t="n"/>
      <c r="FY47" s="33" t="n"/>
      <c r="FZ47" s="33" t="n"/>
      <c r="GA47" s="33" t="n"/>
      <c r="GB47" s="33" t="n"/>
      <c r="GC47" s="33" t="n"/>
      <c r="GD47" s="33" t="n"/>
      <c r="GE47" s="33" t="n"/>
      <c r="GF47" s="33" t="n"/>
      <c r="GG47" s="33" t="n"/>
      <c r="GH47" s="33" t="n"/>
      <c r="GI47" s="33" t="n"/>
      <c r="GJ47" s="33" t="n"/>
      <c r="GK47" s="33" t="n"/>
      <c r="GL47" s="33" t="n"/>
      <c r="GM47" s="33" t="n"/>
      <c r="GN47" s="33" t="n"/>
      <c r="GO47" s="33" t="n"/>
      <c r="GP47" s="33" t="n"/>
      <c r="GQ47" s="33" t="n"/>
      <c r="GR47" s="33" t="n"/>
      <c r="GS47" s="33" t="n"/>
      <c r="GT47" s="33" t="n"/>
      <c r="GU47" s="33" t="n"/>
      <c r="GV47" s="33" t="n"/>
      <c r="GW47" s="33" t="n"/>
      <c r="GX47" s="33" t="n"/>
      <c r="GY47" s="33" t="n"/>
      <c r="GZ47" s="33" t="n"/>
      <c r="HA47" s="33" t="n"/>
      <c r="HB47" s="33" t="n"/>
      <c r="HC47" s="33" t="n"/>
      <c r="HD47" s="33" t="n"/>
      <c r="HE47" s="33" t="n"/>
      <c r="HF47" s="33" t="n"/>
      <c r="HG47" s="33" t="n"/>
      <c r="HH47" s="33" t="n"/>
      <c r="HI47" s="33" t="n"/>
      <c r="HJ47" s="33" t="n"/>
      <c r="HK47" s="33" t="n"/>
      <c r="HL47" s="33" t="n"/>
      <c r="HM47" s="33" t="n"/>
      <c r="HN47" s="33" t="n"/>
      <c r="HO47" s="33" t="n"/>
      <c r="HP47" s="33" t="n"/>
      <c r="HQ47" s="33" t="n"/>
      <c r="HR47" s="33" t="n"/>
      <c r="HS47" s="33" t="n"/>
      <c r="HT47" s="33" t="n"/>
      <c r="HU47" s="33" t="n"/>
      <c r="HV47" s="33" t="n"/>
      <c r="HW47" s="33" t="n"/>
      <c r="HX47" s="33" t="n"/>
      <c r="HY47" s="33" t="n"/>
      <c r="HZ47" s="33" t="n"/>
      <c r="IA47" s="33" t="n"/>
      <c r="IB47" s="33" t="n"/>
      <c r="IC47" s="33" t="n"/>
      <c r="ID47" s="33" t="n"/>
      <c r="IE47" s="33" t="n"/>
      <c r="IF47" s="33" t="n"/>
      <c r="IG47" s="33" t="n"/>
      <c r="IH47" s="33" t="n"/>
      <c r="II47" s="33" t="n"/>
      <c r="IJ47" s="33" t="n"/>
      <c r="IK47" s="33" t="n"/>
      <c r="IL47" s="33" t="n"/>
      <c r="IM47" s="33" t="n"/>
      <c r="IN47" s="33" t="n"/>
      <c r="IO47" s="33" t="n"/>
      <c r="IP47" s="33" t="n"/>
      <c r="IQ47" s="33" t="n"/>
      <c r="IR47" s="33" t="n"/>
      <c r="IS47" s="33" t="n"/>
      <c r="IT47" s="33" t="n"/>
      <c r="IU47" s="33" t="n"/>
      <c r="IV47" s="33" t="n"/>
      <c r="IW47" s="33" t="n"/>
      <c r="IX47" s="33" t="n"/>
      <c r="IY47" s="33" t="n"/>
      <c r="IZ47" s="33" t="n"/>
      <c r="JA47" s="33" t="n"/>
      <c r="JB47" s="33" t="n"/>
      <c r="JC47" s="33" t="n"/>
      <c r="JD47" s="33" t="n"/>
      <c r="JE47" s="33" t="n"/>
      <c r="JF47" s="33" t="n"/>
      <c r="JG47" s="33" t="n"/>
      <c r="JH47" s="33" t="n"/>
      <c r="JI47" s="33" t="n"/>
      <c r="JJ47" s="33" t="n"/>
      <c r="JK47" s="33" t="n"/>
      <c r="JL47" s="33" t="n"/>
      <c r="JM47" s="33" t="n"/>
      <c r="JN47" s="33" t="n"/>
      <c r="JO47" s="33" t="n"/>
      <c r="JP47" s="33" t="n"/>
      <c r="JQ47" s="33" t="n"/>
      <c r="JR47" s="33" t="n"/>
      <c r="JS47" s="33" t="n"/>
      <c r="JT47" s="33" t="n"/>
      <c r="JU47" s="33" t="n"/>
      <c r="JV47" s="33" t="n"/>
      <c r="JW47" s="33" t="n"/>
      <c r="JX47" s="33" t="n"/>
      <c r="JY47" s="33" t="n"/>
      <c r="JZ47" s="33" t="n"/>
      <c r="KA47" s="33" t="n"/>
      <c r="KB47" s="33" t="n"/>
      <c r="KC47" s="33" t="n"/>
      <c r="KD47" s="33" t="n"/>
      <c r="KE47" s="33" t="n"/>
      <c r="KF47" s="33" t="n"/>
      <c r="KG47" s="33" t="n"/>
      <c r="KH47" s="33" t="n"/>
      <c r="KI47" s="33" t="n"/>
      <c r="KJ47" s="33" t="n"/>
      <c r="KK47" s="33" t="n"/>
      <c r="KL47" s="33" t="n"/>
      <c r="KM47" s="33" t="n"/>
      <c r="KN47" s="33" t="n"/>
      <c r="KO47" s="33" t="n"/>
      <c r="KP47" s="33" t="n"/>
      <c r="KQ47" s="33" t="n"/>
      <c r="KR47" s="33" t="n"/>
      <c r="KS47" s="33" t="n"/>
      <c r="KT47" s="33" t="n"/>
      <c r="KU47" s="33" t="n"/>
      <c r="KV47" s="33" t="n"/>
      <c r="KW47" s="33" t="n"/>
      <c r="KX47" s="33" t="n"/>
      <c r="KY47" s="33" t="n"/>
      <c r="KZ47" s="33" t="n"/>
      <c r="LA47" s="33" t="n"/>
      <c r="LB47" s="33" t="n"/>
      <c r="LC47" s="33" t="n"/>
      <c r="LD47" s="33" t="n"/>
      <c r="LE47" s="33" t="n"/>
      <c r="LF47" s="33" t="n"/>
      <c r="LG47" s="33" t="n"/>
      <c r="LH47" s="33" t="n"/>
      <c r="LI47" s="33" t="n"/>
      <c r="LJ47" s="33" t="n"/>
      <c r="LK47" s="33" t="n"/>
      <c r="LL47" s="33" t="n"/>
      <c r="LM47" s="33" t="n"/>
      <c r="LN47" s="33" t="n"/>
      <c r="LO47" s="33" t="n"/>
      <c r="LP47" s="33" t="n"/>
      <c r="LQ47" s="33" t="n"/>
      <c r="LR47" s="33" t="n"/>
      <c r="LS47" s="33" t="n"/>
      <c r="LT47" s="33" t="n"/>
      <c r="LU47" s="33" t="n"/>
      <c r="LV47" s="33" t="n"/>
      <c r="LW47" s="33" t="n"/>
      <c r="LX47" s="33" t="n"/>
      <c r="LY47" s="33" t="n"/>
      <c r="LZ47" s="33" t="n"/>
      <c r="MA47" s="33" t="n"/>
      <c r="MB47" s="33" t="n"/>
      <c r="MC47" s="33" t="n"/>
      <c r="MD47" s="33" t="n"/>
      <c r="ME47" s="33" t="n"/>
      <c r="MF47" s="33" t="n"/>
      <c r="MG47" s="33" t="n"/>
      <c r="MH47" s="33" t="n"/>
      <c r="MI47" s="33" t="n"/>
      <c r="MJ47" s="33" t="n"/>
      <c r="MK47" s="33" t="n"/>
      <c r="ML47" s="33" t="n"/>
      <c r="MM47" s="33" t="n"/>
      <c r="MN47" s="33" t="n"/>
      <c r="MO47" s="33" t="n"/>
      <c r="MP47" s="33" t="n"/>
      <c r="MQ47" s="33" t="n"/>
      <c r="MR47" s="33" t="n"/>
      <c r="MS47" s="33" t="n"/>
      <c r="MT47" s="33" t="n"/>
      <c r="MU47" s="33" t="n"/>
      <c r="MV47" s="33" t="n"/>
      <c r="MW47" s="33" t="n"/>
      <c r="MX47" s="33" t="n"/>
      <c r="MY47" s="33" t="n"/>
      <c r="MZ47" s="33" t="n"/>
      <c r="NA47" s="33" t="n"/>
      <c r="NB47" s="33" t="n"/>
      <c r="NC47" s="33" t="n"/>
      <c r="ND47" s="33" t="n"/>
      <c r="NE47" s="33" t="n"/>
      <c r="NF47" s="33" t="n"/>
      <c r="NG47" s="33" t="n"/>
      <c r="NH47" s="33" t="n"/>
      <c r="NI47" s="33" t="n"/>
      <c r="NJ47" s="33" t="n"/>
      <c r="NK47" s="33" t="n"/>
      <c r="NL47" s="33" t="n"/>
      <c r="NM47" s="33" t="n"/>
      <c r="NN47" s="33" t="n"/>
      <c r="NO47" s="33" t="n"/>
      <c r="NP47" s="33" t="n"/>
      <c r="NQ47" s="33" t="n"/>
      <c r="NR47" s="33" t="n"/>
      <c r="NS47" s="33" t="n"/>
      <c r="NT47" s="33" t="n"/>
      <c r="NU47" s="33" t="n"/>
      <c r="NV47" s="33" t="n"/>
      <c r="NW47" s="33" t="n"/>
      <c r="NX47" s="33" t="n"/>
      <c r="NY47" s="33" t="n"/>
      <c r="NZ47" s="33" t="n"/>
      <c r="OA47" s="33" t="n"/>
      <c r="OB47" s="33" t="n"/>
      <c r="OC47" s="33" t="n"/>
      <c r="OD47" s="33" t="n"/>
      <c r="OE47" s="33" t="n"/>
      <c r="OF47" s="33" t="n"/>
      <c r="OG47" s="33" t="n"/>
      <c r="OH47" s="33" t="n"/>
      <c r="OI47" s="33" t="n"/>
      <c r="OJ47" s="33" t="n"/>
      <c r="OK47" s="33" t="n"/>
      <c r="OL47" s="33" t="n"/>
      <c r="OM47" s="33" t="n"/>
      <c r="ON47" s="33" t="n"/>
      <c r="OO47" s="33" t="n"/>
      <c r="OP47" s="33" t="n"/>
      <c r="OQ47" s="33" t="n"/>
      <c r="OR47" s="33" t="n"/>
      <c r="OS47" s="33" t="n"/>
      <c r="OT47" s="33" t="n"/>
      <c r="OU47" s="33" t="n"/>
      <c r="OV47" s="33" t="n"/>
      <c r="OW47" s="33" t="n"/>
      <c r="OX47" s="33" t="n"/>
      <c r="OY47" s="33" t="n"/>
      <c r="OZ47" s="33" t="n"/>
      <c r="PA47" s="33" t="n"/>
      <c r="PB47" s="33" t="n"/>
      <c r="PC47" s="33" t="n"/>
      <c r="PD47" s="33" t="n"/>
      <c r="PE47" s="33" t="n"/>
      <c r="PF47" s="33" t="n"/>
      <c r="PG47" s="33" t="n"/>
      <c r="PH47" s="33" t="n"/>
      <c r="PI47" s="33" t="n"/>
      <c r="PJ47" s="33" t="n"/>
      <c r="PK47" s="33" t="n"/>
      <c r="PL47" s="33" t="n"/>
      <c r="PM47" s="33" t="n"/>
      <c r="PN47" s="33" t="n"/>
      <c r="PO47" s="33" t="n"/>
      <c r="PP47" s="33" t="n"/>
      <c r="PQ47" s="33" t="n"/>
      <c r="PR47" s="33" t="n"/>
      <c r="PS47" s="33" t="n"/>
      <c r="PT47" s="33" t="n"/>
      <c r="PU47" s="33" t="n"/>
      <c r="PV47" s="33" t="n"/>
      <c r="PW47" s="33" t="n"/>
      <c r="PX47" s="33" t="n"/>
      <c r="PY47" s="33" t="n"/>
      <c r="PZ47" s="33" t="n"/>
      <c r="QA47" s="33" t="n"/>
      <c r="QB47" s="33" t="n"/>
      <c r="QC47" s="33" t="n"/>
      <c r="QD47" s="33" t="n"/>
      <c r="QE47" s="33" t="n"/>
      <c r="QF47" s="33" t="n"/>
      <c r="QG47" s="33" t="n"/>
      <c r="QH47" s="33" t="n"/>
      <c r="QI47" s="33" t="n"/>
      <c r="QJ47" s="33" t="n"/>
      <c r="QK47" s="33" t="n"/>
      <c r="QL47" s="33" t="n"/>
      <c r="QM47" s="33" t="n"/>
      <c r="QN47" s="33" t="n"/>
      <c r="QO47" s="33" t="n"/>
      <c r="QP47" s="33" t="n"/>
      <c r="QQ47" s="33" t="n"/>
      <c r="QR47" s="33" t="n"/>
      <c r="QS47" s="33" t="n"/>
      <c r="QT47" s="33" t="n"/>
      <c r="QU47" s="33" t="n"/>
      <c r="QV47" s="33" t="n"/>
      <c r="QW47" s="33" t="n"/>
      <c r="QX47" s="33" t="n"/>
      <c r="QY47" s="33" t="n"/>
      <c r="QZ47" s="33" t="n"/>
      <c r="RA47" s="33" t="n"/>
      <c r="RB47" s="33" t="n"/>
      <c r="RC47" s="33" t="n"/>
      <c r="RD47" s="33" t="n"/>
      <c r="RE47" s="33" t="n"/>
      <c r="RF47" s="33" t="n"/>
      <c r="RG47" s="33" t="n"/>
      <c r="RH47" s="33" t="n"/>
      <c r="RI47" s="33" t="n"/>
      <c r="RJ47" s="33" t="n"/>
      <c r="RK47" s="33" t="n"/>
      <c r="RL47" s="33" t="n"/>
      <c r="RM47" s="33" t="n"/>
      <c r="RN47" s="33" t="n"/>
      <c r="RO47" s="33" t="n"/>
      <c r="RP47" s="33" t="n"/>
      <c r="RQ47" s="33" t="n"/>
      <c r="RR47" s="33" t="n"/>
      <c r="RS47" s="33" t="n"/>
      <c r="RT47" s="33" t="n"/>
      <c r="RU47" s="33" t="n"/>
      <c r="RV47" s="33" t="n"/>
      <c r="RW47" s="33" t="n"/>
    </row>
    <row r="48" hidden="1" outlineLevel="1" ht="13.05" customHeight="1">
      <c r="E48" s="21" t="inlineStr">
        <is>
          <t>Tax Asset Base EoP (repowering)</t>
        </is>
      </c>
      <c r="F48" s="29" t="n"/>
      <c r="G48" s="29" t="inlineStr">
        <is>
          <t>kEUR</t>
        </is>
      </c>
      <c r="H48" s="29" t="n"/>
      <c r="I48" s="29" t="n"/>
      <c r="J48" s="32" t="n"/>
      <c r="K48" s="29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3" t="n"/>
      <c r="AY48" s="33" t="n"/>
      <c r="AZ48" s="33" t="n"/>
      <c r="BA48" s="33" t="n"/>
      <c r="BB48" s="33" t="n"/>
      <c r="BC48" s="33" t="n"/>
      <c r="BD48" s="33" t="n"/>
      <c r="BE48" s="33" t="n"/>
      <c r="BF48" s="33" t="n"/>
      <c r="BG48" s="33" t="n"/>
      <c r="BH48" s="33" t="n"/>
      <c r="BI48" s="33" t="n"/>
      <c r="BJ48" s="33" t="n"/>
      <c r="BK48" s="33" t="n"/>
      <c r="BL48" s="33" t="n"/>
      <c r="BM48" s="33" t="n"/>
      <c r="BN48" s="33" t="n"/>
      <c r="BO48" s="33" t="n"/>
      <c r="BP48" s="33" t="n"/>
      <c r="BQ48" s="33" t="n"/>
      <c r="BR48" s="33" t="n"/>
      <c r="BS48" s="33" t="n"/>
      <c r="BT48" s="33" t="n"/>
      <c r="BU48" s="33" t="n"/>
      <c r="BV48" s="33" t="n"/>
      <c r="BW48" s="33" t="n"/>
      <c r="BX48" s="33" t="n"/>
      <c r="BY48" s="33" t="n"/>
      <c r="BZ48" s="33" t="n"/>
      <c r="CA48" s="33" t="n"/>
      <c r="CB48" s="33" t="n"/>
      <c r="CC48" s="33" t="n"/>
      <c r="CD48" s="33" t="n"/>
      <c r="CE48" s="33" t="n"/>
      <c r="CF48" s="33" t="n"/>
      <c r="CG48" s="33" t="n"/>
      <c r="CH48" s="33" t="n"/>
      <c r="CI48" s="33" t="n"/>
      <c r="CJ48" s="33" t="n"/>
      <c r="CK48" s="33" t="n"/>
      <c r="CL48" s="33" t="n"/>
      <c r="CM48" s="33" t="n"/>
      <c r="CN48" s="33" t="n"/>
      <c r="CO48" s="33" t="n"/>
      <c r="CP48" s="33" t="n"/>
      <c r="CQ48" s="33" t="n"/>
      <c r="CR48" s="33" t="n"/>
      <c r="CS48" s="33" t="n"/>
      <c r="CT48" s="33" t="n"/>
      <c r="CU48" s="33" t="n"/>
      <c r="CV48" s="33" t="n"/>
      <c r="CW48" s="33" t="n"/>
      <c r="CX48" s="33" t="n"/>
      <c r="CY48" s="33" t="n"/>
      <c r="CZ48" s="33" t="n"/>
      <c r="DA48" s="33" t="n"/>
      <c r="DB48" s="33" t="n"/>
      <c r="DC48" s="33" t="n"/>
      <c r="DD48" s="33" t="n"/>
      <c r="DE48" s="33" t="n"/>
      <c r="DF48" s="33" t="n"/>
      <c r="DG48" s="33" t="n"/>
      <c r="DH48" s="33" t="n"/>
      <c r="DI48" s="33" t="n"/>
      <c r="DJ48" s="33" t="n"/>
      <c r="DK48" s="33" t="n"/>
      <c r="DL48" s="33" t="n"/>
      <c r="DM48" s="33" t="n"/>
      <c r="DN48" s="33" t="n"/>
      <c r="DO48" s="33" t="n"/>
      <c r="DP48" s="33" t="n"/>
      <c r="DQ48" s="33" t="n"/>
      <c r="DR48" s="33" t="n"/>
      <c r="DS48" s="33" t="n"/>
      <c r="DT48" s="33" t="n"/>
      <c r="DU48" s="33" t="n"/>
      <c r="DV48" s="33" t="n"/>
      <c r="DW48" s="33" t="n"/>
      <c r="DX48" s="33" t="n"/>
      <c r="DY48" s="33" t="n"/>
      <c r="DZ48" s="33" t="n"/>
      <c r="EA48" s="33" t="n"/>
      <c r="EB48" s="33" t="n"/>
      <c r="EC48" s="33" t="n"/>
      <c r="ED48" s="33" t="n"/>
      <c r="EE48" s="33" t="n"/>
      <c r="EF48" s="33" t="n"/>
      <c r="EG48" s="33" t="n"/>
      <c r="EH48" s="33" t="n"/>
      <c r="EI48" s="33" t="n"/>
      <c r="EJ48" s="33" t="n"/>
      <c r="EK48" s="33" t="n"/>
      <c r="EL48" s="33" t="n"/>
      <c r="EM48" s="33" t="n"/>
      <c r="EN48" s="33" t="n"/>
      <c r="EO48" s="33" t="n"/>
      <c r="EP48" s="33" t="n"/>
      <c r="EQ48" s="33" t="n"/>
      <c r="ER48" s="33" t="n"/>
      <c r="ES48" s="33" t="n"/>
      <c r="ET48" s="33" t="n"/>
      <c r="EU48" s="33" t="n"/>
      <c r="EV48" s="33" t="n"/>
      <c r="EW48" s="33" t="n"/>
      <c r="EX48" s="33" t="n"/>
      <c r="EY48" s="33" t="n"/>
      <c r="EZ48" s="33" t="n"/>
      <c r="FA48" s="33" t="n"/>
      <c r="FB48" s="33" t="n"/>
      <c r="FC48" s="33" t="n"/>
      <c r="FD48" s="33" t="n"/>
      <c r="FE48" s="33" t="n"/>
      <c r="FF48" s="33" t="n"/>
      <c r="FG48" s="33" t="n"/>
      <c r="FH48" s="33" t="n"/>
      <c r="FI48" s="33" t="n"/>
      <c r="FJ48" s="33" t="n"/>
      <c r="FK48" s="33" t="n"/>
      <c r="FL48" s="33" t="n"/>
      <c r="FM48" s="33" t="n"/>
      <c r="FN48" s="33" t="n"/>
      <c r="FO48" s="33" t="n"/>
      <c r="FP48" s="33" t="n"/>
      <c r="FQ48" s="33" t="n"/>
      <c r="FR48" s="33" t="n"/>
      <c r="FS48" s="33" t="n"/>
      <c r="FT48" s="33" t="n"/>
      <c r="FU48" s="33" t="n"/>
      <c r="FV48" s="33" t="n"/>
      <c r="FW48" s="33" t="n"/>
      <c r="FX48" s="33" t="n"/>
      <c r="FY48" s="33" t="n"/>
      <c r="FZ48" s="33" t="n"/>
      <c r="GA48" s="33" t="n"/>
      <c r="GB48" s="33" t="n"/>
      <c r="GC48" s="33" t="n"/>
      <c r="GD48" s="33" t="n"/>
      <c r="GE48" s="33" t="n"/>
      <c r="GF48" s="33" t="n"/>
      <c r="GG48" s="33" t="n"/>
      <c r="GH48" s="33" t="n"/>
      <c r="GI48" s="33" t="n"/>
      <c r="GJ48" s="33" t="n"/>
      <c r="GK48" s="33" t="n"/>
      <c r="GL48" s="33" t="n"/>
      <c r="GM48" s="33" t="n"/>
      <c r="GN48" s="33" t="n"/>
      <c r="GO48" s="33" t="n"/>
      <c r="GP48" s="33" t="n"/>
      <c r="GQ48" s="33" t="n"/>
      <c r="GR48" s="33" t="n"/>
      <c r="GS48" s="33" t="n"/>
      <c r="GT48" s="33" t="n"/>
      <c r="GU48" s="33" t="n"/>
      <c r="GV48" s="33" t="n"/>
      <c r="GW48" s="33" t="n"/>
      <c r="GX48" s="33" t="n"/>
      <c r="GY48" s="33" t="n"/>
      <c r="GZ48" s="33" t="n"/>
      <c r="HA48" s="33" t="n"/>
      <c r="HB48" s="33" t="n"/>
      <c r="HC48" s="33" t="n"/>
      <c r="HD48" s="33" t="n"/>
      <c r="HE48" s="33" t="n"/>
      <c r="HF48" s="33" t="n"/>
      <c r="HG48" s="33" t="n"/>
      <c r="HH48" s="33" t="n"/>
      <c r="HI48" s="33" t="n"/>
      <c r="HJ48" s="33" t="n"/>
      <c r="HK48" s="33" t="n"/>
      <c r="HL48" s="33" t="n"/>
      <c r="HM48" s="33" t="n"/>
      <c r="HN48" s="33" t="n"/>
      <c r="HO48" s="33" t="n"/>
      <c r="HP48" s="33" t="n"/>
      <c r="HQ48" s="33" t="n"/>
      <c r="HR48" s="33" t="n"/>
      <c r="HS48" s="33" t="n"/>
      <c r="HT48" s="33" t="n"/>
      <c r="HU48" s="33" t="n"/>
      <c r="HV48" s="33" t="n"/>
      <c r="HW48" s="33" t="n"/>
      <c r="HX48" s="33" t="n"/>
      <c r="HY48" s="33" t="n"/>
      <c r="HZ48" s="33" t="n"/>
      <c r="IA48" s="33" t="n"/>
      <c r="IB48" s="33" t="n"/>
      <c r="IC48" s="33" t="n"/>
      <c r="ID48" s="33" t="n"/>
      <c r="IE48" s="33" t="n"/>
      <c r="IF48" s="33" t="n"/>
      <c r="IG48" s="33" t="n"/>
      <c r="IH48" s="33" t="n"/>
      <c r="II48" s="33" t="n"/>
      <c r="IJ48" s="33" t="n"/>
      <c r="IK48" s="33" t="n"/>
      <c r="IL48" s="33" t="n"/>
      <c r="IM48" s="33" t="n"/>
      <c r="IN48" s="33" t="n"/>
      <c r="IO48" s="33" t="n"/>
      <c r="IP48" s="33" t="n"/>
      <c r="IQ48" s="33" t="n"/>
      <c r="IR48" s="33" t="n"/>
      <c r="IS48" s="33" t="n"/>
      <c r="IT48" s="33" t="n"/>
      <c r="IU48" s="33" t="n"/>
      <c r="IV48" s="33" t="n"/>
      <c r="IW48" s="33" t="n"/>
      <c r="IX48" s="33" t="n"/>
      <c r="IY48" s="33" t="n"/>
      <c r="IZ48" s="33" t="n"/>
      <c r="JA48" s="33" t="n"/>
      <c r="JB48" s="33" t="n"/>
      <c r="JC48" s="33" t="n"/>
      <c r="JD48" s="33" t="n"/>
      <c r="JE48" s="33" t="n"/>
      <c r="JF48" s="33" t="n"/>
      <c r="JG48" s="33" t="n"/>
      <c r="JH48" s="33" t="n"/>
      <c r="JI48" s="33" t="n"/>
      <c r="JJ48" s="33" t="n"/>
      <c r="JK48" s="33" t="n"/>
      <c r="JL48" s="33" t="n"/>
      <c r="JM48" s="33" t="n"/>
      <c r="JN48" s="33" t="n"/>
      <c r="JO48" s="33" t="n"/>
      <c r="JP48" s="33" t="n"/>
      <c r="JQ48" s="33" t="n"/>
      <c r="JR48" s="33" t="n"/>
      <c r="JS48" s="33" t="n"/>
      <c r="JT48" s="33" t="n"/>
      <c r="JU48" s="33" t="n"/>
      <c r="JV48" s="33" t="n"/>
      <c r="JW48" s="33" t="n"/>
      <c r="JX48" s="33" t="n"/>
      <c r="JY48" s="33" t="n"/>
      <c r="JZ48" s="33" t="n"/>
      <c r="KA48" s="33" t="n"/>
      <c r="KB48" s="33" t="n"/>
      <c r="KC48" s="33" t="n"/>
      <c r="KD48" s="33" t="n"/>
      <c r="KE48" s="33" t="n"/>
      <c r="KF48" s="33" t="n"/>
      <c r="KG48" s="33" t="n"/>
      <c r="KH48" s="33" t="n"/>
      <c r="KI48" s="33" t="n"/>
      <c r="KJ48" s="33" t="n"/>
      <c r="KK48" s="33" t="n"/>
      <c r="KL48" s="33" t="n"/>
      <c r="KM48" s="33" t="n"/>
      <c r="KN48" s="33" t="n"/>
      <c r="KO48" s="33" t="n"/>
      <c r="KP48" s="33" t="n"/>
      <c r="KQ48" s="33" t="n"/>
      <c r="KR48" s="33" t="n"/>
      <c r="KS48" s="33" t="n"/>
      <c r="KT48" s="33" t="n"/>
      <c r="KU48" s="33" t="n"/>
      <c r="KV48" s="33" t="n"/>
      <c r="KW48" s="33" t="n"/>
      <c r="KX48" s="33" t="n"/>
      <c r="KY48" s="33" t="n"/>
      <c r="KZ48" s="33" t="n"/>
      <c r="LA48" s="33" t="n"/>
      <c r="LB48" s="33" t="n"/>
      <c r="LC48" s="33" t="n"/>
      <c r="LD48" s="33" t="n"/>
      <c r="LE48" s="33" t="n"/>
      <c r="LF48" s="33" t="n"/>
      <c r="LG48" s="33" t="n"/>
      <c r="LH48" s="33" t="n"/>
      <c r="LI48" s="33" t="n"/>
      <c r="LJ48" s="33" t="n"/>
      <c r="LK48" s="33" t="n"/>
      <c r="LL48" s="33" t="n"/>
      <c r="LM48" s="33" t="n"/>
      <c r="LN48" s="33" t="n"/>
      <c r="LO48" s="33" t="n"/>
      <c r="LP48" s="33" t="n"/>
      <c r="LQ48" s="33" t="n"/>
      <c r="LR48" s="33" t="n"/>
      <c r="LS48" s="33" t="n"/>
      <c r="LT48" s="33" t="n"/>
      <c r="LU48" s="33" t="n"/>
      <c r="LV48" s="33" t="n"/>
      <c r="LW48" s="33" t="n"/>
      <c r="LX48" s="33" t="n"/>
      <c r="LY48" s="33" t="n"/>
      <c r="LZ48" s="33" t="n"/>
      <c r="MA48" s="33" t="n"/>
      <c r="MB48" s="33" t="n"/>
      <c r="MC48" s="33" t="n"/>
      <c r="MD48" s="33" t="n"/>
      <c r="ME48" s="33" t="n"/>
      <c r="MF48" s="33" t="n"/>
      <c r="MG48" s="33" t="n"/>
      <c r="MH48" s="33" t="n"/>
      <c r="MI48" s="33" t="n"/>
      <c r="MJ48" s="33" t="n"/>
      <c r="MK48" s="33" t="n"/>
      <c r="ML48" s="33" t="n"/>
      <c r="MM48" s="33" t="n"/>
      <c r="MN48" s="33" t="n"/>
      <c r="MO48" s="33" t="n"/>
      <c r="MP48" s="33" t="n"/>
      <c r="MQ48" s="33" t="n"/>
      <c r="MR48" s="33" t="n"/>
      <c r="MS48" s="33" t="n"/>
      <c r="MT48" s="33" t="n"/>
      <c r="MU48" s="33" t="n"/>
      <c r="MV48" s="33" t="n"/>
      <c r="MW48" s="33" t="n"/>
      <c r="MX48" s="33" t="n"/>
      <c r="MY48" s="33" t="n"/>
      <c r="MZ48" s="33" t="n"/>
      <c r="NA48" s="33" t="n"/>
      <c r="NB48" s="33" t="n"/>
      <c r="NC48" s="33" t="n"/>
      <c r="ND48" s="33" t="n"/>
      <c r="NE48" s="33" t="n"/>
      <c r="NF48" s="33" t="n"/>
      <c r="NG48" s="33" t="n"/>
      <c r="NH48" s="33" t="n"/>
      <c r="NI48" s="33" t="n"/>
      <c r="NJ48" s="33" t="n"/>
      <c r="NK48" s="33" t="n"/>
      <c r="NL48" s="33" t="n"/>
      <c r="NM48" s="33" t="n"/>
      <c r="NN48" s="33" t="n"/>
      <c r="NO48" s="33" t="n"/>
      <c r="NP48" s="33" t="n"/>
      <c r="NQ48" s="33" t="n"/>
      <c r="NR48" s="33" t="n"/>
      <c r="NS48" s="33" t="n"/>
      <c r="NT48" s="33" t="n"/>
      <c r="NU48" s="33" t="n"/>
      <c r="NV48" s="33" t="n"/>
      <c r="NW48" s="33" t="n"/>
      <c r="NX48" s="33" t="n"/>
      <c r="NY48" s="33" t="n"/>
      <c r="NZ48" s="33" t="n"/>
      <c r="OA48" s="33" t="n"/>
      <c r="OB48" s="33" t="n"/>
      <c r="OC48" s="33" t="n"/>
      <c r="OD48" s="33" t="n"/>
      <c r="OE48" s="33" t="n"/>
      <c r="OF48" s="33" t="n"/>
      <c r="OG48" s="33" t="n"/>
      <c r="OH48" s="33" t="n"/>
      <c r="OI48" s="33" t="n"/>
      <c r="OJ48" s="33" t="n"/>
      <c r="OK48" s="33" t="n"/>
      <c r="OL48" s="33" t="n"/>
      <c r="OM48" s="33" t="n"/>
      <c r="ON48" s="33" t="n"/>
      <c r="OO48" s="33" t="n"/>
      <c r="OP48" s="33" t="n"/>
      <c r="OQ48" s="33" t="n"/>
      <c r="OR48" s="33" t="n"/>
      <c r="OS48" s="33" t="n"/>
      <c r="OT48" s="33" t="n"/>
      <c r="OU48" s="33" t="n"/>
      <c r="OV48" s="33" t="n"/>
      <c r="OW48" s="33" t="n"/>
      <c r="OX48" s="33" t="n"/>
      <c r="OY48" s="33" t="n"/>
      <c r="OZ48" s="33" t="n"/>
      <c r="PA48" s="33" t="n"/>
      <c r="PB48" s="33" t="n"/>
      <c r="PC48" s="33" t="n"/>
      <c r="PD48" s="33" t="n"/>
      <c r="PE48" s="33" t="n"/>
      <c r="PF48" s="33" t="n"/>
      <c r="PG48" s="33" t="n"/>
      <c r="PH48" s="33" t="n"/>
      <c r="PI48" s="33" t="n"/>
      <c r="PJ48" s="33" t="n"/>
      <c r="PK48" s="33" t="n"/>
      <c r="PL48" s="33" t="n"/>
      <c r="PM48" s="33" t="n"/>
      <c r="PN48" s="33" t="n"/>
      <c r="PO48" s="33" t="n"/>
      <c r="PP48" s="33" t="n"/>
      <c r="PQ48" s="33" t="n"/>
      <c r="PR48" s="33" t="n"/>
      <c r="PS48" s="33" t="n"/>
      <c r="PT48" s="33" t="n"/>
      <c r="PU48" s="33" t="n"/>
      <c r="PV48" s="33" t="n"/>
      <c r="PW48" s="33" t="n"/>
      <c r="PX48" s="33" t="n"/>
      <c r="PY48" s="33" t="n"/>
      <c r="PZ48" s="33" t="n"/>
      <c r="QA48" s="33" t="n"/>
      <c r="QB48" s="33" t="n"/>
      <c r="QC48" s="33" t="n"/>
      <c r="QD48" s="33" t="n"/>
      <c r="QE48" s="33" t="n"/>
      <c r="QF48" s="33" t="n"/>
      <c r="QG48" s="33" t="n"/>
      <c r="QH48" s="33" t="n"/>
      <c r="QI48" s="33" t="n"/>
      <c r="QJ48" s="33" t="n"/>
      <c r="QK48" s="33" t="n"/>
      <c r="QL48" s="33" t="n"/>
      <c r="QM48" s="33" t="n"/>
      <c r="QN48" s="33" t="n"/>
      <c r="QO48" s="33" t="n"/>
      <c r="QP48" s="33" t="n"/>
      <c r="QQ48" s="33" t="n"/>
      <c r="QR48" s="33" t="n"/>
      <c r="QS48" s="33" t="n"/>
      <c r="QT48" s="33" t="n"/>
      <c r="QU48" s="33" t="n"/>
      <c r="QV48" s="33" t="n"/>
      <c r="QW48" s="33" t="n"/>
      <c r="QX48" s="33" t="n"/>
      <c r="QY48" s="33" t="n"/>
      <c r="QZ48" s="33" t="n"/>
      <c r="RA48" s="33" t="n"/>
      <c r="RB48" s="33" t="n"/>
      <c r="RC48" s="33" t="n"/>
      <c r="RD48" s="33" t="n"/>
      <c r="RE48" s="33" t="n"/>
      <c r="RF48" s="33" t="n"/>
      <c r="RG48" s="33" t="n"/>
      <c r="RH48" s="33" t="n"/>
      <c r="RI48" s="33" t="n"/>
      <c r="RJ48" s="33" t="n"/>
      <c r="RK48" s="33" t="n"/>
      <c r="RL48" s="33" t="n"/>
      <c r="RM48" s="33" t="n"/>
      <c r="RN48" s="33" t="n"/>
      <c r="RO48" s="33" t="n"/>
      <c r="RP48" s="33" t="n"/>
      <c r="RQ48" s="33" t="n"/>
      <c r="RR48" s="33" t="n"/>
      <c r="RS48" s="33" t="n"/>
      <c r="RT48" s="33" t="n"/>
      <c r="RU48" s="33" t="n"/>
      <c r="RV48" s="33" t="n"/>
      <c r="RW48" s="33" t="n"/>
    </row>
    <row r="49" hidden="1" outlineLevel="1" ht="13.05" customHeight="1">
      <c r="E49" s="21" t="inlineStr">
        <is>
          <t>Accounting Depreciation (repowering)</t>
        </is>
      </c>
      <c r="F49" s="29" t="n"/>
      <c r="G49" s="29" t="inlineStr">
        <is>
          <t>kEUR</t>
        </is>
      </c>
      <c r="H49" s="29" t="n"/>
      <c r="I49" s="29" t="n"/>
      <c r="J49" s="32" t="n"/>
      <c r="K49" s="29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3" t="n"/>
      <c r="AY49" s="33" t="n"/>
      <c r="AZ49" s="33" t="n"/>
      <c r="BA49" s="33" t="n"/>
      <c r="BB49" s="33" t="n"/>
      <c r="BC49" s="33" t="n"/>
      <c r="BD49" s="33" t="n"/>
      <c r="BE49" s="33" t="n"/>
      <c r="BF49" s="33" t="n"/>
      <c r="BG49" s="33" t="n"/>
      <c r="BH49" s="33" t="n"/>
      <c r="BI49" s="33" t="n"/>
      <c r="BJ49" s="33" t="n"/>
      <c r="BK49" s="33" t="n"/>
      <c r="BL49" s="33" t="n"/>
      <c r="BM49" s="33" t="n"/>
      <c r="BN49" s="33" t="n"/>
      <c r="BO49" s="33" t="n"/>
      <c r="BP49" s="33" t="n"/>
      <c r="BQ49" s="33" t="n"/>
      <c r="BR49" s="33" t="n"/>
      <c r="BS49" s="33" t="n"/>
      <c r="BT49" s="33" t="n"/>
      <c r="BU49" s="33" t="n"/>
      <c r="BV49" s="33" t="n"/>
      <c r="BW49" s="33" t="n"/>
      <c r="BX49" s="33" t="n"/>
      <c r="BY49" s="33" t="n"/>
      <c r="BZ49" s="33" t="n"/>
      <c r="CA49" s="33" t="n"/>
      <c r="CB49" s="33" t="n"/>
      <c r="CC49" s="33" t="n"/>
      <c r="CD49" s="33" t="n"/>
      <c r="CE49" s="33" t="n"/>
      <c r="CF49" s="33" t="n"/>
      <c r="CG49" s="33" t="n"/>
      <c r="CH49" s="33" t="n"/>
      <c r="CI49" s="33" t="n"/>
      <c r="CJ49" s="33" t="n"/>
      <c r="CK49" s="33" t="n"/>
      <c r="CL49" s="33" t="n"/>
      <c r="CM49" s="33" t="n"/>
      <c r="CN49" s="33" t="n"/>
      <c r="CO49" s="33" t="n"/>
      <c r="CP49" s="33" t="n"/>
      <c r="CQ49" s="33" t="n"/>
      <c r="CR49" s="33" t="n"/>
      <c r="CS49" s="33" t="n"/>
      <c r="CT49" s="33" t="n"/>
      <c r="CU49" s="33" t="n"/>
      <c r="CV49" s="33" t="n"/>
      <c r="CW49" s="33" t="n"/>
      <c r="CX49" s="33" t="n"/>
      <c r="CY49" s="33" t="n"/>
      <c r="CZ49" s="33" t="n"/>
      <c r="DA49" s="33" t="n"/>
      <c r="DB49" s="33" t="n"/>
      <c r="DC49" s="33" t="n"/>
      <c r="DD49" s="33" t="n"/>
      <c r="DE49" s="33" t="n"/>
      <c r="DF49" s="33" t="n"/>
      <c r="DG49" s="33" t="n"/>
      <c r="DH49" s="33" t="n"/>
      <c r="DI49" s="33" t="n"/>
      <c r="DJ49" s="33" t="n"/>
      <c r="DK49" s="33" t="n"/>
      <c r="DL49" s="33" t="n"/>
      <c r="DM49" s="33" t="n"/>
      <c r="DN49" s="33" t="n"/>
      <c r="DO49" s="33" t="n"/>
      <c r="DP49" s="33" t="n"/>
      <c r="DQ49" s="33" t="n"/>
      <c r="DR49" s="33" t="n"/>
      <c r="DS49" s="33" t="n"/>
      <c r="DT49" s="33" t="n"/>
      <c r="DU49" s="33" t="n"/>
      <c r="DV49" s="33" t="n"/>
      <c r="DW49" s="33" t="n"/>
      <c r="DX49" s="33" t="n"/>
      <c r="DY49" s="33" t="n"/>
      <c r="DZ49" s="33" t="n"/>
      <c r="EA49" s="33" t="n"/>
      <c r="EB49" s="33" t="n"/>
      <c r="EC49" s="33" t="n"/>
      <c r="ED49" s="33" t="n"/>
      <c r="EE49" s="33" t="n"/>
      <c r="EF49" s="33" t="n"/>
      <c r="EG49" s="33" t="n"/>
      <c r="EH49" s="33" t="n"/>
      <c r="EI49" s="33" t="n"/>
      <c r="EJ49" s="33" t="n"/>
      <c r="EK49" s="33" t="n"/>
      <c r="EL49" s="33" t="n"/>
      <c r="EM49" s="33" t="n"/>
      <c r="EN49" s="33" t="n"/>
      <c r="EO49" s="33" t="n"/>
      <c r="EP49" s="33" t="n"/>
      <c r="EQ49" s="33" t="n"/>
      <c r="ER49" s="33" t="n"/>
      <c r="ES49" s="33" t="n"/>
      <c r="ET49" s="33" t="n"/>
      <c r="EU49" s="33" t="n"/>
      <c r="EV49" s="33" t="n"/>
      <c r="EW49" s="33" t="n"/>
      <c r="EX49" s="33" t="n"/>
      <c r="EY49" s="33" t="n"/>
      <c r="EZ49" s="33" t="n"/>
      <c r="FA49" s="33" t="n"/>
      <c r="FB49" s="33" t="n"/>
      <c r="FC49" s="33" t="n"/>
      <c r="FD49" s="33" t="n"/>
      <c r="FE49" s="33" t="n"/>
      <c r="FF49" s="33" t="n"/>
      <c r="FG49" s="33" t="n"/>
      <c r="FH49" s="33" t="n"/>
      <c r="FI49" s="33" t="n"/>
      <c r="FJ49" s="33" t="n"/>
      <c r="FK49" s="33" t="n"/>
      <c r="FL49" s="33" t="n"/>
      <c r="FM49" s="33" t="n"/>
      <c r="FN49" s="33" t="n"/>
      <c r="FO49" s="33" t="n"/>
      <c r="FP49" s="33" t="n"/>
      <c r="FQ49" s="33" t="n"/>
      <c r="FR49" s="33" t="n"/>
      <c r="FS49" s="33" t="n"/>
      <c r="FT49" s="33" t="n"/>
      <c r="FU49" s="33" t="n"/>
      <c r="FV49" s="33" t="n"/>
      <c r="FW49" s="33" t="n"/>
      <c r="FX49" s="33" t="n"/>
      <c r="FY49" s="33" t="n"/>
      <c r="FZ49" s="33" t="n"/>
      <c r="GA49" s="33" t="n"/>
      <c r="GB49" s="33" t="n"/>
      <c r="GC49" s="33" t="n"/>
      <c r="GD49" s="33" t="n"/>
      <c r="GE49" s="33" t="n"/>
      <c r="GF49" s="33" t="n"/>
      <c r="GG49" s="33" t="n"/>
      <c r="GH49" s="33" t="n"/>
      <c r="GI49" s="33" t="n"/>
      <c r="GJ49" s="33" t="n"/>
      <c r="GK49" s="33" t="n"/>
      <c r="GL49" s="33" t="n"/>
      <c r="GM49" s="33" t="n"/>
      <c r="GN49" s="33" t="n"/>
      <c r="GO49" s="33" t="n"/>
      <c r="GP49" s="33" t="n"/>
      <c r="GQ49" s="33" t="n"/>
      <c r="GR49" s="33" t="n"/>
      <c r="GS49" s="33" t="n"/>
      <c r="GT49" s="33" t="n"/>
      <c r="GU49" s="33" t="n"/>
      <c r="GV49" s="33" t="n"/>
      <c r="GW49" s="33" t="n"/>
      <c r="GX49" s="33" t="n"/>
      <c r="GY49" s="33" t="n"/>
      <c r="GZ49" s="33" t="n"/>
      <c r="HA49" s="33" t="n"/>
      <c r="HB49" s="33" t="n"/>
      <c r="HC49" s="33" t="n"/>
      <c r="HD49" s="33" t="n"/>
      <c r="HE49" s="33" t="n"/>
      <c r="HF49" s="33" t="n"/>
      <c r="HG49" s="33" t="n"/>
      <c r="HH49" s="33" t="n"/>
      <c r="HI49" s="33" t="n"/>
      <c r="HJ49" s="33" t="n"/>
      <c r="HK49" s="33" t="n"/>
      <c r="HL49" s="33" t="n"/>
      <c r="HM49" s="33" t="n"/>
      <c r="HN49" s="33" t="n"/>
      <c r="HO49" s="33" t="n"/>
      <c r="HP49" s="33" t="n"/>
      <c r="HQ49" s="33" t="n"/>
      <c r="HR49" s="33" t="n"/>
      <c r="HS49" s="33" t="n"/>
      <c r="HT49" s="33" t="n"/>
      <c r="HU49" s="33" t="n"/>
      <c r="HV49" s="33" t="n"/>
      <c r="HW49" s="33" t="n"/>
      <c r="HX49" s="33" t="n"/>
      <c r="HY49" s="33" t="n"/>
      <c r="HZ49" s="33" t="n"/>
      <c r="IA49" s="33" t="n"/>
      <c r="IB49" s="33" t="n"/>
      <c r="IC49" s="33" t="n"/>
      <c r="ID49" s="33" t="n"/>
      <c r="IE49" s="33" t="n"/>
      <c r="IF49" s="33" t="n"/>
      <c r="IG49" s="33" t="n"/>
      <c r="IH49" s="33" t="n"/>
      <c r="II49" s="33" t="n"/>
      <c r="IJ49" s="33" t="n"/>
      <c r="IK49" s="33" t="n"/>
      <c r="IL49" s="33" t="n"/>
      <c r="IM49" s="33" t="n"/>
      <c r="IN49" s="33" t="n"/>
      <c r="IO49" s="33" t="n"/>
      <c r="IP49" s="33" t="n"/>
      <c r="IQ49" s="33" t="n"/>
      <c r="IR49" s="33" t="n"/>
      <c r="IS49" s="33" t="n"/>
      <c r="IT49" s="33" t="n"/>
      <c r="IU49" s="33" t="n"/>
      <c r="IV49" s="33" t="n"/>
      <c r="IW49" s="33" t="n"/>
      <c r="IX49" s="33" t="n"/>
      <c r="IY49" s="33" t="n"/>
      <c r="IZ49" s="33" t="n"/>
      <c r="JA49" s="33" t="n"/>
      <c r="JB49" s="33" t="n"/>
      <c r="JC49" s="33" t="n"/>
      <c r="JD49" s="33" t="n"/>
      <c r="JE49" s="33" t="n"/>
      <c r="JF49" s="33" t="n"/>
      <c r="JG49" s="33" t="n"/>
      <c r="JH49" s="33" t="n"/>
      <c r="JI49" s="33" t="n"/>
      <c r="JJ49" s="33" t="n"/>
      <c r="JK49" s="33" t="n"/>
      <c r="JL49" s="33" t="n"/>
      <c r="JM49" s="33" t="n"/>
      <c r="JN49" s="33" t="n"/>
      <c r="JO49" s="33" t="n"/>
      <c r="JP49" s="33" t="n"/>
      <c r="JQ49" s="33" t="n"/>
      <c r="JR49" s="33" t="n"/>
      <c r="JS49" s="33" t="n"/>
      <c r="JT49" s="33" t="n"/>
      <c r="JU49" s="33" t="n"/>
      <c r="JV49" s="33" t="n"/>
      <c r="JW49" s="33" t="n"/>
      <c r="JX49" s="33" t="n"/>
      <c r="JY49" s="33" t="n"/>
      <c r="JZ49" s="33" t="n"/>
      <c r="KA49" s="33" t="n"/>
      <c r="KB49" s="33" t="n"/>
      <c r="KC49" s="33" t="n"/>
      <c r="KD49" s="33" t="n"/>
      <c r="KE49" s="33" t="n"/>
      <c r="KF49" s="33" t="n"/>
      <c r="KG49" s="33" t="n"/>
      <c r="KH49" s="33" t="n"/>
      <c r="KI49" s="33" t="n"/>
      <c r="KJ49" s="33" t="n"/>
      <c r="KK49" s="33" t="n"/>
      <c r="KL49" s="33" t="n"/>
      <c r="KM49" s="33" t="n"/>
      <c r="KN49" s="33" t="n"/>
      <c r="KO49" s="33" t="n"/>
      <c r="KP49" s="33" t="n"/>
      <c r="KQ49" s="33" t="n"/>
      <c r="KR49" s="33" t="n"/>
      <c r="KS49" s="33" t="n"/>
      <c r="KT49" s="33" t="n"/>
      <c r="KU49" s="33" t="n"/>
      <c r="KV49" s="33" t="n"/>
      <c r="KW49" s="33" t="n"/>
      <c r="KX49" s="33" t="n"/>
      <c r="KY49" s="33" t="n"/>
      <c r="KZ49" s="33" t="n"/>
      <c r="LA49" s="33" t="n"/>
      <c r="LB49" s="33" t="n"/>
      <c r="LC49" s="33" t="n"/>
      <c r="LD49" s="33" t="n"/>
      <c r="LE49" s="33" t="n"/>
      <c r="LF49" s="33" t="n"/>
      <c r="LG49" s="33" t="n"/>
      <c r="LH49" s="33" t="n"/>
      <c r="LI49" s="33" t="n"/>
      <c r="LJ49" s="33" t="n"/>
      <c r="LK49" s="33" t="n"/>
      <c r="LL49" s="33" t="n"/>
      <c r="LM49" s="33" t="n"/>
      <c r="LN49" s="33" t="n"/>
      <c r="LO49" s="33" t="n"/>
      <c r="LP49" s="33" t="n"/>
      <c r="LQ49" s="33" t="n"/>
      <c r="LR49" s="33" t="n"/>
      <c r="LS49" s="33" t="n"/>
      <c r="LT49" s="33" t="n"/>
      <c r="LU49" s="33" t="n"/>
      <c r="LV49" s="33" t="n"/>
      <c r="LW49" s="33" t="n"/>
      <c r="LX49" s="33" t="n"/>
      <c r="LY49" s="33" t="n"/>
      <c r="LZ49" s="33" t="n"/>
      <c r="MA49" s="33" t="n"/>
      <c r="MB49" s="33" t="n"/>
      <c r="MC49" s="33" t="n"/>
      <c r="MD49" s="33" t="n"/>
      <c r="ME49" s="33" t="n"/>
      <c r="MF49" s="33" t="n"/>
      <c r="MG49" s="33" t="n"/>
      <c r="MH49" s="33" t="n"/>
      <c r="MI49" s="33" t="n"/>
      <c r="MJ49" s="33" t="n"/>
      <c r="MK49" s="33" t="n"/>
      <c r="ML49" s="33" t="n"/>
      <c r="MM49" s="33" t="n"/>
      <c r="MN49" s="33" t="n"/>
      <c r="MO49" s="33" t="n"/>
      <c r="MP49" s="33" t="n"/>
      <c r="MQ49" s="33" t="n"/>
      <c r="MR49" s="33" t="n"/>
      <c r="MS49" s="33" t="n"/>
      <c r="MT49" s="33" t="n"/>
      <c r="MU49" s="33" t="n"/>
      <c r="MV49" s="33" t="n"/>
      <c r="MW49" s="33" t="n"/>
      <c r="MX49" s="33" t="n"/>
      <c r="MY49" s="33" t="n"/>
      <c r="MZ49" s="33" t="n"/>
      <c r="NA49" s="33" t="n"/>
      <c r="NB49" s="33" t="n"/>
      <c r="NC49" s="33" t="n"/>
      <c r="ND49" s="33" t="n"/>
      <c r="NE49" s="33" t="n"/>
      <c r="NF49" s="33" t="n"/>
      <c r="NG49" s="33" t="n"/>
      <c r="NH49" s="33" t="n"/>
      <c r="NI49" s="33" t="n"/>
      <c r="NJ49" s="33" t="n"/>
      <c r="NK49" s="33" t="n"/>
      <c r="NL49" s="33" t="n"/>
      <c r="NM49" s="33" t="n"/>
      <c r="NN49" s="33" t="n"/>
      <c r="NO49" s="33" t="n"/>
      <c r="NP49" s="33" t="n"/>
      <c r="NQ49" s="33" t="n"/>
      <c r="NR49" s="33" t="n"/>
      <c r="NS49" s="33" t="n"/>
      <c r="NT49" s="33" t="n"/>
      <c r="NU49" s="33" t="n"/>
      <c r="NV49" s="33" t="n"/>
      <c r="NW49" s="33" t="n"/>
      <c r="NX49" s="33" t="n"/>
      <c r="NY49" s="33" t="n"/>
      <c r="NZ49" s="33" t="n"/>
      <c r="OA49" s="33" t="n"/>
      <c r="OB49" s="33" t="n"/>
      <c r="OC49" s="33" t="n"/>
      <c r="OD49" s="33" t="n"/>
      <c r="OE49" s="33" t="n"/>
      <c r="OF49" s="33" t="n"/>
      <c r="OG49" s="33" t="n"/>
      <c r="OH49" s="33" t="n"/>
      <c r="OI49" s="33" t="n"/>
      <c r="OJ49" s="33" t="n"/>
      <c r="OK49" s="33" t="n"/>
      <c r="OL49" s="33" t="n"/>
      <c r="OM49" s="33" t="n"/>
      <c r="ON49" s="33" t="n"/>
      <c r="OO49" s="33" t="n"/>
      <c r="OP49" s="33" t="n"/>
      <c r="OQ49" s="33" t="n"/>
      <c r="OR49" s="33" t="n"/>
      <c r="OS49" s="33" t="n"/>
      <c r="OT49" s="33" t="n"/>
      <c r="OU49" s="33" t="n"/>
      <c r="OV49" s="33" t="n"/>
      <c r="OW49" s="33" t="n"/>
      <c r="OX49" s="33" t="n"/>
      <c r="OY49" s="33" t="n"/>
      <c r="OZ49" s="33" t="n"/>
      <c r="PA49" s="33" t="n"/>
      <c r="PB49" s="33" t="n"/>
      <c r="PC49" s="33" t="n"/>
      <c r="PD49" s="33" t="n"/>
      <c r="PE49" s="33" t="n"/>
      <c r="PF49" s="33" t="n"/>
      <c r="PG49" s="33" t="n"/>
      <c r="PH49" s="33" t="n"/>
      <c r="PI49" s="33" t="n"/>
      <c r="PJ49" s="33" t="n"/>
      <c r="PK49" s="33" t="n"/>
      <c r="PL49" s="33" t="n"/>
      <c r="PM49" s="33" t="n"/>
      <c r="PN49" s="33" t="n"/>
      <c r="PO49" s="33" t="n"/>
      <c r="PP49" s="33" t="n"/>
      <c r="PQ49" s="33" t="n"/>
      <c r="PR49" s="33" t="n"/>
      <c r="PS49" s="33" t="n"/>
      <c r="PT49" s="33" t="n"/>
      <c r="PU49" s="33" t="n"/>
      <c r="PV49" s="33" t="n"/>
      <c r="PW49" s="33" t="n"/>
      <c r="PX49" s="33" t="n"/>
      <c r="PY49" s="33" t="n"/>
      <c r="PZ49" s="33" t="n"/>
      <c r="QA49" s="33" t="n"/>
      <c r="QB49" s="33" t="n"/>
      <c r="QC49" s="33" t="n"/>
      <c r="QD49" s="33" t="n"/>
      <c r="QE49" s="33" t="n"/>
      <c r="QF49" s="33" t="n"/>
      <c r="QG49" s="33" t="n"/>
      <c r="QH49" s="33" t="n"/>
      <c r="QI49" s="33" t="n"/>
      <c r="QJ49" s="33" t="n"/>
      <c r="QK49" s="33" t="n"/>
      <c r="QL49" s="33" t="n"/>
      <c r="QM49" s="33" t="n"/>
      <c r="QN49" s="33" t="n"/>
      <c r="QO49" s="33" t="n"/>
      <c r="QP49" s="33" t="n"/>
      <c r="QQ49" s="33" t="n"/>
      <c r="QR49" s="33" t="n"/>
      <c r="QS49" s="33" t="n"/>
      <c r="QT49" s="33" t="n"/>
      <c r="QU49" s="33" t="n"/>
      <c r="QV49" s="33" t="n"/>
      <c r="QW49" s="33" t="n"/>
      <c r="QX49" s="33" t="n"/>
      <c r="QY49" s="33" t="n"/>
      <c r="QZ49" s="33" t="n"/>
      <c r="RA49" s="33" t="n"/>
      <c r="RB49" s="33" t="n"/>
      <c r="RC49" s="33" t="n"/>
      <c r="RD49" s="33" t="n"/>
      <c r="RE49" s="33" t="n"/>
      <c r="RF49" s="33" t="n"/>
      <c r="RG49" s="33" t="n"/>
      <c r="RH49" s="33" t="n"/>
      <c r="RI49" s="33" t="n"/>
      <c r="RJ49" s="33" t="n"/>
      <c r="RK49" s="33" t="n"/>
      <c r="RL49" s="33" t="n"/>
      <c r="RM49" s="33" t="n"/>
      <c r="RN49" s="33" t="n"/>
      <c r="RO49" s="33" t="n"/>
      <c r="RP49" s="33" t="n"/>
      <c r="RQ49" s="33" t="n"/>
      <c r="RR49" s="33" t="n"/>
      <c r="RS49" s="33" t="n"/>
      <c r="RT49" s="33" t="n"/>
      <c r="RU49" s="33" t="n"/>
      <c r="RV49" s="33" t="n"/>
      <c r="RW49" s="33" t="n"/>
    </row>
    <row r="50" ht="13.05" customHeight="1">
      <c r="E50" s="21" t="inlineStr">
        <is>
          <t>Accounting Asset Base EoP (repowering)</t>
        </is>
      </c>
      <c r="F50" s="29" t="n"/>
      <c r="G50" s="29" t="inlineStr">
        <is>
          <t>kEUR</t>
        </is>
      </c>
      <c r="H50" s="29" t="n"/>
      <c r="I50" s="29" t="n"/>
      <c r="J50" s="32" t="n"/>
      <c r="K50" s="29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3" t="n"/>
      <c r="AY50" s="33" t="n"/>
      <c r="AZ50" s="33" t="n"/>
      <c r="BA50" s="33" t="n"/>
      <c r="BB50" s="33" t="n"/>
      <c r="BC50" s="33" t="n"/>
      <c r="BD50" s="33" t="n"/>
      <c r="BE50" s="33" t="n"/>
      <c r="BF50" s="33" t="n"/>
      <c r="BG50" s="33" t="n"/>
      <c r="BH50" s="33" t="n"/>
      <c r="BI50" s="33" t="n"/>
      <c r="BJ50" s="33" t="n"/>
      <c r="BK50" s="33" t="n"/>
      <c r="BL50" s="33" t="n"/>
      <c r="BM50" s="33" t="n"/>
      <c r="BN50" s="33" t="n"/>
      <c r="BO50" s="33" t="n"/>
      <c r="BP50" s="33" t="n"/>
      <c r="BQ50" s="33" t="n"/>
      <c r="BR50" s="33" t="n"/>
      <c r="BS50" s="33" t="n"/>
      <c r="BT50" s="33" t="n"/>
      <c r="BU50" s="33" t="n"/>
      <c r="BV50" s="33" t="n"/>
      <c r="BW50" s="33" t="n"/>
      <c r="BX50" s="33" t="n"/>
      <c r="BY50" s="33" t="n"/>
      <c r="BZ50" s="33" t="n"/>
      <c r="CA50" s="33" t="n"/>
      <c r="CB50" s="33" t="n"/>
      <c r="CC50" s="33" t="n"/>
      <c r="CD50" s="33" t="n"/>
      <c r="CE50" s="33" t="n"/>
      <c r="CF50" s="33" t="n"/>
      <c r="CG50" s="33" t="n"/>
      <c r="CH50" s="33" t="n"/>
      <c r="CI50" s="33" t="n"/>
      <c r="CJ50" s="33" t="n"/>
      <c r="CK50" s="33" t="n"/>
      <c r="CL50" s="33" t="n"/>
      <c r="CM50" s="33" t="n"/>
      <c r="CN50" s="33" t="n"/>
      <c r="CO50" s="33" t="n"/>
      <c r="CP50" s="33" t="n"/>
      <c r="CQ50" s="33" t="n"/>
      <c r="CR50" s="33" t="n"/>
      <c r="CS50" s="33" t="n"/>
      <c r="CT50" s="33" t="n"/>
      <c r="CU50" s="33" t="n"/>
      <c r="CV50" s="33" t="n"/>
      <c r="CW50" s="33" t="n"/>
      <c r="CX50" s="33" t="n"/>
      <c r="CY50" s="33" t="n"/>
      <c r="CZ50" s="33" t="n"/>
      <c r="DA50" s="33" t="n"/>
      <c r="DB50" s="33" t="n"/>
      <c r="DC50" s="33" t="n"/>
      <c r="DD50" s="33" t="n"/>
      <c r="DE50" s="33" t="n"/>
      <c r="DF50" s="33" t="n"/>
      <c r="DG50" s="33" t="n"/>
      <c r="DH50" s="33" t="n"/>
      <c r="DI50" s="33" t="n"/>
      <c r="DJ50" s="33" t="n"/>
      <c r="DK50" s="33" t="n"/>
      <c r="DL50" s="33" t="n"/>
      <c r="DM50" s="33" t="n"/>
      <c r="DN50" s="33" t="n"/>
      <c r="DO50" s="33" t="n"/>
      <c r="DP50" s="33" t="n"/>
      <c r="DQ50" s="33" t="n"/>
      <c r="DR50" s="33" t="n"/>
      <c r="DS50" s="33" t="n"/>
      <c r="DT50" s="33" t="n"/>
      <c r="DU50" s="33" t="n"/>
      <c r="DV50" s="33" t="n"/>
      <c r="DW50" s="33" t="n"/>
      <c r="DX50" s="33" t="n"/>
      <c r="DY50" s="33" t="n"/>
      <c r="DZ50" s="33" t="n"/>
      <c r="EA50" s="33" t="n"/>
      <c r="EB50" s="33" t="n"/>
      <c r="EC50" s="33" t="n"/>
      <c r="ED50" s="33" t="n"/>
      <c r="EE50" s="33" t="n"/>
      <c r="EF50" s="33" t="n"/>
      <c r="EG50" s="33" t="n"/>
      <c r="EH50" s="33" t="n"/>
      <c r="EI50" s="33" t="n"/>
      <c r="EJ50" s="33" t="n"/>
      <c r="EK50" s="33" t="n"/>
      <c r="EL50" s="33" t="n"/>
      <c r="EM50" s="33" t="n"/>
      <c r="EN50" s="33" t="n"/>
      <c r="EO50" s="33" t="n"/>
      <c r="EP50" s="33" t="n"/>
      <c r="EQ50" s="33" t="n"/>
      <c r="ER50" s="33" t="n"/>
      <c r="ES50" s="33" t="n"/>
      <c r="ET50" s="33" t="n"/>
      <c r="EU50" s="33" t="n"/>
      <c r="EV50" s="33" t="n"/>
      <c r="EW50" s="33" t="n"/>
      <c r="EX50" s="33" t="n"/>
      <c r="EY50" s="33" t="n"/>
      <c r="EZ50" s="33" t="n"/>
      <c r="FA50" s="33" t="n"/>
      <c r="FB50" s="33" t="n"/>
      <c r="FC50" s="33" t="n"/>
      <c r="FD50" s="33" t="n"/>
      <c r="FE50" s="33" t="n"/>
      <c r="FF50" s="33" t="n"/>
      <c r="FG50" s="33" t="n"/>
      <c r="FH50" s="33" t="n"/>
      <c r="FI50" s="33" t="n"/>
      <c r="FJ50" s="33" t="n"/>
      <c r="FK50" s="33" t="n"/>
      <c r="FL50" s="33" t="n"/>
      <c r="FM50" s="33" t="n"/>
      <c r="FN50" s="33" t="n"/>
      <c r="FO50" s="33" t="n"/>
      <c r="FP50" s="33" t="n"/>
      <c r="FQ50" s="33" t="n"/>
      <c r="FR50" s="33" t="n"/>
      <c r="FS50" s="33" t="n"/>
      <c r="FT50" s="33" t="n"/>
      <c r="FU50" s="33" t="n"/>
      <c r="FV50" s="33" t="n"/>
      <c r="FW50" s="33" t="n"/>
      <c r="FX50" s="33" t="n"/>
      <c r="FY50" s="33" t="n"/>
      <c r="FZ50" s="33" t="n"/>
      <c r="GA50" s="33" t="n"/>
      <c r="GB50" s="33" t="n"/>
      <c r="GC50" s="33" t="n"/>
      <c r="GD50" s="33" t="n"/>
      <c r="GE50" s="33" t="n"/>
      <c r="GF50" s="33" t="n"/>
      <c r="GG50" s="33" t="n"/>
      <c r="GH50" s="33" t="n"/>
      <c r="GI50" s="33" t="n"/>
      <c r="GJ50" s="33" t="n"/>
      <c r="GK50" s="33" t="n"/>
      <c r="GL50" s="33" t="n"/>
      <c r="GM50" s="33" t="n"/>
      <c r="GN50" s="33" t="n"/>
      <c r="GO50" s="33" t="n"/>
      <c r="GP50" s="33" t="n"/>
      <c r="GQ50" s="33" t="n"/>
      <c r="GR50" s="33" t="n"/>
      <c r="GS50" s="33" t="n"/>
      <c r="GT50" s="33" t="n"/>
      <c r="GU50" s="33" t="n"/>
      <c r="GV50" s="33" t="n"/>
      <c r="GW50" s="33" t="n"/>
      <c r="GX50" s="33" t="n"/>
      <c r="GY50" s="33" t="n"/>
      <c r="GZ50" s="33" t="n"/>
      <c r="HA50" s="33" t="n"/>
      <c r="HB50" s="33" t="n"/>
      <c r="HC50" s="33" t="n"/>
      <c r="HD50" s="33" t="n"/>
      <c r="HE50" s="33" t="n"/>
      <c r="HF50" s="33" t="n"/>
      <c r="HG50" s="33" t="n"/>
      <c r="HH50" s="33" t="n"/>
      <c r="HI50" s="33" t="n"/>
      <c r="HJ50" s="33" t="n"/>
      <c r="HK50" s="33" t="n"/>
      <c r="HL50" s="33" t="n"/>
      <c r="HM50" s="33" t="n"/>
      <c r="HN50" s="33" t="n"/>
      <c r="HO50" s="33" t="n"/>
      <c r="HP50" s="33" t="n"/>
      <c r="HQ50" s="33" t="n"/>
      <c r="HR50" s="33" t="n"/>
      <c r="HS50" s="33" t="n"/>
      <c r="HT50" s="33" t="n"/>
      <c r="HU50" s="33" t="n"/>
      <c r="HV50" s="33" t="n"/>
      <c r="HW50" s="33" t="n"/>
      <c r="HX50" s="33" t="n"/>
      <c r="HY50" s="33" t="n"/>
      <c r="HZ50" s="33" t="n"/>
      <c r="IA50" s="33" t="n"/>
      <c r="IB50" s="33" t="n"/>
      <c r="IC50" s="33" t="n"/>
      <c r="ID50" s="33" t="n"/>
      <c r="IE50" s="33" t="n"/>
      <c r="IF50" s="33" t="n"/>
      <c r="IG50" s="33" t="n"/>
      <c r="IH50" s="33" t="n"/>
      <c r="II50" s="33" t="n"/>
      <c r="IJ50" s="33" t="n"/>
      <c r="IK50" s="33" t="n"/>
      <c r="IL50" s="33" t="n"/>
      <c r="IM50" s="33" t="n"/>
      <c r="IN50" s="33" t="n"/>
      <c r="IO50" s="33" t="n"/>
      <c r="IP50" s="33" t="n"/>
      <c r="IQ50" s="33" t="n"/>
      <c r="IR50" s="33" t="n"/>
      <c r="IS50" s="33" t="n"/>
      <c r="IT50" s="33" t="n"/>
      <c r="IU50" s="33" t="n"/>
      <c r="IV50" s="33" t="n"/>
      <c r="IW50" s="33" t="n"/>
      <c r="IX50" s="33" t="n"/>
      <c r="IY50" s="33" t="n"/>
      <c r="IZ50" s="33" t="n"/>
      <c r="JA50" s="33" t="n"/>
      <c r="JB50" s="33" t="n"/>
      <c r="JC50" s="33" t="n"/>
      <c r="JD50" s="33" t="n"/>
      <c r="JE50" s="33" t="n"/>
      <c r="JF50" s="33" t="n"/>
      <c r="JG50" s="33" t="n"/>
      <c r="JH50" s="33" t="n"/>
      <c r="JI50" s="33" t="n"/>
      <c r="JJ50" s="33" t="n"/>
      <c r="JK50" s="33" t="n"/>
      <c r="JL50" s="33" t="n"/>
      <c r="JM50" s="33" t="n"/>
      <c r="JN50" s="33" t="n"/>
      <c r="JO50" s="33" t="n"/>
      <c r="JP50" s="33" t="n"/>
      <c r="JQ50" s="33" t="n"/>
      <c r="JR50" s="33" t="n"/>
      <c r="JS50" s="33" t="n"/>
      <c r="JT50" s="33" t="n"/>
      <c r="JU50" s="33" t="n"/>
      <c r="JV50" s="33" t="n"/>
      <c r="JW50" s="33" t="n"/>
      <c r="JX50" s="33" t="n"/>
      <c r="JY50" s="33" t="n"/>
      <c r="JZ50" s="33" t="n"/>
      <c r="KA50" s="33" t="n"/>
      <c r="KB50" s="33" t="n"/>
      <c r="KC50" s="33" t="n"/>
      <c r="KD50" s="33" t="n"/>
      <c r="KE50" s="33" t="n"/>
      <c r="KF50" s="33" t="n"/>
      <c r="KG50" s="33" t="n"/>
      <c r="KH50" s="33" t="n"/>
      <c r="KI50" s="33" t="n"/>
      <c r="KJ50" s="33" t="n"/>
      <c r="KK50" s="33" t="n"/>
      <c r="KL50" s="33" t="n"/>
      <c r="KM50" s="33" t="n"/>
      <c r="KN50" s="33" t="n"/>
      <c r="KO50" s="33" t="n"/>
      <c r="KP50" s="33" t="n"/>
      <c r="KQ50" s="33" t="n"/>
      <c r="KR50" s="33" t="n"/>
      <c r="KS50" s="33" t="n"/>
      <c r="KT50" s="33" t="n"/>
      <c r="KU50" s="33" t="n"/>
      <c r="KV50" s="33" t="n"/>
      <c r="KW50" s="33" t="n"/>
      <c r="KX50" s="33" t="n"/>
      <c r="KY50" s="33" t="n"/>
      <c r="KZ50" s="33" t="n"/>
      <c r="LA50" s="33" t="n"/>
      <c r="LB50" s="33" t="n"/>
      <c r="LC50" s="33" t="n"/>
      <c r="LD50" s="33" t="n"/>
      <c r="LE50" s="33" t="n"/>
      <c r="LF50" s="33" t="n"/>
      <c r="LG50" s="33" t="n"/>
      <c r="LH50" s="33" t="n"/>
      <c r="LI50" s="33" t="n"/>
      <c r="LJ50" s="33" t="n"/>
      <c r="LK50" s="33" t="n"/>
      <c r="LL50" s="33" t="n"/>
      <c r="LM50" s="33" t="n"/>
      <c r="LN50" s="33" t="n"/>
      <c r="LO50" s="33" t="n"/>
      <c r="LP50" s="33" t="n"/>
      <c r="LQ50" s="33" t="n"/>
      <c r="LR50" s="33" t="n"/>
      <c r="LS50" s="33" t="n"/>
      <c r="LT50" s="33" t="n"/>
      <c r="LU50" s="33" t="n"/>
      <c r="LV50" s="33" t="n"/>
      <c r="LW50" s="33" t="n"/>
      <c r="LX50" s="33" t="n"/>
      <c r="LY50" s="33" t="n"/>
      <c r="LZ50" s="33" t="n"/>
      <c r="MA50" s="33" t="n"/>
      <c r="MB50" s="33" t="n"/>
      <c r="MC50" s="33" t="n"/>
      <c r="MD50" s="33" t="n"/>
      <c r="ME50" s="33" t="n"/>
      <c r="MF50" s="33" t="n"/>
      <c r="MG50" s="33" t="n"/>
      <c r="MH50" s="33" t="n"/>
      <c r="MI50" s="33" t="n"/>
      <c r="MJ50" s="33" t="n"/>
      <c r="MK50" s="33" t="n"/>
      <c r="ML50" s="33" t="n"/>
      <c r="MM50" s="33" t="n"/>
      <c r="MN50" s="33" t="n"/>
      <c r="MO50" s="33" t="n"/>
      <c r="MP50" s="33" t="n"/>
      <c r="MQ50" s="33" t="n"/>
      <c r="MR50" s="33" t="n"/>
      <c r="MS50" s="33" t="n"/>
      <c r="MT50" s="33" t="n"/>
      <c r="MU50" s="33" t="n"/>
      <c r="MV50" s="33" t="n"/>
      <c r="MW50" s="33" t="n"/>
      <c r="MX50" s="33" t="n"/>
      <c r="MY50" s="33" t="n"/>
      <c r="MZ50" s="33" t="n"/>
      <c r="NA50" s="33" t="n"/>
      <c r="NB50" s="33" t="n"/>
      <c r="NC50" s="33" t="n"/>
      <c r="ND50" s="33" t="n"/>
      <c r="NE50" s="33" t="n"/>
      <c r="NF50" s="33" t="n"/>
      <c r="NG50" s="33" t="n"/>
      <c r="NH50" s="33" t="n"/>
      <c r="NI50" s="33" t="n"/>
      <c r="NJ50" s="33" t="n"/>
      <c r="NK50" s="33" t="n"/>
      <c r="NL50" s="33" t="n"/>
      <c r="NM50" s="33" t="n"/>
      <c r="NN50" s="33" t="n"/>
      <c r="NO50" s="33" t="n"/>
      <c r="NP50" s="33" t="n"/>
      <c r="NQ50" s="33" t="n"/>
      <c r="NR50" s="33" t="n"/>
      <c r="NS50" s="33" t="n"/>
      <c r="NT50" s="33" t="n"/>
      <c r="NU50" s="33" t="n"/>
      <c r="NV50" s="33" t="n"/>
      <c r="NW50" s="33" t="n"/>
      <c r="NX50" s="33" t="n"/>
      <c r="NY50" s="33" t="n"/>
      <c r="NZ50" s="33" t="n"/>
      <c r="OA50" s="33" t="n"/>
      <c r="OB50" s="33" t="n"/>
      <c r="OC50" s="33" t="n"/>
      <c r="OD50" s="33" t="n"/>
      <c r="OE50" s="33" t="n"/>
      <c r="OF50" s="33" t="n"/>
      <c r="OG50" s="33" t="n"/>
      <c r="OH50" s="33" t="n"/>
      <c r="OI50" s="33" t="n"/>
      <c r="OJ50" s="33" t="n"/>
      <c r="OK50" s="33" t="n"/>
      <c r="OL50" s="33" t="n"/>
      <c r="OM50" s="33" t="n"/>
      <c r="ON50" s="33" t="n"/>
      <c r="OO50" s="33" t="n"/>
      <c r="OP50" s="33" t="n"/>
      <c r="OQ50" s="33" t="n"/>
      <c r="OR50" s="33" t="n"/>
      <c r="OS50" s="33" t="n"/>
      <c r="OT50" s="33" t="n"/>
      <c r="OU50" s="33" t="n"/>
      <c r="OV50" s="33" t="n"/>
      <c r="OW50" s="33" t="n"/>
      <c r="OX50" s="33" t="n"/>
      <c r="OY50" s="33" t="n"/>
      <c r="OZ50" s="33" t="n"/>
      <c r="PA50" s="33" t="n"/>
      <c r="PB50" s="33" t="n"/>
      <c r="PC50" s="33" t="n"/>
      <c r="PD50" s="33" t="n"/>
      <c r="PE50" s="33" t="n"/>
      <c r="PF50" s="33" t="n"/>
      <c r="PG50" s="33" t="n"/>
      <c r="PH50" s="33" t="n"/>
      <c r="PI50" s="33" t="n"/>
      <c r="PJ50" s="33" t="n"/>
      <c r="PK50" s="33" t="n"/>
      <c r="PL50" s="33" t="n"/>
      <c r="PM50" s="33" t="n"/>
      <c r="PN50" s="33" t="n"/>
      <c r="PO50" s="33" t="n"/>
      <c r="PP50" s="33" t="n"/>
      <c r="PQ50" s="33" t="n"/>
      <c r="PR50" s="33" t="n"/>
      <c r="PS50" s="33" t="n"/>
      <c r="PT50" s="33" t="n"/>
      <c r="PU50" s="33" t="n"/>
      <c r="PV50" s="33" t="n"/>
      <c r="PW50" s="33" t="n"/>
      <c r="PX50" s="33" t="n"/>
      <c r="PY50" s="33" t="n"/>
      <c r="PZ50" s="33" t="n"/>
      <c r="QA50" s="33" t="n"/>
      <c r="QB50" s="33" t="n"/>
      <c r="QC50" s="33" t="n"/>
      <c r="QD50" s="33" t="n"/>
      <c r="QE50" s="33" t="n"/>
      <c r="QF50" s="33" t="n"/>
      <c r="QG50" s="33" t="n"/>
      <c r="QH50" s="33" t="n"/>
      <c r="QI50" s="33" t="n"/>
      <c r="QJ50" s="33" t="n"/>
      <c r="QK50" s="33" t="n"/>
      <c r="QL50" s="33" t="n"/>
      <c r="QM50" s="33" t="n"/>
      <c r="QN50" s="33" t="n"/>
      <c r="QO50" s="33" t="n"/>
      <c r="QP50" s="33" t="n"/>
      <c r="QQ50" s="33" t="n"/>
      <c r="QR50" s="33" t="n"/>
      <c r="QS50" s="33" t="n"/>
      <c r="QT50" s="33" t="n"/>
      <c r="QU50" s="33" t="n"/>
      <c r="QV50" s="33" t="n"/>
      <c r="QW50" s="33" t="n"/>
      <c r="QX50" s="33" t="n"/>
      <c r="QY50" s="33" t="n"/>
      <c r="QZ50" s="33" t="n"/>
      <c r="RA50" s="33" t="n"/>
      <c r="RB50" s="33" t="n"/>
      <c r="RC50" s="33" t="n"/>
      <c r="RD50" s="33" t="n"/>
      <c r="RE50" s="33" t="n"/>
      <c r="RF50" s="33" t="n"/>
      <c r="RG50" s="33" t="n"/>
      <c r="RH50" s="33" t="n"/>
      <c r="RI50" s="33" t="n"/>
      <c r="RJ50" s="33" t="n"/>
      <c r="RK50" s="33" t="n"/>
      <c r="RL50" s="33" t="n"/>
      <c r="RM50" s="33" t="n"/>
      <c r="RN50" s="33" t="n"/>
      <c r="RO50" s="33" t="n"/>
      <c r="RP50" s="33" t="n"/>
      <c r="RQ50" s="33" t="n"/>
      <c r="RR50" s="33" t="n"/>
      <c r="RS50" s="33" t="n"/>
      <c r="RT50" s="33" t="n"/>
      <c r="RU50" s="33" t="n"/>
      <c r="RV50" s="33" t="n"/>
      <c r="RW50" s="33" t="n"/>
    </row>
    <row r="51" ht="5.25" customHeight="1"/>
    <row r="52" ht="13.05" customHeight="1">
      <c r="E52" s="21" t="inlineStr">
        <is>
          <t>Decommissioning Provision</t>
        </is>
      </c>
      <c r="F52" s="29" t="n"/>
      <c r="G52" s="29" t="inlineStr">
        <is>
          <t>kEUR</t>
        </is>
      </c>
      <c r="H52" s="29" t="n"/>
      <c r="I52" s="29" t="n"/>
      <c r="J52" s="32" t="n"/>
      <c r="K52" s="29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3" t="n"/>
      <c r="AY52" s="33" t="n"/>
      <c r="AZ52" s="33" t="n"/>
      <c r="BA52" s="33" t="n"/>
      <c r="BB52" s="33" t="n"/>
      <c r="BC52" s="33" t="n"/>
      <c r="BD52" s="33" t="n"/>
      <c r="BE52" s="33" t="n"/>
      <c r="BF52" s="33" t="n"/>
      <c r="BG52" s="33" t="n"/>
      <c r="BH52" s="33" t="n"/>
      <c r="BI52" s="33" t="n"/>
      <c r="BJ52" s="33" t="n"/>
      <c r="BK52" s="33" t="n"/>
      <c r="BL52" s="33" t="n"/>
      <c r="BM52" s="33" t="n"/>
      <c r="BN52" s="33" t="n"/>
      <c r="BO52" s="33" t="n"/>
      <c r="BP52" s="33" t="n"/>
      <c r="BQ52" s="33" t="n"/>
      <c r="BR52" s="33" t="n"/>
      <c r="BS52" s="33" t="n"/>
      <c r="BT52" s="33" t="n"/>
      <c r="BU52" s="33" t="n"/>
      <c r="BV52" s="33" t="n"/>
      <c r="BW52" s="33" t="n"/>
      <c r="BX52" s="33" t="n"/>
      <c r="BY52" s="33" t="n"/>
      <c r="BZ52" s="33" t="n"/>
      <c r="CA52" s="33" t="n"/>
      <c r="CB52" s="33" t="n"/>
      <c r="CC52" s="33" t="n"/>
      <c r="CD52" s="33" t="n"/>
      <c r="CE52" s="33" t="n"/>
      <c r="CF52" s="33" t="n"/>
      <c r="CG52" s="33" t="n"/>
      <c r="CH52" s="33" t="n"/>
      <c r="CI52" s="33" t="n"/>
      <c r="CJ52" s="33" t="n"/>
      <c r="CK52" s="33" t="n"/>
      <c r="CL52" s="33" t="n"/>
      <c r="CM52" s="33" t="n"/>
      <c r="CN52" s="33" t="n"/>
      <c r="CO52" s="33" t="n"/>
      <c r="CP52" s="33" t="n"/>
      <c r="CQ52" s="33" t="n"/>
      <c r="CR52" s="33" t="n"/>
      <c r="CS52" s="33" t="n"/>
      <c r="CT52" s="33" t="n"/>
      <c r="CU52" s="33" t="n"/>
      <c r="CV52" s="33" t="n"/>
      <c r="CW52" s="33" t="n"/>
      <c r="CX52" s="33" t="n"/>
      <c r="CY52" s="33" t="n"/>
      <c r="CZ52" s="33" t="n"/>
      <c r="DA52" s="33" t="n"/>
      <c r="DB52" s="33" t="n"/>
      <c r="DC52" s="33" t="n"/>
      <c r="DD52" s="33" t="n"/>
      <c r="DE52" s="33" t="n"/>
      <c r="DF52" s="33" t="n"/>
      <c r="DG52" s="33" t="n"/>
      <c r="DH52" s="33" t="n"/>
      <c r="DI52" s="33" t="n"/>
      <c r="DJ52" s="33" t="n"/>
      <c r="DK52" s="33" t="n"/>
      <c r="DL52" s="33" t="n"/>
      <c r="DM52" s="33" t="n"/>
      <c r="DN52" s="33" t="n"/>
      <c r="DO52" s="33" t="n"/>
      <c r="DP52" s="33" t="n"/>
      <c r="DQ52" s="33" t="n"/>
      <c r="DR52" s="33" t="n"/>
      <c r="DS52" s="33" t="n"/>
      <c r="DT52" s="33" t="n"/>
      <c r="DU52" s="33" t="n"/>
      <c r="DV52" s="33" t="n"/>
      <c r="DW52" s="33" t="n"/>
      <c r="DX52" s="33" t="n"/>
      <c r="DY52" s="33" t="n"/>
      <c r="DZ52" s="33" t="n"/>
      <c r="EA52" s="33" t="n"/>
      <c r="EB52" s="33" t="n"/>
      <c r="EC52" s="33" t="n"/>
      <c r="ED52" s="33" t="n"/>
      <c r="EE52" s="33" t="n"/>
      <c r="EF52" s="33" t="n"/>
      <c r="EG52" s="33" t="n"/>
      <c r="EH52" s="33" t="n"/>
      <c r="EI52" s="33" t="n"/>
      <c r="EJ52" s="33" t="n"/>
      <c r="EK52" s="33" t="n"/>
      <c r="EL52" s="33" t="n"/>
      <c r="EM52" s="33" t="n"/>
      <c r="EN52" s="33" t="n"/>
      <c r="EO52" s="33" t="n"/>
      <c r="EP52" s="33" t="n"/>
      <c r="EQ52" s="33" t="n"/>
      <c r="ER52" s="33" t="n"/>
      <c r="ES52" s="33" t="n"/>
      <c r="ET52" s="33" t="n"/>
      <c r="EU52" s="33" t="n"/>
      <c r="EV52" s="33" t="n"/>
      <c r="EW52" s="33" t="n"/>
      <c r="EX52" s="33" t="n"/>
      <c r="EY52" s="33" t="n"/>
      <c r="EZ52" s="33" t="n"/>
      <c r="FA52" s="33" t="n"/>
      <c r="FB52" s="33" t="n"/>
      <c r="FC52" s="33" t="n"/>
      <c r="FD52" s="33" t="n"/>
      <c r="FE52" s="33" t="n"/>
      <c r="FF52" s="33" t="n"/>
      <c r="FG52" s="33" t="n"/>
      <c r="FH52" s="33" t="n"/>
      <c r="FI52" s="33" t="n"/>
      <c r="FJ52" s="33" t="n"/>
      <c r="FK52" s="33" t="n"/>
      <c r="FL52" s="33" t="n"/>
      <c r="FM52" s="33" t="n"/>
      <c r="FN52" s="33" t="n"/>
      <c r="FO52" s="33" t="n"/>
      <c r="FP52" s="33" t="n"/>
      <c r="FQ52" s="33" t="n"/>
      <c r="FR52" s="33" t="n"/>
      <c r="FS52" s="33" t="n"/>
      <c r="FT52" s="33" t="n"/>
      <c r="FU52" s="33" t="n"/>
      <c r="FV52" s="33" t="n"/>
      <c r="FW52" s="33" t="n"/>
      <c r="FX52" s="33" t="n"/>
      <c r="FY52" s="33" t="n"/>
      <c r="FZ52" s="33" t="n"/>
      <c r="GA52" s="33" t="n"/>
      <c r="GB52" s="33" t="n"/>
      <c r="GC52" s="33" t="n"/>
      <c r="GD52" s="33" t="n"/>
      <c r="GE52" s="33" t="n"/>
      <c r="GF52" s="33" t="n"/>
      <c r="GG52" s="33" t="n"/>
      <c r="GH52" s="33" t="n"/>
      <c r="GI52" s="33" t="n"/>
      <c r="GJ52" s="33" t="n"/>
      <c r="GK52" s="33" t="n"/>
      <c r="GL52" s="33" t="n"/>
      <c r="GM52" s="33" t="n"/>
      <c r="GN52" s="33" t="n"/>
      <c r="GO52" s="33" t="n"/>
      <c r="GP52" s="33" t="n"/>
      <c r="GQ52" s="33" t="n"/>
      <c r="GR52" s="33" t="n"/>
      <c r="GS52" s="33" t="n"/>
      <c r="GT52" s="33" t="n"/>
      <c r="GU52" s="33" t="n"/>
      <c r="GV52" s="33" t="n"/>
      <c r="GW52" s="33" t="n"/>
      <c r="GX52" s="33" t="n"/>
      <c r="GY52" s="33" t="n"/>
      <c r="GZ52" s="33" t="n"/>
      <c r="HA52" s="33" t="n"/>
      <c r="HB52" s="33" t="n"/>
      <c r="HC52" s="33" t="n"/>
      <c r="HD52" s="33" t="n"/>
      <c r="HE52" s="33" t="n"/>
      <c r="HF52" s="33" t="n"/>
      <c r="HG52" s="33" t="n"/>
      <c r="HH52" s="33" t="n"/>
      <c r="HI52" s="33" t="n"/>
      <c r="HJ52" s="33" t="n"/>
      <c r="HK52" s="33" t="n"/>
      <c r="HL52" s="33" t="n"/>
      <c r="HM52" s="33" t="n"/>
      <c r="HN52" s="33" t="n"/>
      <c r="HO52" s="33" t="n"/>
      <c r="HP52" s="33" t="n"/>
      <c r="HQ52" s="33" t="n"/>
      <c r="HR52" s="33" t="n"/>
      <c r="HS52" s="33" t="n"/>
      <c r="HT52" s="33" t="n"/>
      <c r="HU52" s="33" t="n"/>
      <c r="HV52" s="33" t="n"/>
      <c r="HW52" s="33" t="n"/>
      <c r="HX52" s="33" t="n"/>
      <c r="HY52" s="33" t="n"/>
      <c r="HZ52" s="33" t="n"/>
      <c r="IA52" s="33" t="n"/>
      <c r="IB52" s="33" t="n"/>
      <c r="IC52" s="33" t="n"/>
      <c r="ID52" s="33" t="n"/>
      <c r="IE52" s="33" t="n"/>
      <c r="IF52" s="33" t="n"/>
      <c r="IG52" s="33" t="n"/>
      <c r="IH52" s="33" t="n"/>
      <c r="II52" s="33" t="n"/>
      <c r="IJ52" s="33" t="n"/>
      <c r="IK52" s="33" t="n"/>
      <c r="IL52" s="33" t="n"/>
      <c r="IM52" s="33" t="n"/>
      <c r="IN52" s="33" t="n"/>
      <c r="IO52" s="33" t="n"/>
      <c r="IP52" s="33" t="n"/>
      <c r="IQ52" s="33" t="n"/>
      <c r="IR52" s="33" t="n"/>
      <c r="IS52" s="33" t="n"/>
      <c r="IT52" s="33" t="n"/>
      <c r="IU52" s="33" t="n"/>
      <c r="IV52" s="33" t="n"/>
      <c r="IW52" s="33" t="n"/>
      <c r="IX52" s="33" t="n"/>
      <c r="IY52" s="33" t="n"/>
      <c r="IZ52" s="33" t="n"/>
      <c r="JA52" s="33" t="n"/>
      <c r="JB52" s="33" t="n"/>
      <c r="JC52" s="33" t="n"/>
      <c r="JD52" s="33" t="n"/>
      <c r="JE52" s="33" t="n"/>
      <c r="JF52" s="33" t="n"/>
      <c r="JG52" s="33" t="n"/>
      <c r="JH52" s="33" t="n"/>
      <c r="JI52" s="33" t="n"/>
      <c r="JJ52" s="33" t="n"/>
      <c r="JK52" s="33" t="n"/>
      <c r="JL52" s="33" t="n"/>
      <c r="JM52" s="33" t="n"/>
      <c r="JN52" s="33" t="n"/>
      <c r="JO52" s="33" t="n"/>
      <c r="JP52" s="33" t="n"/>
      <c r="JQ52" s="33" t="n"/>
      <c r="JR52" s="33" t="n"/>
      <c r="JS52" s="33" t="n"/>
      <c r="JT52" s="33" t="n"/>
      <c r="JU52" s="33" t="n"/>
      <c r="JV52" s="33" t="n"/>
      <c r="JW52" s="33" t="n"/>
      <c r="JX52" s="33" t="n"/>
      <c r="JY52" s="33" t="n"/>
      <c r="JZ52" s="33" t="n"/>
      <c r="KA52" s="33" t="n"/>
      <c r="KB52" s="33" t="n"/>
      <c r="KC52" s="33" t="n"/>
      <c r="KD52" s="33" t="n"/>
      <c r="KE52" s="33" t="n"/>
      <c r="KF52" s="33" t="n"/>
      <c r="KG52" s="33" t="n"/>
      <c r="KH52" s="33" t="n"/>
      <c r="KI52" s="33" t="n"/>
      <c r="KJ52" s="33" t="n"/>
      <c r="KK52" s="33" t="n"/>
      <c r="KL52" s="33" t="n"/>
      <c r="KM52" s="33" t="n"/>
      <c r="KN52" s="33" t="n"/>
      <c r="KO52" s="33" t="n"/>
      <c r="KP52" s="33" t="n"/>
      <c r="KQ52" s="33" t="n"/>
      <c r="KR52" s="33" t="n"/>
      <c r="KS52" s="33" t="n"/>
      <c r="KT52" s="33" t="n"/>
      <c r="KU52" s="33" t="n"/>
      <c r="KV52" s="33" t="n"/>
      <c r="KW52" s="33" t="n"/>
      <c r="KX52" s="33" t="n"/>
      <c r="KY52" s="33" t="n"/>
      <c r="KZ52" s="33" t="n"/>
      <c r="LA52" s="33" t="n"/>
      <c r="LB52" s="33" t="n"/>
      <c r="LC52" s="33" t="n"/>
      <c r="LD52" s="33" t="n"/>
      <c r="LE52" s="33" t="n"/>
      <c r="LF52" s="33" t="n"/>
      <c r="LG52" s="33" t="n"/>
      <c r="LH52" s="33" t="n"/>
      <c r="LI52" s="33" t="n"/>
      <c r="LJ52" s="33" t="n"/>
      <c r="LK52" s="33" t="n"/>
      <c r="LL52" s="33" t="n"/>
      <c r="LM52" s="33" t="n"/>
      <c r="LN52" s="33" t="n"/>
      <c r="LO52" s="33" t="n"/>
      <c r="LP52" s="33" t="n"/>
      <c r="LQ52" s="33" t="n"/>
      <c r="LR52" s="33" t="n"/>
      <c r="LS52" s="33" t="n"/>
      <c r="LT52" s="33" t="n"/>
      <c r="LU52" s="33" t="n"/>
      <c r="LV52" s="33" t="n"/>
      <c r="LW52" s="33" t="n"/>
      <c r="LX52" s="33" t="n"/>
      <c r="LY52" s="33" t="n"/>
      <c r="LZ52" s="33" t="n"/>
      <c r="MA52" s="33" t="n"/>
      <c r="MB52" s="33" t="n"/>
      <c r="MC52" s="33" t="n"/>
      <c r="MD52" s="33" t="n"/>
      <c r="ME52" s="33" t="n"/>
      <c r="MF52" s="33" t="n"/>
      <c r="MG52" s="33" t="n"/>
      <c r="MH52" s="33" t="n"/>
      <c r="MI52" s="33" t="n"/>
      <c r="MJ52" s="33" t="n"/>
      <c r="MK52" s="33" t="n"/>
      <c r="ML52" s="33" t="n"/>
      <c r="MM52" s="33" t="n"/>
      <c r="MN52" s="33" t="n"/>
      <c r="MO52" s="33" t="n"/>
      <c r="MP52" s="33" t="n"/>
      <c r="MQ52" s="33" t="n"/>
      <c r="MR52" s="33" t="n"/>
      <c r="MS52" s="33" t="n"/>
      <c r="MT52" s="33" t="n"/>
      <c r="MU52" s="33" t="n"/>
      <c r="MV52" s="33" t="n"/>
      <c r="MW52" s="33" t="n"/>
      <c r="MX52" s="33" t="n"/>
      <c r="MY52" s="33" t="n"/>
      <c r="MZ52" s="33" t="n"/>
      <c r="NA52" s="33" t="n"/>
      <c r="NB52" s="33" t="n"/>
      <c r="NC52" s="33" t="n"/>
      <c r="ND52" s="33" t="n"/>
      <c r="NE52" s="33" t="n"/>
      <c r="NF52" s="33" t="n"/>
      <c r="NG52" s="33" t="n"/>
      <c r="NH52" s="33" t="n"/>
      <c r="NI52" s="33" t="n"/>
      <c r="NJ52" s="33" t="n"/>
      <c r="NK52" s="33" t="n"/>
      <c r="NL52" s="33" t="n"/>
      <c r="NM52" s="33" t="n"/>
      <c r="NN52" s="33" t="n"/>
      <c r="NO52" s="33" t="n"/>
      <c r="NP52" s="33" t="n"/>
      <c r="NQ52" s="33" t="n"/>
      <c r="NR52" s="33" t="n"/>
      <c r="NS52" s="33" t="n"/>
      <c r="NT52" s="33" t="n"/>
      <c r="NU52" s="33" t="n"/>
      <c r="NV52" s="33" t="n"/>
      <c r="NW52" s="33" t="n"/>
      <c r="NX52" s="33" t="n"/>
      <c r="NY52" s="33" t="n"/>
      <c r="NZ52" s="33" t="n"/>
      <c r="OA52" s="33" t="n"/>
      <c r="OB52" s="33" t="n"/>
      <c r="OC52" s="33" t="n"/>
      <c r="OD52" s="33" t="n"/>
      <c r="OE52" s="33" t="n"/>
      <c r="OF52" s="33" t="n"/>
      <c r="OG52" s="33" t="n"/>
      <c r="OH52" s="33" t="n"/>
      <c r="OI52" s="33" t="n"/>
      <c r="OJ52" s="33" t="n"/>
      <c r="OK52" s="33" t="n"/>
      <c r="OL52" s="33" t="n"/>
      <c r="OM52" s="33" t="n"/>
      <c r="ON52" s="33" t="n"/>
      <c r="OO52" s="33" t="n"/>
      <c r="OP52" s="33" t="n"/>
      <c r="OQ52" s="33" t="n"/>
      <c r="OR52" s="33" t="n"/>
      <c r="OS52" s="33" t="n"/>
      <c r="OT52" s="33" t="n"/>
      <c r="OU52" s="33" t="n"/>
      <c r="OV52" s="33" t="n"/>
      <c r="OW52" s="33" t="n"/>
      <c r="OX52" s="33" t="n"/>
      <c r="OY52" s="33" t="n"/>
      <c r="OZ52" s="33" t="n"/>
      <c r="PA52" s="33" t="n"/>
      <c r="PB52" s="33" t="n"/>
      <c r="PC52" s="33" t="n"/>
      <c r="PD52" s="33" t="n"/>
      <c r="PE52" s="33" t="n"/>
      <c r="PF52" s="33" t="n"/>
      <c r="PG52" s="33" t="n"/>
      <c r="PH52" s="33" t="n"/>
      <c r="PI52" s="33" t="n"/>
      <c r="PJ52" s="33" t="n"/>
      <c r="PK52" s="33" t="n"/>
      <c r="PL52" s="33" t="n"/>
      <c r="PM52" s="33" t="n"/>
      <c r="PN52" s="33" t="n"/>
      <c r="PO52" s="33" t="n"/>
      <c r="PP52" s="33" t="n"/>
      <c r="PQ52" s="33" t="n"/>
      <c r="PR52" s="33" t="n"/>
      <c r="PS52" s="33" t="n"/>
      <c r="PT52" s="33" t="n"/>
      <c r="PU52" s="33" t="n"/>
      <c r="PV52" s="33" t="n"/>
      <c r="PW52" s="33" t="n"/>
      <c r="PX52" s="33" t="n"/>
      <c r="PY52" s="33" t="n"/>
      <c r="PZ52" s="33" t="n"/>
      <c r="QA52" s="33" t="n"/>
      <c r="QB52" s="33" t="n"/>
      <c r="QC52" s="33" t="n"/>
      <c r="QD52" s="33" t="n"/>
      <c r="QE52" s="33" t="n"/>
      <c r="QF52" s="33" t="n"/>
      <c r="QG52" s="33" t="n"/>
      <c r="QH52" s="33" t="n"/>
      <c r="QI52" s="33" t="n"/>
      <c r="QJ52" s="33" t="n"/>
      <c r="QK52" s="33" t="n"/>
      <c r="QL52" s="33" t="n"/>
      <c r="QM52" s="33" t="n"/>
      <c r="QN52" s="33" t="n"/>
      <c r="QO52" s="33" t="n"/>
      <c r="QP52" s="33" t="n"/>
      <c r="QQ52" s="33" t="n"/>
      <c r="QR52" s="33" t="n"/>
      <c r="QS52" s="33" t="n"/>
      <c r="QT52" s="33" t="n"/>
      <c r="QU52" s="33" t="n"/>
      <c r="QV52" s="33" t="n"/>
      <c r="QW52" s="33" t="n"/>
      <c r="QX52" s="33" t="n"/>
      <c r="QY52" s="33" t="n"/>
      <c r="QZ52" s="33" t="n"/>
      <c r="RA52" s="33" t="n"/>
      <c r="RB52" s="33" t="n"/>
      <c r="RC52" s="33" t="n"/>
      <c r="RD52" s="33" t="n"/>
      <c r="RE52" s="33" t="n"/>
      <c r="RF52" s="33" t="n"/>
      <c r="RG52" s="33" t="n"/>
      <c r="RH52" s="33" t="n"/>
      <c r="RI52" s="33" t="n"/>
      <c r="RJ52" s="33" t="n"/>
      <c r="RK52" s="33" t="n"/>
      <c r="RL52" s="33" t="n"/>
      <c r="RM52" s="33" t="n"/>
      <c r="RN52" s="33" t="n"/>
      <c r="RO52" s="33" t="n"/>
      <c r="RP52" s="33" t="n"/>
      <c r="RQ52" s="33" t="n"/>
      <c r="RR52" s="33" t="n"/>
      <c r="RS52" s="33" t="n"/>
      <c r="RT52" s="33" t="n"/>
      <c r="RU52" s="33" t="n"/>
      <c r="RV52" s="33" t="n"/>
      <c r="RW52" s="33" t="n"/>
    </row>
    <row r="53" ht="13.05" customHeight="1">
      <c r="E53" s="21" t="inlineStr">
        <is>
          <t>fund_balance</t>
        </is>
      </c>
      <c r="F53" s="29" t="n"/>
      <c r="G53" s="29" t="inlineStr">
        <is>
          <t>kEUR</t>
        </is>
      </c>
      <c r="H53" s="29" t="n"/>
      <c r="I53" s="29" t="n"/>
      <c r="J53" s="32" t="n"/>
      <c r="K53" s="29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3" t="n"/>
      <c r="AY53" s="33" t="n"/>
      <c r="AZ53" s="33" t="n"/>
      <c r="BA53" s="33" t="n"/>
      <c r="BB53" s="33" t="n"/>
      <c r="BC53" s="33" t="n"/>
      <c r="BD53" s="33" t="n"/>
      <c r="BE53" s="33" t="n"/>
      <c r="BF53" s="33" t="n"/>
      <c r="BG53" s="33" t="n"/>
      <c r="BH53" s="33" t="n"/>
      <c r="BI53" s="33" t="n"/>
      <c r="BJ53" s="33" t="n"/>
      <c r="BK53" s="33" t="n"/>
      <c r="BL53" s="33" t="n"/>
      <c r="BM53" s="33" t="n"/>
      <c r="BN53" s="33" t="n"/>
      <c r="BO53" s="33" t="n"/>
      <c r="BP53" s="33" t="n"/>
      <c r="BQ53" s="33" t="n"/>
      <c r="BR53" s="33" t="n"/>
      <c r="BS53" s="33" t="n"/>
      <c r="BT53" s="33" t="n"/>
      <c r="BU53" s="33" t="n"/>
      <c r="BV53" s="33" t="n"/>
      <c r="BW53" s="33" t="n"/>
      <c r="BX53" s="33" t="n"/>
      <c r="BY53" s="33" t="n"/>
      <c r="BZ53" s="33" t="n"/>
      <c r="CA53" s="33" t="n"/>
      <c r="CB53" s="33" t="n"/>
      <c r="CC53" s="33" t="n"/>
      <c r="CD53" s="33" t="n"/>
      <c r="CE53" s="33" t="n"/>
      <c r="CF53" s="33" t="n"/>
      <c r="CG53" s="33" t="n"/>
      <c r="CH53" s="33" t="n"/>
      <c r="CI53" s="33" t="n"/>
      <c r="CJ53" s="33" t="n"/>
      <c r="CK53" s="33" t="n"/>
      <c r="CL53" s="33" t="n"/>
      <c r="CM53" s="33" t="n"/>
      <c r="CN53" s="33" t="n"/>
      <c r="CO53" s="33" t="n"/>
      <c r="CP53" s="33" t="n"/>
      <c r="CQ53" s="33" t="n"/>
      <c r="CR53" s="33" t="n"/>
      <c r="CS53" s="33" t="n"/>
      <c r="CT53" s="33" t="n"/>
      <c r="CU53" s="33" t="n"/>
      <c r="CV53" s="33" t="n"/>
      <c r="CW53" s="33" t="n"/>
      <c r="CX53" s="33" t="n"/>
      <c r="CY53" s="33" t="n"/>
      <c r="CZ53" s="33" t="n"/>
      <c r="DA53" s="33" t="n"/>
      <c r="DB53" s="33" t="n"/>
      <c r="DC53" s="33" t="n"/>
      <c r="DD53" s="33" t="n"/>
      <c r="DE53" s="33" t="n"/>
      <c r="DF53" s="33" t="n"/>
      <c r="DG53" s="33" t="n"/>
      <c r="DH53" s="33" t="n"/>
      <c r="DI53" s="33" t="n"/>
      <c r="DJ53" s="33" t="n"/>
      <c r="DK53" s="33" t="n"/>
      <c r="DL53" s="33" t="n"/>
      <c r="DM53" s="33" t="n"/>
      <c r="DN53" s="33" t="n"/>
      <c r="DO53" s="33" t="n"/>
      <c r="DP53" s="33" t="n"/>
      <c r="DQ53" s="33" t="n"/>
      <c r="DR53" s="33" t="n"/>
      <c r="DS53" s="33" t="n"/>
      <c r="DT53" s="33" t="n"/>
      <c r="DU53" s="33" t="n"/>
      <c r="DV53" s="33" t="n"/>
      <c r="DW53" s="33" t="n"/>
      <c r="DX53" s="33" t="n"/>
      <c r="DY53" s="33" t="n"/>
      <c r="DZ53" s="33" t="n"/>
      <c r="EA53" s="33" t="n"/>
      <c r="EB53" s="33" t="n"/>
      <c r="EC53" s="33" t="n"/>
      <c r="ED53" s="33" t="n"/>
      <c r="EE53" s="33" t="n"/>
      <c r="EF53" s="33" t="n"/>
      <c r="EG53" s="33" t="n"/>
      <c r="EH53" s="33" t="n"/>
      <c r="EI53" s="33" t="n"/>
      <c r="EJ53" s="33" t="n"/>
      <c r="EK53" s="33" t="n"/>
      <c r="EL53" s="33" t="n"/>
      <c r="EM53" s="33" t="n"/>
      <c r="EN53" s="33" t="n"/>
      <c r="EO53" s="33" t="n"/>
      <c r="EP53" s="33" t="n"/>
      <c r="EQ53" s="33" t="n"/>
      <c r="ER53" s="33" t="n"/>
      <c r="ES53" s="33" t="n"/>
      <c r="ET53" s="33" t="n"/>
      <c r="EU53" s="33" t="n"/>
      <c r="EV53" s="33" t="n"/>
      <c r="EW53" s="33" t="n"/>
      <c r="EX53" s="33" t="n"/>
      <c r="EY53" s="33" t="n"/>
      <c r="EZ53" s="33" t="n"/>
      <c r="FA53" s="33" t="n"/>
      <c r="FB53" s="33" t="n"/>
      <c r="FC53" s="33" t="n"/>
      <c r="FD53" s="33" t="n"/>
      <c r="FE53" s="33" t="n"/>
      <c r="FF53" s="33" t="n"/>
      <c r="FG53" s="33" t="n"/>
      <c r="FH53" s="33" t="n"/>
      <c r="FI53" s="33" t="n"/>
      <c r="FJ53" s="33" t="n"/>
      <c r="FK53" s="33" t="n"/>
      <c r="FL53" s="33" t="n"/>
      <c r="FM53" s="33" t="n"/>
      <c r="FN53" s="33" t="n"/>
      <c r="FO53" s="33" t="n"/>
      <c r="FP53" s="33" t="n"/>
      <c r="FQ53" s="33" t="n"/>
      <c r="FR53" s="33" t="n"/>
      <c r="FS53" s="33" t="n"/>
      <c r="FT53" s="33" t="n"/>
      <c r="FU53" s="33" t="n"/>
      <c r="FV53" s="33" t="n"/>
      <c r="FW53" s="33" t="n"/>
      <c r="FX53" s="33" t="n"/>
      <c r="FY53" s="33" t="n"/>
      <c r="FZ53" s="33" t="n"/>
      <c r="GA53" s="33" t="n"/>
      <c r="GB53" s="33" t="n"/>
      <c r="GC53" s="33" t="n"/>
      <c r="GD53" s="33" t="n"/>
      <c r="GE53" s="33" t="n"/>
      <c r="GF53" s="33" t="n"/>
      <c r="GG53" s="33" t="n"/>
      <c r="GH53" s="33" t="n"/>
      <c r="GI53" s="33" t="n"/>
      <c r="GJ53" s="33" t="n"/>
      <c r="GK53" s="33" t="n"/>
      <c r="GL53" s="33" t="n"/>
      <c r="GM53" s="33" t="n"/>
      <c r="GN53" s="33" t="n"/>
      <c r="GO53" s="33" t="n"/>
      <c r="GP53" s="33" t="n"/>
      <c r="GQ53" s="33" t="n"/>
      <c r="GR53" s="33" t="n"/>
      <c r="GS53" s="33" t="n"/>
      <c r="GT53" s="33" t="n"/>
      <c r="GU53" s="33" t="n"/>
      <c r="GV53" s="33" t="n"/>
      <c r="GW53" s="33" t="n"/>
      <c r="GX53" s="33" t="n"/>
      <c r="GY53" s="33" t="n"/>
      <c r="GZ53" s="33" t="n"/>
      <c r="HA53" s="33" t="n"/>
      <c r="HB53" s="33" t="n"/>
      <c r="HC53" s="33" t="n"/>
      <c r="HD53" s="33" t="n"/>
      <c r="HE53" s="33" t="n"/>
      <c r="HF53" s="33" t="n"/>
      <c r="HG53" s="33" t="n"/>
      <c r="HH53" s="33" t="n"/>
      <c r="HI53" s="33" t="n"/>
      <c r="HJ53" s="33" t="n"/>
      <c r="HK53" s="33" t="n"/>
      <c r="HL53" s="33" t="n"/>
      <c r="HM53" s="33" t="n"/>
      <c r="HN53" s="33" t="n"/>
      <c r="HO53" s="33" t="n"/>
      <c r="HP53" s="33" t="n"/>
      <c r="HQ53" s="33" t="n"/>
      <c r="HR53" s="33" t="n"/>
      <c r="HS53" s="33" t="n"/>
      <c r="HT53" s="33" t="n"/>
      <c r="HU53" s="33" t="n"/>
      <c r="HV53" s="33" t="n"/>
      <c r="HW53" s="33" t="n"/>
      <c r="HX53" s="33" t="n"/>
      <c r="HY53" s="33" t="n"/>
      <c r="HZ53" s="33" t="n"/>
      <c r="IA53" s="33" t="n"/>
      <c r="IB53" s="33" t="n"/>
      <c r="IC53" s="33" t="n"/>
      <c r="ID53" s="33" t="n"/>
      <c r="IE53" s="33" t="n"/>
      <c r="IF53" s="33" t="n"/>
      <c r="IG53" s="33" t="n"/>
      <c r="IH53" s="33" t="n"/>
      <c r="II53" s="33" t="n"/>
      <c r="IJ53" s="33" t="n"/>
      <c r="IK53" s="33" t="n"/>
      <c r="IL53" s="33" t="n"/>
      <c r="IM53" s="33" t="n"/>
      <c r="IN53" s="33" t="n"/>
      <c r="IO53" s="33" t="n"/>
      <c r="IP53" s="33" t="n"/>
      <c r="IQ53" s="33" t="n"/>
      <c r="IR53" s="33" t="n"/>
      <c r="IS53" s="33" t="n"/>
      <c r="IT53" s="33" t="n"/>
      <c r="IU53" s="33" t="n"/>
      <c r="IV53" s="33" t="n"/>
      <c r="IW53" s="33" t="n"/>
      <c r="IX53" s="33" t="n"/>
      <c r="IY53" s="33" t="n"/>
      <c r="IZ53" s="33" t="n"/>
      <c r="JA53" s="33" t="n"/>
      <c r="JB53" s="33" t="n"/>
      <c r="JC53" s="33" t="n"/>
      <c r="JD53" s="33" t="n"/>
      <c r="JE53" s="33" t="n"/>
      <c r="JF53" s="33" t="n"/>
      <c r="JG53" s="33" t="n"/>
      <c r="JH53" s="33" t="n"/>
      <c r="JI53" s="33" t="n"/>
      <c r="JJ53" s="33" t="n"/>
      <c r="JK53" s="33" t="n"/>
      <c r="JL53" s="33" t="n"/>
      <c r="JM53" s="33" t="n"/>
      <c r="JN53" s="33" t="n"/>
      <c r="JO53" s="33" t="n"/>
      <c r="JP53" s="33" t="n"/>
      <c r="JQ53" s="33" t="n"/>
      <c r="JR53" s="33" t="n"/>
      <c r="JS53" s="33" t="n"/>
      <c r="JT53" s="33" t="n"/>
      <c r="JU53" s="33" t="n"/>
      <c r="JV53" s="33" t="n"/>
      <c r="JW53" s="33" t="n"/>
      <c r="JX53" s="33" t="n"/>
      <c r="JY53" s="33" t="n"/>
      <c r="JZ53" s="33" t="n"/>
      <c r="KA53" s="33" t="n"/>
      <c r="KB53" s="33" t="n"/>
      <c r="KC53" s="33" t="n"/>
      <c r="KD53" s="33" t="n"/>
      <c r="KE53" s="33" t="n"/>
      <c r="KF53" s="33" t="n"/>
      <c r="KG53" s="33" t="n"/>
      <c r="KH53" s="33" t="n"/>
      <c r="KI53" s="33" t="n"/>
      <c r="KJ53" s="33" t="n"/>
      <c r="KK53" s="33" t="n"/>
      <c r="KL53" s="33" t="n"/>
      <c r="KM53" s="33" t="n"/>
      <c r="KN53" s="33" t="n"/>
      <c r="KO53" s="33" t="n"/>
      <c r="KP53" s="33" t="n"/>
      <c r="KQ53" s="33" t="n"/>
      <c r="KR53" s="33" t="n"/>
      <c r="KS53" s="33" t="n"/>
      <c r="KT53" s="33" t="n"/>
      <c r="KU53" s="33" t="n"/>
      <c r="KV53" s="33" t="n"/>
      <c r="KW53" s="33" t="n"/>
      <c r="KX53" s="33" t="n"/>
      <c r="KY53" s="33" t="n"/>
      <c r="KZ53" s="33" t="n"/>
      <c r="LA53" s="33" t="n"/>
      <c r="LB53" s="33" t="n"/>
      <c r="LC53" s="33" t="n"/>
      <c r="LD53" s="33" t="n"/>
      <c r="LE53" s="33" t="n"/>
      <c r="LF53" s="33" t="n"/>
      <c r="LG53" s="33" t="n"/>
      <c r="LH53" s="33" t="n"/>
      <c r="LI53" s="33" t="n"/>
      <c r="LJ53" s="33" t="n"/>
      <c r="LK53" s="33" t="n"/>
      <c r="LL53" s="33" t="n"/>
      <c r="LM53" s="33" t="n"/>
      <c r="LN53" s="33" t="n"/>
      <c r="LO53" s="33" t="n"/>
      <c r="LP53" s="33" t="n"/>
      <c r="LQ53" s="33" t="n"/>
      <c r="LR53" s="33" t="n"/>
      <c r="LS53" s="33" t="n"/>
      <c r="LT53" s="33" t="n"/>
      <c r="LU53" s="33" t="n"/>
      <c r="LV53" s="33" t="n"/>
      <c r="LW53" s="33" t="n"/>
      <c r="LX53" s="33" t="n"/>
      <c r="LY53" s="33" t="n"/>
      <c r="LZ53" s="33" t="n"/>
      <c r="MA53" s="33" t="n"/>
      <c r="MB53" s="33" t="n"/>
      <c r="MC53" s="33" t="n"/>
      <c r="MD53" s="33" t="n"/>
      <c r="ME53" s="33" t="n"/>
      <c r="MF53" s="33" t="n"/>
      <c r="MG53" s="33" t="n"/>
      <c r="MH53" s="33" t="n"/>
      <c r="MI53" s="33" t="n"/>
      <c r="MJ53" s="33" t="n"/>
      <c r="MK53" s="33" t="n"/>
      <c r="ML53" s="33" t="n"/>
      <c r="MM53" s="33" t="n"/>
      <c r="MN53" s="33" t="n"/>
      <c r="MO53" s="33" t="n"/>
      <c r="MP53" s="33" t="n"/>
      <c r="MQ53" s="33" t="n"/>
      <c r="MR53" s="33" t="n"/>
      <c r="MS53" s="33" t="n"/>
      <c r="MT53" s="33" t="n"/>
      <c r="MU53" s="33" t="n"/>
      <c r="MV53" s="33" t="n"/>
      <c r="MW53" s="33" t="n"/>
      <c r="MX53" s="33" t="n"/>
      <c r="MY53" s="33" t="n"/>
      <c r="MZ53" s="33" t="n"/>
      <c r="NA53" s="33" t="n"/>
      <c r="NB53" s="33" t="n"/>
      <c r="NC53" s="33" t="n"/>
      <c r="ND53" s="33" t="n"/>
      <c r="NE53" s="33" t="n"/>
      <c r="NF53" s="33" t="n"/>
      <c r="NG53" s="33" t="n"/>
      <c r="NH53" s="33" t="n"/>
      <c r="NI53" s="33" t="n"/>
      <c r="NJ53" s="33" t="n"/>
      <c r="NK53" s="33" t="n"/>
      <c r="NL53" s="33" t="n"/>
      <c r="NM53" s="33" t="n"/>
      <c r="NN53" s="33" t="n"/>
      <c r="NO53" s="33" t="n"/>
      <c r="NP53" s="33" t="n"/>
      <c r="NQ53" s="33" t="n"/>
      <c r="NR53" s="33" t="n"/>
      <c r="NS53" s="33" t="n"/>
      <c r="NT53" s="33" t="n"/>
      <c r="NU53" s="33" t="n"/>
      <c r="NV53" s="33" t="n"/>
      <c r="NW53" s="33" t="n"/>
      <c r="NX53" s="33" t="n"/>
      <c r="NY53" s="33" t="n"/>
      <c r="NZ53" s="33" t="n"/>
      <c r="OA53" s="33" t="n"/>
      <c r="OB53" s="33" t="n"/>
      <c r="OC53" s="33" t="n"/>
      <c r="OD53" s="33" t="n"/>
      <c r="OE53" s="33" t="n"/>
      <c r="OF53" s="33" t="n"/>
      <c r="OG53" s="33" t="n"/>
      <c r="OH53" s="33" t="n"/>
      <c r="OI53" s="33" t="n"/>
      <c r="OJ53" s="33" t="n"/>
      <c r="OK53" s="33" t="n"/>
      <c r="OL53" s="33" t="n"/>
      <c r="OM53" s="33" t="n"/>
      <c r="ON53" s="33" t="n"/>
      <c r="OO53" s="33" t="n"/>
      <c r="OP53" s="33" t="n"/>
      <c r="OQ53" s="33" t="n"/>
      <c r="OR53" s="33" t="n"/>
      <c r="OS53" s="33" t="n"/>
      <c r="OT53" s="33" t="n"/>
      <c r="OU53" s="33" t="n"/>
      <c r="OV53" s="33" t="n"/>
      <c r="OW53" s="33" t="n"/>
      <c r="OX53" s="33" t="n"/>
      <c r="OY53" s="33" t="n"/>
      <c r="OZ53" s="33" t="n"/>
      <c r="PA53" s="33" t="n"/>
      <c r="PB53" s="33" t="n"/>
      <c r="PC53" s="33" t="n"/>
      <c r="PD53" s="33" t="n"/>
      <c r="PE53" s="33" t="n"/>
      <c r="PF53" s="33" t="n"/>
      <c r="PG53" s="33" t="n"/>
      <c r="PH53" s="33" t="n"/>
      <c r="PI53" s="33" t="n"/>
      <c r="PJ53" s="33" t="n"/>
      <c r="PK53" s="33" t="n"/>
      <c r="PL53" s="33" t="n"/>
      <c r="PM53" s="33" t="n"/>
      <c r="PN53" s="33" t="n"/>
      <c r="PO53" s="33" t="n"/>
      <c r="PP53" s="33" t="n"/>
      <c r="PQ53" s="33" t="n"/>
      <c r="PR53" s="33" t="n"/>
      <c r="PS53" s="33" t="n"/>
      <c r="PT53" s="33" t="n"/>
      <c r="PU53" s="33" t="n"/>
      <c r="PV53" s="33" t="n"/>
      <c r="PW53" s="33" t="n"/>
      <c r="PX53" s="33" t="n"/>
      <c r="PY53" s="33" t="n"/>
      <c r="PZ53" s="33" t="n"/>
      <c r="QA53" s="33" t="n"/>
      <c r="QB53" s="33" t="n"/>
      <c r="QC53" s="33" t="n"/>
      <c r="QD53" s="33" t="n"/>
      <c r="QE53" s="33" t="n"/>
      <c r="QF53" s="33" t="n"/>
      <c r="QG53" s="33" t="n"/>
      <c r="QH53" s="33" t="n"/>
      <c r="QI53" s="33" t="n"/>
      <c r="QJ53" s="33" t="n"/>
      <c r="QK53" s="33" t="n"/>
      <c r="QL53" s="33" t="n"/>
      <c r="QM53" s="33" t="n"/>
      <c r="QN53" s="33" t="n"/>
      <c r="QO53" s="33" t="n"/>
      <c r="QP53" s="33" t="n"/>
      <c r="QQ53" s="33" t="n"/>
      <c r="QR53" s="33" t="n"/>
      <c r="QS53" s="33" t="n"/>
      <c r="QT53" s="33" t="n"/>
      <c r="QU53" s="33" t="n"/>
      <c r="QV53" s="33" t="n"/>
      <c r="QW53" s="33" t="n"/>
      <c r="QX53" s="33" t="n"/>
      <c r="QY53" s="33" t="n"/>
      <c r="QZ53" s="33" t="n"/>
      <c r="RA53" s="33" t="n"/>
      <c r="RB53" s="33" t="n"/>
      <c r="RC53" s="33" t="n"/>
      <c r="RD53" s="33" t="n"/>
      <c r="RE53" s="33" t="n"/>
      <c r="RF53" s="33" t="n"/>
      <c r="RG53" s="33" t="n"/>
      <c r="RH53" s="33" t="n"/>
      <c r="RI53" s="33" t="n"/>
      <c r="RJ53" s="33" t="n"/>
      <c r="RK53" s="33" t="n"/>
      <c r="RL53" s="33" t="n"/>
      <c r="RM53" s="33" t="n"/>
      <c r="RN53" s="33" t="n"/>
      <c r="RO53" s="33" t="n"/>
      <c r="RP53" s="33" t="n"/>
      <c r="RQ53" s="33" t="n"/>
      <c r="RR53" s="33" t="n"/>
      <c r="RS53" s="33" t="n"/>
      <c r="RT53" s="33" t="n"/>
      <c r="RU53" s="33" t="n"/>
      <c r="RV53" s="33" t="n"/>
      <c r="RW53" s="33" t="n"/>
    </row>
    <row r="54" ht="5.25" customHeight="1"/>
    <row r="55" ht="13.05" customHeight="1">
      <c r="E55" s="21" t="inlineStr">
        <is>
          <t>Imbalance Fee</t>
        </is>
      </c>
      <c r="F55" s="29" t="n"/>
      <c r="G55" s="29" t="inlineStr">
        <is>
          <t>kEUR</t>
        </is>
      </c>
      <c r="H55" s="29" t="n"/>
      <c r="I55" s="29" t="n"/>
      <c r="J55" s="32" t="n"/>
      <c r="K55" s="29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3" t="n"/>
      <c r="AY55" s="33" t="n"/>
      <c r="AZ55" s="33" t="n"/>
      <c r="BA55" s="33" t="n"/>
      <c r="BB55" s="33" t="n"/>
      <c r="BC55" s="33" t="n"/>
      <c r="BD55" s="33" t="n"/>
      <c r="BE55" s="33" t="n"/>
      <c r="BF55" s="33" t="n"/>
      <c r="BG55" s="33" t="n"/>
      <c r="BH55" s="33" t="n"/>
      <c r="BI55" s="33" t="n"/>
      <c r="BJ55" s="33" t="n"/>
      <c r="BK55" s="33" t="n"/>
      <c r="BL55" s="33" t="n"/>
      <c r="BM55" s="33" t="n"/>
      <c r="BN55" s="33" t="n"/>
      <c r="BO55" s="33" t="n"/>
      <c r="BP55" s="33" t="n"/>
      <c r="BQ55" s="33" t="n"/>
      <c r="BR55" s="33" t="n"/>
      <c r="BS55" s="33" t="n"/>
      <c r="BT55" s="33" t="n"/>
      <c r="BU55" s="33" t="n"/>
      <c r="BV55" s="33" t="n"/>
      <c r="BW55" s="33" t="n"/>
      <c r="BX55" s="33" t="n"/>
      <c r="BY55" s="33" t="n"/>
      <c r="BZ55" s="33" t="n"/>
      <c r="CA55" s="33" t="n"/>
      <c r="CB55" s="33" t="n"/>
      <c r="CC55" s="33" t="n"/>
      <c r="CD55" s="33" t="n"/>
      <c r="CE55" s="33" t="n"/>
      <c r="CF55" s="33" t="n"/>
      <c r="CG55" s="33" t="n"/>
      <c r="CH55" s="33" t="n"/>
      <c r="CI55" s="33" t="n"/>
      <c r="CJ55" s="33" t="n"/>
      <c r="CK55" s="33" t="n"/>
      <c r="CL55" s="33" t="n"/>
      <c r="CM55" s="33" t="n"/>
      <c r="CN55" s="33" t="n"/>
      <c r="CO55" s="33" t="n"/>
      <c r="CP55" s="33" t="n"/>
      <c r="CQ55" s="33" t="n"/>
      <c r="CR55" s="33" t="n"/>
      <c r="CS55" s="33" t="n"/>
      <c r="CT55" s="33" t="n"/>
      <c r="CU55" s="33" t="n"/>
      <c r="CV55" s="33" t="n"/>
      <c r="CW55" s="33" t="n"/>
      <c r="CX55" s="33" t="n"/>
      <c r="CY55" s="33" t="n"/>
      <c r="CZ55" s="33" t="n"/>
      <c r="DA55" s="33" t="n"/>
      <c r="DB55" s="33" t="n"/>
      <c r="DC55" s="33" t="n"/>
      <c r="DD55" s="33" t="n"/>
      <c r="DE55" s="33" t="n"/>
      <c r="DF55" s="33" t="n"/>
      <c r="DG55" s="33" t="n"/>
      <c r="DH55" s="33" t="n"/>
      <c r="DI55" s="33" t="n"/>
      <c r="DJ55" s="33" t="n"/>
      <c r="DK55" s="33" t="n"/>
      <c r="DL55" s="33" t="n"/>
      <c r="DM55" s="33" t="n"/>
      <c r="DN55" s="33" t="n"/>
      <c r="DO55" s="33" t="n"/>
      <c r="DP55" s="33" t="n"/>
      <c r="DQ55" s="33" t="n"/>
      <c r="DR55" s="33" t="n"/>
      <c r="DS55" s="33" t="n"/>
      <c r="DT55" s="33" t="n"/>
      <c r="DU55" s="33" t="n"/>
      <c r="DV55" s="33" t="n"/>
      <c r="DW55" s="33" t="n"/>
      <c r="DX55" s="33" t="n"/>
      <c r="DY55" s="33" t="n"/>
      <c r="DZ55" s="33" t="n"/>
      <c r="EA55" s="33" t="n"/>
      <c r="EB55" s="33" t="n"/>
      <c r="EC55" s="33" t="n"/>
      <c r="ED55" s="33" t="n"/>
      <c r="EE55" s="33" t="n"/>
      <c r="EF55" s="33" t="n"/>
      <c r="EG55" s="33" t="n"/>
      <c r="EH55" s="33" t="n"/>
      <c r="EI55" s="33" t="n"/>
      <c r="EJ55" s="33" t="n"/>
      <c r="EK55" s="33" t="n"/>
      <c r="EL55" s="33" t="n"/>
      <c r="EM55" s="33" t="n"/>
      <c r="EN55" s="33" t="n"/>
      <c r="EO55" s="33" t="n"/>
      <c r="EP55" s="33" t="n"/>
      <c r="EQ55" s="33" t="n"/>
      <c r="ER55" s="33" t="n"/>
      <c r="ES55" s="33" t="n"/>
      <c r="ET55" s="33" t="n"/>
      <c r="EU55" s="33" t="n"/>
      <c r="EV55" s="33" t="n"/>
      <c r="EW55" s="33" t="n"/>
      <c r="EX55" s="33" t="n"/>
      <c r="EY55" s="33" t="n"/>
      <c r="EZ55" s="33" t="n"/>
      <c r="FA55" s="33" t="n"/>
      <c r="FB55" s="33" t="n"/>
      <c r="FC55" s="33" t="n"/>
      <c r="FD55" s="33" t="n"/>
      <c r="FE55" s="33" t="n"/>
      <c r="FF55" s="33" t="n"/>
      <c r="FG55" s="33" t="n"/>
      <c r="FH55" s="33" t="n"/>
      <c r="FI55" s="33" t="n"/>
      <c r="FJ55" s="33" t="n"/>
      <c r="FK55" s="33" t="n"/>
      <c r="FL55" s="33" t="n"/>
      <c r="FM55" s="33" t="n"/>
      <c r="FN55" s="33" t="n"/>
      <c r="FO55" s="33" t="n"/>
      <c r="FP55" s="33" t="n"/>
      <c r="FQ55" s="33" t="n"/>
      <c r="FR55" s="33" t="n"/>
      <c r="FS55" s="33" t="n"/>
      <c r="FT55" s="33" t="n"/>
      <c r="FU55" s="33" t="n"/>
      <c r="FV55" s="33" t="n"/>
      <c r="FW55" s="33" t="n"/>
      <c r="FX55" s="33" t="n"/>
      <c r="FY55" s="33" t="n"/>
      <c r="FZ55" s="33" t="n"/>
      <c r="GA55" s="33" t="n"/>
      <c r="GB55" s="33" t="n"/>
      <c r="GC55" s="33" t="n"/>
      <c r="GD55" s="33" t="n"/>
      <c r="GE55" s="33" t="n"/>
      <c r="GF55" s="33" t="n"/>
      <c r="GG55" s="33" t="n"/>
      <c r="GH55" s="33" t="n"/>
      <c r="GI55" s="33" t="n"/>
      <c r="GJ55" s="33" t="n"/>
      <c r="GK55" s="33" t="n"/>
      <c r="GL55" s="33" t="n"/>
      <c r="GM55" s="33" t="n"/>
      <c r="GN55" s="33" t="n"/>
      <c r="GO55" s="33" t="n"/>
      <c r="GP55" s="33" t="n"/>
      <c r="GQ55" s="33" t="n"/>
      <c r="GR55" s="33" t="n"/>
      <c r="GS55" s="33" t="n"/>
      <c r="GT55" s="33" t="n"/>
      <c r="GU55" s="33" t="n"/>
      <c r="GV55" s="33" t="n"/>
      <c r="GW55" s="33" t="n"/>
      <c r="GX55" s="33" t="n"/>
      <c r="GY55" s="33" t="n"/>
      <c r="GZ55" s="33" t="n"/>
      <c r="HA55" s="33" t="n"/>
      <c r="HB55" s="33" t="n"/>
      <c r="HC55" s="33" t="n"/>
      <c r="HD55" s="33" t="n"/>
      <c r="HE55" s="33" t="n"/>
      <c r="HF55" s="33" t="n"/>
      <c r="HG55" s="33" t="n"/>
      <c r="HH55" s="33" t="n"/>
      <c r="HI55" s="33" t="n"/>
      <c r="HJ55" s="33" t="n"/>
      <c r="HK55" s="33" t="n"/>
      <c r="HL55" s="33" t="n"/>
      <c r="HM55" s="33" t="n"/>
      <c r="HN55" s="33" t="n"/>
      <c r="HO55" s="33" t="n"/>
      <c r="HP55" s="33" t="n"/>
      <c r="HQ55" s="33" t="n"/>
      <c r="HR55" s="33" t="n"/>
      <c r="HS55" s="33" t="n"/>
      <c r="HT55" s="33" t="n"/>
      <c r="HU55" s="33" t="n"/>
      <c r="HV55" s="33" t="n"/>
      <c r="HW55" s="33" t="n"/>
      <c r="HX55" s="33" t="n"/>
      <c r="HY55" s="33" t="n"/>
      <c r="HZ55" s="33" t="n"/>
      <c r="IA55" s="33" t="n"/>
      <c r="IB55" s="33" t="n"/>
      <c r="IC55" s="33" t="n"/>
      <c r="ID55" s="33" t="n"/>
      <c r="IE55" s="33" t="n"/>
      <c r="IF55" s="33" t="n"/>
      <c r="IG55" s="33" t="n"/>
      <c r="IH55" s="33" t="n"/>
      <c r="II55" s="33" t="n"/>
      <c r="IJ55" s="33" t="n"/>
      <c r="IK55" s="33" t="n"/>
      <c r="IL55" s="33" t="n"/>
      <c r="IM55" s="33" t="n"/>
      <c r="IN55" s="33" t="n"/>
      <c r="IO55" s="33" t="n"/>
      <c r="IP55" s="33" t="n"/>
      <c r="IQ55" s="33" t="n"/>
      <c r="IR55" s="33" t="n"/>
      <c r="IS55" s="33" t="n"/>
      <c r="IT55" s="33" t="n"/>
      <c r="IU55" s="33" t="n"/>
      <c r="IV55" s="33" t="n"/>
      <c r="IW55" s="33" t="n"/>
      <c r="IX55" s="33" t="n"/>
      <c r="IY55" s="33" t="n"/>
      <c r="IZ55" s="33" t="n"/>
      <c r="JA55" s="33" t="n"/>
      <c r="JB55" s="33" t="n"/>
      <c r="JC55" s="33" t="n"/>
      <c r="JD55" s="33" t="n"/>
      <c r="JE55" s="33" t="n"/>
      <c r="JF55" s="33" t="n"/>
      <c r="JG55" s="33" t="n"/>
      <c r="JH55" s="33" t="n"/>
      <c r="JI55" s="33" t="n"/>
      <c r="JJ55" s="33" t="n"/>
      <c r="JK55" s="33" t="n"/>
      <c r="JL55" s="33" t="n"/>
      <c r="JM55" s="33" t="n"/>
      <c r="JN55" s="33" t="n"/>
      <c r="JO55" s="33" t="n"/>
      <c r="JP55" s="33" t="n"/>
      <c r="JQ55" s="33" t="n"/>
      <c r="JR55" s="33" t="n"/>
      <c r="JS55" s="33" t="n"/>
      <c r="JT55" s="33" t="n"/>
      <c r="JU55" s="33" t="n"/>
      <c r="JV55" s="33" t="n"/>
      <c r="JW55" s="33" t="n"/>
      <c r="JX55" s="33" t="n"/>
      <c r="JY55" s="33" t="n"/>
      <c r="JZ55" s="33" t="n"/>
      <c r="KA55" s="33" t="n"/>
      <c r="KB55" s="33" t="n"/>
      <c r="KC55" s="33" t="n"/>
      <c r="KD55" s="33" t="n"/>
      <c r="KE55" s="33" t="n"/>
      <c r="KF55" s="33" t="n"/>
      <c r="KG55" s="33" t="n"/>
      <c r="KH55" s="33" t="n"/>
      <c r="KI55" s="33" t="n"/>
      <c r="KJ55" s="33" t="n"/>
      <c r="KK55" s="33" t="n"/>
      <c r="KL55" s="33" t="n"/>
      <c r="KM55" s="33" t="n"/>
      <c r="KN55" s="33" t="n"/>
      <c r="KO55" s="33" t="n"/>
      <c r="KP55" s="33" t="n"/>
      <c r="KQ55" s="33" t="n"/>
      <c r="KR55" s="33" t="n"/>
      <c r="KS55" s="33" t="n"/>
      <c r="KT55" s="33" t="n"/>
      <c r="KU55" s="33" t="n"/>
      <c r="KV55" s="33" t="n"/>
      <c r="KW55" s="33" t="n"/>
      <c r="KX55" s="33" t="n"/>
      <c r="KY55" s="33" t="n"/>
      <c r="KZ55" s="33" t="n"/>
      <c r="LA55" s="33" t="n"/>
      <c r="LB55" s="33" t="n"/>
      <c r="LC55" s="33" t="n"/>
      <c r="LD55" s="33" t="n"/>
      <c r="LE55" s="33" t="n"/>
      <c r="LF55" s="33" t="n"/>
      <c r="LG55" s="33" t="n"/>
      <c r="LH55" s="33" t="n"/>
      <c r="LI55" s="33" t="n"/>
      <c r="LJ55" s="33" t="n"/>
      <c r="LK55" s="33" t="n"/>
      <c r="LL55" s="33" t="n"/>
      <c r="LM55" s="33" t="n"/>
      <c r="LN55" s="33" t="n"/>
      <c r="LO55" s="33" t="n"/>
      <c r="LP55" s="33" t="n"/>
      <c r="LQ55" s="33" t="n"/>
      <c r="LR55" s="33" t="n"/>
      <c r="LS55" s="33" t="n"/>
      <c r="LT55" s="33" t="n"/>
      <c r="LU55" s="33" t="n"/>
      <c r="LV55" s="33" t="n"/>
      <c r="LW55" s="33" t="n"/>
      <c r="LX55" s="33" t="n"/>
      <c r="LY55" s="33" t="n"/>
      <c r="LZ55" s="33" t="n"/>
      <c r="MA55" s="33" t="n"/>
      <c r="MB55" s="33" t="n"/>
      <c r="MC55" s="33" t="n"/>
      <c r="MD55" s="33" t="n"/>
      <c r="ME55" s="33" t="n"/>
      <c r="MF55" s="33" t="n"/>
      <c r="MG55" s="33" t="n"/>
      <c r="MH55" s="33" t="n"/>
      <c r="MI55" s="33" t="n"/>
      <c r="MJ55" s="33" t="n"/>
      <c r="MK55" s="33" t="n"/>
      <c r="ML55" s="33" t="n"/>
      <c r="MM55" s="33" t="n"/>
      <c r="MN55" s="33" t="n"/>
      <c r="MO55" s="33" t="n"/>
      <c r="MP55" s="33" t="n"/>
      <c r="MQ55" s="33" t="n"/>
      <c r="MR55" s="33" t="n"/>
      <c r="MS55" s="33" t="n"/>
      <c r="MT55" s="33" t="n"/>
      <c r="MU55" s="33" t="n"/>
      <c r="MV55" s="33" t="n"/>
      <c r="MW55" s="33" t="n"/>
      <c r="MX55" s="33" t="n"/>
      <c r="MY55" s="33" t="n"/>
      <c r="MZ55" s="33" t="n"/>
      <c r="NA55" s="33" t="n"/>
      <c r="NB55" s="33" t="n"/>
      <c r="NC55" s="33" t="n"/>
      <c r="ND55" s="33" t="n"/>
      <c r="NE55" s="33" t="n"/>
      <c r="NF55" s="33" t="n"/>
      <c r="NG55" s="33" t="n"/>
      <c r="NH55" s="33" t="n"/>
      <c r="NI55" s="33" t="n"/>
      <c r="NJ55" s="33" t="n"/>
      <c r="NK55" s="33" t="n"/>
      <c r="NL55" s="33" t="n"/>
      <c r="NM55" s="33" t="n"/>
      <c r="NN55" s="33" t="n"/>
      <c r="NO55" s="33" t="n"/>
      <c r="NP55" s="33" t="n"/>
      <c r="NQ55" s="33" t="n"/>
      <c r="NR55" s="33" t="n"/>
      <c r="NS55" s="33" t="n"/>
      <c r="NT55" s="33" t="n"/>
      <c r="NU55" s="33" t="n"/>
      <c r="NV55" s="33" t="n"/>
      <c r="NW55" s="33" t="n"/>
      <c r="NX55" s="33" t="n"/>
      <c r="NY55" s="33" t="n"/>
      <c r="NZ55" s="33" t="n"/>
      <c r="OA55" s="33" t="n"/>
      <c r="OB55" s="33" t="n"/>
      <c r="OC55" s="33" t="n"/>
      <c r="OD55" s="33" t="n"/>
      <c r="OE55" s="33" t="n"/>
      <c r="OF55" s="33" t="n"/>
      <c r="OG55" s="33" t="n"/>
      <c r="OH55" s="33" t="n"/>
      <c r="OI55" s="33" t="n"/>
      <c r="OJ55" s="33" t="n"/>
      <c r="OK55" s="33" t="n"/>
      <c r="OL55" s="33" t="n"/>
      <c r="OM55" s="33" t="n"/>
      <c r="ON55" s="33" t="n"/>
      <c r="OO55" s="33" t="n"/>
      <c r="OP55" s="33" t="n"/>
      <c r="OQ55" s="33" t="n"/>
      <c r="OR55" s="33" t="n"/>
      <c r="OS55" s="33" t="n"/>
      <c r="OT55" s="33" t="n"/>
      <c r="OU55" s="33" t="n"/>
      <c r="OV55" s="33" t="n"/>
      <c r="OW55" s="33" t="n"/>
      <c r="OX55" s="33" t="n"/>
      <c r="OY55" s="33" t="n"/>
      <c r="OZ55" s="33" t="n"/>
      <c r="PA55" s="33" t="n"/>
      <c r="PB55" s="33" t="n"/>
      <c r="PC55" s="33" t="n"/>
      <c r="PD55" s="33" t="n"/>
      <c r="PE55" s="33" t="n"/>
      <c r="PF55" s="33" t="n"/>
      <c r="PG55" s="33" t="n"/>
      <c r="PH55" s="33" t="n"/>
      <c r="PI55" s="33" t="n"/>
      <c r="PJ55" s="33" t="n"/>
      <c r="PK55" s="33" t="n"/>
      <c r="PL55" s="33" t="n"/>
      <c r="PM55" s="33" t="n"/>
      <c r="PN55" s="33" t="n"/>
      <c r="PO55" s="33" t="n"/>
      <c r="PP55" s="33" t="n"/>
      <c r="PQ55" s="33" t="n"/>
      <c r="PR55" s="33" t="n"/>
      <c r="PS55" s="33" t="n"/>
      <c r="PT55" s="33" t="n"/>
      <c r="PU55" s="33" t="n"/>
      <c r="PV55" s="33" t="n"/>
      <c r="PW55" s="33" t="n"/>
      <c r="PX55" s="33" t="n"/>
      <c r="PY55" s="33" t="n"/>
      <c r="PZ55" s="33" t="n"/>
      <c r="QA55" s="33" t="n"/>
      <c r="QB55" s="33" t="n"/>
      <c r="QC55" s="33" t="n"/>
      <c r="QD55" s="33" t="n"/>
      <c r="QE55" s="33" t="n"/>
      <c r="QF55" s="33" t="n"/>
      <c r="QG55" s="33" t="n"/>
      <c r="QH55" s="33" t="n"/>
      <c r="QI55" s="33" t="n"/>
      <c r="QJ55" s="33" t="n"/>
      <c r="QK55" s="33" t="n"/>
      <c r="QL55" s="33" t="n"/>
      <c r="QM55" s="33" t="n"/>
      <c r="QN55" s="33" t="n"/>
      <c r="QO55" s="33" t="n"/>
      <c r="QP55" s="33" t="n"/>
      <c r="QQ55" s="33" t="n"/>
      <c r="QR55" s="33" t="n"/>
      <c r="QS55" s="33" t="n"/>
      <c r="QT55" s="33" t="n"/>
      <c r="QU55" s="33" t="n"/>
      <c r="QV55" s="33" t="n"/>
      <c r="QW55" s="33" t="n"/>
      <c r="QX55" s="33" t="n"/>
      <c r="QY55" s="33" t="n"/>
      <c r="QZ55" s="33" t="n"/>
      <c r="RA55" s="33" t="n"/>
      <c r="RB55" s="33" t="n"/>
      <c r="RC55" s="33" t="n"/>
      <c r="RD55" s="33" t="n"/>
      <c r="RE55" s="33" t="n"/>
      <c r="RF55" s="33" t="n"/>
      <c r="RG55" s="33" t="n"/>
      <c r="RH55" s="33" t="n"/>
      <c r="RI55" s="33" t="n"/>
      <c r="RJ55" s="33" t="n"/>
      <c r="RK55" s="33" t="n"/>
      <c r="RL55" s="33" t="n"/>
      <c r="RM55" s="33" t="n"/>
      <c r="RN55" s="33" t="n"/>
      <c r="RO55" s="33" t="n"/>
      <c r="RP55" s="33" t="n"/>
      <c r="RQ55" s="33" t="n"/>
      <c r="RR55" s="33" t="n"/>
      <c r="RS55" s="33" t="n"/>
      <c r="RT55" s="33" t="n"/>
      <c r="RU55" s="33" t="n"/>
      <c r="RV55" s="33" t="n"/>
      <c r="RW55" s="33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W121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Debt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1" t="inlineStr">
        <is>
          <t>Opening Balance</t>
        </is>
      </c>
      <c r="F6" s="29" t="n"/>
      <c r="G6" s="29" t="inlineStr">
        <is>
          <t>kEUR</t>
        </is>
      </c>
      <c r="H6" s="29" t="n"/>
      <c r="I6" s="29" t="n"/>
      <c r="J6" s="32" t="n">
        <v>146389832.0000013</v>
      </c>
      <c r="K6" s="29" t="n"/>
      <c r="L6" s="33" t="n">
        <v>0</v>
      </c>
      <c r="M6" s="33" t="n">
        <v>0</v>
      </c>
      <c r="N6" s="33" t="n">
        <v>0</v>
      </c>
      <c r="O6" s="33" t="n">
        <v>0</v>
      </c>
      <c r="P6" s="33" t="n">
        <v>0</v>
      </c>
      <c r="Q6" s="33" t="n">
        <v>0</v>
      </c>
      <c r="R6" s="33" t="n">
        <v>0</v>
      </c>
      <c r="S6" s="33" t="n">
        <v>0</v>
      </c>
      <c r="T6" s="33" t="n">
        <v>0</v>
      </c>
      <c r="U6" s="33" t="n">
        <v>0</v>
      </c>
      <c r="V6" s="33" t="n">
        <v>0</v>
      </c>
      <c r="W6" s="33" t="n">
        <v>0</v>
      </c>
      <c r="X6" s="33" t="n">
        <v>0</v>
      </c>
      <c r="Y6" s="33" t="n">
        <v>0</v>
      </c>
      <c r="Z6" s="33" t="n">
        <v>0</v>
      </c>
      <c r="AA6" s="33" t="n">
        <v>0</v>
      </c>
      <c r="AB6" s="33" t="n">
        <v>0</v>
      </c>
      <c r="AC6" s="33" t="n">
        <v>0</v>
      </c>
      <c r="AD6" s="33" t="n">
        <v>0</v>
      </c>
      <c r="AE6" s="33" t="n">
        <v>0</v>
      </c>
      <c r="AF6" s="33" t="n">
        <v>0</v>
      </c>
      <c r="AG6" s="33" t="n">
        <v>0</v>
      </c>
      <c r="AH6" s="33" t="n">
        <v>0</v>
      </c>
      <c r="AI6" s="33" t="n">
        <v>0</v>
      </c>
      <c r="AJ6" s="33" t="n">
        <v>0</v>
      </c>
      <c r="AK6" s="33" t="n">
        <v>0</v>
      </c>
      <c r="AL6" s="33" t="n">
        <v>0</v>
      </c>
      <c r="AM6" s="33" t="n">
        <v>0</v>
      </c>
      <c r="AN6" s="33" t="n">
        <v>0</v>
      </c>
      <c r="AO6" s="33" t="n">
        <v>0</v>
      </c>
      <c r="AP6" s="33" t="n">
        <v>0</v>
      </c>
      <c r="AQ6" s="33" t="n">
        <v>0</v>
      </c>
      <c r="AR6" s="33" t="n">
        <v>0</v>
      </c>
      <c r="AS6" s="33" t="n">
        <v>0</v>
      </c>
      <c r="AT6" s="33" t="n">
        <v>0</v>
      </c>
      <c r="AU6" s="33" t="n">
        <v>0</v>
      </c>
      <c r="AV6" s="33" t="n">
        <v>0</v>
      </c>
      <c r="AW6" s="33" t="n">
        <v>0</v>
      </c>
      <c r="AX6" s="33" t="n">
        <v>0</v>
      </c>
      <c r="AY6" s="33" t="n">
        <v>0</v>
      </c>
      <c r="AZ6" s="33" t="n">
        <v>0</v>
      </c>
      <c r="BA6" s="33" t="n">
        <v>0</v>
      </c>
      <c r="BB6" s="33" t="n">
        <v>0</v>
      </c>
      <c r="BC6" s="33" t="n">
        <v>0</v>
      </c>
      <c r="BD6" s="33" t="n">
        <v>0</v>
      </c>
      <c r="BE6" s="33" t="n">
        <v>0</v>
      </c>
      <c r="BF6" s="33" t="n">
        <v>0</v>
      </c>
      <c r="BG6" s="33" t="n">
        <v>0</v>
      </c>
      <c r="BH6" s="33" t="n">
        <v>0</v>
      </c>
      <c r="BI6" s="33" t="n">
        <v>23505.11111111111</v>
      </c>
      <c r="BJ6" s="33" t="n">
        <v>47010.22222222222</v>
      </c>
      <c r="BK6" s="33" t="n">
        <v>70515.33333333333</v>
      </c>
      <c r="BL6" s="33" t="n">
        <v>94020.44444444444</v>
      </c>
      <c r="BM6" s="33" t="n">
        <v>117525.5555555555</v>
      </c>
      <c r="BN6" s="33" t="n">
        <v>141030.6666666667</v>
      </c>
      <c r="BO6" s="33" t="n">
        <v>164535.7777777778</v>
      </c>
      <c r="BP6" s="33" t="n">
        <v>188040.8888888889</v>
      </c>
      <c r="BQ6" s="33" t="n">
        <v>211546</v>
      </c>
      <c r="BR6" s="33" t="n">
        <v>235051.1111111111</v>
      </c>
      <c r="BS6" s="33" t="n">
        <v>258556.2222222222</v>
      </c>
      <c r="BT6" s="33" t="n">
        <v>282061.3333333334</v>
      </c>
      <c r="BU6" s="33" t="n">
        <v>305566.4444444445</v>
      </c>
      <c r="BV6" s="33" t="n">
        <v>329071.5555555556</v>
      </c>
      <c r="BW6" s="33" t="n">
        <v>352576.6666666667</v>
      </c>
      <c r="BX6" s="33" t="n">
        <v>376081.7777777779</v>
      </c>
      <c r="BY6" s="33" t="n">
        <v>399586.888888889</v>
      </c>
      <c r="BZ6" s="33" t="n">
        <v>423092.0000000001</v>
      </c>
      <c r="CA6" s="33" t="n">
        <v>446597.1111111112</v>
      </c>
      <c r="CB6" s="33" t="n">
        <v>470102.2222222224</v>
      </c>
      <c r="CC6" s="33" t="n">
        <v>493607.3333333335</v>
      </c>
      <c r="CD6" s="33" t="n">
        <v>517112.4444444446</v>
      </c>
      <c r="CE6" s="33" t="n">
        <v>540617.5555555557</v>
      </c>
      <c r="CF6" s="33" t="n">
        <v>564122.6666666669</v>
      </c>
      <c r="CG6" s="33" t="n">
        <v>587627.777777778</v>
      </c>
      <c r="CH6" s="33" t="n">
        <v>611132.8888888891</v>
      </c>
      <c r="CI6" s="33" t="n">
        <v>634638.0000000002</v>
      </c>
      <c r="CJ6" s="33" t="n">
        <v>658143.1111111114</v>
      </c>
      <c r="CK6" s="33" t="n">
        <v>681648.2222222225</v>
      </c>
      <c r="CL6" s="33" t="n">
        <v>705153.3333333336</v>
      </c>
      <c r="CM6" s="33" t="n">
        <v>728658.4444444447</v>
      </c>
      <c r="CN6" s="33" t="n">
        <v>752163.5555555559</v>
      </c>
      <c r="CO6" s="33" t="n">
        <v>775668.666666667</v>
      </c>
      <c r="CP6" s="33" t="n">
        <v>799173.7777777781</v>
      </c>
      <c r="CQ6" s="33" t="n">
        <v>822678.8888888892</v>
      </c>
      <c r="CR6" s="33" t="n">
        <v>846184.0000000003</v>
      </c>
      <c r="CS6" s="33" t="n">
        <v>846184.0000000003</v>
      </c>
      <c r="CT6" s="33" t="n">
        <v>846184.0000000003</v>
      </c>
      <c r="CU6" s="33" t="n">
        <v>846184.0000000003</v>
      </c>
      <c r="CV6" s="33" t="n">
        <v>846184.0000000003</v>
      </c>
      <c r="CW6" s="33" t="n">
        <v>846184.0000000003</v>
      </c>
      <c r="CX6" s="33" t="n">
        <v>843363.3866666671</v>
      </c>
      <c r="CY6" s="33" t="n">
        <v>840542.7733333338</v>
      </c>
      <c r="CZ6" s="33" t="n">
        <v>837722.1600000005</v>
      </c>
      <c r="DA6" s="33" t="n">
        <v>834901.5466666672</v>
      </c>
      <c r="DB6" s="33" t="n">
        <v>832080.9333333339</v>
      </c>
      <c r="DC6" s="33" t="n">
        <v>829260.3200000006</v>
      </c>
      <c r="DD6" s="33" t="n">
        <v>826439.7066666674</v>
      </c>
      <c r="DE6" s="33" t="n">
        <v>823619.0933333341</v>
      </c>
      <c r="DF6" s="33" t="n">
        <v>820798.4800000008</v>
      </c>
      <c r="DG6" s="33" t="n">
        <v>817977.8666666675</v>
      </c>
      <c r="DH6" s="33" t="n">
        <v>815157.2533333342</v>
      </c>
      <c r="DI6" s="33" t="n">
        <v>812336.6400000009</v>
      </c>
      <c r="DJ6" s="33" t="n">
        <v>809516.0266666677</v>
      </c>
      <c r="DK6" s="33" t="n">
        <v>806695.4133333344</v>
      </c>
      <c r="DL6" s="33" t="n">
        <v>803874.8000000011</v>
      </c>
      <c r="DM6" s="33" t="n">
        <v>801054.1866666678</v>
      </c>
      <c r="DN6" s="33" t="n">
        <v>798233.5733333345</v>
      </c>
      <c r="DO6" s="33" t="n">
        <v>795412.9600000012</v>
      </c>
      <c r="DP6" s="33" t="n">
        <v>792592.346666668</v>
      </c>
      <c r="DQ6" s="33" t="n">
        <v>789771.7333333347</v>
      </c>
      <c r="DR6" s="33" t="n">
        <v>786951.1200000014</v>
      </c>
      <c r="DS6" s="33" t="n">
        <v>784130.5066666681</v>
      </c>
      <c r="DT6" s="33" t="n">
        <v>781309.8933333348</v>
      </c>
      <c r="DU6" s="33" t="n">
        <v>778489.2800000015</v>
      </c>
      <c r="DV6" s="33" t="n">
        <v>775668.6666666683</v>
      </c>
      <c r="DW6" s="33" t="n">
        <v>772848.053333335</v>
      </c>
      <c r="DX6" s="33" t="n">
        <v>770027.4400000017</v>
      </c>
      <c r="DY6" s="33" t="n">
        <v>767206.8266666684</v>
      </c>
      <c r="DZ6" s="33" t="n">
        <v>764386.2133333351</v>
      </c>
      <c r="EA6" s="33" t="n">
        <v>761565.6000000018</v>
      </c>
      <c r="EB6" s="33" t="n">
        <v>758744.9866666686</v>
      </c>
      <c r="EC6" s="33" t="n">
        <v>755924.3733333353</v>
      </c>
      <c r="ED6" s="33" t="n">
        <v>753103.760000002</v>
      </c>
      <c r="EE6" s="33" t="n">
        <v>750283.1466666687</v>
      </c>
      <c r="EF6" s="33" t="n">
        <v>747462.5333333354</v>
      </c>
      <c r="EG6" s="33" t="n">
        <v>744641.9200000021</v>
      </c>
      <c r="EH6" s="33" t="n">
        <v>741821.3066666689</v>
      </c>
      <c r="EI6" s="33" t="n">
        <v>739000.6933333356</v>
      </c>
      <c r="EJ6" s="33" t="n">
        <v>736180.0800000023</v>
      </c>
      <c r="EK6" s="33" t="n">
        <v>733359.466666669</v>
      </c>
      <c r="EL6" s="33" t="n">
        <v>730538.8533333357</v>
      </c>
      <c r="EM6" s="33" t="n">
        <v>727718.2400000024</v>
      </c>
      <c r="EN6" s="33" t="n">
        <v>724897.6266666692</v>
      </c>
      <c r="EO6" s="33" t="n">
        <v>722077.0133333359</v>
      </c>
      <c r="EP6" s="33" t="n">
        <v>719256.4000000026</v>
      </c>
      <c r="EQ6" s="33" t="n">
        <v>716435.7866666693</v>
      </c>
      <c r="ER6" s="33" t="n">
        <v>713615.173333336</v>
      </c>
      <c r="ES6" s="33" t="n">
        <v>710794.5600000027</v>
      </c>
      <c r="ET6" s="33" t="n">
        <v>707973.9466666694</v>
      </c>
      <c r="EU6" s="33" t="n">
        <v>705153.3333333362</v>
      </c>
      <c r="EV6" s="33" t="n">
        <v>702332.7200000029</v>
      </c>
      <c r="EW6" s="33" t="n">
        <v>699512.1066666696</v>
      </c>
      <c r="EX6" s="33" t="n">
        <v>696691.4933333363</v>
      </c>
      <c r="EY6" s="33" t="n">
        <v>693870.880000003</v>
      </c>
      <c r="EZ6" s="33" t="n">
        <v>691050.2666666697</v>
      </c>
      <c r="FA6" s="33" t="n">
        <v>688229.6533333365</v>
      </c>
      <c r="FB6" s="33" t="n">
        <v>685409.0400000032</v>
      </c>
      <c r="FC6" s="33" t="n">
        <v>682588.4266666699</v>
      </c>
      <c r="FD6" s="33" t="n">
        <v>679767.8133333366</v>
      </c>
      <c r="FE6" s="33" t="n">
        <v>676947.2000000033</v>
      </c>
      <c r="FF6" s="33" t="n">
        <v>674126.58666667</v>
      </c>
      <c r="FG6" s="33" t="n">
        <v>671305.9733333368</v>
      </c>
      <c r="FH6" s="33" t="n">
        <v>668485.3600000035</v>
      </c>
      <c r="FI6" s="33" t="n">
        <v>665664.7466666702</v>
      </c>
      <c r="FJ6" s="33" t="n">
        <v>662844.1333333369</v>
      </c>
      <c r="FK6" s="33" t="n">
        <v>660023.5200000036</v>
      </c>
      <c r="FL6" s="33" t="n">
        <v>657202.9066666703</v>
      </c>
      <c r="FM6" s="33" t="n">
        <v>654382.2933333371</v>
      </c>
      <c r="FN6" s="33" t="n">
        <v>651561.6800000038</v>
      </c>
      <c r="FO6" s="33" t="n">
        <v>648741.0666666705</v>
      </c>
      <c r="FP6" s="33" t="n">
        <v>645920.4533333372</v>
      </c>
      <c r="FQ6" s="33" t="n">
        <v>643099.8400000039</v>
      </c>
      <c r="FR6" s="33" t="n">
        <v>640279.2266666706</v>
      </c>
      <c r="FS6" s="33" t="n">
        <v>637458.6133333374</v>
      </c>
      <c r="FT6" s="33" t="n">
        <v>634638.0000000041</v>
      </c>
      <c r="FU6" s="33" t="n">
        <v>631817.3866666708</v>
      </c>
      <c r="FV6" s="33" t="n">
        <v>628996.7733333375</v>
      </c>
      <c r="FW6" s="33" t="n">
        <v>626176.1600000042</v>
      </c>
      <c r="FX6" s="33" t="n">
        <v>623355.5466666709</v>
      </c>
      <c r="FY6" s="33" t="n">
        <v>620534.9333333377</v>
      </c>
      <c r="FZ6" s="33" t="n">
        <v>617714.3200000044</v>
      </c>
      <c r="GA6" s="33" t="n">
        <v>614893.7066666711</v>
      </c>
      <c r="GB6" s="33" t="n">
        <v>612073.0933333378</v>
      </c>
      <c r="GC6" s="33" t="n">
        <v>609252.4800000045</v>
      </c>
      <c r="GD6" s="33" t="n">
        <v>606431.8666666712</v>
      </c>
      <c r="GE6" s="33" t="n">
        <v>603611.253333338</v>
      </c>
      <c r="GF6" s="33" t="n">
        <v>600790.6400000047</v>
      </c>
      <c r="GG6" s="33" t="n">
        <v>597970.0266666714</v>
      </c>
      <c r="GH6" s="33" t="n">
        <v>595149.4133333381</v>
      </c>
      <c r="GI6" s="33" t="n">
        <v>592328.8000000048</v>
      </c>
      <c r="GJ6" s="33" t="n">
        <v>589508.1866666715</v>
      </c>
      <c r="GK6" s="33" t="n">
        <v>586687.5733333383</v>
      </c>
      <c r="GL6" s="33" t="n">
        <v>583866.960000005</v>
      </c>
      <c r="GM6" s="33" t="n">
        <v>581046.3466666717</v>
      </c>
      <c r="GN6" s="33" t="n">
        <v>578225.7333333384</v>
      </c>
      <c r="GO6" s="33" t="n">
        <v>575405.1200000051</v>
      </c>
      <c r="GP6" s="33" t="n">
        <v>572584.5066666718</v>
      </c>
      <c r="GQ6" s="33" t="n">
        <v>569763.8933333386</v>
      </c>
      <c r="GR6" s="33" t="n">
        <v>566943.2800000053</v>
      </c>
      <c r="GS6" s="33" t="n">
        <v>564122.666666672</v>
      </c>
      <c r="GT6" s="33" t="n">
        <v>561302.0533333387</v>
      </c>
      <c r="GU6" s="33" t="n">
        <v>558481.4400000054</v>
      </c>
      <c r="GV6" s="33" t="n">
        <v>555660.8266666721</v>
      </c>
      <c r="GW6" s="33" t="n">
        <v>552840.2133333388</v>
      </c>
      <c r="GX6" s="33" t="n">
        <v>550019.6000000056</v>
      </c>
      <c r="GY6" s="33" t="n">
        <v>547198.9866666723</v>
      </c>
      <c r="GZ6" s="33" t="n">
        <v>544378.373333339</v>
      </c>
      <c r="HA6" s="33" t="n">
        <v>541557.7600000057</v>
      </c>
      <c r="HB6" s="33" t="n">
        <v>538737.1466666724</v>
      </c>
      <c r="HC6" s="33" t="n">
        <v>535916.5333333391</v>
      </c>
      <c r="HD6" s="33" t="n">
        <v>533095.9200000059</v>
      </c>
      <c r="HE6" s="33" t="n">
        <v>530275.3066666726</v>
      </c>
      <c r="HF6" s="33" t="n">
        <v>527454.6933333393</v>
      </c>
      <c r="HG6" s="33" t="n">
        <v>524634.080000006</v>
      </c>
      <c r="HH6" s="33" t="n">
        <v>521813.4666666727</v>
      </c>
      <c r="HI6" s="33" t="n">
        <v>518992.8533333393</v>
      </c>
      <c r="HJ6" s="33" t="n">
        <v>516172.240000006</v>
      </c>
      <c r="HK6" s="33" t="n">
        <v>513351.6266666726</v>
      </c>
      <c r="HL6" s="33" t="n">
        <v>510531.0133333393</v>
      </c>
      <c r="HM6" s="33" t="n">
        <v>507710.400000006</v>
      </c>
      <c r="HN6" s="33" t="n">
        <v>504889.7866666726</v>
      </c>
      <c r="HO6" s="33" t="n">
        <v>502069.1733333393</v>
      </c>
      <c r="HP6" s="33" t="n">
        <v>499248.5600000059</v>
      </c>
      <c r="HQ6" s="33" t="n">
        <v>496427.9466666726</v>
      </c>
      <c r="HR6" s="33" t="n">
        <v>493607.3333333393</v>
      </c>
      <c r="HS6" s="33" t="n">
        <v>490786.7200000059</v>
      </c>
      <c r="HT6" s="33" t="n">
        <v>487966.1066666726</v>
      </c>
      <c r="HU6" s="33" t="n">
        <v>485145.4933333392</v>
      </c>
      <c r="HV6" s="33" t="n">
        <v>482324.8800000059</v>
      </c>
      <c r="HW6" s="33" t="n">
        <v>479504.2666666725</v>
      </c>
      <c r="HX6" s="33" t="n">
        <v>476683.6533333392</v>
      </c>
      <c r="HY6" s="33" t="n">
        <v>473863.0400000059</v>
      </c>
      <c r="HZ6" s="33" t="n">
        <v>471042.4266666725</v>
      </c>
      <c r="IA6" s="33" t="n">
        <v>468221.8133333392</v>
      </c>
      <c r="IB6" s="33" t="n">
        <v>465401.2000000058</v>
      </c>
      <c r="IC6" s="33" t="n">
        <v>462580.5866666725</v>
      </c>
      <c r="ID6" s="33" t="n">
        <v>459759.9733333391</v>
      </c>
      <c r="IE6" s="33" t="n">
        <v>456939.3600000058</v>
      </c>
      <c r="IF6" s="33" t="n">
        <v>454118.7466666725</v>
      </c>
      <c r="IG6" s="33" t="n">
        <v>451298.1333333391</v>
      </c>
      <c r="IH6" s="33" t="n">
        <v>448477.5200000058</v>
      </c>
      <c r="II6" s="33" t="n">
        <v>445656.9066666724</v>
      </c>
      <c r="IJ6" s="33" t="n">
        <v>442836.2933333391</v>
      </c>
      <c r="IK6" s="33" t="n">
        <v>440015.6800000058</v>
      </c>
      <c r="IL6" s="33" t="n">
        <v>437195.0666666724</v>
      </c>
      <c r="IM6" s="33" t="n">
        <v>434374.4533333391</v>
      </c>
      <c r="IN6" s="33" t="n">
        <v>431553.8400000057</v>
      </c>
      <c r="IO6" s="33" t="n">
        <v>428733.2266666724</v>
      </c>
      <c r="IP6" s="33" t="n">
        <v>425912.613333339</v>
      </c>
      <c r="IQ6" s="33" t="n">
        <v>423092.0000000057</v>
      </c>
      <c r="IR6" s="33" t="n">
        <v>420271.3866666724</v>
      </c>
      <c r="IS6" s="33" t="n">
        <v>417450.773333339</v>
      </c>
      <c r="IT6" s="33" t="n">
        <v>414630.1600000057</v>
      </c>
      <c r="IU6" s="33" t="n">
        <v>411809.5466666723</v>
      </c>
      <c r="IV6" s="33" t="n">
        <v>408988.933333339</v>
      </c>
      <c r="IW6" s="33" t="n">
        <v>406168.3200000057</v>
      </c>
      <c r="IX6" s="33" t="n">
        <v>403347.7066666723</v>
      </c>
      <c r="IY6" s="33" t="n">
        <v>400527.093333339</v>
      </c>
      <c r="IZ6" s="33" t="n">
        <v>397706.4800000056</v>
      </c>
      <c r="JA6" s="33" t="n">
        <v>394885.8666666723</v>
      </c>
      <c r="JB6" s="33" t="n">
        <v>392065.2533333389</v>
      </c>
      <c r="JC6" s="33" t="n">
        <v>389244.6400000056</v>
      </c>
      <c r="JD6" s="33" t="n">
        <v>386424.0266666723</v>
      </c>
      <c r="JE6" s="33" t="n">
        <v>383603.4133333389</v>
      </c>
      <c r="JF6" s="33" t="n">
        <v>380782.8000000056</v>
      </c>
      <c r="JG6" s="33" t="n">
        <v>377962.1866666722</v>
      </c>
      <c r="JH6" s="33" t="n">
        <v>375141.5733333389</v>
      </c>
      <c r="JI6" s="33" t="n">
        <v>372320.9600000056</v>
      </c>
      <c r="JJ6" s="33" t="n">
        <v>369500.3466666722</v>
      </c>
      <c r="JK6" s="33" t="n">
        <v>366679.7333333389</v>
      </c>
      <c r="JL6" s="33" t="n">
        <v>363859.1200000055</v>
      </c>
      <c r="JM6" s="33" t="n">
        <v>361038.5066666722</v>
      </c>
      <c r="JN6" s="33" t="n">
        <v>358217.8933333388</v>
      </c>
      <c r="JO6" s="33" t="n">
        <v>355397.2800000055</v>
      </c>
      <c r="JP6" s="33" t="n">
        <v>352576.6666666722</v>
      </c>
      <c r="JQ6" s="33" t="n">
        <v>349756.0533333388</v>
      </c>
      <c r="JR6" s="33" t="n">
        <v>346935.4400000055</v>
      </c>
      <c r="JS6" s="33" t="n">
        <v>344114.8266666721</v>
      </c>
      <c r="JT6" s="33" t="n">
        <v>341294.2133333388</v>
      </c>
      <c r="JU6" s="33" t="n">
        <v>338473.6000000054</v>
      </c>
      <c r="JV6" s="33" t="n">
        <v>335652.9866666721</v>
      </c>
      <c r="JW6" s="33" t="n">
        <v>332832.3733333388</v>
      </c>
      <c r="JX6" s="33" t="n">
        <v>330011.7600000054</v>
      </c>
      <c r="JY6" s="33" t="n">
        <v>327191.1466666721</v>
      </c>
      <c r="JZ6" s="33" t="n">
        <v>324370.5333333387</v>
      </c>
      <c r="KA6" s="33" t="n">
        <v>321549.9200000054</v>
      </c>
      <c r="KB6" s="33" t="n">
        <v>318729.3066666721</v>
      </c>
      <c r="KC6" s="33" t="n">
        <v>315908.6933333387</v>
      </c>
      <c r="KD6" s="33" t="n">
        <v>313088.0800000054</v>
      </c>
      <c r="KE6" s="33" t="n">
        <v>310267.466666672</v>
      </c>
      <c r="KF6" s="33" t="n">
        <v>307446.8533333387</v>
      </c>
      <c r="KG6" s="33" t="n">
        <v>304626.2400000053</v>
      </c>
      <c r="KH6" s="33" t="n">
        <v>301805.626666672</v>
      </c>
      <c r="KI6" s="33" t="n">
        <v>298985.0133333387</v>
      </c>
      <c r="KJ6" s="33" t="n">
        <v>296164.4000000053</v>
      </c>
      <c r="KK6" s="33" t="n">
        <v>293343.786666672</v>
      </c>
      <c r="KL6" s="33" t="n">
        <v>290523.1733333386</v>
      </c>
      <c r="KM6" s="33" t="n">
        <v>287702.5600000053</v>
      </c>
      <c r="KN6" s="33" t="n">
        <v>284881.946666672</v>
      </c>
      <c r="KO6" s="33" t="n">
        <v>282061.3333333386</v>
      </c>
      <c r="KP6" s="33" t="n">
        <v>279240.7200000053</v>
      </c>
      <c r="KQ6" s="33" t="n">
        <v>276420.1066666719</v>
      </c>
      <c r="KR6" s="33" t="n">
        <v>273599.4933333386</v>
      </c>
      <c r="KS6" s="33" t="n">
        <v>270778.8800000052</v>
      </c>
      <c r="KT6" s="33" t="n">
        <v>267958.2666666719</v>
      </c>
      <c r="KU6" s="33" t="n">
        <v>265137.6533333386</v>
      </c>
      <c r="KV6" s="33" t="n">
        <v>262317.0400000052</v>
      </c>
      <c r="KW6" s="33" t="n">
        <v>259496.4266666719</v>
      </c>
      <c r="KX6" s="33" t="n">
        <v>256675.8133333385</v>
      </c>
      <c r="KY6" s="33" t="n">
        <v>253855.2000000052</v>
      </c>
      <c r="KZ6" s="33" t="n">
        <v>251034.5866666719</v>
      </c>
      <c r="LA6" s="33" t="n">
        <v>248213.9733333385</v>
      </c>
      <c r="LB6" s="33" t="n">
        <v>245393.3600000052</v>
      </c>
      <c r="LC6" s="33" t="n">
        <v>242572.7466666718</v>
      </c>
      <c r="LD6" s="33" t="n">
        <v>239752.1333333385</v>
      </c>
      <c r="LE6" s="33" t="n">
        <v>236931.5200000051</v>
      </c>
      <c r="LF6" s="33" t="n">
        <v>234110.9066666718</v>
      </c>
      <c r="LG6" s="33" t="n">
        <v>231290.2933333385</v>
      </c>
      <c r="LH6" s="33" t="n">
        <v>228469.6800000051</v>
      </c>
      <c r="LI6" s="33" t="n">
        <v>225649.0666666718</v>
      </c>
      <c r="LJ6" s="33" t="n">
        <v>222828.4533333384</v>
      </c>
      <c r="LK6" s="33" t="n">
        <v>220007.8400000051</v>
      </c>
      <c r="LL6" s="33" t="n">
        <v>217187.2266666717</v>
      </c>
      <c r="LM6" s="33" t="n">
        <v>214366.6133333384</v>
      </c>
      <c r="LN6" s="33" t="n">
        <v>211546.0000000051</v>
      </c>
      <c r="LO6" s="33" t="n">
        <v>208725.3866666717</v>
      </c>
      <c r="LP6" s="33" t="n">
        <v>205904.7733333384</v>
      </c>
      <c r="LQ6" s="33" t="n">
        <v>203084.160000005</v>
      </c>
      <c r="LR6" s="33" t="n">
        <v>200263.5466666717</v>
      </c>
      <c r="LS6" s="33" t="n">
        <v>197442.9333333384</v>
      </c>
      <c r="LT6" s="33" t="n">
        <v>194622.320000005</v>
      </c>
      <c r="LU6" s="33" t="n">
        <v>191801.7066666717</v>
      </c>
      <c r="LV6" s="33" t="n">
        <v>188981.0933333383</v>
      </c>
      <c r="LW6" s="33" t="n">
        <v>186160.480000005</v>
      </c>
      <c r="LX6" s="33" t="n">
        <v>183339.8666666716</v>
      </c>
      <c r="LY6" s="33" t="n">
        <v>180519.2533333383</v>
      </c>
      <c r="LZ6" s="33" t="n">
        <v>177698.640000005</v>
      </c>
      <c r="MA6" s="33" t="n">
        <v>174878.0266666716</v>
      </c>
      <c r="MB6" s="33" t="n">
        <v>172057.4133333383</v>
      </c>
      <c r="MC6" s="33" t="n">
        <v>169236.8000000049</v>
      </c>
      <c r="MD6" s="33" t="n">
        <v>166416.1866666716</v>
      </c>
      <c r="ME6" s="33" t="n">
        <v>163595.5733333383</v>
      </c>
      <c r="MF6" s="33" t="n">
        <v>160774.9600000049</v>
      </c>
      <c r="MG6" s="33" t="n">
        <v>157954.3466666716</v>
      </c>
      <c r="MH6" s="33" t="n">
        <v>155133.7333333382</v>
      </c>
      <c r="MI6" s="33" t="n">
        <v>152313.1200000049</v>
      </c>
      <c r="MJ6" s="33" t="n">
        <v>149492.5066666715</v>
      </c>
      <c r="MK6" s="33" t="n">
        <v>146671.8933333382</v>
      </c>
      <c r="ML6" s="33" t="n">
        <v>143851.2800000049</v>
      </c>
      <c r="MM6" s="33" t="n">
        <v>141030.6666666715</v>
      </c>
      <c r="MN6" s="33" t="n">
        <v>138210.0533333382</v>
      </c>
      <c r="MO6" s="33" t="n">
        <v>135389.4400000048</v>
      </c>
      <c r="MP6" s="33" t="n">
        <v>132568.8266666715</v>
      </c>
      <c r="MQ6" s="33" t="n">
        <v>129748.2133333382</v>
      </c>
      <c r="MR6" s="33" t="n">
        <v>126927.6000000048</v>
      </c>
      <c r="MS6" s="33" t="n">
        <v>124106.9866666715</v>
      </c>
      <c r="MT6" s="33" t="n">
        <v>121286.3733333382</v>
      </c>
      <c r="MU6" s="33" t="n">
        <v>118465.7600000049</v>
      </c>
      <c r="MV6" s="33" t="n">
        <v>115645.1466666715</v>
      </c>
      <c r="MW6" s="33" t="n">
        <v>112824.5333333382</v>
      </c>
      <c r="MX6" s="33" t="n">
        <v>110003.9200000049</v>
      </c>
      <c r="MY6" s="33" t="n">
        <v>107183.3066666715</v>
      </c>
      <c r="MZ6" s="33" t="n">
        <v>104362.6933333382</v>
      </c>
      <c r="NA6" s="33" t="n">
        <v>101542.0800000049</v>
      </c>
      <c r="NB6" s="33" t="n">
        <v>98721.46666667156</v>
      </c>
      <c r="NC6" s="33" t="n">
        <v>95900.85333333824</v>
      </c>
      <c r="ND6" s="33" t="n">
        <v>93080.24000000491</v>
      </c>
      <c r="NE6" s="33" t="n">
        <v>90259.62666667158</v>
      </c>
      <c r="NF6" s="33" t="n">
        <v>87439.01333333825</v>
      </c>
      <c r="NG6" s="33" t="n">
        <v>84618.40000000493</v>
      </c>
      <c r="NH6" s="33" t="n">
        <v>81797.7866666716</v>
      </c>
      <c r="NI6" s="33" t="n">
        <v>78977.17333333827</v>
      </c>
      <c r="NJ6" s="33" t="n">
        <v>76156.56000000495</v>
      </c>
      <c r="NK6" s="33" t="n">
        <v>73335.94666667162</v>
      </c>
      <c r="NL6" s="33" t="n">
        <v>70515.33333333829</v>
      </c>
      <c r="NM6" s="33" t="n">
        <v>67694.72000000496</v>
      </c>
      <c r="NN6" s="33" t="n">
        <v>64874.10666667163</v>
      </c>
      <c r="NO6" s="33" t="n">
        <v>62053.49333333829</v>
      </c>
      <c r="NP6" s="33" t="n">
        <v>59232.88000000496</v>
      </c>
      <c r="NQ6" s="33" t="n">
        <v>56412.26666667162</v>
      </c>
      <c r="NR6" s="33" t="n">
        <v>53591.65333333829</v>
      </c>
      <c r="NS6" s="33" t="n">
        <v>50771.04000000496</v>
      </c>
      <c r="NT6" s="33" t="n">
        <v>47950.42666667162</v>
      </c>
      <c r="NU6" s="33" t="n">
        <v>45129.81333333829</v>
      </c>
      <c r="NV6" s="33" t="n">
        <v>42309.20000000495</v>
      </c>
      <c r="NW6" s="33" t="n">
        <v>39488.58666667162</v>
      </c>
      <c r="NX6" s="33" t="n">
        <v>36667.97333333828</v>
      </c>
      <c r="NY6" s="33" t="n">
        <v>33847.36000000495</v>
      </c>
      <c r="NZ6" s="33" t="n">
        <v>31026.74666667161</v>
      </c>
      <c r="OA6" s="33" t="n">
        <v>28206.13333333828</v>
      </c>
      <c r="OB6" s="33" t="n">
        <v>25385.52000000494</v>
      </c>
      <c r="OC6" s="33" t="n">
        <v>22564.90666667161</v>
      </c>
      <c r="OD6" s="33" t="n">
        <v>19744.29333333828</v>
      </c>
      <c r="OE6" s="33" t="n">
        <v>16923.68000000494</v>
      </c>
      <c r="OF6" s="33" t="n">
        <v>14103.06666667161</v>
      </c>
      <c r="OG6" s="33" t="n">
        <v>11282.45333333828</v>
      </c>
      <c r="OH6" s="33" t="n">
        <v>8461.840000004942</v>
      </c>
      <c r="OI6" s="33" t="n">
        <v>5641.22666667161</v>
      </c>
      <c r="OJ6" s="33" t="n">
        <v>2820.613333338276</v>
      </c>
      <c r="OK6" s="33" t="n">
        <v>4.943103704135865e-09</v>
      </c>
      <c r="OL6" s="33" t="n">
        <v>0</v>
      </c>
      <c r="OM6" s="33" t="n">
        <v>0</v>
      </c>
      <c r="ON6" s="33" t="n">
        <v>0</v>
      </c>
      <c r="OO6" s="33" t="n">
        <v>0</v>
      </c>
      <c r="OP6" s="33" t="n">
        <v>0</v>
      </c>
      <c r="OQ6" s="33" t="n">
        <v>0</v>
      </c>
      <c r="OR6" s="33" t="n">
        <v>0</v>
      </c>
      <c r="OS6" s="33" t="n">
        <v>0</v>
      </c>
      <c r="OT6" s="33" t="n">
        <v>0</v>
      </c>
      <c r="OU6" s="33" t="n">
        <v>0</v>
      </c>
      <c r="OV6" s="33" t="n">
        <v>0</v>
      </c>
      <c r="OW6" s="33" t="n">
        <v>0</v>
      </c>
      <c r="OX6" s="33" t="n">
        <v>0</v>
      </c>
      <c r="OY6" s="33" t="n">
        <v>0</v>
      </c>
      <c r="OZ6" s="33" t="n">
        <v>0</v>
      </c>
      <c r="PA6" s="33" t="n">
        <v>0</v>
      </c>
      <c r="PB6" s="33" t="n">
        <v>0</v>
      </c>
      <c r="PC6" s="33" t="n">
        <v>0</v>
      </c>
      <c r="PD6" s="33" t="n">
        <v>0</v>
      </c>
      <c r="PE6" s="33" t="n">
        <v>0</v>
      </c>
      <c r="PF6" s="33" t="n">
        <v>0</v>
      </c>
      <c r="PG6" s="33" t="n">
        <v>0</v>
      </c>
      <c r="PH6" s="33" t="n">
        <v>0</v>
      </c>
      <c r="PI6" s="33" t="n">
        <v>0</v>
      </c>
      <c r="PJ6" s="33" t="n">
        <v>0</v>
      </c>
      <c r="PK6" s="33" t="n">
        <v>0</v>
      </c>
      <c r="PL6" s="33" t="n">
        <v>0</v>
      </c>
      <c r="PM6" s="33" t="n">
        <v>0</v>
      </c>
      <c r="PN6" s="33" t="n">
        <v>0</v>
      </c>
      <c r="PO6" s="33" t="n">
        <v>0</v>
      </c>
      <c r="PP6" s="33" t="n">
        <v>0</v>
      </c>
      <c r="PQ6" s="33" t="n">
        <v>0</v>
      </c>
      <c r="PR6" s="33" t="n">
        <v>0</v>
      </c>
      <c r="PS6" s="33" t="n">
        <v>0</v>
      </c>
      <c r="PT6" s="33" t="n">
        <v>0</v>
      </c>
      <c r="PU6" s="33" t="n">
        <v>0</v>
      </c>
      <c r="PV6" s="33" t="n">
        <v>0</v>
      </c>
      <c r="PW6" s="33" t="n">
        <v>0</v>
      </c>
      <c r="PX6" s="33" t="n">
        <v>0</v>
      </c>
      <c r="PY6" s="33" t="n">
        <v>0</v>
      </c>
      <c r="PZ6" s="33" t="n">
        <v>0</v>
      </c>
      <c r="QA6" s="33" t="n">
        <v>0</v>
      </c>
      <c r="QB6" s="33" t="n">
        <v>0</v>
      </c>
      <c r="QC6" s="33" t="n">
        <v>0</v>
      </c>
      <c r="QD6" s="33" t="n">
        <v>0</v>
      </c>
      <c r="QE6" s="33" t="n">
        <v>0</v>
      </c>
      <c r="QF6" s="33" t="n">
        <v>0</v>
      </c>
      <c r="QG6" s="33" t="n">
        <v>0</v>
      </c>
      <c r="QH6" s="33" t="n">
        <v>0</v>
      </c>
      <c r="QI6" s="33" t="n">
        <v>0</v>
      </c>
      <c r="QJ6" s="33" t="n">
        <v>0</v>
      </c>
      <c r="QK6" s="33" t="n">
        <v>0</v>
      </c>
      <c r="QL6" s="33" t="n">
        <v>0</v>
      </c>
      <c r="QM6" s="33" t="n">
        <v>0</v>
      </c>
      <c r="QN6" s="33" t="n">
        <v>0</v>
      </c>
      <c r="QO6" s="33" t="n">
        <v>0</v>
      </c>
      <c r="QP6" s="33" t="n">
        <v>0</v>
      </c>
      <c r="QQ6" s="33" t="n">
        <v>0</v>
      </c>
      <c r="QR6" s="33" t="n">
        <v>0</v>
      </c>
      <c r="QS6" s="33" t="n">
        <v>0</v>
      </c>
      <c r="QT6" s="33" t="n">
        <v>0</v>
      </c>
      <c r="QU6" s="33" t="n">
        <v>0</v>
      </c>
      <c r="QV6" s="33" t="n">
        <v>0</v>
      </c>
      <c r="QW6" s="33" t="n">
        <v>0</v>
      </c>
      <c r="QX6" s="33" t="n">
        <v>0</v>
      </c>
      <c r="QY6" s="33" t="n">
        <v>0</v>
      </c>
      <c r="QZ6" s="33" t="n">
        <v>0</v>
      </c>
      <c r="RA6" s="33" t="n">
        <v>0</v>
      </c>
      <c r="RB6" s="33" t="n">
        <v>0</v>
      </c>
      <c r="RC6" s="33" t="n">
        <v>0</v>
      </c>
      <c r="RD6" s="33" t="n">
        <v>0</v>
      </c>
      <c r="RE6" s="33" t="n">
        <v>0</v>
      </c>
      <c r="RF6" s="33" t="n">
        <v>0</v>
      </c>
      <c r="RG6" s="33" t="n">
        <v>0</v>
      </c>
      <c r="RH6" s="33" t="n">
        <v>0</v>
      </c>
      <c r="RI6" s="33" t="n">
        <v>0</v>
      </c>
      <c r="RJ6" s="33" t="n">
        <v>0</v>
      </c>
      <c r="RK6" s="33" t="n">
        <v>0</v>
      </c>
      <c r="RL6" s="33" t="n">
        <v>0</v>
      </c>
      <c r="RM6" s="33" t="n">
        <v>0</v>
      </c>
      <c r="RN6" s="33" t="n">
        <v>0</v>
      </c>
      <c r="RO6" s="33" t="n">
        <v>0</v>
      </c>
      <c r="RP6" s="33" t="n">
        <v>0</v>
      </c>
      <c r="RQ6" s="33" t="n">
        <v>0</v>
      </c>
      <c r="RR6" s="33" t="n">
        <v>0</v>
      </c>
      <c r="RS6" s="33" t="n">
        <v>0</v>
      </c>
      <c r="RT6" s="33" t="n">
        <v>0</v>
      </c>
      <c r="RU6" s="33" t="n">
        <v>0</v>
      </c>
      <c r="RV6" s="33" t="n">
        <v>0</v>
      </c>
      <c r="RW6" s="33" t="n">
        <v>0</v>
      </c>
    </row>
    <row r="7" hidden="1" outlineLevel="1" ht="13.05" customHeight="1">
      <c r="E7" s="21" t="inlineStr">
        <is>
          <t>Drawdown</t>
        </is>
      </c>
      <c r="F7" s="29" t="n"/>
      <c r="G7" s="29" t="inlineStr">
        <is>
          <t>kEUR</t>
        </is>
      </c>
      <c r="H7" s="29" t="n"/>
      <c r="I7" s="29" t="n"/>
      <c r="J7" s="32" t="n">
        <v>846184</v>
      </c>
      <c r="K7" s="29" t="n"/>
      <c r="L7" s="33" t="n">
        <v>0</v>
      </c>
      <c r="M7" s="33" t="n">
        <v>0</v>
      </c>
      <c r="N7" s="33" t="n">
        <v>0</v>
      </c>
      <c r="O7" s="33" t="n">
        <v>0</v>
      </c>
      <c r="P7" s="33" t="n">
        <v>0</v>
      </c>
      <c r="Q7" s="33" t="n">
        <v>0</v>
      </c>
      <c r="R7" s="33" t="n">
        <v>0</v>
      </c>
      <c r="S7" s="33" t="n">
        <v>0</v>
      </c>
      <c r="T7" s="33" t="n">
        <v>0</v>
      </c>
      <c r="U7" s="33" t="n">
        <v>0</v>
      </c>
      <c r="V7" s="33" t="n">
        <v>0</v>
      </c>
      <c r="W7" s="33" t="n">
        <v>0</v>
      </c>
      <c r="X7" s="33" t="n">
        <v>0</v>
      </c>
      <c r="Y7" s="33" t="n">
        <v>0</v>
      </c>
      <c r="Z7" s="33" t="n">
        <v>0</v>
      </c>
      <c r="AA7" s="33" t="n">
        <v>0</v>
      </c>
      <c r="AB7" s="33" t="n">
        <v>0</v>
      </c>
      <c r="AC7" s="33" t="n">
        <v>0</v>
      </c>
      <c r="AD7" s="33" t="n">
        <v>0</v>
      </c>
      <c r="AE7" s="33" t="n">
        <v>0</v>
      </c>
      <c r="AF7" s="33" t="n">
        <v>0</v>
      </c>
      <c r="AG7" s="33" t="n">
        <v>0</v>
      </c>
      <c r="AH7" s="33" t="n">
        <v>0</v>
      </c>
      <c r="AI7" s="33" t="n">
        <v>0</v>
      </c>
      <c r="AJ7" s="33" t="n">
        <v>0</v>
      </c>
      <c r="AK7" s="33" t="n">
        <v>0</v>
      </c>
      <c r="AL7" s="33" t="n">
        <v>0</v>
      </c>
      <c r="AM7" s="33" t="n">
        <v>0</v>
      </c>
      <c r="AN7" s="33" t="n">
        <v>0</v>
      </c>
      <c r="AO7" s="33" t="n">
        <v>0</v>
      </c>
      <c r="AP7" s="33" t="n">
        <v>0</v>
      </c>
      <c r="AQ7" s="33" t="n">
        <v>0</v>
      </c>
      <c r="AR7" s="33" t="n">
        <v>0</v>
      </c>
      <c r="AS7" s="33" t="n">
        <v>0</v>
      </c>
      <c r="AT7" s="33" t="n">
        <v>0</v>
      </c>
      <c r="AU7" s="33" t="n">
        <v>0</v>
      </c>
      <c r="AV7" s="33" t="n">
        <v>0</v>
      </c>
      <c r="AW7" s="33" t="n">
        <v>0</v>
      </c>
      <c r="AX7" s="33" t="n">
        <v>0</v>
      </c>
      <c r="AY7" s="33" t="n">
        <v>0</v>
      </c>
      <c r="AZ7" s="33" t="n">
        <v>0</v>
      </c>
      <c r="BA7" s="33" t="n">
        <v>0</v>
      </c>
      <c r="BB7" s="33" t="n">
        <v>0</v>
      </c>
      <c r="BC7" s="33" t="n">
        <v>0</v>
      </c>
      <c r="BD7" s="33" t="n">
        <v>0</v>
      </c>
      <c r="BE7" s="33" t="n">
        <v>0</v>
      </c>
      <c r="BF7" s="33" t="n">
        <v>0</v>
      </c>
      <c r="BG7" s="33" t="n">
        <v>0</v>
      </c>
      <c r="BH7" s="33" t="n">
        <v>23505.11111111111</v>
      </c>
      <c r="BI7" s="33" t="n">
        <v>23505.11111111111</v>
      </c>
      <c r="BJ7" s="33" t="n">
        <v>23505.11111111111</v>
      </c>
      <c r="BK7" s="33" t="n">
        <v>23505.11111111111</v>
      </c>
      <c r="BL7" s="33" t="n">
        <v>23505.11111111111</v>
      </c>
      <c r="BM7" s="33" t="n">
        <v>23505.11111111111</v>
      </c>
      <c r="BN7" s="33" t="n">
        <v>23505.11111111111</v>
      </c>
      <c r="BO7" s="33" t="n">
        <v>23505.11111111111</v>
      </c>
      <c r="BP7" s="33" t="n">
        <v>23505.11111111111</v>
      </c>
      <c r="BQ7" s="33" t="n">
        <v>23505.11111111111</v>
      </c>
      <c r="BR7" s="33" t="n">
        <v>23505.11111111111</v>
      </c>
      <c r="BS7" s="33" t="n">
        <v>23505.11111111111</v>
      </c>
      <c r="BT7" s="33" t="n">
        <v>23505.11111111111</v>
      </c>
      <c r="BU7" s="33" t="n">
        <v>23505.11111111111</v>
      </c>
      <c r="BV7" s="33" t="n">
        <v>23505.11111111111</v>
      </c>
      <c r="BW7" s="33" t="n">
        <v>23505.11111111111</v>
      </c>
      <c r="BX7" s="33" t="n">
        <v>23505.11111111111</v>
      </c>
      <c r="BY7" s="33" t="n">
        <v>23505.11111111111</v>
      </c>
      <c r="BZ7" s="33" t="n">
        <v>23505.11111111111</v>
      </c>
      <c r="CA7" s="33" t="n">
        <v>23505.11111111111</v>
      </c>
      <c r="CB7" s="33" t="n">
        <v>23505.11111111111</v>
      </c>
      <c r="CC7" s="33" t="n">
        <v>23505.11111111111</v>
      </c>
      <c r="CD7" s="33" t="n">
        <v>23505.11111111111</v>
      </c>
      <c r="CE7" s="33" t="n">
        <v>23505.11111111111</v>
      </c>
      <c r="CF7" s="33" t="n">
        <v>23505.11111111111</v>
      </c>
      <c r="CG7" s="33" t="n">
        <v>23505.11111111111</v>
      </c>
      <c r="CH7" s="33" t="n">
        <v>23505.11111111111</v>
      </c>
      <c r="CI7" s="33" t="n">
        <v>23505.11111111111</v>
      </c>
      <c r="CJ7" s="33" t="n">
        <v>23505.11111111111</v>
      </c>
      <c r="CK7" s="33" t="n">
        <v>23505.11111111111</v>
      </c>
      <c r="CL7" s="33" t="n">
        <v>23505.11111111111</v>
      </c>
      <c r="CM7" s="33" t="n">
        <v>23505.11111111111</v>
      </c>
      <c r="CN7" s="33" t="n">
        <v>23505.11111111111</v>
      </c>
      <c r="CO7" s="33" t="n">
        <v>23505.11111111111</v>
      </c>
      <c r="CP7" s="33" t="n">
        <v>23505.11111111111</v>
      </c>
      <c r="CQ7" s="33" t="n">
        <v>23505.11111111111</v>
      </c>
      <c r="CR7" s="33" t="n">
        <v>0</v>
      </c>
      <c r="CS7" s="33" t="n">
        <v>0</v>
      </c>
      <c r="CT7" s="33" t="n">
        <v>0</v>
      </c>
      <c r="CU7" s="33" t="n">
        <v>0</v>
      </c>
      <c r="CV7" s="33" t="n">
        <v>0</v>
      </c>
      <c r="CW7" s="33" t="n">
        <v>0</v>
      </c>
      <c r="CX7" s="33" t="n">
        <v>0</v>
      </c>
      <c r="CY7" s="33" t="n">
        <v>0</v>
      </c>
      <c r="CZ7" s="33" t="n">
        <v>0</v>
      </c>
      <c r="DA7" s="33" t="n">
        <v>0</v>
      </c>
      <c r="DB7" s="33" t="n">
        <v>0</v>
      </c>
      <c r="DC7" s="33" t="n">
        <v>0</v>
      </c>
      <c r="DD7" s="33" t="n">
        <v>0</v>
      </c>
      <c r="DE7" s="33" t="n">
        <v>0</v>
      </c>
      <c r="DF7" s="33" t="n">
        <v>0</v>
      </c>
      <c r="DG7" s="33" t="n">
        <v>0</v>
      </c>
      <c r="DH7" s="33" t="n">
        <v>0</v>
      </c>
      <c r="DI7" s="33" t="n">
        <v>0</v>
      </c>
      <c r="DJ7" s="33" t="n">
        <v>0</v>
      </c>
      <c r="DK7" s="33" t="n">
        <v>0</v>
      </c>
      <c r="DL7" s="33" t="n">
        <v>0</v>
      </c>
      <c r="DM7" s="33" t="n">
        <v>0</v>
      </c>
      <c r="DN7" s="33" t="n">
        <v>0</v>
      </c>
      <c r="DO7" s="33" t="n">
        <v>0</v>
      </c>
      <c r="DP7" s="33" t="n">
        <v>0</v>
      </c>
      <c r="DQ7" s="33" t="n">
        <v>0</v>
      </c>
      <c r="DR7" s="33" t="n">
        <v>0</v>
      </c>
      <c r="DS7" s="33" t="n">
        <v>0</v>
      </c>
      <c r="DT7" s="33" t="n">
        <v>0</v>
      </c>
      <c r="DU7" s="33" t="n">
        <v>0</v>
      </c>
      <c r="DV7" s="33" t="n">
        <v>0</v>
      </c>
      <c r="DW7" s="33" t="n">
        <v>0</v>
      </c>
      <c r="DX7" s="33" t="n">
        <v>0</v>
      </c>
      <c r="DY7" s="33" t="n">
        <v>0</v>
      </c>
      <c r="DZ7" s="33" t="n">
        <v>0</v>
      </c>
      <c r="EA7" s="33" t="n">
        <v>0</v>
      </c>
      <c r="EB7" s="33" t="n">
        <v>0</v>
      </c>
      <c r="EC7" s="33" t="n">
        <v>0</v>
      </c>
      <c r="ED7" s="33" t="n">
        <v>0</v>
      </c>
      <c r="EE7" s="33" t="n">
        <v>0</v>
      </c>
      <c r="EF7" s="33" t="n">
        <v>0</v>
      </c>
      <c r="EG7" s="33" t="n">
        <v>0</v>
      </c>
      <c r="EH7" s="33" t="n">
        <v>0</v>
      </c>
      <c r="EI7" s="33" t="n">
        <v>0</v>
      </c>
      <c r="EJ7" s="33" t="n">
        <v>0</v>
      </c>
      <c r="EK7" s="33" t="n">
        <v>0</v>
      </c>
      <c r="EL7" s="33" t="n">
        <v>0</v>
      </c>
      <c r="EM7" s="33" t="n">
        <v>0</v>
      </c>
      <c r="EN7" s="33" t="n">
        <v>0</v>
      </c>
      <c r="EO7" s="33" t="n">
        <v>0</v>
      </c>
      <c r="EP7" s="33" t="n">
        <v>0</v>
      </c>
      <c r="EQ7" s="33" t="n">
        <v>0</v>
      </c>
      <c r="ER7" s="33" t="n">
        <v>0</v>
      </c>
      <c r="ES7" s="33" t="n">
        <v>0</v>
      </c>
      <c r="ET7" s="33" t="n">
        <v>0</v>
      </c>
      <c r="EU7" s="33" t="n">
        <v>0</v>
      </c>
      <c r="EV7" s="33" t="n">
        <v>0</v>
      </c>
      <c r="EW7" s="33" t="n">
        <v>0</v>
      </c>
      <c r="EX7" s="33" t="n">
        <v>0</v>
      </c>
      <c r="EY7" s="33" t="n">
        <v>0</v>
      </c>
      <c r="EZ7" s="33" t="n">
        <v>0</v>
      </c>
      <c r="FA7" s="33" t="n">
        <v>0</v>
      </c>
      <c r="FB7" s="33" t="n">
        <v>0</v>
      </c>
      <c r="FC7" s="33" t="n">
        <v>0</v>
      </c>
      <c r="FD7" s="33" t="n">
        <v>0</v>
      </c>
      <c r="FE7" s="33" t="n">
        <v>0</v>
      </c>
      <c r="FF7" s="33" t="n">
        <v>0</v>
      </c>
      <c r="FG7" s="33" t="n">
        <v>0</v>
      </c>
      <c r="FH7" s="33" t="n">
        <v>0</v>
      </c>
      <c r="FI7" s="33" t="n">
        <v>0</v>
      </c>
      <c r="FJ7" s="33" t="n">
        <v>0</v>
      </c>
      <c r="FK7" s="33" t="n">
        <v>0</v>
      </c>
      <c r="FL7" s="33" t="n">
        <v>0</v>
      </c>
      <c r="FM7" s="33" t="n">
        <v>0</v>
      </c>
      <c r="FN7" s="33" t="n">
        <v>0</v>
      </c>
      <c r="FO7" s="33" t="n">
        <v>0</v>
      </c>
      <c r="FP7" s="33" t="n">
        <v>0</v>
      </c>
      <c r="FQ7" s="33" t="n">
        <v>0</v>
      </c>
      <c r="FR7" s="33" t="n">
        <v>0</v>
      </c>
      <c r="FS7" s="33" t="n">
        <v>0</v>
      </c>
      <c r="FT7" s="33" t="n">
        <v>0</v>
      </c>
      <c r="FU7" s="33" t="n">
        <v>0</v>
      </c>
      <c r="FV7" s="33" t="n">
        <v>0</v>
      </c>
      <c r="FW7" s="33" t="n">
        <v>0</v>
      </c>
      <c r="FX7" s="33" t="n">
        <v>0</v>
      </c>
      <c r="FY7" s="33" t="n">
        <v>0</v>
      </c>
      <c r="FZ7" s="33" t="n">
        <v>0</v>
      </c>
      <c r="GA7" s="33" t="n">
        <v>0</v>
      </c>
      <c r="GB7" s="33" t="n">
        <v>0</v>
      </c>
      <c r="GC7" s="33" t="n">
        <v>0</v>
      </c>
      <c r="GD7" s="33" t="n">
        <v>0</v>
      </c>
      <c r="GE7" s="33" t="n">
        <v>0</v>
      </c>
      <c r="GF7" s="33" t="n">
        <v>0</v>
      </c>
      <c r="GG7" s="33" t="n">
        <v>0</v>
      </c>
      <c r="GH7" s="33" t="n">
        <v>0</v>
      </c>
      <c r="GI7" s="33" t="n">
        <v>0</v>
      </c>
      <c r="GJ7" s="33" t="n">
        <v>0</v>
      </c>
      <c r="GK7" s="33" t="n">
        <v>0</v>
      </c>
      <c r="GL7" s="33" t="n">
        <v>0</v>
      </c>
      <c r="GM7" s="33" t="n">
        <v>0</v>
      </c>
      <c r="GN7" s="33" t="n">
        <v>0</v>
      </c>
      <c r="GO7" s="33" t="n">
        <v>0</v>
      </c>
      <c r="GP7" s="33" t="n">
        <v>0</v>
      </c>
      <c r="GQ7" s="33" t="n">
        <v>0</v>
      </c>
      <c r="GR7" s="33" t="n">
        <v>0</v>
      </c>
      <c r="GS7" s="33" t="n">
        <v>0</v>
      </c>
      <c r="GT7" s="33" t="n">
        <v>0</v>
      </c>
      <c r="GU7" s="33" t="n">
        <v>0</v>
      </c>
      <c r="GV7" s="33" t="n">
        <v>0</v>
      </c>
      <c r="GW7" s="33" t="n">
        <v>0</v>
      </c>
      <c r="GX7" s="33" t="n">
        <v>0</v>
      </c>
      <c r="GY7" s="33" t="n">
        <v>0</v>
      </c>
      <c r="GZ7" s="33" t="n">
        <v>0</v>
      </c>
      <c r="HA7" s="33" t="n">
        <v>0</v>
      </c>
      <c r="HB7" s="33" t="n">
        <v>0</v>
      </c>
      <c r="HC7" s="33" t="n">
        <v>0</v>
      </c>
      <c r="HD7" s="33" t="n">
        <v>0</v>
      </c>
      <c r="HE7" s="33" t="n">
        <v>0</v>
      </c>
      <c r="HF7" s="33" t="n">
        <v>0</v>
      </c>
      <c r="HG7" s="33" t="n">
        <v>0</v>
      </c>
      <c r="HH7" s="33" t="n">
        <v>0</v>
      </c>
      <c r="HI7" s="33" t="n">
        <v>0</v>
      </c>
      <c r="HJ7" s="33" t="n">
        <v>0</v>
      </c>
      <c r="HK7" s="33" t="n">
        <v>0</v>
      </c>
      <c r="HL7" s="33" t="n">
        <v>0</v>
      </c>
      <c r="HM7" s="33" t="n">
        <v>0</v>
      </c>
      <c r="HN7" s="33" t="n">
        <v>0</v>
      </c>
      <c r="HO7" s="33" t="n">
        <v>0</v>
      </c>
      <c r="HP7" s="33" t="n">
        <v>0</v>
      </c>
      <c r="HQ7" s="33" t="n">
        <v>0</v>
      </c>
      <c r="HR7" s="33" t="n">
        <v>0</v>
      </c>
      <c r="HS7" s="33" t="n">
        <v>0</v>
      </c>
      <c r="HT7" s="33" t="n">
        <v>0</v>
      </c>
      <c r="HU7" s="33" t="n">
        <v>0</v>
      </c>
      <c r="HV7" s="33" t="n">
        <v>0</v>
      </c>
      <c r="HW7" s="33" t="n">
        <v>0</v>
      </c>
      <c r="HX7" s="33" t="n">
        <v>0</v>
      </c>
      <c r="HY7" s="33" t="n">
        <v>0</v>
      </c>
      <c r="HZ7" s="33" t="n">
        <v>0</v>
      </c>
      <c r="IA7" s="33" t="n">
        <v>0</v>
      </c>
      <c r="IB7" s="33" t="n">
        <v>0</v>
      </c>
      <c r="IC7" s="33" t="n">
        <v>0</v>
      </c>
      <c r="ID7" s="33" t="n">
        <v>0</v>
      </c>
      <c r="IE7" s="33" t="n">
        <v>0</v>
      </c>
      <c r="IF7" s="33" t="n">
        <v>0</v>
      </c>
      <c r="IG7" s="33" t="n">
        <v>0</v>
      </c>
      <c r="IH7" s="33" t="n">
        <v>0</v>
      </c>
      <c r="II7" s="33" t="n">
        <v>0</v>
      </c>
      <c r="IJ7" s="33" t="n">
        <v>0</v>
      </c>
      <c r="IK7" s="33" t="n">
        <v>0</v>
      </c>
      <c r="IL7" s="33" t="n">
        <v>0</v>
      </c>
      <c r="IM7" s="33" t="n">
        <v>0</v>
      </c>
      <c r="IN7" s="33" t="n">
        <v>0</v>
      </c>
      <c r="IO7" s="33" t="n">
        <v>0</v>
      </c>
      <c r="IP7" s="33" t="n">
        <v>0</v>
      </c>
      <c r="IQ7" s="33" t="n">
        <v>0</v>
      </c>
      <c r="IR7" s="33" t="n">
        <v>0</v>
      </c>
      <c r="IS7" s="33" t="n">
        <v>0</v>
      </c>
      <c r="IT7" s="33" t="n">
        <v>0</v>
      </c>
      <c r="IU7" s="33" t="n">
        <v>0</v>
      </c>
      <c r="IV7" s="33" t="n">
        <v>0</v>
      </c>
      <c r="IW7" s="33" t="n">
        <v>0</v>
      </c>
      <c r="IX7" s="33" t="n">
        <v>0</v>
      </c>
      <c r="IY7" s="33" t="n">
        <v>0</v>
      </c>
      <c r="IZ7" s="33" t="n">
        <v>0</v>
      </c>
      <c r="JA7" s="33" t="n">
        <v>0</v>
      </c>
      <c r="JB7" s="33" t="n">
        <v>0</v>
      </c>
      <c r="JC7" s="33" t="n">
        <v>0</v>
      </c>
      <c r="JD7" s="33" t="n">
        <v>0</v>
      </c>
      <c r="JE7" s="33" t="n">
        <v>0</v>
      </c>
      <c r="JF7" s="33" t="n">
        <v>0</v>
      </c>
      <c r="JG7" s="33" t="n">
        <v>0</v>
      </c>
      <c r="JH7" s="33" t="n">
        <v>0</v>
      </c>
      <c r="JI7" s="33" t="n">
        <v>0</v>
      </c>
      <c r="JJ7" s="33" t="n">
        <v>0</v>
      </c>
      <c r="JK7" s="33" t="n">
        <v>0</v>
      </c>
      <c r="JL7" s="33" t="n">
        <v>0</v>
      </c>
      <c r="JM7" s="33" t="n">
        <v>0</v>
      </c>
      <c r="JN7" s="33" t="n">
        <v>0</v>
      </c>
      <c r="JO7" s="33" t="n">
        <v>0</v>
      </c>
      <c r="JP7" s="33" t="n">
        <v>0</v>
      </c>
      <c r="JQ7" s="33" t="n">
        <v>0</v>
      </c>
      <c r="JR7" s="33" t="n">
        <v>0</v>
      </c>
      <c r="JS7" s="33" t="n">
        <v>0</v>
      </c>
      <c r="JT7" s="33" t="n">
        <v>0</v>
      </c>
      <c r="JU7" s="33" t="n">
        <v>0</v>
      </c>
      <c r="JV7" s="33" t="n">
        <v>0</v>
      </c>
      <c r="JW7" s="33" t="n">
        <v>0</v>
      </c>
      <c r="JX7" s="33" t="n">
        <v>0</v>
      </c>
      <c r="JY7" s="33" t="n">
        <v>0</v>
      </c>
      <c r="JZ7" s="33" t="n">
        <v>0</v>
      </c>
      <c r="KA7" s="33" t="n">
        <v>0</v>
      </c>
      <c r="KB7" s="33" t="n">
        <v>0</v>
      </c>
      <c r="KC7" s="33" t="n">
        <v>0</v>
      </c>
      <c r="KD7" s="33" t="n">
        <v>0</v>
      </c>
      <c r="KE7" s="33" t="n">
        <v>0</v>
      </c>
      <c r="KF7" s="33" t="n">
        <v>0</v>
      </c>
      <c r="KG7" s="33" t="n">
        <v>0</v>
      </c>
      <c r="KH7" s="33" t="n">
        <v>0</v>
      </c>
      <c r="KI7" s="33" t="n">
        <v>0</v>
      </c>
      <c r="KJ7" s="33" t="n">
        <v>0</v>
      </c>
      <c r="KK7" s="33" t="n">
        <v>0</v>
      </c>
      <c r="KL7" s="33" t="n">
        <v>0</v>
      </c>
      <c r="KM7" s="33" t="n">
        <v>0</v>
      </c>
      <c r="KN7" s="33" t="n">
        <v>0</v>
      </c>
      <c r="KO7" s="33" t="n">
        <v>0</v>
      </c>
      <c r="KP7" s="33" t="n">
        <v>0</v>
      </c>
      <c r="KQ7" s="33" t="n">
        <v>0</v>
      </c>
      <c r="KR7" s="33" t="n">
        <v>0</v>
      </c>
      <c r="KS7" s="33" t="n">
        <v>0</v>
      </c>
      <c r="KT7" s="33" t="n">
        <v>0</v>
      </c>
      <c r="KU7" s="33" t="n">
        <v>0</v>
      </c>
      <c r="KV7" s="33" t="n">
        <v>0</v>
      </c>
      <c r="KW7" s="33" t="n">
        <v>0</v>
      </c>
      <c r="KX7" s="33" t="n">
        <v>0</v>
      </c>
      <c r="KY7" s="33" t="n">
        <v>0</v>
      </c>
      <c r="KZ7" s="33" t="n">
        <v>0</v>
      </c>
      <c r="LA7" s="33" t="n">
        <v>0</v>
      </c>
      <c r="LB7" s="33" t="n">
        <v>0</v>
      </c>
      <c r="LC7" s="33" t="n">
        <v>0</v>
      </c>
      <c r="LD7" s="33" t="n">
        <v>0</v>
      </c>
      <c r="LE7" s="33" t="n">
        <v>0</v>
      </c>
      <c r="LF7" s="33" t="n">
        <v>0</v>
      </c>
      <c r="LG7" s="33" t="n">
        <v>0</v>
      </c>
      <c r="LH7" s="33" t="n">
        <v>0</v>
      </c>
      <c r="LI7" s="33" t="n">
        <v>0</v>
      </c>
      <c r="LJ7" s="33" t="n">
        <v>0</v>
      </c>
      <c r="LK7" s="33" t="n">
        <v>0</v>
      </c>
      <c r="LL7" s="33" t="n">
        <v>0</v>
      </c>
      <c r="LM7" s="33" t="n">
        <v>0</v>
      </c>
      <c r="LN7" s="33" t="n">
        <v>0</v>
      </c>
      <c r="LO7" s="33" t="n">
        <v>0</v>
      </c>
      <c r="LP7" s="33" t="n">
        <v>0</v>
      </c>
      <c r="LQ7" s="33" t="n">
        <v>0</v>
      </c>
      <c r="LR7" s="33" t="n">
        <v>0</v>
      </c>
      <c r="LS7" s="33" t="n">
        <v>0</v>
      </c>
      <c r="LT7" s="33" t="n">
        <v>0</v>
      </c>
      <c r="LU7" s="33" t="n">
        <v>0</v>
      </c>
      <c r="LV7" s="33" t="n">
        <v>0</v>
      </c>
      <c r="LW7" s="33" t="n">
        <v>0</v>
      </c>
      <c r="LX7" s="33" t="n">
        <v>0</v>
      </c>
      <c r="LY7" s="33" t="n">
        <v>0</v>
      </c>
      <c r="LZ7" s="33" t="n">
        <v>0</v>
      </c>
      <c r="MA7" s="33" t="n">
        <v>0</v>
      </c>
      <c r="MB7" s="33" t="n">
        <v>0</v>
      </c>
      <c r="MC7" s="33" t="n">
        <v>0</v>
      </c>
      <c r="MD7" s="33" t="n">
        <v>0</v>
      </c>
      <c r="ME7" s="33" t="n">
        <v>0</v>
      </c>
      <c r="MF7" s="33" t="n">
        <v>0</v>
      </c>
      <c r="MG7" s="33" t="n">
        <v>0</v>
      </c>
      <c r="MH7" s="33" t="n">
        <v>0</v>
      </c>
      <c r="MI7" s="33" t="n">
        <v>0</v>
      </c>
      <c r="MJ7" s="33" t="n">
        <v>0</v>
      </c>
      <c r="MK7" s="33" t="n">
        <v>0</v>
      </c>
      <c r="ML7" s="33" t="n">
        <v>0</v>
      </c>
      <c r="MM7" s="33" t="n">
        <v>0</v>
      </c>
      <c r="MN7" s="33" t="n">
        <v>0</v>
      </c>
      <c r="MO7" s="33" t="n">
        <v>0</v>
      </c>
      <c r="MP7" s="33" t="n">
        <v>0</v>
      </c>
      <c r="MQ7" s="33" t="n">
        <v>0</v>
      </c>
      <c r="MR7" s="33" t="n">
        <v>0</v>
      </c>
      <c r="MS7" s="33" t="n">
        <v>0</v>
      </c>
      <c r="MT7" s="33" t="n">
        <v>0</v>
      </c>
      <c r="MU7" s="33" t="n">
        <v>0</v>
      </c>
      <c r="MV7" s="33" t="n">
        <v>0</v>
      </c>
      <c r="MW7" s="33" t="n">
        <v>0</v>
      </c>
      <c r="MX7" s="33" t="n">
        <v>0</v>
      </c>
      <c r="MY7" s="33" t="n">
        <v>0</v>
      </c>
      <c r="MZ7" s="33" t="n">
        <v>0</v>
      </c>
      <c r="NA7" s="33" t="n">
        <v>0</v>
      </c>
      <c r="NB7" s="33" t="n">
        <v>0</v>
      </c>
      <c r="NC7" s="33" t="n">
        <v>0</v>
      </c>
      <c r="ND7" s="33" t="n">
        <v>0</v>
      </c>
      <c r="NE7" s="33" t="n">
        <v>0</v>
      </c>
      <c r="NF7" s="33" t="n">
        <v>0</v>
      </c>
      <c r="NG7" s="33" t="n">
        <v>0</v>
      </c>
      <c r="NH7" s="33" t="n">
        <v>0</v>
      </c>
      <c r="NI7" s="33" t="n">
        <v>0</v>
      </c>
      <c r="NJ7" s="33" t="n">
        <v>0</v>
      </c>
      <c r="NK7" s="33" t="n">
        <v>0</v>
      </c>
      <c r="NL7" s="33" t="n">
        <v>0</v>
      </c>
      <c r="NM7" s="33" t="n">
        <v>0</v>
      </c>
      <c r="NN7" s="33" t="n">
        <v>0</v>
      </c>
      <c r="NO7" s="33" t="n">
        <v>0</v>
      </c>
      <c r="NP7" s="33" t="n">
        <v>0</v>
      </c>
      <c r="NQ7" s="33" t="n">
        <v>0</v>
      </c>
      <c r="NR7" s="33" t="n">
        <v>0</v>
      </c>
      <c r="NS7" s="33" t="n">
        <v>0</v>
      </c>
      <c r="NT7" s="33" t="n">
        <v>0</v>
      </c>
      <c r="NU7" s="33" t="n">
        <v>0</v>
      </c>
      <c r="NV7" s="33" t="n">
        <v>0</v>
      </c>
      <c r="NW7" s="33" t="n">
        <v>0</v>
      </c>
      <c r="NX7" s="33" t="n">
        <v>0</v>
      </c>
      <c r="NY7" s="33" t="n">
        <v>0</v>
      </c>
      <c r="NZ7" s="33" t="n">
        <v>0</v>
      </c>
      <c r="OA7" s="33" t="n">
        <v>0</v>
      </c>
      <c r="OB7" s="33" t="n">
        <v>0</v>
      </c>
      <c r="OC7" s="33" t="n">
        <v>0</v>
      </c>
      <c r="OD7" s="33" t="n">
        <v>0</v>
      </c>
      <c r="OE7" s="33" t="n">
        <v>0</v>
      </c>
      <c r="OF7" s="33" t="n">
        <v>0</v>
      </c>
      <c r="OG7" s="33" t="n">
        <v>0</v>
      </c>
      <c r="OH7" s="33" t="n">
        <v>0</v>
      </c>
      <c r="OI7" s="33" t="n">
        <v>0</v>
      </c>
      <c r="OJ7" s="33" t="n">
        <v>0</v>
      </c>
      <c r="OK7" s="33" t="n">
        <v>0</v>
      </c>
      <c r="OL7" s="33" t="n">
        <v>0</v>
      </c>
      <c r="OM7" s="33" t="n">
        <v>0</v>
      </c>
      <c r="ON7" s="33" t="n">
        <v>0</v>
      </c>
      <c r="OO7" s="33" t="n">
        <v>0</v>
      </c>
      <c r="OP7" s="33" t="n">
        <v>0</v>
      </c>
      <c r="OQ7" s="33" t="n">
        <v>0</v>
      </c>
      <c r="OR7" s="33" t="n">
        <v>0</v>
      </c>
      <c r="OS7" s="33" t="n">
        <v>0</v>
      </c>
      <c r="OT7" s="33" t="n">
        <v>0</v>
      </c>
      <c r="OU7" s="33" t="n">
        <v>0</v>
      </c>
      <c r="OV7" s="33" t="n">
        <v>0</v>
      </c>
      <c r="OW7" s="33" t="n">
        <v>0</v>
      </c>
      <c r="OX7" s="33" t="n">
        <v>0</v>
      </c>
      <c r="OY7" s="33" t="n">
        <v>0</v>
      </c>
      <c r="OZ7" s="33" t="n">
        <v>0</v>
      </c>
      <c r="PA7" s="33" t="n">
        <v>0</v>
      </c>
      <c r="PB7" s="33" t="n">
        <v>0</v>
      </c>
      <c r="PC7" s="33" t="n">
        <v>0</v>
      </c>
      <c r="PD7" s="33" t="n">
        <v>0</v>
      </c>
      <c r="PE7" s="33" t="n">
        <v>0</v>
      </c>
      <c r="PF7" s="33" t="n">
        <v>0</v>
      </c>
      <c r="PG7" s="33" t="n">
        <v>0</v>
      </c>
      <c r="PH7" s="33" t="n">
        <v>0</v>
      </c>
      <c r="PI7" s="33" t="n">
        <v>0</v>
      </c>
      <c r="PJ7" s="33" t="n">
        <v>0</v>
      </c>
      <c r="PK7" s="33" t="n">
        <v>0</v>
      </c>
      <c r="PL7" s="33" t="n">
        <v>0</v>
      </c>
      <c r="PM7" s="33" t="n">
        <v>0</v>
      </c>
      <c r="PN7" s="33" t="n">
        <v>0</v>
      </c>
      <c r="PO7" s="33" t="n">
        <v>0</v>
      </c>
      <c r="PP7" s="33" t="n">
        <v>0</v>
      </c>
      <c r="PQ7" s="33" t="n">
        <v>0</v>
      </c>
      <c r="PR7" s="33" t="n">
        <v>0</v>
      </c>
      <c r="PS7" s="33" t="n">
        <v>0</v>
      </c>
      <c r="PT7" s="33" t="n">
        <v>0</v>
      </c>
      <c r="PU7" s="33" t="n">
        <v>0</v>
      </c>
      <c r="PV7" s="33" t="n">
        <v>0</v>
      </c>
      <c r="PW7" s="33" t="n">
        <v>0</v>
      </c>
      <c r="PX7" s="33" t="n">
        <v>0</v>
      </c>
      <c r="PY7" s="33" t="n">
        <v>0</v>
      </c>
      <c r="PZ7" s="33" t="n">
        <v>0</v>
      </c>
      <c r="QA7" s="33" t="n">
        <v>0</v>
      </c>
      <c r="QB7" s="33" t="n">
        <v>0</v>
      </c>
      <c r="QC7" s="33" t="n">
        <v>0</v>
      </c>
      <c r="QD7" s="33" t="n">
        <v>0</v>
      </c>
      <c r="QE7" s="33" t="n">
        <v>0</v>
      </c>
      <c r="QF7" s="33" t="n">
        <v>0</v>
      </c>
      <c r="QG7" s="33" t="n">
        <v>0</v>
      </c>
      <c r="QH7" s="33" t="n">
        <v>0</v>
      </c>
      <c r="QI7" s="33" t="n">
        <v>0</v>
      </c>
      <c r="QJ7" s="33" t="n">
        <v>0</v>
      </c>
      <c r="QK7" s="33" t="n">
        <v>0</v>
      </c>
      <c r="QL7" s="33" t="n">
        <v>0</v>
      </c>
      <c r="QM7" s="33" t="n">
        <v>0</v>
      </c>
      <c r="QN7" s="33" t="n">
        <v>0</v>
      </c>
      <c r="QO7" s="33" t="n">
        <v>0</v>
      </c>
      <c r="QP7" s="33" t="n">
        <v>0</v>
      </c>
      <c r="QQ7" s="33" t="n">
        <v>0</v>
      </c>
      <c r="QR7" s="33" t="n">
        <v>0</v>
      </c>
      <c r="QS7" s="33" t="n">
        <v>0</v>
      </c>
      <c r="QT7" s="33" t="n">
        <v>0</v>
      </c>
      <c r="QU7" s="33" t="n">
        <v>0</v>
      </c>
      <c r="QV7" s="33" t="n">
        <v>0</v>
      </c>
      <c r="QW7" s="33" t="n">
        <v>0</v>
      </c>
      <c r="QX7" s="33" t="n">
        <v>0</v>
      </c>
      <c r="QY7" s="33" t="n">
        <v>0</v>
      </c>
      <c r="QZ7" s="33" t="n">
        <v>0</v>
      </c>
      <c r="RA7" s="33" t="n">
        <v>0</v>
      </c>
      <c r="RB7" s="33" t="n">
        <v>0</v>
      </c>
      <c r="RC7" s="33" t="n">
        <v>0</v>
      </c>
      <c r="RD7" s="33" t="n">
        <v>0</v>
      </c>
      <c r="RE7" s="33" t="n">
        <v>0</v>
      </c>
      <c r="RF7" s="33" t="n">
        <v>0</v>
      </c>
      <c r="RG7" s="33" t="n">
        <v>0</v>
      </c>
      <c r="RH7" s="33" t="n">
        <v>0</v>
      </c>
      <c r="RI7" s="33" t="n">
        <v>0</v>
      </c>
      <c r="RJ7" s="33" t="n">
        <v>0</v>
      </c>
      <c r="RK7" s="33" t="n">
        <v>0</v>
      </c>
      <c r="RL7" s="33" t="n">
        <v>0</v>
      </c>
      <c r="RM7" s="33" t="n">
        <v>0</v>
      </c>
      <c r="RN7" s="33" t="n">
        <v>0</v>
      </c>
      <c r="RO7" s="33" t="n">
        <v>0</v>
      </c>
      <c r="RP7" s="33" t="n">
        <v>0</v>
      </c>
      <c r="RQ7" s="33" t="n">
        <v>0</v>
      </c>
      <c r="RR7" s="33" t="n">
        <v>0</v>
      </c>
      <c r="RS7" s="33" t="n">
        <v>0</v>
      </c>
      <c r="RT7" s="33" t="n">
        <v>0</v>
      </c>
      <c r="RU7" s="33" t="n">
        <v>0</v>
      </c>
      <c r="RV7" s="33" t="n">
        <v>0</v>
      </c>
      <c r="RW7" s="33" t="n">
        <v>0</v>
      </c>
    </row>
    <row r="8" hidden="1" outlineLevel="1" ht="13.05" customHeight="1">
      <c r="E8" s="25" t="inlineStr">
        <is>
          <t>Interest</t>
        </is>
      </c>
      <c r="F8" s="26" t="n"/>
      <c r="G8" s="26" t="inlineStr">
        <is>
          <t>kEUR</t>
        </is>
      </c>
      <c r="H8" s="26" t="n"/>
      <c r="I8" s="26" t="n"/>
      <c r="J8" s="27" t="n">
        <v>700231.3630666732</v>
      </c>
      <c r="K8" s="26" t="n"/>
      <c r="L8" s="28" t="n">
        <v>0</v>
      </c>
      <c r="M8" s="28" t="n">
        <v>0</v>
      </c>
      <c r="N8" s="28" t="n">
        <v>0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  <c r="AF8" s="28" t="n">
        <v>0</v>
      </c>
      <c r="AG8" s="28" t="n">
        <v>0</v>
      </c>
      <c r="AH8" s="28" t="n">
        <v>0</v>
      </c>
      <c r="AI8" s="28" t="n">
        <v>0</v>
      </c>
      <c r="AJ8" s="28" t="n">
        <v>0</v>
      </c>
      <c r="AK8" s="28" t="n">
        <v>0</v>
      </c>
      <c r="AL8" s="28" t="n">
        <v>0</v>
      </c>
      <c r="AM8" s="28" t="n">
        <v>0</v>
      </c>
      <c r="AN8" s="28" t="n">
        <v>0</v>
      </c>
      <c r="AO8" s="28" t="n">
        <v>0</v>
      </c>
      <c r="AP8" s="28" t="n">
        <v>0</v>
      </c>
      <c r="AQ8" s="28" t="n">
        <v>0</v>
      </c>
      <c r="AR8" s="28" t="n">
        <v>0</v>
      </c>
      <c r="AS8" s="28" t="n">
        <v>0</v>
      </c>
      <c r="AT8" s="28" t="n">
        <v>0</v>
      </c>
      <c r="AU8" s="28" t="n">
        <v>0</v>
      </c>
      <c r="AV8" s="28" t="n">
        <v>0</v>
      </c>
      <c r="AW8" s="28" t="n">
        <v>0</v>
      </c>
      <c r="AX8" s="28" t="n">
        <v>0</v>
      </c>
      <c r="AY8" s="28" t="n">
        <v>0</v>
      </c>
      <c r="AZ8" s="28" t="n">
        <v>0</v>
      </c>
      <c r="BA8" s="28" t="n">
        <v>0</v>
      </c>
      <c r="BB8" s="28" t="n">
        <v>0</v>
      </c>
      <c r="BC8" s="28" t="n">
        <v>0</v>
      </c>
      <c r="BD8" s="28" t="n">
        <v>0</v>
      </c>
      <c r="BE8" s="28" t="n">
        <v>0</v>
      </c>
      <c r="BF8" s="28" t="n">
        <v>0</v>
      </c>
      <c r="BG8" s="28" t="n">
        <v>0</v>
      </c>
      <c r="BH8" s="28" t="n">
        <v>0</v>
      </c>
      <c r="BI8" s="28" t="n">
        <v>112.4327814814815</v>
      </c>
      <c r="BJ8" s="28" t="n">
        <v>224.8655629629629</v>
      </c>
      <c r="BK8" s="28" t="n">
        <v>337.2983444444444</v>
      </c>
      <c r="BL8" s="28" t="n">
        <v>449.7311259259259</v>
      </c>
      <c r="BM8" s="28" t="n">
        <v>562.1639074074074</v>
      </c>
      <c r="BN8" s="28" t="n">
        <v>674.5966888888888</v>
      </c>
      <c r="BO8" s="28" t="n">
        <v>787.0294703703702</v>
      </c>
      <c r="BP8" s="28" t="n">
        <v>899.4622518518518</v>
      </c>
      <c r="BQ8" s="28" t="n">
        <v>1011.895033333333</v>
      </c>
      <c r="BR8" s="28" t="n">
        <v>1124.327814814815</v>
      </c>
      <c r="BS8" s="28" t="n">
        <v>1236.760596296296</v>
      </c>
      <c r="BT8" s="28" t="n">
        <v>1349.193377777778</v>
      </c>
      <c r="BU8" s="28" t="n">
        <v>1461.626159259259</v>
      </c>
      <c r="BV8" s="28" t="n">
        <v>1574.058940740741</v>
      </c>
      <c r="BW8" s="28" t="n">
        <v>1686.491722222223</v>
      </c>
      <c r="BX8" s="28" t="n">
        <v>1798.924503703704</v>
      </c>
      <c r="BY8" s="28" t="n">
        <v>1911.357285185185</v>
      </c>
      <c r="BZ8" s="28" t="n">
        <v>2023.790066666667</v>
      </c>
      <c r="CA8" s="28" t="n">
        <v>2136.222848148149</v>
      </c>
      <c r="CB8" s="28" t="n">
        <v>2248.65562962963</v>
      </c>
      <c r="CC8" s="28" t="n">
        <v>2361.088411111112</v>
      </c>
      <c r="CD8" s="28" t="n">
        <v>2473.521192592593</v>
      </c>
      <c r="CE8" s="28" t="n">
        <v>2585.953974074075</v>
      </c>
      <c r="CF8" s="28" t="n">
        <v>2698.386755555556</v>
      </c>
      <c r="CG8" s="28" t="n">
        <v>2810.819537037038</v>
      </c>
      <c r="CH8" s="28" t="n">
        <v>2923.25231851852</v>
      </c>
      <c r="CI8" s="28" t="n">
        <v>3035.685100000001</v>
      </c>
      <c r="CJ8" s="28" t="n">
        <v>3148.117881481483</v>
      </c>
      <c r="CK8" s="28" t="n">
        <v>3260.550662962964</v>
      </c>
      <c r="CL8" s="28" t="n">
        <v>3372.983444444445</v>
      </c>
      <c r="CM8" s="28" t="n">
        <v>3485.416225925927</v>
      </c>
      <c r="CN8" s="28" t="n">
        <v>3597.849007407408</v>
      </c>
      <c r="CO8" s="28" t="n">
        <v>3710.28178888889</v>
      </c>
      <c r="CP8" s="28" t="n">
        <v>3822.714570370372</v>
      </c>
      <c r="CQ8" s="28" t="n">
        <v>3935.147351851853</v>
      </c>
      <c r="CR8" s="28" t="n">
        <v>4047.580133333335</v>
      </c>
      <c r="CS8" s="28" t="n">
        <v>4047.580133333335</v>
      </c>
      <c r="CT8" s="28" t="n">
        <v>4047.580133333335</v>
      </c>
      <c r="CU8" s="28" t="n">
        <v>4047.580133333335</v>
      </c>
      <c r="CV8" s="28" t="n">
        <v>4047.580133333335</v>
      </c>
      <c r="CW8" s="28" t="n">
        <v>4047.580133333335</v>
      </c>
      <c r="CX8" s="28" t="n">
        <v>4034.088199555557</v>
      </c>
      <c r="CY8" s="28" t="n">
        <v>4020.59626577778</v>
      </c>
      <c r="CZ8" s="28" t="n">
        <v>4007.104332000002</v>
      </c>
      <c r="DA8" s="28" t="n">
        <v>3993.612398222225</v>
      </c>
      <c r="DB8" s="28" t="n">
        <v>3980.120464444447</v>
      </c>
      <c r="DC8" s="28" t="n">
        <v>3966.62853066667</v>
      </c>
      <c r="DD8" s="28" t="n">
        <v>3953.136596888892</v>
      </c>
      <c r="DE8" s="28" t="n">
        <v>3939.644663111114</v>
      </c>
      <c r="DF8" s="28" t="n">
        <v>3926.152729333337</v>
      </c>
      <c r="DG8" s="28" t="n">
        <v>3912.660795555559</v>
      </c>
      <c r="DH8" s="28" t="n">
        <v>3899.168861777782</v>
      </c>
      <c r="DI8" s="28" t="n">
        <v>3885.676928000004</v>
      </c>
      <c r="DJ8" s="28" t="n">
        <v>3872.184994222227</v>
      </c>
      <c r="DK8" s="28" t="n">
        <v>3858.693060444449</v>
      </c>
      <c r="DL8" s="28" t="n">
        <v>3845.201126666672</v>
      </c>
      <c r="DM8" s="28" t="n">
        <v>3831.709192888894</v>
      </c>
      <c r="DN8" s="28" t="n">
        <v>3818.217259111117</v>
      </c>
      <c r="DO8" s="28" t="n">
        <v>3804.725325333339</v>
      </c>
      <c r="DP8" s="28" t="n">
        <v>3791.233391555561</v>
      </c>
      <c r="DQ8" s="28" t="n">
        <v>3777.741457777784</v>
      </c>
      <c r="DR8" s="28" t="n">
        <v>3764.249524000006</v>
      </c>
      <c r="DS8" s="28" t="n">
        <v>3750.757590222229</v>
      </c>
      <c r="DT8" s="28" t="n">
        <v>3737.265656444451</v>
      </c>
      <c r="DU8" s="28" t="n">
        <v>3723.773722666674</v>
      </c>
      <c r="DV8" s="28" t="n">
        <v>3710.281788888896</v>
      </c>
      <c r="DW8" s="28" t="n">
        <v>3696.789855111119</v>
      </c>
      <c r="DX8" s="28" t="n">
        <v>3683.297921333341</v>
      </c>
      <c r="DY8" s="28" t="n">
        <v>3669.805987555564</v>
      </c>
      <c r="DZ8" s="28" t="n">
        <v>3656.314053777786</v>
      </c>
      <c r="EA8" s="28" t="n">
        <v>3642.822120000008</v>
      </c>
      <c r="EB8" s="28" t="n">
        <v>3629.330186222231</v>
      </c>
      <c r="EC8" s="28" t="n">
        <v>3615.838252444454</v>
      </c>
      <c r="ED8" s="28" t="n">
        <v>3602.346318666676</v>
      </c>
      <c r="EE8" s="28" t="n">
        <v>3588.854384888898</v>
      </c>
      <c r="EF8" s="28" t="n">
        <v>3575.362451111121</v>
      </c>
      <c r="EG8" s="28" t="n">
        <v>3561.870517333343</v>
      </c>
      <c r="EH8" s="28" t="n">
        <v>3548.378583555566</v>
      </c>
      <c r="EI8" s="28" t="n">
        <v>3534.886649777788</v>
      </c>
      <c r="EJ8" s="28" t="n">
        <v>3521.394716000011</v>
      </c>
      <c r="EK8" s="28" t="n">
        <v>3507.902782222233</v>
      </c>
      <c r="EL8" s="28" t="n">
        <v>3494.410848444455</v>
      </c>
      <c r="EM8" s="28" t="n">
        <v>3480.918914666678</v>
      </c>
      <c r="EN8" s="28" t="n">
        <v>3467.426980888901</v>
      </c>
      <c r="EO8" s="28" t="n">
        <v>3453.935047111123</v>
      </c>
      <c r="EP8" s="28" t="n">
        <v>3440.443113333346</v>
      </c>
      <c r="EQ8" s="28" t="n">
        <v>3426.951179555568</v>
      </c>
      <c r="ER8" s="28" t="n">
        <v>3413.45924577779</v>
      </c>
      <c r="ES8" s="28" t="n">
        <v>3399.967312000013</v>
      </c>
      <c r="ET8" s="28" t="n">
        <v>3386.475378222235</v>
      </c>
      <c r="EU8" s="28" t="n">
        <v>3372.983444444458</v>
      </c>
      <c r="EV8" s="28" t="n">
        <v>3359.49151066668</v>
      </c>
      <c r="EW8" s="28" t="n">
        <v>3345.999576888903</v>
      </c>
      <c r="EX8" s="28" t="n">
        <v>3332.507643111125</v>
      </c>
      <c r="EY8" s="28" t="n">
        <v>3319.015709333348</v>
      </c>
      <c r="EZ8" s="28" t="n">
        <v>3305.52377555557</v>
      </c>
      <c r="FA8" s="28" t="n">
        <v>3292.031841777793</v>
      </c>
      <c r="FB8" s="28" t="n">
        <v>3278.539908000015</v>
      </c>
      <c r="FC8" s="28" t="n">
        <v>3265.047974222237</v>
      </c>
      <c r="FD8" s="28" t="n">
        <v>3251.55604044446</v>
      </c>
      <c r="FE8" s="28" t="n">
        <v>3238.064106666682</v>
      </c>
      <c r="FF8" s="28" t="n">
        <v>3224.572172888905</v>
      </c>
      <c r="FG8" s="28" t="n">
        <v>3211.080239111127</v>
      </c>
      <c r="FH8" s="28" t="n">
        <v>3197.58830533335</v>
      </c>
      <c r="FI8" s="28" t="n">
        <v>3184.096371555572</v>
      </c>
      <c r="FJ8" s="28" t="n">
        <v>3170.604437777795</v>
      </c>
      <c r="FK8" s="28" t="n">
        <v>3157.112504000017</v>
      </c>
      <c r="FL8" s="28" t="n">
        <v>3143.62057022224</v>
      </c>
      <c r="FM8" s="28" t="n">
        <v>3130.128636444462</v>
      </c>
      <c r="FN8" s="28" t="n">
        <v>3116.636702666684</v>
      </c>
      <c r="FO8" s="28" t="n">
        <v>3103.144768888907</v>
      </c>
      <c r="FP8" s="28" t="n">
        <v>3089.65283511113</v>
      </c>
      <c r="FQ8" s="28" t="n">
        <v>3076.160901333352</v>
      </c>
      <c r="FR8" s="28" t="n">
        <v>3062.668967555574</v>
      </c>
      <c r="FS8" s="28" t="n">
        <v>3049.177033777797</v>
      </c>
      <c r="FT8" s="28" t="n">
        <v>3035.685100000019</v>
      </c>
      <c r="FU8" s="28" t="n">
        <v>3022.193166222242</v>
      </c>
      <c r="FV8" s="28" t="n">
        <v>3008.701232444464</v>
      </c>
      <c r="FW8" s="28" t="n">
        <v>2995.209298666687</v>
      </c>
      <c r="FX8" s="28" t="n">
        <v>2981.717364888909</v>
      </c>
      <c r="FY8" s="28" t="n">
        <v>2968.225431111131</v>
      </c>
      <c r="FZ8" s="28" t="n">
        <v>2954.733497333354</v>
      </c>
      <c r="GA8" s="28" t="n">
        <v>2941.241563555577</v>
      </c>
      <c r="GB8" s="28" t="n">
        <v>2927.749629777799</v>
      </c>
      <c r="GC8" s="28" t="n">
        <v>2914.257696000021</v>
      </c>
      <c r="GD8" s="28" t="n">
        <v>2900.765762222244</v>
      </c>
      <c r="GE8" s="28" t="n">
        <v>2887.273828444466</v>
      </c>
      <c r="GF8" s="28" t="n">
        <v>2873.781894666689</v>
      </c>
      <c r="GG8" s="28" t="n">
        <v>2860.289960888911</v>
      </c>
      <c r="GH8" s="28" t="n">
        <v>2846.798027111134</v>
      </c>
      <c r="GI8" s="28" t="n">
        <v>2833.306093333356</v>
      </c>
      <c r="GJ8" s="28" t="n">
        <v>2819.814159555578</v>
      </c>
      <c r="GK8" s="28" t="n">
        <v>2806.322225777801</v>
      </c>
      <c r="GL8" s="28" t="n">
        <v>2792.830292000024</v>
      </c>
      <c r="GM8" s="28" t="n">
        <v>2779.338358222246</v>
      </c>
      <c r="GN8" s="28" t="n">
        <v>2765.846424444469</v>
      </c>
      <c r="GO8" s="28" t="n">
        <v>2752.354490666691</v>
      </c>
      <c r="GP8" s="28" t="n">
        <v>2738.862556888913</v>
      </c>
      <c r="GQ8" s="28" t="n">
        <v>2725.370623111136</v>
      </c>
      <c r="GR8" s="28" t="n">
        <v>2711.878689333358</v>
      </c>
      <c r="GS8" s="28" t="n">
        <v>2698.386755555581</v>
      </c>
      <c r="GT8" s="28" t="n">
        <v>2684.894821777803</v>
      </c>
      <c r="GU8" s="28" t="n">
        <v>2671.402888000026</v>
      </c>
      <c r="GV8" s="28" t="n">
        <v>2657.910954222248</v>
      </c>
      <c r="GW8" s="28" t="n">
        <v>2644.419020444471</v>
      </c>
      <c r="GX8" s="28" t="n">
        <v>2630.927086666693</v>
      </c>
      <c r="GY8" s="28" t="n">
        <v>2617.435152888916</v>
      </c>
      <c r="GZ8" s="28" t="n">
        <v>2603.943219111138</v>
      </c>
      <c r="HA8" s="28" t="n">
        <v>2590.45128533336</v>
      </c>
      <c r="HB8" s="28" t="n">
        <v>2576.959351555583</v>
      </c>
      <c r="HC8" s="28" t="n">
        <v>2563.467417777806</v>
      </c>
      <c r="HD8" s="28" t="n">
        <v>2549.975484000028</v>
      </c>
      <c r="HE8" s="28" t="n">
        <v>2536.48355022225</v>
      </c>
      <c r="HF8" s="28" t="n">
        <v>2522.991616444473</v>
      </c>
      <c r="HG8" s="28" t="n">
        <v>2509.499682666695</v>
      </c>
      <c r="HH8" s="28" t="n">
        <v>2496.007748888917</v>
      </c>
      <c r="HI8" s="28" t="n">
        <v>2482.51581511114</v>
      </c>
      <c r="HJ8" s="28" t="n">
        <v>2469.023881333362</v>
      </c>
      <c r="HK8" s="28" t="n">
        <v>2455.531947555584</v>
      </c>
      <c r="HL8" s="28" t="n">
        <v>2442.040013777806</v>
      </c>
      <c r="HM8" s="28" t="n">
        <v>2428.548080000028</v>
      </c>
      <c r="HN8" s="28" t="n">
        <v>2415.05614622225</v>
      </c>
      <c r="HO8" s="28" t="n">
        <v>2401.564212444473</v>
      </c>
      <c r="HP8" s="28" t="n">
        <v>2388.072278666695</v>
      </c>
      <c r="HQ8" s="28" t="n">
        <v>2374.580344888917</v>
      </c>
      <c r="HR8" s="28" t="n">
        <v>2361.088411111139</v>
      </c>
      <c r="HS8" s="28" t="n">
        <v>2347.596477333361</v>
      </c>
      <c r="HT8" s="28" t="n">
        <v>2334.104543555583</v>
      </c>
      <c r="HU8" s="28" t="n">
        <v>2320.612609777806</v>
      </c>
      <c r="HV8" s="28" t="n">
        <v>2307.120676000028</v>
      </c>
      <c r="HW8" s="28" t="n">
        <v>2293.62874222225</v>
      </c>
      <c r="HX8" s="28" t="n">
        <v>2280.136808444473</v>
      </c>
      <c r="HY8" s="28" t="n">
        <v>2266.644874666695</v>
      </c>
      <c r="HZ8" s="28" t="n">
        <v>2253.152940888917</v>
      </c>
      <c r="IA8" s="28" t="n">
        <v>2239.661007111139</v>
      </c>
      <c r="IB8" s="28" t="n">
        <v>2226.169073333361</v>
      </c>
      <c r="IC8" s="28" t="n">
        <v>2212.677139555583</v>
      </c>
      <c r="ID8" s="28" t="n">
        <v>2199.185205777806</v>
      </c>
      <c r="IE8" s="28" t="n">
        <v>2185.693272000028</v>
      </c>
      <c r="IF8" s="28" t="n">
        <v>2172.20133822225</v>
      </c>
      <c r="IG8" s="28" t="n">
        <v>2158.709404444472</v>
      </c>
      <c r="IH8" s="28" t="n">
        <v>2145.217470666694</v>
      </c>
      <c r="II8" s="28" t="n">
        <v>2131.725536888916</v>
      </c>
      <c r="IJ8" s="28" t="n">
        <v>2118.233603111139</v>
      </c>
      <c r="IK8" s="28" t="n">
        <v>2104.741669333361</v>
      </c>
      <c r="IL8" s="28" t="n">
        <v>2091.249735555583</v>
      </c>
      <c r="IM8" s="28" t="n">
        <v>2077.757801777805</v>
      </c>
      <c r="IN8" s="28" t="n">
        <v>2064.265868000027</v>
      </c>
      <c r="IO8" s="28" t="n">
        <v>2050.773934222249</v>
      </c>
      <c r="IP8" s="28" t="n">
        <v>2037.282000444472</v>
      </c>
      <c r="IQ8" s="28" t="n">
        <v>2023.790066666694</v>
      </c>
      <c r="IR8" s="28" t="n">
        <v>2010.298132888916</v>
      </c>
      <c r="IS8" s="28" t="n">
        <v>1996.806199111138</v>
      </c>
      <c r="IT8" s="28" t="n">
        <v>1983.31426533336</v>
      </c>
      <c r="IU8" s="28" t="n">
        <v>1969.822331555583</v>
      </c>
      <c r="IV8" s="28" t="n">
        <v>1956.330397777805</v>
      </c>
      <c r="IW8" s="28" t="n">
        <v>1942.838464000027</v>
      </c>
      <c r="IX8" s="28" t="n">
        <v>1929.346530222249</v>
      </c>
      <c r="IY8" s="28" t="n">
        <v>1915.854596444471</v>
      </c>
      <c r="IZ8" s="28" t="n">
        <v>1902.362662666693</v>
      </c>
      <c r="JA8" s="28" t="n">
        <v>1888.870728888916</v>
      </c>
      <c r="JB8" s="28" t="n">
        <v>1875.378795111138</v>
      </c>
      <c r="JC8" s="28" t="n">
        <v>1861.88686133336</v>
      </c>
      <c r="JD8" s="28" t="n">
        <v>1848.394927555582</v>
      </c>
      <c r="JE8" s="28" t="n">
        <v>1834.902993777804</v>
      </c>
      <c r="JF8" s="28" t="n">
        <v>1821.411060000027</v>
      </c>
      <c r="JG8" s="28" t="n">
        <v>1807.919126222249</v>
      </c>
      <c r="JH8" s="28" t="n">
        <v>1794.427192444471</v>
      </c>
      <c r="JI8" s="28" t="n">
        <v>1780.935258666693</v>
      </c>
      <c r="JJ8" s="28" t="n">
        <v>1767.443324888915</v>
      </c>
      <c r="JK8" s="28" t="n">
        <v>1753.951391111137</v>
      </c>
      <c r="JL8" s="28" t="n">
        <v>1740.45945733336</v>
      </c>
      <c r="JM8" s="28" t="n">
        <v>1726.967523555582</v>
      </c>
      <c r="JN8" s="28" t="n">
        <v>1713.475589777804</v>
      </c>
      <c r="JO8" s="28" t="n">
        <v>1699.983656000026</v>
      </c>
      <c r="JP8" s="28" t="n">
        <v>1686.491722222248</v>
      </c>
      <c r="JQ8" s="28" t="n">
        <v>1672.999788444471</v>
      </c>
      <c r="JR8" s="28" t="n">
        <v>1659.507854666693</v>
      </c>
      <c r="JS8" s="28" t="n">
        <v>1646.015920888915</v>
      </c>
      <c r="JT8" s="28" t="n">
        <v>1632.523987111137</v>
      </c>
      <c r="JU8" s="28" t="n">
        <v>1619.032053333359</v>
      </c>
      <c r="JV8" s="28" t="n">
        <v>1605.540119555581</v>
      </c>
      <c r="JW8" s="28" t="n">
        <v>1592.048185777804</v>
      </c>
      <c r="JX8" s="28" t="n">
        <v>1578.556252000026</v>
      </c>
      <c r="JY8" s="28" t="n">
        <v>1565.064318222248</v>
      </c>
      <c r="JZ8" s="28" t="n">
        <v>1551.57238444447</v>
      </c>
      <c r="KA8" s="28" t="n">
        <v>1538.080450666692</v>
      </c>
      <c r="KB8" s="28" t="n">
        <v>1524.588516888914</v>
      </c>
      <c r="KC8" s="28" t="n">
        <v>1511.096583111137</v>
      </c>
      <c r="KD8" s="28" t="n">
        <v>1497.604649333359</v>
      </c>
      <c r="KE8" s="28" t="n">
        <v>1484.112715555581</v>
      </c>
      <c r="KF8" s="28" t="n">
        <v>1470.620781777803</v>
      </c>
      <c r="KG8" s="28" t="n">
        <v>1457.128848000026</v>
      </c>
      <c r="KH8" s="28" t="n">
        <v>1443.636914222248</v>
      </c>
      <c r="KI8" s="28" t="n">
        <v>1430.14498044447</v>
      </c>
      <c r="KJ8" s="28" t="n">
        <v>1416.653046666692</v>
      </c>
      <c r="KK8" s="28" t="n">
        <v>1403.161112888914</v>
      </c>
      <c r="KL8" s="28" t="n">
        <v>1389.669179111136</v>
      </c>
      <c r="KM8" s="28" t="n">
        <v>1376.177245333359</v>
      </c>
      <c r="KN8" s="28" t="n">
        <v>1362.685311555581</v>
      </c>
      <c r="KO8" s="28" t="n">
        <v>1349.193377777803</v>
      </c>
      <c r="KP8" s="28" t="n">
        <v>1335.701444000025</v>
      </c>
      <c r="KQ8" s="28" t="n">
        <v>1322.209510222247</v>
      </c>
      <c r="KR8" s="28" t="n">
        <v>1308.717576444469</v>
      </c>
      <c r="KS8" s="28" t="n">
        <v>1295.225642666692</v>
      </c>
      <c r="KT8" s="28" t="n">
        <v>1281.733708888914</v>
      </c>
      <c r="KU8" s="28" t="n">
        <v>1268.241775111136</v>
      </c>
      <c r="KV8" s="28" t="n">
        <v>1254.749841333358</v>
      </c>
      <c r="KW8" s="28" t="n">
        <v>1241.25790755558</v>
      </c>
      <c r="KX8" s="28" t="n">
        <v>1227.765973777803</v>
      </c>
      <c r="KY8" s="28" t="n">
        <v>1214.274040000025</v>
      </c>
      <c r="KZ8" s="28" t="n">
        <v>1200.782106222247</v>
      </c>
      <c r="LA8" s="28" t="n">
        <v>1187.290172444469</v>
      </c>
      <c r="LB8" s="28" t="n">
        <v>1173.798238666691</v>
      </c>
      <c r="LC8" s="28" t="n">
        <v>1160.306304888913</v>
      </c>
      <c r="LD8" s="28" t="n">
        <v>1146.814371111136</v>
      </c>
      <c r="LE8" s="28" t="n">
        <v>1133.322437333358</v>
      </c>
      <c r="LF8" s="28" t="n">
        <v>1119.83050355558</v>
      </c>
      <c r="LG8" s="28" t="n">
        <v>1106.338569777802</v>
      </c>
      <c r="LH8" s="28" t="n">
        <v>1092.846636000024</v>
      </c>
      <c r="LI8" s="28" t="n">
        <v>1079.354702222246</v>
      </c>
      <c r="LJ8" s="28" t="n">
        <v>1065.862768444469</v>
      </c>
      <c r="LK8" s="28" t="n">
        <v>1052.370834666691</v>
      </c>
      <c r="LL8" s="28" t="n">
        <v>1038.878900888913</v>
      </c>
      <c r="LM8" s="28" t="n">
        <v>1025.386967111135</v>
      </c>
      <c r="LN8" s="28" t="n">
        <v>1011.895033333357</v>
      </c>
      <c r="LO8" s="28" t="n">
        <v>998.4030995555796</v>
      </c>
      <c r="LP8" s="28" t="n">
        <v>984.9111657778019</v>
      </c>
      <c r="LQ8" s="28" t="n">
        <v>971.4192320000241</v>
      </c>
      <c r="LR8" s="28" t="n">
        <v>957.9272982222462</v>
      </c>
      <c r="LS8" s="28" t="n">
        <v>944.4353644444684</v>
      </c>
      <c r="LT8" s="28" t="n">
        <v>930.9434306666906</v>
      </c>
      <c r="LU8" s="28" t="n">
        <v>917.4514968889127</v>
      </c>
      <c r="LV8" s="28" t="n">
        <v>903.9595631111349</v>
      </c>
      <c r="LW8" s="28" t="n">
        <v>890.4676293333571</v>
      </c>
      <c r="LX8" s="28" t="n">
        <v>876.9756955555794</v>
      </c>
      <c r="LY8" s="28" t="n">
        <v>863.4837617778015</v>
      </c>
      <c r="LZ8" s="28" t="n">
        <v>849.9918280000237</v>
      </c>
      <c r="MA8" s="28" t="n">
        <v>836.4998942222459</v>
      </c>
      <c r="MB8" s="28" t="n">
        <v>823.007960444468</v>
      </c>
      <c r="MC8" s="28" t="n">
        <v>809.5160266666902</v>
      </c>
      <c r="MD8" s="28" t="n">
        <v>796.0240928889124</v>
      </c>
      <c r="ME8" s="28" t="n">
        <v>782.5321591111345</v>
      </c>
      <c r="MF8" s="28" t="n">
        <v>769.0402253333567</v>
      </c>
      <c r="MG8" s="28" t="n">
        <v>755.548291555579</v>
      </c>
      <c r="MH8" s="28" t="n">
        <v>742.0563577778012</v>
      </c>
      <c r="MI8" s="28" t="n">
        <v>728.5644240000233</v>
      </c>
      <c r="MJ8" s="28" t="n">
        <v>715.0724902222455</v>
      </c>
      <c r="MK8" s="28" t="n">
        <v>701.5805564444677</v>
      </c>
      <c r="ML8" s="28" t="n">
        <v>688.0886226666898</v>
      </c>
      <c r="MM8" s="28" t="n">
        <v>674.596688888912</v>
      </c>
      <c r="MN8" s="28" t="n">
        <v>661.1047551111342</v>
      </c>
      <c r="MO8" s="28" t="n">
        <v>647.6128213333565</v>
      </c>
      <c r="MP8" s="28" t="n">
        <v>634.1208875555786</v>
      </c>
      <c r="MQ8" s="28" t="n">
        <v>620.6289537778008</v>
      </c>
      <c r="MR8" s="28" t="n">
        <v>607.1370200000231</v>
      </c>
      <c r="MS8" s="28" t="n">
        <v>593.6450862222454</v>
      </c>
      <c r="MT8" s="28" t="n">
        <v>580.1531524444677</v>
      </c>
      <c r="MU8" s="28" t="n">
        <v>566.6612186666898</v>
      </c>
      <c r="MV8" s="28" t="n">
        <v>553.1692848889121</v>
      </c>
      <c r="MW8" s="28" t="n">
        <v>539.6773511111344</v>
      </c>
      <c r="MX8" s="28" t="n">
        <v>526.1854173333566</v>
      </c>
      <c r="MY8" s="28" t="n">
        <v>512.6934835555788</v>
      </c>
      <c r="MZ8" s="28" t="n">
        <v>499.2015497778011</v>
      </c>
      <c r="NA8" s="28" t="n">
        <v>485.7096160000233</v>
      </c>
      <c r="NB8" s="28" t="n">
        <v>472.2176822222456</v>
      </c>
      <c r="NC8" s="28" t="n">
        <v>458.7257484444679</v>
      </c>
      <c r="ND8" s="28" t="n">
        <v>445.2338146666901</v>
      </c>
      <c r="NE8" s="28" t="n">
        <v>431.7418808889124</v>
      </c>
      <c r="NF8" s="28" t="n">
        <v>418.2499471111346</v>
      </c>
      <c r="NG8" s="28" t="n">
        <v>404.7580133333569</v>
      </c>
      <c r="NH8" s="28" t="n">
        <v>391.2660795555792</v>
      </c>
      <c r="NI8" s="28" t="n">
        <v>377.7741457778014</v>
      </c>
      <c r="NJ8" s="28" t="n">
        <v>364.2822120000236</v>
      </c>
      <c r="NK8" s="28" t="n">
        <v>350.7902782222459</v>
      </c>
      <c r="NL8" s="28" t="n">
        <v>337.2983444444681</v>
      </c>
      <c r="NM8" s="28" t="n">
        <v>323.8064106666904</v>
      </c>
      <c r="NN8" s="28" t="n">
        <v>310.3144768889126</v>
      </c>
      <c r="NO8" s="28" t="n">
        <v>296.8225431111348</v>
      </c>
      <c r="NP8" s="28" t="n">
        <v>283.330609333357</v>
      </c>
      <c r="NQ8" s="28" t="n">
        <v>269.8386755555792</v>
      </c>
      <c r="NR8" s="28" t="n">
        <v>256.3467417778015</v>
      </c>
      <c r="NS8" s="28" t="n">
        <v>242.8548080000237</v>
      </c>
      <c r="NT8" s="28" t="n">
        <v>229.3628742222459</v>
      </c>
      <c r="NU8" s="28" t="n">
        <v>215.8709404444681</v>
      </c>
      <c r="NV8" s="28" t="n">
        <v>202.3790066666903</v>
      </c>
      <c r="NW8" s="28" t="n">
        <v>188.8870728889126</v>
      </c>
      <c r="NX8" s="28" t="n">
        <v>175.3951391111348</v>
      </c>
      <c r="NY8" s="28" t="n">
        <v>161.903205333357</v>
      </c>
      <c r="NZ8" s="28" t="n">
        <v>148.4112715555792</v>
      </c>
      <c r="OA8" s="28" t="n">
        <v>134.9193377778014</v>
      </c>
      <c r="OB8" s="28" t="n">
        <v>121.4274040000236</v>
      </c>
      <c r="OC8" s="28" t="n">
        <v>107.9354702222459</v>
      </c>
      <c r="OD8" s="28" t="n">
        <v>94.44353644446808</v>
      </c>
      <c r="OE8" s="28" t="n">
        <v>80.95160266669029</v>
      </c>
      <c r="OF8" s="28" t="n">
        <v>67.45966888891252</v>
      </c>
      <c r="OG8" s="28" t="n">
        <v>53.96773511113474</v>
      </c>
      <c r="OH8" s="28" t="n">
        <v>40.47580133335697</v>
      </c>
      <c r="OI8" s="28" t="n">
        <v>26.9838675555792</v>
      </c>
      <c r="OJ8" s="28" t="n">
        <v>13.49193377780142</v>
      </c>
      <c r="OK8" s="28" t="n">
        <v>2.364451271811655e-11</v>
      </c>
      <c r="OL8" s="28" t="n">
        <v>0</v>
      </c>
      <c r="OM8" s="28" t="n">
        <v>0</v>
      </c>
      <c r="ON8" s="28" t="n">
        <v>0</v>
      </c>
      <c r="OO8" s="28" t="n">
        <v>0</v>
      </c>
      <c r="OP8" s="28" t="n">
        <v>0</v>
      </c>
      <c r="OQ8" s="28" t="n">
        <v>0</v>
      </c>
      <c r="OR8" s="28" t="n">
        <v>0</v>
      </c>
      <c r="OS8" s="28" t="n">
        <v>0</v>
      </c>
      <c r="OT8" s="28" t="n">
        <v>0</v>
      </c>
      <c r="OU8" s="28" t="n">
        <v>0</v>
      </c>
      <c r="OV8" s="28" t="n">
        <v>0</v>
      </c>
      <c r="OW8" s="28" t="n">
        <v>0</v>
      </c>
      <c r="OX8" s="28" t="n">
        <v>0</v>
      </c>
      <c r="OY8" s="28" t="n">
        <v>0</v>
      </c>
      <c r="OZ8" s="28" t="n">
        <v>0</v>
      </c>
      <c r="PA8" s="28" t="n">
        <v>0</v>
      </c>
      <c r="PB8" s="28" t="n">
        <v>0</v>
      </c>
      <c r="PC8" s="28" t="n">
        <v>0</v>
      </c>
      <c r="PD8" s="28" t="n">
        <v>0</v>
      </c>
      <c r="PE8" s="28" t="n">
        <v>0</v>
      </c>
      <c r="PF8" s="28" t="n">
        <v>0</v>
      </c>
      <c r="PG8" s="28" t="n">
        <v>0</v>
      </c>
      <c r="PH8" s="28" t="n">
        <v>0</v>
      </c>
      <c r="PI8" s="28" t="n">
        <v>0</v>
      </c>
      <c r="PJ8" s="28" t="n">
        <v>0</v>
      </c>
      <c r="PK8" s="28" t="n">
        <v>0</v>
      </c>
      <c r="PL8" s="28" t="n">
        <v>0</v>
      </c>
      <c r="PM8" s="28" t="n">
        <v>0</v>
      </c>
      <c r="PN8" s="28" t="n">
        <v>0</v>
      </c>
      <c r="PO8" s="28" t="n">
        <v>0</v>
      </c>
      <c r="PP8" s="28" t="n">
        <v>0</v>
      </c>
      <c r="PQ8" s="28" t="n">
        <v>0</v>
      </c>
      <c r="PR8" s="28" t="n">
        <v>0</v>
      </c>
      <c r="PS8" s="28" t="n">
        <v>0</v>
      </c>
      <c r="PT8" s="28" t="n">
        <v>0</v>
      </c>
      <c r="PU8" s="28" t="n">
        <v>0</v>
      </c>
      <c r="PV8" s="28" t="n">
        <v>0</v>
      </c>
      <c r="PW8" s="28" t="n">
        <v>0</v>
      </c>
      <c r="PX8" s="28" t="n">
        <v>0</v>
      </c>
      <c r="PY8" s="28" t="n">
        <v>0</v>
      </c>
      <c r="PZ8" s="28" t="n">
        <v>0</v>
      </c>
      <c r="QA8" s="28" t="n">
        <v>0</v>
      </c>
      <c r="QB8" s="28" t="n">
        <v>0</v>
      </c>
      <c r="QC8" s="28" t="n">
        <v>0</v>
      </c>
      <c r="QD8" s="28" t="n">
        <v>0</v>
      </c>
      <c r="QE8" s="28" t="n">
        <v>0</v>
      </c>
      <c r="QF8" s="28" t="n">
        <v>0</v>
      </c>
      <c r="QG8" s="28" t="n">
        <v>0</v>
      </c>
      <c r="QH8" s="28" t="n">
        <v>0</v>
      </c>
      <c r="QI8" s="28" t="n">
        <v>0</v>
      </c>
      <c r="QJ8" s="28" t="n">
        <v>0</v>
      </c>
      <c r="QK8" s="28" t="n">
        <v>0</v>
      </c>
      <c r="QL8" s="28" t="n">
        <v>0</v>
      </c>
      <c r="QM8" s="28" t="n">
        <v>0</v>
      </c>
      <c r="QN8" s="28" t="n">
        <v>0</v>
      </c>
      <c r="QO8" s="28" t="n">
        <v>0</v>
      </c>
      <c r="QP8" s="28" t="n">
        <v>0</v>
      </c>
      <c r="QQ8" s="28" t="n">
        <v>0</v>
      </c>
      <c r="QR8" s="28" t="n">
        <v>0</v>
      </c>
      <c r="QS8" s="28" t="n">
        <v>0</v>
      </c>
      <c r="QT8" s="28" t="n">
        <v>0</v>
      </c>
      <c r="QU8" s="28" t="n">
        <v>0</v>
      </c>
      <c r="QV8" s="28" t="n">
        <v>0</v>
      </c>
      <c r="QW8" s="28" t="n">
        <v>0</v>
      </c>
      <c r="QX8" s="28" t="n">
        <v>0</v>
      </c>
      <c r="QY8" s="28" t="n">
        <v>0</v>
      </c>
      <c r="QZ8" s="28" t="n">
        <v>0</v>
      </c>
      <c r="RA8" s="28" t="n">
        <v>0</v>
      </c>
      <c r="RB8" s="28" t="n">
        <v>0</v>
      </c>
      <c r="RC8" s="28" t="n">
        <v>0</v>
      </c>
      <c r="RD8" s="28" t="n">
        <v>0</v>
      </c>
      <c r="RE8" s="28" t="n">
        <v>0</v>
      </c>
      <c r="RF8" s="28" t="n">
        <v>0</v>
      </c>
      <c r="RG8" s="28" t="n">
        <v>0</v>
      </c>
      <c r="RH8" s="28" t="n">
        <v>0</v>
      </c>
      <c r="RI8" s="28" t="n">
        <v>0</v>
      </c>
      <c r="RJ8" s="28" t="n">
        <v>0</v>
      </c>
      <c r="RK8" s="28" t="n">
        <v>0</v>
      </c>
      <c r="RL8" s="28" t="n">
        <v>0</v>
      </c>
      <c r="RM8" s="28" t="n">
        <v>0</v>
      </c>
      <c r="RN8" s="28" t="n">
        <v>0</v>
      </c>
      <c r="RO8" s="28" t="n">
        <v>0</v>
      </c>
      <c r="RP8" s="28" t="n">
        <v>0</v>
      </c>
      <c r="RQ8" s="28" t="n">
        <v>0</v>
      </c>
      <c r="RR8" s="28" t="n">
        <v>0</v>
      </c>
      <c r="RS8" s="28" t="n">
        <v>0</v>
      </c>
      <c r="RT8" s="28" t="n">
        <v>0</v>
      </c>
      <c r="RU8" s="28" t="n">
        <v>0</v>
      </c>
      <c r="RV8" s="28" t="n">
        <v>0</v>
      </c>
      <c r="RW8" s="28" t="n">
        <v>0</v>
      </c>
    </row>
    <row r="9" hidden="1" outlineLevel="1" ht="13.05" customHeight="1">
      <c r="E9" s="21" t="inlineStr">
        <is>
          <t>Principal Repayment</t>
        </is>
      </c>
      <c r="F9" s="29" t="n"/>
      <c r="G9" s="29" t="inlineStr">
        <is>
          <t>kEUR</t>
        </is>
      </c>
      <c r="H9" s="29" t="n"/>
      <c r="I9" s="29" t="n"/>
      <c r="J9" s="32" t="n">
        <v>846184.0000000049</v>
      </c>
      <c r="K9" s="29" t="n"/>
      <c r="L9" s="33" t="n">
        <v>0</v>
      </c>
      <c r="M9" s="33" t="n">
        <v>0</v>
      </c>
      <c r="N9" s="33" t="n">
        <v>0</v>
      </c>
      <c r="O9" s="33" t="n">
        <v>0</v>
      </c>
      <c r="P9" s="33" t="n">
        <v>0</v>
      </c>
      <c r="Q9" s="33" t="n">
        <v>0</v>
      </c>
      <c r="R9" s="33" t="n">
        <v>0</v>
      </c>
      <c r="S9" s="33" t="n">
        <v>0</v>
      </c>
      <c r="T9" s="33" t="n">
        <v>0</v>
      </c>
      <c r="U9" s="33" t="n">
        <v>0</v>
      </c>
      <c r="V9" s="33" t="n">
        <v>0</v>
      </c>
      <c r="W9" s="33" t="n">
        <v>0</v>
      </c>
      <c r="X9" s="33" t="n">
        <v>0</v>
      </c>
      <c r="Y9" s="33" t="n">
        <v>0</v>
      </c>
      <c r="Z9" s="33" t="n">
        <v>0</v>
      </c>
      <c r="AA9" s="33" t="n">
        <v>0</v>
      </c>
      <c r="AB9" s="33" t="n">
        <v>0</v>
      </c>
      <c r="AC9" s="33" t="n">
        <v>0</v>
      </c>
      <c r="AD9" s="33" t="n">
        <v>0</v>
      </c>
      <c r="AE9" s="33" t="n">
        <v>0</v>
      </c>
      <c r="AF9" s="33" t="n">
        <v>0</v>
      </c>
      <c r="AG9" s="33" t="n">
        <v>0</v>
      </c>
      <c r="AH9" s="33" t="n">
        <v>0</v>
      </c>
      <c r="AI9" s="33" t="n">
        <v>0</v>
      </c>
      <c r="AJ9" s="33" t="n">
        <v>0</v>
      </c>
      <c r="AK9" s="33" t="n">
        <v>0</v>
      </c>
      <c r="AL9" s="33" t="n">
        <v>0</v>
      </c>
      <c r="AM9" s="33" t="n">
        <v>0</v>
      </c>
      <c r="AN9" s="33" t="n">
        <v>0</v>
      </c>
      <c r="AO9" s="33" t="n">
        <v>0</v>
      </c>
      <c r="AP9" s="33" t="n">
        <v>0</v>
      </c>
      <c r="AQ9" s="33" t="n">
        <v>0</v>
      </c>
      <c r="AR9" s="33" t="n">
        <v>0</v>
      </c>
      <c r="AS9" s="33" t="n">
        <v>0</v>
      </c>
      <c r="AT9" s="33" t="n">
        <v>0</v>
      </c>
      <c r="AU9" s="33" t="n">
        <v>0</v>
      </c>
      <c r="AV9" s="33" t="n">
        <v>0</v>
      </c>
      <c r="AW9" s="33" t="n">
        <v>0</v>
      </c>
      <c r="AX9" s="33" t="n">
        <v>0</v>
      </c>
      <c r="AY9" s="33" t="n">
        <v>0</v>
      </c>
      <c r="AZ9" s="33" t="n">
        <v>0</v>
      </c>
      <c r="BA9" s="33" t="n">
        <v>0</v>
      </c>
      <c r="BB9" s="33" t="n">
        <v>0</v>
      </c>
      <c r="BC9" s="33" t="n">
        <v>0</v>
      </c>
      <c r="BD9" s="33" t="n">
        <v>0</v>
      </c>
      <c r="BE9" s="33" t="n">
        <v>0</v>
      </c>
      <c r="BF9" s="33" t="n">
        <v>0</v>
      </c>
      <c r="BG9" s="33" t="n">
        <v>0</v>
      </c>
      <c r="BH9" s="33" t="n">
        <v>0</v>
      </c>
      <c r="BI9" s="33" t="n">
        <v>0</v>
      </c>
      <c r="BJ9" s="33" t="n">
        <v>0</v>
      </c>
      <c r="BK9" s="33" t="n">
        <v>0</v>
      </c>
      <c r="BL9" s="33" t="n">
        <v>0</v>
      </c>
      <c r="BM9" s="33" t="n">
        <v>0</v>
      </c>
      <c r="BN9" s="33" t="n">
        <v>0</v>
      </c>
      <c r="BO9" s="33" t="n">
        <v>0</v>
      </c>
      <c r="BP9" s="33" t="n">
        <v>0</v>
      </c>
      <c r="BQ9" s="33" t="n">
        <v>0</v>
      </c>
      <c r="BR9" s="33" t="n">
        <v>0</v>
      </c>
      <c r="BS9" s="33" t="n">
        <v>0</v>
      </c>
      <c r="BT9" s="33" t="n">
        <v>0</v>
      </c>
      <c r="BU9" s="33" t="n">
        <v>0</v>
      </c>
      <c r="BV9" s="33" t="n">
        <v>0</v>
      </c>
      <c r="BW9" s="33" t="n">
        <v>0</v>
      </c>
      <c r="BX9" s="33" t="n">
        <v>0</v>
      </c>
      <c r="BY9" s="33" t="n">
        <v>0</v>
      </c>
      <c r="BZ9" s="33" t="n">
        <v>0</v>
      </c>
      <c r="CA9" s="33" t="n">
        <v>0</v>
      </c>
      <c r="CB9" s="33" t="n">
        <v>0</v>
      </c>
      <c r="CC9" s="33" t="n">
        <v>0</v>
      </c>
      <c r="CD9" s="33" t="n">
        <v>0</v>
      </c>
      <c r="CE9" s="33" t="n">
        <v>0</v>
      </c>
      <c r="CF9" s="33" t="n">
        <v>0</v>
      </c>
      <c r="CG9" s="33" t="n">
        <v>0</v>
      </c>
      <c r="CH9" s="33" t="n">
        <v>0</v>
      </c>
      <c r="CI9" s="33" t="n">
        <v>0</v>
      </c>
      <c r="CJ9" s="33" t="n">
        <v>0</v>
      </c>
      <c r="CK9" s="33" t="n">
        <v>0</v>
      </c>
      <c r="CL9" s="33" t="n">
        <v>0</v>
      </c>
      <c r="CM9" s="33" t="n">
        <v>0</v>
      </c>
      <c r="CN9" s="33" t="n">
        <v>0</v>
      </c>
      <c r="CO9" s="33" t="n">
        <v>0</v>
      </c>
      <c r="CP9" s="33" t="n">
        <v>0</v>
      </c>
      <c r="CQ9" s="33" t="n">
        <v>0</v>
      </c>
      <c r="CR9" s="33" t="n">
        <v>0</v>
      </c>
      <c r="CS9" s="33" t="n">
        <v>0</v>
      </c>
      <c r="CT9" s="33" t="n">
        <v>0</v>
      </c>
      <c r="CU9" s="33" t="n">
        <v>0</v>
      </c>
      <c r="CV9" s="33" t="n">
        <v>0</v>
      </c>
      <c r="CW9" s="33" t="n">
        <v>2820.613333333333</v>
      </c>
      <c r="CX9" s="33" t="n">
        <v>2820.613333333333</v>
      </c>
      <c r="CY9" s="33" t="n">
        <v>2820.613333333333</v>
      </c>
      <c r="CZ9" s="33" t="n">
        <v>2820.613333333333</v>
      </c>
      <c r="DA9" s="33" t="n">
        <v>2820.613333333333</v>
      </c>
      <c r="DB9" s="33" t="n">
        <v>2820.613333333333</v>
      </c>
      <c r="DC9" s="33" t="n">
        <v>2820.613333333333</v>
      </c>
      <c r="DD9" s="33" t="n">
        <v>2820.613333333333</v>
      </c>
      <c r="DE9" s="33" t="n">
        <v>2820.613333333333</v>
      </c>
      <c r="DF9" s="33" t="n">
        <v>2820.613333333333</v>
      </c>
      <c r="DG9" s="33" t="n">
        <v>2820.613333333333</v>
      </c>
      <c r="DH9" s="33" t="n">
        <v>2820.613333333333</v>
      </c>
      <c r="DI9" s="33" t="n">
        <v>2820.613333333333</v>
      </c>
      <c r="DJ9" s="33" t="n">
        <v>2820.613333333333</v>
      </c>
      <c r="DK9" s="33" t="n">
        <v>2820.613333333333</v>
      </c>
      <c r="DL9" s="33" t="n">
        <v>2820.613333333333</v>
      </c>
      <c r="DM9" s="33" t="n">
        <v>2820.613333333333</v>
      </c>
      <c r="DN9" s="33" t="n">
        <v>2820.613333333333</v>
      </c>
      <c r="DO9" s="33" t="n">
        <v>2820.613333333333</v>
      </c>
      <c r="DP9" s="33" t="n">
        <v>2820.613333333333</v>
      </c>
      <c r="DQ9" s="33" t="n">
        <v>2820.613333333333</v>
      </c>
      <c r="DR9" s="33" t="n">
        <v>2820.613333333333</v>
      </c>
      <c r="DS9" s="33" t="n">
        <v>2820.613333333333</v>
      </c>
      <c r="DT9" s="33" t="n">
        <v>2820.613333333333</v>
      </c>
      <c r="DU9" s="33" t="n">
        <v>2820.613333333333</v>
      </c>
      <c r="DV9" s="33" t="n">
        <v>2820.613333333333</v>
      </c>
      <c r="DW9" s="33" t="n">
        <v>2820.613333333333</v>
      </c>
      <c r="DX9" s="33" t="n">
        <v>2820.613333333333</v>
      </c>
      <c r="DY9" s="33" t="n">
        <v>2820.613333333333</v>
      </c>
      <c r="DZ9" s="33" t="n">
        <v>2820.613333333333</v>
      </c>
      <c r="EA9" s="33" t="n">
        <v>2820.613333333333</v>
      </c>
      <c r="EB9" s="33" t="n">
        <v>2820.613333333333</v>
      </c>
      <c r="EC9" s="33" t="n">
        <v>2820.613333333333</v>
      </c>
      <c r="ED9" s="33" t="n">
        <v>2820.613333333333</v>
      </c>
      <c r="EE9" s="33" t="n">
        <v>2820.613333333333</v>
      </c>
      <c r="EF9" s="33" t="n">
        <v>2820.613333333333</v>
      </c>
      <c r="EG9" s="33" t="n">
        <v>2820.613333333333</v>
      </c>
      <c r="EH9" s="33" t="n">
        <v>2820.613333333333</v>
      </c>
      <c r="EI9" s="33" t="n">
        <v>2820.613333333333</v>
      </c>
      <c r="EJ9" s="33" t="n">
        <v>2820.613333333333</v>
      </c>
      <c r="EK9" s="33" t="n">
        <v>2820.613333333333</v>
      </c>
      <c r="EL9" s="33" t="n">
        <v>2820.613333333333</v>
      </c>
      <c r="EM9" s="33" t="n">
        <v>2820.613333333333</v>
      </c>
      <c r="EN9" s="33" t="n">
        <v>2820.613333333333</v>
      </c>
      <c r="EO9" s="33" t="n">
        <v>2820.613333333333</v>
      </c>
      <c r="EP9" s="33" t="n">
        <v>2820.613333333333</v>
      </c>
      <c r="EQ9" s="33" t="n">
        <v>2820.613333333333</v>
      </c>
      <c r="ER9" s="33" t="n">
        <v>2820.613333333333</v>
      </c>
      <c r="ES9" s="33" t="n">
        <v>2820.613333333333</v>
      </c>
      <c r="ET9" s="33" t="n">
        <v>2820.613333333333</v>
      </c>
      <c r="EU9" s="33" t="n">
        <v>2820.613333333333</v>
      </c>
      <c r="EV9" s="33" t="n">
        <v>2820.613333333333</v>
      </c>
      <c r="EW9" s="33" t="n">
        <v>2820.613333333333</v>
      </c>
      <c r="EX9" s="33" t="n">
        <v>2820.613333333333</v>
      </c>
      <c r="EY9" s="33" t="n">
        <v>2820.613333333333</v>
      </c>
      <c r="EZ9" s="33" t="n">
        <v>2820.613333333333</v>
      </c>
      <c r="FA9" s="33" t="n">
        <v>2820.613333333333</v>
      </c>
      <c r="FB9" s="33" t="n">
        <v>2820.613333333333</v>
      </c>
      <c r="FC9" s="33" t="n">
        <v>2820.613333333333</v>
      </c>
      <c r="FD9" s="33" t="n">
        <v>2820.613333333333</v>
      </c>
      <c r="FE9" s="33" t="n">
        <v>2820.613333333333</v>
      </c>
      <c r="FF9" s="33" t="n">
        <v>2820.613333333333</v>
      </c>
      <c r="FG9" s="33" t="n">
        <v>2820.613333333333</v>
      </c>
      <c r="FH9" s="33" t="n">
        <v>2820.613333333333</v>
      </c>
      <c r="FI9" s="33" t="n">
        <v>2820.613333333333</v>
      </c>
      <c r="FJ9" s="33" t="n">
        <v>2820.613333333333</v>
      </c>
      <c r="FK9" s="33" t="n">
        <v>2820.613333333333</v>
      </c>
      <c r="FL9" s="33" t="n">
        <v>2820.613333333333</v>
      </c>
      <c r="FM9" s="33" t="n">
        <v>2820.613333333333</v>
      </c>
      <c r="FN9" s="33" t="n">
        <v>2820.613333333333</v>
      </c>
      <c r="FO9" s="33" t="n">
        <v>2820.613333333333</v>
      </c>
      <c r="FP9" s="33" t="n">
        <v>2820.613333333333</v>
      </c>
      <c r="FQ9" s="33" t="n">
        <v>2820.613333333333</v>
      </c>
      <c r="FR9" s="33" t="n">
        <v>2820.613333333333</v>
      </c>
      <c r="FS9" s="33" t="n">
        <v>2820.613333333333</v>
      </c>
      <c r="FT9" s="33" t="n">
        <v>2820.613333333333</v>
      </c>
      <c r="FU9" s="33" t="n">
        <v>2820.613333333333</v>
      </c>
      <c r="FV9" s="33" t="n">
        <v>2820.613333333333</v>
      </c>
      <c r="FW9" s="33" t="n">
        <v>2820.613333333333</v>
      </c>
      <c r="FX9" s="33" t="n">
        <v>2820.613333333333</v>
      </c>
      <c r="FY9" s="33" t="n">
        <v>2820.613333333333</v>
      </c>
      <c r="FZ9" s="33" t="n">
        <v>2820.613333333333</v>
      </c>
      <c r="GA9" s="33" t="n">
        <v>2820.613333333333</v>
      </c>
      <c r="GB9" s="33" t="n">
        <v>2820.613333333333</v>
      </c>
      <c r="GC9" s="33" t="n">
        <v>2820.613333333333</v>
      </c>
      <c r="GD9" s="33" t="n">
        <v>2820.613333333333</v>
      </c>
      <c r="GE9" s="33" t="n">
        <v>2820.613333333333</v>
      </c>
      <c r="GF9" s="33" t="n">
        <v>2820.613333333333</v>
      </c>
      <c r="GG9" s="33" t="n">
        <v>2820.613333333333</v>
      </c>
      <c r="GH9" s="33" t="n">
        <v>2820.613333333333</v>
      </c>
      <c r="GI9" s="33" t="n">
        <v>2820.613333333333</v>
      </c>
      <c r="GJ9" s="33" t="n">
        <v>2820.613333333333</v>
      </c>
      <c r="GK9" s="33" t="n">
        <v>2820.613333333333</v>
      </c>
      <c r="GL9" s="33" t="n">
        <v>2820.613333333333</v>
      </c>
      <c r="GM9" s="33" t="n">
        <v>2820.613333333333</v>
      </c>
      <c r="GN9" s="33" t="n">
        <v>2820.613333333333</v>
      </c>
      <c r="GO9" s="33" t="n">
        <v>2820.613333333333</v>
      </c>
      <c r="GP9" s="33" t="n">
        <v>2820.613333333333</v>
      </c>
      <c r="GQ9" s="33" t="n">
        <v>2820.613333333333</v>
      </c>
      <c r="GR9" s="33" t="n">
        <v>2820.613333333333</v>
      </c>
      <c r="GS9" s="33" t="n">
        <v>2820.613333333333</v>
      </c>
      <c r="GT9" s="33" t="n">
        <v>2820.613333333333</v>
      </c>
      <c r="GU9" s="33" t="n">
        <v>2820.613333333333</v>
      </c>
      <c r="GV9" s="33" t="n">
        <v>2820.613333333333</v>
      </c>
      <c r="GW9" s="33" t="n">
        <v>2820.613333333333</v>
      </c>
      <c r="GX9" s="33" t="n">
        <v>2820.613333333333</v>
      </c>
      <c r="GY9" s="33" t="n">
        <v>2820.613333333333</v>
      </c>
      <c r="GZ9" s="33" t="n">
        <v>2820.613333333333</v>
      </c>
      <c r="HA9" s="33" t="n">
        <v>2820.613333333333</v>
      </c>
      <c r="HB9" s="33" t="n">
        <v>2820.613333333333</v>
      </c>
      <c r="HC9" s="33" t="n">
        <v>2820.613333333333</v>
      </c>
      <c r="HD9" s="33" t="n">
        <v>2820.613333333333</v>
      </c>
      <c r="HE9" s="33" t="n">
        <v>2820.613333333333</v>
      </c>
      <c r="HF9" s="33" t="n">
        <v>2820.613333333333</v>
      </c>
      <c r="HG9" s="33" t="n">
        <v>2820.613333333333</v>
      </c>
      <c r="HH9" s="33" t="n">
        <v>2820.613333333333</v>
      </c>
      <c r="HI9" s="33" t="n">
        <v>2820.613333333333</v>
      </c>
      <c r="HJ9" s="33" t="n">
        <v>2820.613333333333</v>
      </c>
      <c r="HK9" s="33" t="n">
        <v>2820.613333333333</v>
      </c>
      <c r="HL9" s="33" t="n">
        <v>2820.613333333333</v>
      </c>
      <c r="HM9" s="33" t="n">
        <v>2820.613333333333</v>
      </c>
      <c r="HN9" s="33" t="n">
        <v>2820.613333333333</v>
      </c>
      <c r="HO9" s="33" t="n">
        <v>2820.613333333333</v>
      </c>
      <c r="HP9" s="33" t="n">
        <v>2820.613333333333</v>
      </c>
      <c r="HQ9" s="33" t="n">
        <v>2820.613333333333</v>
      </c>
      <c r="HR9" s="33" t="n">
        <v>2820.613333333333</v>
      </c>
      <c r="HS9" s="33" t="n">
        <v>2820.613333333333</v>
      </c>
      <c r="HT9" s="33" t="n">
        <v>2820.613333333333</v>
      </c>
      <c r="HU9" s="33" t="n">
        <v>2820.613333333333</v>
      </c>
      <c r="HV9" s="33" t="n">
        <v>2820.613333333333</v>
      </c>
      <c r="HW9" s="33" t="n">
        <v>2820.613333333333</v>
      </c>
      <c r="HX9" s="33" t="n">
        <v>2820.613333333333</v>
      </c>
      <c r="HY9" s="33" t="n">
        <v>2820.613333333333</v>
      </c>
      <c r="HZ9" s="33" t="n">
        <v>2820.613333333333</v>
      </c>
      <c r="IA9" s="33" t="n">
        <v>2820.613333333333</v>
      </c>
      <c r="IB9" s="33" t="n">
        <v>2820.613333333333</v>
      </c>
      <c r="IC9" s="33" t="n">
        <v>2820.613333333333</v>
      </c>
      <c r="ID9" s="33" t="n">
        <v>2820.613333333333</v>
      </c>
      <c r="IE9" s="33" t="n">
        <v>2820.613333333333</v>
      </c>
      <c r="IF9" s="33" t="n">
        <v>2820.613333333333</v>
      </c>
      <c r="IG9" s="33" t="n">
        <v>2820.613333333333</v>
      </c>
      <c r="IH9" s="33" t="n">
        <v>2820.613333333333</v>
      </c>
      <c r="II9" s="33" t="n">
        <v>2820.613333333333</v>
      </c>
      <c r="IJ9" s="33" t="n">
        <v>2820.613333333333</v>
      </c>
      <c r="IK9" s="33" t="n">
        <v>2820.613333333333</v>
      </c>
      <c r="IL9" s="33" t="n">
        <v>2820.613333333333</v>
      </c>
      <c r="IM9" s="33" t="n">
        <v>2820.613333333333</v>
      </c>
      <c r="IN9" s="33" t="n">
        <v>2820.613333333333</v>
      </c>
      <c r="IO9" s="33" t="n">
        <v>2820.613333333333</v>
      </c>
      <c r="IP9" s="33" t="n">
        <v>2820.613333333333</v>
      </c>
      <c r="IQ9" s="33" t="n">
        <v>2820.613333333333</v>
      </c>
      <c r="IR9" s="33" t="n">
        <v>2820.613333333333</v>
      </c>
      <c r="IS9" s="33" t="n">
        <v>2820.613333333333</v>
      </c>
      <c r="IT9" s="33" t="n">
        <v>2820.613333333333</v>
      </c>
      <c r="IU9" s="33" t="n">
        <v>2820.613333333333</v>
      </c>
      <c r="IV9" s="33" t="n">
        <v>2820.613333333333</v>
      </c>
      <c r="IW9" s="33" t="n">
        <v>2820.613333333333</v>
      </c>
      <c r="IX9" s="33" t="n">
        <v>2820.613333333333</v>
      </c>
      <c r="IY9" s="33" t="n">
        <v>2820.613333333333</v>
      </c>
      <c r="IZ9" s="33" t="n">
        <v>2820.613333333333</v>
      </c>
      <c r="JA9" s="33" t="n">
        <v>2820.613333333333</v>
      </c>
      <c r="JB9" s="33" t="n">
        <v>2820.613333333333</v>
      </c>
      <c r="JC9" s="33" t="n">
        <v>2820.613333333333</v>
      </c>
      <c r="JD9" s="33" t="n">
        <v>2820.613333333333</v>
      </c>
      <c r="JE9" s="33" t="n">
        <v>2820.613333333333</v>
      </c>
      <c r="JF9" s="33" t="n">
        <v>2820.613333333333</v>
      </c>
      <c r="JG9" s="33" t="n">
        <v>2820.613333333333</v>
      </c>
      <c r="JH9" s="33" t="n">
        <v>2820.613333333333</v>
      </c>
      <c r="JI9" s="33" t="n">
        <v>2820.613333333333</v>
      </c>
      <c r="JJ9" s="33" t="n">
        <v>2820.613333333333</v>
      </c>
      <c r="JK9" s="33" t="n">
        <v>2820.613333333333</v>
      </c>
      <c r="JL9" s="33" t="n">
        <v>2820.613333333333</v>
      </c>
      <c r="JM9" s="33" t="n">
        <v>2820.613333333333</v>
      </c>
      <c r="JN9" s="33" t="n">
        <v>2820.613333333333</v>
      </c>
      <c r="JO9" s="33" t="n">
        <v>2820.613333333333</v>
      </c>
      <c r="JP9" s="33" t="n">
        <v>2820.613333333333</v>
      </c>
      <c r="JQ9" s="33" t="n">
        <v>2820.613333333333</v>
      </c>
      <c r="JR9" s="33" t="n">
        <v>2820.613333333333</v>
      </c>
      <c r="JS9" s="33" t="n">
        <v>2820.613333333333</v>
      </c>
      <c r="JT9" s="33" t="n">
        <v>2820.613333333333</v>
      </c>
      <c r="JU9" s="33" t="n">
        <v>2820.613333333333</v>
      </c>
      <c r="JV9" s="33" t="n">
        <v>2820.613333333333</v>
      </c>
      <c r="JW9" s="33" t="n">
        <v>2820.613333333333</v>
      </c>
      <c r="JX9" s="33" t="n">
        <v>2820.613333333333</v>
      </c>
      <c r="JY9" s="33" t="n">
        <v>2820.613333333333</v>
      </c>
      <c r="JZ9" s="33" t="n">
        <v>2820.613333333333</v>
      </c>
      <c r="KA9" s="33" t="n">
        <v>2820.613333333333</v>
      </c>
      <c r="KB9" s="33" t="n">
        <v>2820.613333333333</v>
      </c>
      <c r="KC9" s="33" t="n">
        <v>2820.613333333333</v>
      </c>
      <c r="KD9" s="33" t="n">
        <v>2820.613333333333</v>
      </c>
      <c r="KE9" s="33" t="n">
        <v>2820.613333333333</v>
      </c>
      <c r="KF9" s="33" t="n">
        <v>2820.613333333333</v>
      </c>
      <c r="KG9" s="33" t="n">
        <v>2820.613333333333</v>
      </c>
      <c r="KH9" s="33" t="n">
        <v>2820.613333333333</v>
      </c>
      <c r="KI9" s="33" t="n">
        <v>2820.613333333333</v>
      </c>
      <c r="KJ9" s="33" t="n">
        <v>2820.613333333333</v>
      </c>
      <c r="KK9" s="33" t="n">
        <v>2820.613333333333</v>
      </c>
      <c r="KL9" s="33" t="n">
        <v>2820.613333333333</v>
      </c>
      <c r="KM9" s="33" t="n">
        <v>2820.613333333333</v>
      </c>
      <c r="KN9" s="33" t="n">
        <v>2820.613333333333</v>
      </c>
      <c r="KO9" s="33" t="n">
        <v>2820.613333333333</v>
      </c>
      <c r="KP9" s="33" t="n">
        <v>2820.613333333333</v>
      </c>
      <c r="KQ9" s="33" t="n">
        <v>2820.613333333333</v>
      </c>
      <c r="KR9" s="33" t="n">
        <v>2820.613333333333</v>
      </c>
      <c r="KS9" s="33" t="n">
        <v>2820.613333333333</v>
      </c>
      <c r="KT9" s="33" t="n">
        <v>2820.613333333333</v>
      </c>
      <c r="KU9" s="33" t="n">
        <v>2820.613333333333</v>
      </c>
      <c r="KV9" s="33" t="n">
        <v>2820.613333333333</v>
      </c>
      <c r="KW9" s="33" t="n">
        <v>2820.613333333333</v>
      </c>
      <c r="KX9" s="33" t="n">
        <v>2820.613333333333</v>
      </c>
      <c r="KY9" s="33" t="n">
        <v>2820.613333333333</v>
      </c>
      <c r="KZ9" s="33" t="n">
        <v>2820.613333333333</v>
      </c>
      <c r="LA9" s="33" t="n">
        <v>2820.613333333333</v>
      </c>
      <c r="LB9" s="33" t="n">
        <v>2820.613333333333</v>
      </c>
      <c r="LC9" s="33" t="n">
        <v>2820.613333333333</v>
      </c>
      <c r="LD9" s="33" t="n">
        <v>2820.613333333333</v>
      </c>
      <c r="LE9" s="33" t="n">
        <v>2820.613333333333</v>
      </c>
      <c r="LF9" s="33" t="n">
        <v>2820.613333333333</v>
      </c>
      <c r="LG9" s="33" t="n">
        <v>2820.613333333333</v>
      </c>
      <c r="LH9" s="33" t="n">
        <v>2820.613333333333</v>
      </c>
      <c r="LI9" s="33" t="n">
        <v>2820.613333333333</v>
      </c>
      <c r="LJ9" s="33" t="n">
        <v>2820.613333333333</v>
      </c>
      <c r="LK9" s="33" t="n">
        <v>2820.613333333333</v>
      </c>
      <c r="LL9" s="33" t="n">
        <v>2820.613333333333</v>
      </c>
      <c r="LM9" s="33" t="n">
        <v>2820.613333333333</v>
      </c>
      <c r="LN9" s="33" t="n">
        <v>2820.613333333333</v>
      </c>
      <c r="LO9" s="33" t="n">
        <v>2820.613333333333</v>
      </c>
      <c r="LP9" s="33" t="n">
        <v>2820.613333333333</v>
      </c>
      <c r="LQ9" s="33" t="n">
        <v>2820.613333333333</v>
      </c>
      <c r="LR9" s="33" t="n">
        <v>2820.613333333333</v>
      </c>
      <c r="LS9" s="33" t="n">
        <v>2820.613333333333</v>
      </c>
      <c r="LT9" s="33" t="n">
        <v>2820.613333333333</v>
      </c>
      <c r="LU9" s="33" t="n">
        <v>2820.613333333333</v>
      </c>
      <c r="LV9" s="33" t="n">
        <v>2820.613333333333</v>
      </c>
      <c r="LW9" s="33" t="n">
        <v>2820.613333333333</v>
      </c>
      <c r="LX9" s="33" t="n">
        <v>2820.613333333333</v>
      </c>
      <c r="LY9" s="33" t="n">
        <v>2820.613333333333</v>
      </c>
      <c r="LZ9" s="33" t="n">
        <v>2820.613333333333</v>
      </c>
      <c r="MA9" s="33" t="n">
        <v>2820.613333333333</v>
      </c>
      <c r="MB9" s="33" t="n">
        <v>2820.613333333333</v>
      </c>
      <c r="MC9" s="33" t="n">
        <v>2820.613333333333</v>
      </c>
      <c r="MD9" s="33" t="n">
        <v>2820.613333333333</v>
      </c>
      <c r="ME9" s="33" t="n">
        <v>2820.613333333333</v>
      </c>
      <c r="MF9" s="33" t="n">
        <v>2820.613333333333</v>
      </c>
      <c r="MG9" s="33" t="n">
        <v>2820.613333333333</v>
      </c>
      <c r="MH9" s="33" t="n">
        <v>2820.613333333333</v>
      </c>
      <c r="MI9" s="33" t="n">
        <v>2820.613333333333</v>
      </c>
      <c r="MJ9" s="33" t="n">
        <v>2820.613333333333</v>
      </c>
      <c r="MK9" s="33" t="n">
        <v>2820.613333333333</v>
      </c>
      <c r="ML9" s="33" t="n">
        <v>2820.613333333333</v>
      </c>
      <c r="MM9" s="33" t="n">
        <v>2820.613333333333</v>
      </c>
      <c r="MN9" s="33" t="n">
        <v>2820.613333333333</v>
      </c>
      <c r="MO9" s="33" t="n">
        <v>2820.613333333333</v>
      </c>
      <c r="MP9" s="33" t="n">
        <v>2820.613333333333</v>
      </c>
      <c r="MQ9" s="33" t="n">
        <v>2820.613333333333</v>
      </c>
      <c r="MR9" s="33" t="n">
        <v>2820.613333333333</v>
      </c>
      <c r="MS9" s="33" t="n">
        <v>2820.613333333333</v>
      </c>
      <c r="MT9" s="33" t="n">
        <v>2820.613333333333</v>
      </c>
      <c r="MU9" s="33" t="n">
        <v>2820.613333333333</v>
      </c>
      <c r="MV9" s="33" t="n">
        <v>2820.613333333333</v>
      </c>
      <c r="MW9" s="33" t="n">
        <v>2820.613333333333</v>
      </c>
      <c r="MX9" s="33" t="n">
        <v>2820.613333333333</v>
      </c>
      <c r="MY9" s="33" t="n">
        <v>2820.613333333333</v>
      </c>
      <c r="MZ9" s="33" t="n">
        <v>2820.613333333333</v>
      </c>
      <c r="NA9" s="33" t="n">
        <v>2820.613333333333</v>
      </c>
      <c r="NB9" s="33" t="n">
        <v>2820.613333333333</v>
      </c>
      <c r="NC9" s="33" t="n">
        <v>2820.613333333333</v>
      </c>
      <c r="ND9" s="33" t="n">
        <v>2820.613333333333</v>
      </c>
      <c r="NE9" s="33" t="n">
        <v>2820.613333333333</v>
      </c>
      <c r="NF9" s="33" t="n">
        <v>2820.613333333333</v>
      </c>
      <c r="NG9" s="33" t="n">
        <v>2820.613333333333</v>
      </c>
      <c r="NH9" s="33" t="n">
        <v>2820.613333333333</v>
      </c>
      <c r="NI9" s="33" t="n">
        <v>2820.613333333333</v>
      </c>
      <c r="NJ9" s="33" t="n">
        <v>2820.613333333333</v>
      </c>
      <c r="NK9" s="33" t="n">
        <v>2820.613333333333</v>
      </c>
      <c r="NL9" s="33" t="n">
        <v>2820.613333333333</v>
      </c>
      <c r="NM9" s="33" t="n">
        <v>2820.613333333333</v>
      </c>
      <c r="NN9" s="33" t="n">
        <v>2820.613333333333</v>
      </c>
      <c r="NO9" s="33" t="n">
        <v>2820.613333333333</v>
      </c>
      <c r="NP9" s="33" t="n">
        <v>2820.613333333333</v>
      </c>
      <c r="NQ9" s="33" t="n">
        <v>2820.613333333333</v>
      </c>
      <c r="NR9" s="33" t="n">
        <v>2820.613333333333</v>
      </c>
      <c r="NS9" s="33" t="n">
        <v>2820.613333333333</v>
      </c>
      <c r="NT9" s="33" t="n">
        <v>2820.613333333333</v>
      </c>
      <c r="NU9" s="33" t="n">
        <v>2820.613333333333</v>
      </c>
      <c r="NV9" s="33" t="n">
        <v>2820.613333333333</v>
      </c>
      <c r="NW9" s="33" t="n">
        <v>2820.613333333333</v>
      </c>
      <c r="NX9" s="33" t="n">
        <v>2820.613333333333</v>
      </c>
      <c r="NY9" s="33" t="n">
        <v>2820.613333333333</v>
      </c>
      <c r="NZ9" s="33" t="n">
        <v>2820.613333333333</v>
      </c>
      <c r="OA9" s="33" t="n">
        <v>2820.613333333333</v>
      </c>
      <c r="OB9" s="33" t="n">
        <v>2820.613333333333</v>
      </c>
      <c r="OC9" s="33" t="n">
        <v>2820.613333333333</v>
      </c>
      <c r="OD9" s="33" t="n">
        <v>2820.613333333333</v>
      </c>
      <c r="OE9" s="33" t="n">
        <v>2820.613333333333</v>
      </c>
      <c r="OF9" s="33" t="n">
        <v>2820.613333333333</v>
      </c>
      <c r="OG9" s="33" t="n">
        <v>2820.613333333333</v>
      </c>
      <c r="OH9" s="33" t="n">
        <v>2820.613333333333</v>
      </c>
      <c r="OI9" s="33" t="n">
        <v>2820.613333333333</v>
      </c>
      <c r="OJ9" s="33" t="n">
        <v>2820.613333333333</v>
      </c>
      <c r="OK9" s="33" t="n">
        <v>4.943103704135865e-09</v>
      </c>
      <c r="OL9" s="33" t="n">
        <v>0</v>
      </c>
      <c r="OM9" s="33" t="n">
        <v>0</v>
      </c>
      <c r="ON9" s="33" t="n">
        <v>0</v>
      </c>
      <c r="OO9" s="33" t="n">
        <v>0</v>
      </c>
      <c r="OP9" s="33" t="n">
        <v>0</v>
      </c>
      <c r="OQ9" s="33" t="n">
        <v>0</v>
      </c>
      <c r="OR9" s="33" t="n">
        <v>0</v>
      </c>
      <c r="OS9" s="33" t="n">
        <v>0</v>
      </c>
      <c r="OT9" s="33" t="n">
        <v>0</v>
      </c>
      <c r="OU9" s="33" t="n">
        <v>0</v>
      </c>
      <c r="OV9" s="33" t="n">
        <v>0</v>
      </c>
      <c r="OW9" s="33" t="n">
        <v>0</v>
      </c>
      <c r="OX9" s="33" t="n">
        <v>0</v>
      </c>
      <c r="OY9" s="33" t="n">
        <v>0</v>
      </c>
      <c r="OZ9" s="33" t="n">
        <v>0</v>
      </c>
      <c r="PA9" s="33" t="n">
        <v>0</v>
      </c>
      <c r="PB9" s="33" t="n">
        <v>0</v>
      </c>
      <c r="PC9" s="33" t="n">
        <v>0</v>
      </c>
      <c r="PD9" s="33" t="n">
        <v>0</v>
      </c>
      <c r="PE9" s="33" t="n">
        <v>0</v>
      </c>
      <c r="PF9" s="33" t="n">
        <v>0</v>
      </c>
      <c r="PG9" s="33" t="n">
        <v>0</v>
      </c>
      <c r="PH9" s="33" t="n">
        <v>0</v>
      </c>
      <c r="PI9" s="33" t="n">
        <v>0</v>
      </c>
      <c r="PJ9" s="33" t="n">
        <v>0</v>
      </c>
      <c r="PK9" s="33" t="n">
        <v>0</v>
      </c>
      <c r="PL9" s="33" t="n">
        <v>0</v>
      </c>
      <c r="PM9" s="33" t="n">
        <v>0</v>
      </c>
      <c r="PN9" s="33" t="n">
        <v>0</v>
      </c>
      <c r="PO9" s="33" t="n">
        <v>0</v>
      </c>
      <c r="PP9" s="33" t="n">
        <v>0</v>
      </c>
      <c r="PQ9" s="33" t="n">
        <v>0</v>
      </c>
      <c r="PR9" s="33" t="n">
        <v>0</v>
      </c>
      <c r="PS9" s="33" t="n">
        <v>0</v>
      </c>
      <c r="PT9" s="33" t="n">
        <v>0</v>
      </c>
      <c r="PU9" s="33" t="n">
        <v>0</v>
      </c>
      <c r="PV9" s="33" t="n">
        <v>0</v>
      </c>
      <c r="PW9" s="33" t="n">
        <v>0</v>
      </c>
      <c r="PX9" s="33" t="n">
        <v>0</v>
      </c>
      <c r="PY9" s="33" t="n">
        <v>0</v>
      </c>
      <c r="PZ9" s="33" t="n">
        <v>0</v>
      </c>
      <c r="QA9" s="33" t="n">
        <v>0</v>
      </c>
      <c r="QB9" s="33" t="n">
        <v>0</v>
      </c>
      <c r="QC9" s="33" t="n">
        <v>0</v>
      </c>
      <c r="QD9" s="33" t="n">
        <v>0</v>
      </c>
      <c r="QE9" s="33" t="n">
        <v>0</v>
      </c>
      <c r="QF9" s="33" t="n">
        <v>0</v>
      </c>
      <c r="QG9" s="33" t="n">
        <v>0</v>
      </c>
      <c r="QH9" s="33" t="n">
        <v>0</v>
      </c>
      <c r="QI9" s="33" t="n">
        <v>0</v>
      </c>
      <c r="QJ9" s="33" t="n">
        <v>0</v>
      </c>
      <c r="QK9" s="33" t="n">
        <v>0</v>
      </c>
      <c r="QL9" s="33" t="n">
        <v>0</v>
      </c>
      <c r="QM9" s="33" t="n">
        <v>0</v>
      </c>
      <c r="QN9" s="33" t="n">
        <v>0</v>
      </c>
      <c r="QO9" s="33" t="n">
        <v>0</v>
      </c>
      <c r="QP9" s="33" t="n">
        <v>0</v>
      </c>
      <c r="QQ9" s="33" t="n">
        <v>0</v>
      </c>
      <c r="QR9" s="33" t="n">
        <v>0</v>
      </c>
      <c r="QS9" s="33" t="n">
        <v>0</v>
      </c>
      <c r="QT9" s="33" t="n">
        <v>0</v>
      </c>
      <c r="QU9" s="33" t="n">
        <v>0</v>
      </c>
      <c r="QV9" s="33" t="n">
        <v>0</v>
      </c>
      <c r="QW9" s="33" t="n">
        <v>0</v>
      </c>
      <c r="QX9" s="33" t="n">
        <v>0</v>
      </c>
      <c r="QY9" s="33" t="n">
        <v>0</v>
      </c>
      <c r="QZ9" s="33" t="n">
        <v>0</v>
      </c>
      <c r="RA9" s="33" t="n">
        <v>0</v>
      </c>
      <c r="RB9" s="33" t="n">
        <v>0</v>
      </c>
      <c r="RC9" s="33" t="n">
        <v>0</v>
      </c>
      <c r="RD9" s="33" t="n">
        <v>0</v>
      </c>
      <c r="RE9" s="33" t="n">
        <v>0</v>
      </c>
      <c r="RF9" s="33" t="n">
        <v>0</v>
      </c>
      <c r="RG9" s="33" t="n">
        <v>0</v>
      </c>
      <c r="RH9" s="33" t="n">
        <v>0</v>
      </c>
      <c r="RI9" s="33" t="n">
        <v>0</v>
      </c>
      <c r="RJ9" s="33" t="n">
        <v>0</v>
      </c>
      <c r="RK9" s="33" t="n">
        <v>0</v>
      </c>
      <c r="RL9" s="33" t="n">
        <v>0</v>
      </c>
      <c r="RM9" s="33" t="n">
        <v>0</v>
      </c>
      <c r="RN9" s="33" t="n">
        <v>0</v>
      </c>
      <c r="RO9" s="33" t="n">
        <v>0</v>
      </c>
      <c r="RP9" s="33" t="n">
        <v>0</v>
      </c>
      <c r="RQ9" s="33" t="n">
        <v>0</v>
      </c>
      <c r="RR9" s="33" t="n">
        <v>0</v>
      </c>
      <c r="RS9" s="33" t="n">
        <v>0</v>
      </c>
      <c r="RT9" s="33" t="n">
        <v>0</v>
      </c>
      <c r="RU9" s="33" t="n">
        <v>0</v>
      </c>
      <c r="RV9" s="33" t="n">
        <v>0</v>
      </c>
      <c r="RW9" s="33" t="n">
        <v>0</v>
      </c>
    </row>
    <row r="10" hidden="1" outlineLevel="1" ht="13.05" customHeight="1">
      <c r="E10" s="21" t="inlineStr">
        <is>
          <t>Cash Sweep Prepayment</t>
        </is>
      </c>
      <c r="F10" s="29" t="n"/>
      <c r="G10" s="29" t="inlineStr">
        <is>
          <t>kEUR</t>
        </is>
      </c>
      <c r="H10" s="29" t="n"/>
      <c r="I10" s="29" t="n"/>
      <c r="J10" s="32" t="n">
        <v>0</v>
      </c>
      <c r="K10" s="29" t="n"/>
      <c r="L10" s="33" t="n">
        <v>0</v>
      </c>
      <c r="M10" s="33" t="n">
        <v>0</v>
      </c>
      <c r="N10" s="33" t="n">
        <v>0</v>
      </c>
      <c r="O10" s="33" t="n">
        <v>0</v>
      </c>
      <c r="P10" s="33" t="n">
        <v>0</v>
      </c>
      <c r="Q10" s="33" t="n">
        <v>0</v>
      </c>
      <c r="R10" s="33" t="n">
        <v>0</v>
      </c>
      <c r="S10" s="33" t="n">
        <v>0</v>
      </c>
      <c r="T10" s="33" t="n">
        <v>0</v>
      </c>
      <c r="U10" s="33" t="n">
        <v>0</v>
      </c>
      <c r="V10" s="33" t="n">
        <v>0</v>
      </c>
      <c r="W10" s="33" t="n">
        <v>0</v>
      </c>
      <c r="X10" s="33" t="n">
        <v>0</v>
      </c>
      <c r="Y10" s="33" t="n">
        <v>0</v>
      </c>
      <c r="Z10" s="33" t="n">
        <v>0</v>
      </c>
      <c r="AA10" s="33" t="n">
        <v>0</v>
      </c>
      <c r="AB10" s="33" t="n">
        <v>0</v>
      </c>
      <c r="AC10" s="33" t="n">
        <v>0</v>
      </c>
      <c r="AD10" s="33" t="n">
        <v>0</v>
      </c>
      <c r="AE10" s="33" t="n">
        <v>0</v>
      </c>
      <c r="AF10" s="33" t="n">
        <v>0</v>
      </c>
      <c r="AG10" s="33" t="n">
        <v>0</v>
      </c>
      <c r="AH10" s="33" t="n">
        <v>0</v>
      </c>
      <c r="AI10" s="33" t="n">
        <v>0</v>
      </c>
      <c r="AJ10" s="33" t="n">
        <v>0</v>
      </c>
      <c r="AK10" s="33" t="n">
        <v>0</v>
      </c>
      <c r="AL10" s="33" t="n">
        <v>0</v>
      </c>
      <c r="AM10" s="33" t="n">
        <v>0</v>
      </c>
      <c r="AN10" s="33" t="n">
        <v>0</v>
      </c>
      <c r="AO10" s="33" t="n">
        <v>0</v>
      </c>
      <c r="AP10" s="33" t="n">
        <v>0</v>
      </c>
      <c r="AQ10" s="33" t="n">
        <v>0</v>
      </c>
      <c r="AR10" s="33" t="n">
        <v>0</v>
      </c>
      <c r="AS10" s="33" t="n">
        <v>0</v>
      </c>
      <c r="AT10" s="33" t="n">
        <v>0</v>
      </c>
      <c r="AU10" s="33" t="n">
        <v>0</v>
      </c>
      <c r="AV10" s="33" t="n">
        <v>0</v>
      </c>
      <c r="AW10" s="33" t="n">
        <v>0</v>
      </c>
      <c r="AX10" s="33" t="n">
        <v>0</v>
      </c>
      <c r="AY10" s="33" t="n">
        <v>0</v>
      </c>
      <c r="AZ10" s="33" t="n">
        <v>0</v>
      </c>
      <c r="BA10" s="33" t="n">
        <v>0</v>
      </c>
      <c r="BB10" s="33" t="n">
        <v>0</v>
      </c>
      <c r="BC10" s="33" t="n">
        <v>0</v>
      </c>
      <c r="BD10" s="33" t="n">
        <v>0</v>
      </c>
      <c r="BE10" s="33" t="n">
        <v>0</v>
      </c>
      <c r="BF10" s="33" t="n">
        <v>0</v>
      </c>
      <c r="BG10" s="33" t="n">
        <v>0</v>
      </c>
      <c r="BH10" s="33" t="n">
        <v>0</v>
      </c>
      <c r="BI10" s="33" t="n">
        <v>0</v>
      </c>
      <c r="BJ10" s="33" t="n">
        <v>0</v>
      </c>
      <c r="BK10" s="33" t="n">
        <v>0</v>
      </c>
      <c r="BL10" s="33" t="n">
        <v>0</v>
      </c>
      <c r="BM10" s="33" t="n">
        <v>0</v>
      </c>
      <c r="BN10" s="33" t="n">
        <v>0</v>
      </c>
      <c r="BO10" s="33" t="n">
        <v>0</v>
      </c>
      <c r="BP10" s="33" t="n">
        <v>0</v>
      </c>
      <c r="BQ10" s="33" t="n">
        <v>0</v>
      </c>
      <c r="BR10" s="33" t="n">
        <v>0</v>
      </c>
      <c r="BS10" s="33" t="n">
        <v>0</v>
      </c>
      <c r="BT10" s="33" t="n">
        <v>0</v>
      </c>
      <c r="BU10" s="33" t="n">
        <v>0</v>
      </c>
      <c r="BV10" s="33" t="n">
        <v>0</v>
      </c>
      <c r="BW10" s="33" t="n">
        <v>0</v>
      </c>
      <c r="BX10" s="33" t="n">
        <v>0</v>
      </c>
      <c r="BY10" s="33" t="n">
        <v>0</v>
      </c>
      <c r="BZ10" s="33" t="n">
        <v>0</v>
      </c>
      <c r="CA10" s="33" t="n">
        <v>0</v>
      </c>
      <c r="CB10" s="33" t="n">
        <v>0</v>
      </c>
      <c r="CC10" s="33" t="n">
        <v>0</v>
      </c>
      <c r="CD10" s="33" t="n">
        <v>0</v>
      </c>
      <c r="CE10" s="33" t="n">
        <v>0</v>
      </c>
      <c r="CF10" s="33" t="n">
        <v>0</v>
      </c>
      <c r="CG10" s="33" t="n">
        <v>0</v>
      </c>
      <c r="CH10" s="33" t="n">
        <v>0</v>
      </c>
      <c r="CI10" s="33" t="n">
        <v>0</v>
      </c>
      <c r="CJ10" s="33" t="n">
        <v>0</v>
      </c>
      <c r="CK10" s="33" t="n">
        <v>0</v>
      </c>
      <c r="CL10" s="33" t="n">
        <v>0</v>
      </c>
      <c r="CM10" s="33" t="n">
        <v>0</v>
      </c>
      <c r="CN10" s="33" t="n">
        <v>0</v>
      </c>
      <c r="CO10" s="33" t="n">
        <v>0</v>
      </c>
      <c r="CP10" s="33" t="n">
        <v>0</v>
      </c>
      <c r="CQ10" s="33" t="n">
        <v>0</v>
      </c>
      <c r="CR10" s="33" t="n">
        <v>0</v>
      </c>
      <c r="CS10" s="33" t="n">
        <v>0</v>
      </c>
      <c r="CT10" s="33" t="n">
        <v>0</v>
      </c>
      <c r="CU10" s="33" t="n">
        <v>0</v>
      </c>
      <c r="CV10" s="33" t="n">
        <v>0</v>
      </c>
      <c r="CW10" s="33" t="n">
        <v>0</v>
      </c>
      <c r="CX10" s="33" t="n">
        <v>0</v>
      </c>
      <c r="CY10" s="33" t="n">
        <v>0</v>
      </c>
      <c r="CZ10" s="33" t="n">
        <v>0</v>
      </c>
      <c r="DA10" s="33" t="n">
        <v>0</v>
      </c>
      <c r="DB10" s="33" t="n">
        <v>0</v>
      </c>
      <c r="DC10" s="33" t="n">
        <v>0</v>
      </c>
      <c r="DD10" s="33" t="n">
        <v>0</v>
      </c>
      <c r="DE10" s="33" t="n">
        <v>0</v>
      </c>
      <c r="DF10" s="33" t="n">
        <v>0</v>
      </c>
      <c r="DG10" s="33" t="n">
        <v>0</v>
      </c>
      <c r="DH10" s="33" t="n">
        <v>0</v>
      </c>
      <c r="DI10" s="33" t="n">
        <v>0</v>
      </c>
      <c r="DJ10" s="33" t="n">
        <v>0</v>
      </c>
      <c r="DK10" s="33" t="n">
        <v>0</v>
      </c>
      <c r="DL10" s="33" t="n">
        <v>0</v>
      </c>
      <c r="DM10" s="33" t="n">
        <v>0</v>
      </c>
      <c r="DN10" s="33" t="n">
        <v>0</v>
      </c>
      <c r="DO10" s="33" t="n">
        <v>0</v>
      </c>
      <c r="DP10" s="33" t="n">
        <v>0</v>
      </c>
      <c r="DQ10" s="33" t="n">
        <v>0</v>
      </c>
      <c r="DR10" s="33" t="n">
        <v>0</v>
      </c>
      <c r="DS10" s="33" t="n">
        <v>0</v>
      </c>
      <c r="DT10" s="33" t="n">
        <v>0</v>
      </c>
      <c r="DU10" s="33" t="n">
        <v>0</v>
      </c>
      <c r="DV10" s="33" t="n">
        <v>0</v>
      </c>
      <c r="DW10" s="33" t="n">
        <v>0</v>
      </c>
      <c r="DX10" s="33" t="n">
        <v>0</v>
      </c>
      <c r="DY10" s="33" t="n">
        <v>0</v>
      </c>
      <c r="DZ10" s="33" t="n">
        <v>0</v>
      </c>
      <c r="EA10" s="33" t="n">
        <v>0</v>
      </c>
      <c r="EB10" s="33" t="n">
        <v>0</v>
      </c>
      <c r="EC10" s="33" t="n">
        <v>0</v>
      </c>
      <c r="ED10" s="33" t="n">
        <v>0</v>
      </c>
      <c r="EE10" s="33" t="n">
        <v>0</v>
      </c>
      <c r="EF10" s="33" t="n">
        <v>0</v>
      </c>
      <c r="EG10" s="33" t="n">
        <v>0</v>
      </c>
      <c r="EH10" s="33" t="n">
        <v>0</v>
      </c>
      <c r="EI10" s="33" t="n">
        <v>0</v>
      </c>
      <c r="EJ10" s="33" t="n">
        <v>0</v>
      </c>
      <c r="EK10" s="33" t="n">
        <v>0</v>
      </c>
      <c r="EL10" s="33" t="n">
        <v>0</v>
      </c>
      <c r="EM10" s="33" t="n">
        <v>0</v>
      </c>
      <c r="EN10" s="33" t="n">
        <v>0</v>
      </c>
      <c r="EO10" s="33" t="n">
        <v>0</v>
      </c>
      <c r="EP10" s="33" t="n">
        <v>0</v>
      </c>
      <c r="EQ10" s="33" t="n">
        <v>0</v>
      </c>
      <c r="ER10" s="33" t="n">
        <v>0</v>
      </c>
      <c r="ES10" s="33" t="n">
        <v>0</v>
      </c>
      <c r="ET10" s="33" t="n">
        <v>0</v>
      </c>
      <c r="EU10" s="33" t="n">
        <v>0</v>
      </c>
      <c r="EV10" s="33" t="n">
        <v>0</v>
      </c>
      <c r="EW10" s="33" t="n">
        <v>0</v>
      </c>
      <c r="EX10" s="33" t="n">
        <v>0</v>
      </c>
      <c r="EY10" s="33" t="n">
        <v>0</v>
      </c>
      <c r="EZ10" s="33" t="n">
        <v>0</v>
      </c>
      <c r="FA10" s="33" t="n">
        <v>0</v>
      </c>
      <c r="FB10" s="33" t="n">
        <v>0</v>
      </c>
      <c r="FC10" s="33" t="n">
        <v>0</v>
      </c>
      <c r="FD10" s="33" t="n">
        <v>0</v>
      </c>
      <c r="FE10" s="33" t="n">
        <v>0</v>
      </c>
      <c r="FF10" s="33" t="n">
        <v>0</v>
      </c>
      <c r="FG10" s="33" t="n">
        <v>0</v>
      </c>
      <c r="FH10" s="33" t="n">
        <v>0</v>
      </c>
      <c r="FI10" s="33" t="n">
        <v>0</v>
      </c>
      <c r="FJ10" s="33" t="n">
        <v>0</v>
      </c>
      <c r="FK10" s="33" t="n">
        <v>0</v>
      </c>
      <c r="FL10" s="33" t="n">
        <v>0</v>
      </c>
      <c r="FM10" s="33" t="n">
        <v>0</v>
      </c>
      <c r="FN10" s="33" t="n">
        <v>0</v>
      </c>
      <c r="FO10" s="33" t="n">
        <v>0</v>
      </c>
      <c r="FP10" s="33" t="n">
        <v>0</v>
      </c>
      <c r="FQ10" s="33" t="n">
        <v>0</v>
      </c>
      <c r="FR10" s="33" t="n">
        <v>0</v>
      </c>
      <c r="FS10" s="33" t="n">
        <v>0</v>
      </c>
      <c r="FT10" s="33" t="n">
        <v>0</v>
      </c>
      <c r="FU10" s="33" t="n">
        <v>0</v>
      </c>
      <c r="FV10" s="33" t="n">
        <v>0</v>
      </c>
      <c r="FW10" s="33" t="n">
        <v>0</v>
      </c>
      <c r="FX10" s="33" t="n">
        <v>0</v>
      </c>
      <c r="FY10" s="33" t="n">
        <v>0</v>
      </c>
      <c r="FZ10" s="33" t="n">
        <v>0</v>
      </c>
      <c r="GA10" s="33" t="n">
        <v>0</v>
      </c>
      <c r="GB10" s="33" t="n">
        <v>0</v>
      </c>
      <c r="GC10" s="33" t="n">
        <v>0</v>
      </c>
      <c r="GD10" s="33" t="n">
        <v>0</v>
      </c>
      <c r="GE10" s="33" t="n">
        <v>0</v>
      </c>
      <c r="GF10" s="33" t="n">
        <v>0</v>
      </c>
      <c r="GG10" s="33" t="n">
        <v>0</v>
      </c>
      <c r="GH10" s="33" t="n">
        <v>0</v>
      </c>
      <c r="GI10" s="33" t="n">
        <v>0</v>
      </c>
      <c r="GJ10" s="33" t="n">
        <v>0</v>
      </c>
      <c r="GK10" s="33" t="n">
        <v>0</v>
      </c>
      <c r="GL10" s="33" t="n">
        <v>0</v>
      </c>
      <c r="GM10" s="33" t="n">
        <v>0</v>
      </c>
      <c r="GN10" s="33" t="n">
        <v>0</v>
      </c>
      <c r="GO10" s="33" t="n">
        <v>0</v>
      </c>
      <c r="GP10" s="33" t="n">
        <v>0</v>
      </c>
      <c r="GQ10" s="33" t="n">
        <v>0</v>
      </c>
      <c r="GR10" s="33" t="n">
        <v>0</v>
      </c>
      <c r="GS10" s="33" t="n">
        <v>0</v>
      </c>
      <c r="GT10" s="33" t="n">
        <v>0</v>
      </c>
      <c r="GU10" s="33" t="n">
        <v>0</v>
      </c>
      <c r="GV10" s="33" t="n">
        <v>0</v>
      </c>
      <c r="GW10" s="33" t="n">
        <v>0</v>
      </c>
      <c r="GX10" s="33" t="n">
        <v>0</v>
      </c>
      <c r="GY10" s="33" t="n">
        <v>0</v>
      </c>
      <c r="GZ10" s="33" t="n">
        <v>0</v>
      </c>
      <c r="HA10" s="33" t="n">
        <v>0</v>
      </c>
      <c r="HB10" s="33" t="n">
        <v>0</v>
      </c>
      <c r="HC10" s="33" t="n">
        <v>0</v>
      </c>
      <c r="HD10" s="33" t="n">
        <v>0</v>
      </c>
      <c r="HE10" s="33" t="n">
        <v>0</v>
      </c>
      <c r="HF10" s="33" t="n">
        <v>0</v>
      </c>
      <c r="HG10" s="33" t="n">
        <v>0</v>
      </c>
      <c r="HH10" s="33" t="n">
        <v>0</v>
      </c>
      <c r="HI10" s="33" t="n">
        <v>0</v>
      </c>
      <c r="HJ10" s="33" t="n">
        <v>0</v>
      </c>
      <c r="HK10" s="33" t="n">
        <v>0</v>
      </c>
      <c r="HL10" s="33" t="n">
        <v>0</v>
      </c>
      <c r="HM10" s="33" t="n">
        <v>0</v>
      </c>
      <c r="HN10" s="33" t="n">
        <v>0</v>
      </c>
      <c r="HO10" s="33" t="n">
        <v>0</v>
      </c>
      <c r="HP10" s="33" t="n">
        <v>0</v>
      </c>
      <c r="HQ10" s="33" t="n">
        <v>0</v>
      </c>
      <c r="HR10" s="33" t="n">
        <v>0</v>
      </c>
      <c r="HS10" s="33" t="n">
        <v>0</v>
      </c>
      <c r="HT10" s="33" t="n">
        <v>0</v>
      </c>
      <c r="HU10" s="33" t="n">
        <v>0</v>
      </c>
      <c r="HV10" s="33" t="n">
        <v>0</v>
      </c>
      <c r="HW10" s="33" t="n">
        <v>0</v>
      </c>
      <c r="HX10" s="33" t="n">
        <v>0</v>
      </c>
      <c r="HY10" s="33" t="n">
        <v>0</v>
      </c>
      <c r="HZ10" s="33" t="n">
        <v>0</v>
      </c>
      <c r="IA10" s="33" t="n">
        <v>0</v>
      </c>
      <c r="IB10" s="33" t="n">
        <v>0</v>
      </c>
      <c r="IC10" s="33" t="n">
        <v>0</v>
      </c>
      <c r="ID10" s="33" t="n">
        <v>0</v>
      </c>
      <c r="IE10" s="33" t="n">
        <v>0</v>
      </c>
      <c r="IF10" s="33" t="n">
        <v>0</v>
      </c>
      <c r="IG10" s="33" t="n">
        <v>0</v>
      </c>
      <c r="IH10" s="33" t="n">
        <v>0</v>
      </c>
      <c r="II10" s="33" t="n">
        <v>0</v>
      </c>
      <c r="IJ10" s="33" t="n">
        <v>0</v>
      </c>
      <c r="IK10" s="33" t="n">
        <v>0</v>
      </c>
      <c r="IL10" s="33" t="n">
        <v>0</v>
      </c>
      <c r="IM10" s="33" t="n">
        <v>0</v>
      </c>
      <c r="IN10" s="33" t="n">
        <v>0</v>
      </c>
      <c r="IO10" s="33" t="n">
        <v>0</v>
      </c>
      <c r="IP10" s="33" t="n">
        <v>0</v>
      </c>
      <c r="IQ10" s="33" t="n">
        <v>0</v>
      </c>
      <c r="IR10" s="33" t="n">
        <v>0</v>
      </c>
      <c r="IS10" s="33" t="n">
        <v>0</v>
      </c>
      <c r="IT10" s="33" t="n">
        <v>0</v>
      </c>
      <c r="IU10" s="33" t="n">
        <v>0</v>
      </c>
      <c r="IV10" s="33" t="n">
        <v>0</v>
      </c>
      <c r="IW10" s="33" t="n">
        <v>0</v>
      </c>
      <c r="IX10" s="33" t="n">
        <v>0</v>
      </c>
      <c r="IY10" s="33" t="n">
        <v>0</v>
      </c>
      <c r="IZ10" s="33" t="n">
        <v>0</v>
      </c>
      <c r="JA10" s="33" t="n">
        <v>0</v>
      </c>
      <c r="JB10" s="33" t="n">
        <v>0</v>
      </c>
      <c r="JC10" s="33" t="n">
        <v>0</v>
      </c>
      <c r="JD10" s="33" t="n">
        <v>0</v>
      </c>
      <c r="JE10" s="33" t="n">
        <v>0</v>
      </c>
      <c r="JF10" s="33" t="n">
        <v>0</v>
      </c>
      <c r="JG10" s="33" t="n">
        <v>0</v>
      </c>
      <c r="JH10" s="33" t="n">
        <v>0</v>
      </c>
      <c r="JI10" s="33" t="n">
        <v>0</v>
      </c>
      <c r="JJ10" s="33" t="n">
        <v>0</v>
      </c>
      <c r="JK10" s="33" t="n">
        <v>0</v>
      </c>
      <c r="JL10" s="33" t="n">
        <v>0</v>
      </c>
      <c r="JM10" s="33" t="n">
        <v>0</v>
      </c>
      <c r="JN10" s="33" t="n">
        <v>0</v>
      </c>
      <c r="JO10" s="33" t="n">
        <v>0</v>
      </c>
      <c r="JP10" s="33" t="n">
        <v>0</v>
      </c>
      <c r="JQ10" s="33" t="n">
        <v>0</v>
      </c>
      <c r="JR10" s="33" t="n">
        <v>0</v>
      </c>
      <c r="JS10" s="33" t="n">
        <v>0</v>
      </c>
      <c r="JT10" s="33" t="n">
        <v>0</v>
      </c>
      <c r="JU10" s="33" t="n">
        <v>0</v>
      </c>
      <c r="JV10" s="33" t="n">
        <v>0</v>
      </c>
      <c r="JW10" s="33" t="n">
        <v>0</v>
      </c>
      <c r="JX10" s="33" t="n">
        <v>0</v>
      </c>
      <c r="JY10" s="33" t="n">
        <v>0</v>
      </c>
      <c r="JZ10" s="33" t="n">
        <v>0</v>
      </c>
      <c r="KA10" s="33" t="n">
        <v>0</v>
      </c>
      <c r="KB10" s="33" t="n">
        <v>0</v>
      </c>
      <c r="KC10" s="33" t="n">
        <v>0</v>
      </c>
      <c r="KD10" s="33" t="n">
        <v>0</v>
      </c>
      <c r="KE10" s="33" t="n">
        <v>0</v>
      </c>
      <c r="KF10" s="33" t="n">
        <v>0</v>
      </c>
      <c r="KG10" s="33" t="n">
        <v>0</v>
      </c>
      <c r="KH10" s="33" t="n">
        <v>0</v>
      </c>
      <c r="KI10" s="33" t="n">
        <v>0</v>
      </c>
      <c r="KJ10" s="33" t="n">
        <v>0</v>
      </c>
      <c r="KK10" s="33" t="n">
        <v>0</v>
      </c>
      <c r="KL10" s="33" t="n">
        <v>0</v>
      </c>
      <c r="KM10" s="33" t="n">
        <v>0</v>
      </c>
      <c r="KN10" s="33" t="n">
        <v>0</v>
      </c>
      <c r="KO10" s="33" t="n">
        <v>0</v>
      </c>
      <c r="KP10" s="33" t="n">
        <v>0</v>
      </c>
      <c r="KQ10" s="33" t="n">
        <v>0</v>
      </c>
      <c r="KR10" s="33" t="n">
        <v>0</v>
      </c>
      <c r="KS10" s="33" t="n">
        <v>0</v>
      </c>
      <c r="KT10" s="33" t="n">
        <v>0</v>
      </c>
      <c r="KU10" s="33" t="n">
        <v>0</v>
      </c>
      <c r="KV10" s="33" t="n">
        <v>0</v>
      </c>
      <c r="KW10" s="33" t="n">
        <v>0</v>
      </c>
      <c r="KX10" s="33" t="n">
        <v>0</v>
      </c>
      <c r="KY10" s="33" t="n">
        <v>0</v>
      </c>
      <c r="KZ10" s="33" t="n">
        <v>0</v>
      </c>
      <c r="LA10" s="33" t="n">
        <v>0</v>
      </c>
      <c r="LB10" s="33" t="n">
        <v>0</v>
      </c>
      <c r="LC10" s="33" t="n">
        <v>0</v>
      </c>
      <c r="LD10" s="33" t="n">
        <v>0</v>
      </c>
      <c r="LE10" s="33" t="n">
        <v>0</v>
      </c>
      <c r="LF10" s="33" t="n">
        <v>0</v>
      </c>
      <c r="LG10" s="33" t="n">
        <v>0</v>
      </c>
      <c r="LH10" s="33" t="n">
        <v>0</v>
      </c>
      <c r="LI10" s="33" t="n">
        <v>0</v>
      </c>
      <c r="LJ10" s="33" t="n">
        <v>0</v>
      </c>
      <c r="LK10" s="33" t="n">
        <v>0</v>
      </c>
      <c r="LL10" s="33" t="n">
        <v>0</v>
      </c>
      <c r="LM10" s="33" t="n">
        <v>0</v>
      </c>
      <c r="LN10" s="33" t="n">
        <v>0</v>
      </c>
      <c r="LO10" s="33" t="n">
        <v>0</v>
      </c>
      <c r="LP10" s="33" t="n">
        <v>0</v>
      </c>
      <c r="LQ10" s="33" t="n">
        <v>0</v>
      </c>
      <c r="LR10" s="33" t="n">
        <v>0</v>
      </c>
      <c r="LS10" s="33" t="n">
        <v>0</v>
      </c>
      <c r="LT10" s="33" t="n">
        <v>0</v>
      </c>
      <c r="LU10" s="33" t="n">
        <v>0</v>
      </c>
      <c r="LV10" s="33" t="n">
        <v>0</v>
      </c>
      <c r="LW10" s="33" t="n">
        <v>0</v>
      </c>
      <c r="LX10" s="33" t="n">
        <v>0</v>
      </c>
      <c r="LY10" s="33" t="n">
        <v>0</v>
      </c>
      <c r="LZ10" s="33" t="n">
        <v>0</v>
      </c>
      <c r="MA10" s="33" t="n">
        <v>0</v>
      </c>
      <c r="MB10" s="33" t="n">
        <v>0</v>
      </c>
      <c r="MC10" s="33" t="n">
        <v>0</v>
      </c>
      <c r="MD10" s="33" t="n">
        <v>0</v>
      </c>
      <c r="ME10" s="33" t="n">
        <v>0</v>
      </c>
      <c r="MF10" s="33" t="n">
        <v>0</v>
      </c>
      <c r="MG10" s="33" t="n">
        <v>0</v>
      </c>
      <c r="MH10" s="33" t="n">
        <v>0</v>
      </c>
      <c r="MI10" s="33" t="n">
        <v>0</v>
      </c>
      <c r="MJ10" s="33" t="n">
        <v>0</v>
      </c>
      <c r="MK10" s="33" t="n">
        <v>0</v>
      </c>
      <c r="ML10" s="33" t="n">
        <v>0</v>
      </c>
      <c r="MM10" s="33" t="n">
        <v>0</v>
      </c>
      <c r="MN10" s="33" t="n">
        <v>0</v>
      </c>
      <c r="MO10" s="33" t="n">
        <v>0</v>
      </c>
      <c r="MP10" s="33" t="n">
        <v>0</v>
      </c>
      <c r="MQ10" s="33" t="n">
        <v>0</v>
      </c>
      <c r="MR10" s="33" t="n">
        <v>0</v>
      </c>
      <c r="MS10" s="33" t="n">
        <v>0</v>
      </c>
      <c r="MT10" s="33" t="n">
        <v>0</v>
      </c>
      <c r="MU10" s="33" t="n">
        <v>0</v>
      </c>
      <c r="MV10" s="33" t="n">
        <v>0</v>
      </c>
      <c r="MW10" s="33" t="n">
        <v>0</v>
      </c>
      <c r="MX10" s="33" t="n">
        <v>0</v>
      </c>
      <c r="MY10" s="33" t="n">
        <v>0</v>
      </c>
      <c r="MZ10" s="33" t="n">
        <v>0</v>
      </c>
      <c r="NA10" s="33" t="n">
        <v>0</v>
      </c>
      <c r="NB10" s="33" t="n">
        <v>0</v>
      </c>
      <c r="NC10" s="33" t="n">
        <v>0</v>
      </c>
      <c r="ND10" s="33" t="n">
        <v>0</v>
      </c>
      <c r="NE10" s="33" t="n">
        <v>0</v>
      </c>
      <c r="NF10" s="33" t="n">
        <v>0</v>
      </c>
      <c r="NG10" s="33" t="n">
        <v>0</v>
      </c>
      <c r="NH10" s="33" t="n">
        <v>0</v>
      </c>
      <c r="NI10" s="33" t="n">
        <v>0</v>
      </c>
      <c r="NJ10" s="33" t="n">
        <v>0</v>
      </c>
      <c r="NK10" s="33" t="n">
        <v>0</v>
      </c>
      <c r="NL10" s="33" t="n">
        <v>0</v>
      </c>
      <c r="NM10" s="33" t="n">
        <v>0</v>
      </c>
      <c r="NN10" s="33" t="n">
        <v>0</v>
      </c>
      <c r="NO10" s="33" t="n">
        <v>0</v>
      </c>
      <c r="NP10" s="33" t="n">
        <v>0</v>
      </c>
      <c r="NQ10" s="33" t="n">
        <v>0</v>
      </c>
      <c r="NR10" s="33" t="n">
        <v>0</v>
      </c>
      <c r="NS10" s="33" t="n">
        <v>0</v>
      </c>
      <c r="NT10" s="33" t="n">
        <v>0</v>
      </c>
      <c r="NU10" s="33" t="n">
        <v>0</v>
      </c>
      <c r="NV10" s="33" t="n">
        <v>0</v>
      </c>
      <c r="NW10" s="33" t="n">
        <v>0</v>
      </c>
      <c r="NX10" s="33" t="n">
        <v>0</v>
      </c>
      <c r="NY10" s="33" t="n">
        <v>0</v>
      </c>
      <c r="NZ10" s="33" t="n">
        <v>0</v>
      </c>
      <c r="OA10" s="33" t="n">
        <v>0</v>
      </c>
      <c r="OB10" s="33" t="n">
        <v>0</v>
      </c>
      <c r="OC10" s="33" t="n">
        <v>0</v>
      </c>
      <c r="OD10" s="33" t="n">
        <v>0</v>
      </c>
      <c r="OE10" s="33" t="n">
        <v>0</v>
      </c>
      <c r="OF10" s="33" t="n">
        <v>0</v>
      </c>
      <c r="OG10" s="33" t="n">
        <v>0</v>
      </c>
      <c r="OH10" s="33" t="n">
        <v>0</v>
      </c>
      <c r="OI10" s="33" t="n">
        <v>0</v>
      </c>
      <c r="OJ10" s="33" t="n">
        <v>0</v>
      </c>
      <c r="OK10" s="33" t="n">
        <v>0</v>
      </c>
      <c r="OL10" s="33" t="n">
        <v>0</v>
      </c>
      <c r="OM10" s="33" t="n">
        <v>0</v>
      </c>
      <c r="ON10" s="33" t="n">
        <v>0</v>
      </c>
      <c r="OO10" s="33" t="n">
        <v>0</v>
      </c>
      <c r="OP10" s="33" t="n">
        <v>0</v>
      </c>
      <c r="OQ10" s="33" t="n">
        <v>0</v>
      </c>
      <c r="OR10" s="33" t="n">
        <v>0</v>
      </c>
      <c r="OS10" s="33" t="n">
        <v>0</v>
      </c>
      <c r="OT10" s="33" t="n">
        <v>0</v>
      </c>
      <c r="OU10" s="33" t="n">
        <v>0</v>
      </c>
      <c r="OV10" s="33" t="n">
        <v>0</v>
      </c>
      <c r="OW10" s="33" t="n">
        <v>0</v>
      </c>
      <c r="OX10" s="33" t="n">
        <v>0</v>
      </c>
      <c r="OY10" s="33" t="n">
        <v>0</v>
      </c>
      <c r="OZ10" s="33" t="n">
        <v>0</v>
      </c>
      <c r="PA10" s="33" t="n">
        <v>0</v>
      </c>
      <c r="PB10" s="33" t="n">
        <v>0</v>
      </c>
      <c r="PC10" s="33" t="n">
        <v>0</v>
      </c>
      <c r="PD10" s="33" t="n">
        <v>0</v>
      </c>
      <c r="PE10" s="33" t="n">
        <v>0</v>
      </c>
      <c r="PF10" s="33" t="n">
        <v>0</v>
      </c>
      <c r="PG10" s="33" t="n">
        <v>0</v>
      </c>
      <c r="PH10" s="33" t="n">
        <v>0</v>
      </c>
      <c r="PI10" s="33" t="n">
        <v>0</v>
      </c>
      <c r="PJ10" s="33" t="n">
        <v>0</v>
      </c>
      <c r="PK10" s="33" t="n">
        <v>0</v>
      </c>
      <c r="PL10" s="33" t="n">
        <v>0</v>
      </c>
      <c r="PM10" s="33" t="n">
        <v>0</v>
      </c>
      <c r="PN10" s="33" t="n">
        <v>0</v>
      </c>
      <c r="PO10" s="33" t="n">
        <v>0</v>
      </c>
      <c r="PP10" s="33" t="n">
        <v>0</v>
      </c>
      <c r="PQ10" s="33" t="n">
        <v>0</v>
      </c>
      <c r="PR10" s="33" t="n">
        <v>0</v>
      </c>
      <c r="PS10" s="33" t="n">
        <v>0</v>
      </c>
      <c r="PT10" s="33" t="n">
        <v>0</v>
      </c>
      <c r="PU10" s="33" t="n">
        <v>0</v>
      </c>
      <c r="PV10" s="33" t="n">
        <v>0</v>
      </c>
      <c r="PW10" s="33" t="n">
        <v>0</v>
      </c>
      <c r="PX10" s="33" t="n">
        <v>0</v>
      </c>
      <c r="PY10" s="33" t="n">
        <v>0</v>
      </c>
      <c r="PZ10" s="33" t="n">
        <v>0</v>
      </c>
      <c r="QA10" s="33" t="n">
        <v>0</v>
      </c>
      <c r="QB10" s="33" t="n">
        <v>0</v>
      </c>
      <c r="QC10" s="33" t="n">
        <v>0</v>
      </c>
      <c r="QD10" s="33" t="n">
        <v>0</v>
      </c>
      <c r="QE10" s="33" t="n">
        <v>0</v>
      </c>
      <c r="QF10" s="33" t="n">
        <v>0</v>
      </c>
      <c r="QG10" s="33" t="n">
        <v>0</v>
      </c>
      <c r="QH10" s="33" t="n">
        <v>0</v>
      </c>
      <c r="QI10" s="33" t="n">
        <v>0</v>
      </c>
      <c r="QJ10" s="33" t="n">
        <v>0</v>
      </c>
      <c r="QK10" s="33" t="n">
        <v>0</v>
      </c>
      <c r="QL10" s="33" t="n">
        <v>0</v>
      </c>
      <c r="QM10" s="33" t="n">
        <v>0</v>
      </c>
      <c r="QN10" s="33" t="n">
        <v>0</v>
      </c>
      <c r="QO10" s="33" t="n">
        <v>0</v>
      </c>
      <c r="QP10" s="33" t="n">
        <v>0</v>
      </c>
      <c r="QQ10" s="33" t="n">
        <v>0</v>
      </c>
      <c r="QR10" s="33" t="n">
        <v>0</v>
      </c>
      <c r="QS10" s="33" t="n">
        <v>0</v>
      </c>
      <c r="QT10" s="33" t="n">
        <v>0</v>
      </c>
      <c r="QU10" s="33" t="n">
        <v>0</v>
      </c>
      <c r="QV10" s="33" t="n">
        <v>0</v>
      </c>
      <c r="QW10" s="33" t="n">
        <v>0</v>
      </c>
      <c r="QX10" s="33" t="n">
        <v>0</v>
      </c>
      <c r="QY10" s="33" t="n">
        <v>0</v>
      </c>
      <c r="QZ10" s="33" t="n">
        <v>0</v>
      </c>
      <c r="RA10" s="33" t="n">
        <v>0</v>
      </c>
      <c r="RB10" s="33" t="n">
        <v>0</v>
      </c>
      <c r="RC10" s="33" t="n">
        <v>0</v>
      </c>
      <c r="RD10" s="33" t="n">
        <v>0</v>
      </c>
      <c r="RE10" s="33" t="n">
        <v>0</v>
      </c>
      <c r="RF10" s="33" t="n">
        <v>0</v>
      </c>
      <c r="RG10" s="33" t="n">
        <v>0</v>
      </c>
      <c r="RH10" s="33" t="n">
        <v>0</v>
      </c>
      <c r="RI10" s="33" t="n">
        <v>0</v>
      </c>
      <c r="RJ10" s="33" t="n">
        <v>0</v>
      </c>
      <c r="RK10" s="33" t="n">
        <v>0</v>
      </c>
      <c r="RL10" s="33" t="n">
        <v>0</v>
      </c>
      <c r="RM10" s="33" t="n">
        <v>0</v>
      </c>
      <c r="RN10" s="33" t="n">
        <v>0</v>
      </c>
      <c r="RO10" s="33" t="n">
        <v>0</v>
      </c>
      <c r="RP10" s="33" t="n">
        <v>0</v>
      </c>
      <c r="RQ10" s="33" t="n">
        <v>0</v>
      </c>
      <c r="RR10" s="33" t="n">
        <v>0</v>
      </c>
      <c r="RS10" s="33" t="n">
        <v>0</v>
      </c>
      <c r="RT10" s="33" t="n">
        <v>0</v>
      </c>
      <c r="RU10" s="33" t="n">
        <v>0</v>
      </c>
      <c r="RV10" s="33" t="n">
        <v>0</v>
      </c>
      <c r="RW10" s="33" t="n">
        <v>0</v>
      </c>
    </row>
    <row r="11" hidden="1" outlineLevel="1" ht="13.05" customHeight="1">
      <c r="E11" s="25" t="inlineStr">
        <is>
          <t>Closing Balance</t>
        </is>
      </c>
      <c r="F11" s="26" t="n"/>
      <c r="G11" s="26" t="inlineStr">
        <is>
          <t>kEUR</t>
        </is>
      </c>
      <c r="H11" s="26" t="n"/>
      <c r="I11" s="26" t="n"/>
      <c r="J11" s="27" t="n">
        <v>146389832.0000013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</v>
      </c>
      <c r="AH11" s="28" t="n">
        <v>0</v>
      </c>
      <c r="AI11" s="28" t="n">
        <v>0</v>
      </c>
      <c r="AJ11" s="28" t="n">
        <v>0</v>
      </c>
      <c r="AK11" s="28" t="n">
        <v>0</v>
      </c>
      <c r="AL11" s="28" t="n">
        <v>0</v>
      </c>
      <c r="AM11" s="28" t="n">
        <v>0</v>
      </c>
      <c r="AN11" s="28" t="n">
        <v>0</v>
      </c>
      <c r="AO11" s="28" t="n">
        <v>0</v>
      </c>
      <c r="AP11" s="28" t="n">
        <v>0</v>
      </c>
      <c r="AQ11" s="28" t="n">
        <v>0</v>
      </c>
      <c r="AR11" s="28" t="n">
        <v>0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  <c r="AZ11" s="28" t="n">
        <v>0</v>
      </c>
      <c r="BA11" s="28" t="n">
        <v>0</v>
      </c>
      <c r="BB11" s="28" t="n">
        <v>0</v>
      </c>
      <c r="BC11" s="28" t="n">
        <v>0</v>
      </c>
      <c r="BD11" s="28" t="n">
        <v>0</v>
      </c>
      <c r="BE11" s="28" t="n">
        <v>0</v>
      </c>
      <c r="BF11" s="28" t="n">
        <v>0</v>
      </c>
      <c r="BG11" s="28" t="n">
        <v>0</v>
      </c>
      <c r="BH11" s="28" t="n">
        <v>23505.11111111111</v>
      </c>
      <c r="BI11" s="28" t="n">
        <v>47010.22222222222</v>
      </c>
      <c r="BJ11" s="28" t="n">
        <v>70515.33333333333</v>
      </c>
      <c r="BK11" s="28" t="n">
        <v>94020.44444444444</v>
      </c>
      <c r="BL11" s="28" t="n">
        <v>117525.5555555555</v>
      </c>
      <c r="BM11" s="28" t="n">
        <v>141030.6666666667</v>
      </c>
      <c r="BN11" s="28" t="n">
        <v>164535.7777777778</v>
      </c>
      <c r="BO11" s="28" t="n">
        <v>188040.8888888889</v>
      </c>
      <c r="BP11" s="28" t="n">
        <v>211546</v>
      </c>
      <c r="BQ11" s="28" t="n">
        <v>235051.1111111111</v>
      </c>
      <c r="BR11" s="28" t="n">
        <v>258556.2222222222</v>
      </c>
      <c r="BS11" s="28" t="n">
        <v>282061.3333333334</v>
      </c>
      <c r="BT11" s="28" t="n">
        <v>305566.4444444445</v>
      </c>
      <c r="BU11" s="28" t="n">
        <v>329071.5555555556</v>
      </c>
      <c r="BV11" s="28" t="n">
        <v>352576.6666666667</v>
      </c>
      <c r="BW11" s="28" t="n">
        <v>376081.7777777779</v>
      </c>
      <c r="BX11" s="28" t="n">
        <v>399586.888888889</v>
      </c>
      <c r="BY11" s="28" t="n">
        <v>423092.0000000001</v>
      </c>
      <c r="BZ11" s="28" t="n">
        <v>446597.1111111112</v>
      </c>
      <c r="CA11" s="28" t="n">
        <v>470102.2222222224</v>
      </c>
      <c r="CB11" s="28" t="n">
        <v>493607.3333333335</v>
      </c>
      <c r="CC11" s="28" t="n">
        <v>517112.4444444446</v>
      </c>
      <c r="CD11" s="28" t="n">
        <v>540617.5555555557</v>
      </c>
      <c r="CE11" s="28" t="n">
        <v>564122.6666666669</v>
      </c>
      <c r="CF11" s="28" t="n">
        <v>587627.777777778</v>
      </c>
      <c r="CG11" s="28" t="n">
        <v>611132.8888888891</v>
      </c>
      <c r="CH11" s="28" t="n">
        <v>634638.0000000002</v>
      </c>
      <c r="CI11" s="28" t="n">
        <v>658143.1111111114</v>
      </c>
      <c r="CJ11" s="28" t="n">
        <v>681648.2222222225</v>
      </c>
      <c r="CK11" s="28" t="n">
        <v>705153.3333333336</v>
      </c>
      <c r="CL11" s="28" t="n">
        <v>728658.4444444447</v>
      </c>
      <c r="CM11" s="28" t="n">
        <v>752163.5555555559</v>
      </c>
      <c r="CN11" s="28" t="n">
        <v>775668.666666667</v>
      </c>
      <c r="CO11" s="28" t="n">
        <v>799173.7777777781</v>
      </c>
      <c r="CP11" s="28" t="n">
        <v>822678.8888888892</v>
      </c>
      <c r="CQ11" s="28" t="n">
        <v>846184.0000000003</v>
      </c>
      <c r="CR11" s="28" t="n">
        <v>846184.0000000003</v>
      </c>
      <c r="CS11" s="28" t="n">
        <v>846184.0000000003</v>
      </c>
      <c r="CT11" s="28" t="n">
        <v>846184.0000000003</v>
      </c>
      <c r="CU11" s="28" t="n">
        <v>846184.0000000003</v>
      </c>
      <c r="CV11" s="28" t="n">
        <v>846184.0000000003</v>
      </c>
      <c r="CW11" s="28" t="n">
        <v>843363.3866666671</v>
      </c>
      <c r="CX11" s="28" t="n">
        <v>840542.7733333338</v>
      </c>
      <c r="CY11" s="28" t="n">
        <v>837722.1600000005</v>
      </c>
      <c r="CZ11" s="28" t="n">
        <v>834901.5466666672</v>
      </c>
      <c r="DA11" s="28" t="n">
        <v>832080.9333333339</v>
      </c>
      <c r="DB11" s="28" t="n">
        <v>829260.3200000006</v>
      </c>
      <c r="DC11" s="28" t="n">
        <v>826439.7066666674</v>
      </c>
      <c r="DD11" s="28" t="n">
        <v>823619.0933333341</v>
      </c>
      <c r="DE11" s="28" t="n">
        <v>820798.4800000008</v>
      </c>
      <c r="DF11" s="28" t="n">
        <v>817977.8666666675</v>
      </c>
      <c r="DG11" s="28" t="n">
        <v>815157.2533333342</v>
      </c>
      <c r="DH11" s="28" t="n">
        <v>812336.6400000009</v>
      </c>
      <c r="DI11" s="28" t="n">
        <v>809516.0266666677</v>
      </c>
      <c r="DJ11" s="28" t="n">
        <v>806695.4133333344</v>
      </c>
      <c r="DK11" s="28" t="n">
        <v>803874.8000000011</v>
      </c>
      <c r="DL11" s="28" t="n">
        <v>801054.1866666678</v>
      </c>
      <c r="DM11" s="28" t="n">
        <v>798233.5733333345</v>
      </c>
      <c r="DN11" s="28" t="n">
        <v>795412.9600000012</v>
      </c>
      <c r="DO11" s="28" t="n">
        <v>792592.346666668</v>
      </c>
      <c r="DP11" s="28" t="n">
        <v>789771.7333333347</v>
      </c>
      <c r="DQ11" s="28" t="n">
        <v>786951.1200000014</v>
      </c>
      <c r="DR11" s="28" t="n">
        <v>784130.5066666681</v>
      </c>
      <c r="DS11" s="28" t="n">
        <v>781309.8933333348</v>
      </c>
      <c r="DT11" s="28" t="n">
        <v>778489.2800000015</v>
      </c>
      <c r="DU11" s="28" t="n">
        <v>775668.6666666683</v>
      </c>
      <c r="DV11" s="28" t="n">
        <v>772848.053333335</v>
      </c>
      <c r="DW11" s="28" t="n">
        <v>770027.4400000017</v>
      </c>
      <c r="DX11" s="28" t="n">
        <v>767206.8266666684</v>
      </c>
      <c r="DY11" s="28" t="n">
        <v>764386.2133333351</v>
      </c>
      <c r="DZ11" s="28" t="n">
        <v>761565.6000000018</v>
      </c>
      <c r="EA11" s="28" t="n">
        <v>758744.9866666686</v>
      </c>
      <c r="EB11" s="28" t="n">
        <v>755924.3733333353</v>
      </c>
      <c r="EC11" s="28" t="n">
        <v>753103.760000002</v>
      </c>
      <c r="ED11" s="28" t="n">
        <v>750283.1466666687</v>
      </c>
      <c r="EE11" s="28" t="n">
        <v>747462.5333333354</v>
      </c>
      <c r="EF11" s="28" t="n">
        <v>744641.9200000021</v>
      </c>
      <c r="EG11" s="28" t="n">
        <v>741821.3066666689</v>
      </c>
      <c r="EH11" s="28" t="n">
        <v>739000.6933333356</v>
      </c>
      <c r="EI11" s="28" t="n">
        <v>736180.0800000023</v>
      </c>
      <c r="EJ11" s="28" t="n">
        <v>733359.466666669</v>
      </c>
      <c r="EK11" s="28" t="n">
        <v>730538.8533333357</v>
      </c>
      <c r="EL11" s="28" t="n">
        <v>727718.2400000024</v>
      </c>
      <c r="EM11" s="28" t="n">
        <v>724897.6266666692</v>
      </c>
      <c r="EN11" s="28" t="n">
        <v>722077.0133333359</v>
      </c>
      <c r="EO11" s="28" t="n">
        <v>719256.4000000026</v>
      </c>
      <c r="EP11" s="28" t="n">
        <v>716435.7866666693</v>
      </c>
      <c r="EQ11" s="28" t="n">
        <v>713615.173333336</v>
      </c>
      <c r="ER11" s="28" t="n">
        <v>710794.5600000027</v>
      </c>
      <c r="ES11" s="28" t="n">
        <v>707973.9466666694</v>
      </c>
      <c r="ET11" s="28" t="n">
        <v>705153.3333333362</v>
      </c>
      <c r="EU11" s="28" t="n">
        <v>702332.7200000029</v>
      </c>
      <c r="EV11" s="28" t="n">
        <v>699512.1066666696</v>
      </c>
      <c r="EW11" s="28" t="n">
        <v>696691.4933333363</v>
      </c>
      <c r="EX11" s="28" t="n">
        <v>693870.880000003</v>
      </c>
      <c r="EY11" s="28" t="n">
        <v>691050.2666666697</v>
      </c>
      <c r="EZ11" s="28" t="n">
        <v>688229.6533333365</v>
      </c>
      <c r="FA11" s="28" t="n">
        <v>685409.0400000032</v>
      </c>
      <c r="FB11" s="28" t="n">
        <v>682588.4266666699</v>
      </c>
      <c r="FC11" s="28" t="n">
        <v>679767.8133333366</v>
      </c>
      <c r="FD11" s="28" t="n">
        <v>676947.2000000033</v>
      </c>
      <c r="FE11" s="28" t="n">
        <v>674126.58666667</v>
      </c>
      <c r="FF11" s="28" t="n">
        <v>671305.9733333368</v>
      </c>
      <c r="FG11" s="28" t="n">
        <v>668485.3600000035</v>
      </c>
      <c r="FH11" s="28" t="n">
        <v>665664.7466666702</v>
      </c>
      <c r="FI11" s="28" t="n">
        <v>662844.1333333369</v>
      </c>
      <c r="FJ11" s="28" t="n">
        <v>660023.5200000036</v>
      </c>
      <c r="FK11" s="28" t="n">
        <v>657202.9066666703</v>
      </c>
      <c r="FL11" s="28" t="n">
        <v>654382.2933333371</v>
      </c>
      <c r="FM11" s="28" t="n">
        <v>651561.6800000038</v>
      </c>
      <c r="FN11" s="28" t="n">
        <v>648741.0666666705</v>
      </c>
      <c r="FO11" s="28" t="n">
        <v>645920.4533333372</v>
      </c>
      <c r="FP11" s="28" t="n">
        <v>643099.8400000039</v>
      </c>
      <c r="FQ11" s="28" t="n">
        <v>640279.2266666706</v>
      </c>
      <c r="FR11" s="28" t="n">
        <v>637458.6133333374</v>
      </c>
      <c r="FS11" s="28" t="n">
        <v>634638.0000000041</v>
      </c>
      <c r="FT11" s="28" t="n">
        <v>631817.3866666708</v>
      </c>
      <c r="FU11" s="28" t="n">
        <v>628996.7733333375</v>
      </c>
      <c r="FV11" s="28" t="n">
        <v>626176.1600000042</v>
      </c>
      <c r="FW11" s="28" t="n">
        <v>623355.5466666709</v>
      </c>
      <c r="FX11" s="28" t="n">
        <v>620534.9333333377</v>
      </c>
      <c r="FY11" s="28" t="n">
        <v>617714.3200000044</v>
      </c>
      <c r="FZ11" s="28" t="n">
        <v>614893.7066666711</v>
      </c>
      <c r="GA11" s="28" t="n">
        <v>612073.0933333378</v>
      </c>
      <c r="GB11" s="28" t="n">
        <v>609252.4800000045</v>
      </c>
      <c r="GC11" s="28" t="n">
        <v>606431.8666666712</v>
      </c>
      <c r="GD11" s="28" t="n">
        <v>603611.253333338</v>
      </c>
      <c r="GE11" s="28" t="n">
        <v>600790.6400000047</v>
      </c>
      <c r="GF11" s="28" t="n">
        <v>597970.0266666714</v>
      </c>
      <c r="GG11" s="28" t="n">
        <v>595149.4133333381</v>
      </c>
      <c r="GH11" s="28" t="n">
        <v>592328.8000000048</v>
      </c>
      <c r="GI11" s="28" t="n">
        <v>589508.1866666715</v>
      </c>
      <c r="GJ11" s="28" t="n">
        <v>586687.5733333383</v>
      </c>
      <c r="GK11" s="28" t="n">
        <v>583866.960000005</v>
      </c>
      <c r="GL11" s="28" t="n">
        <v>581046.3466666717</v>
      </c>
      <c r="GM11" s="28" t="n">
        <v>578225.7333333384</v>
      </c>
      <c r="GN11" s="28" t="n">
        <v>575405.1200000051</v>
      </c>
      <c r="GO11" s="28" t="n">
        <v>572584.5066666718</v>
      </c>
      <c r="GP11" s="28" t="n">
        <v>569763.8933333386</v>
      </c>
      <c r="GQ11" s="28" t="n">
        <v>566943.2800000053</v>
      </c>
      <c r="GR11" s="28" t="n">
        <v>564122.666666672</v>
      </c>
      <c r="GS11" s="28" t="n">
        <v>561302.0533333387</v>
      </c>
      <c r="GT11" s="28" t="n">
        <v>558481.4400000054</v>
      </c>
      <c r="GU11" s="28" t="n">
        <v>555660.8266666721</v>
      </c>
      <c r="GV11" s="28" t="n">
        <v>552840.2133333388</v>
      </c>
      <c r="GW11" s="28" t="n">
        <v>550019.6000000056</v>
      </c>
      <c r="GX11" s="28" t="n">
        <v>547198.9866666723</v>
      </c>
      <c r="GY11" s="28" t="n">
        <v>544378.373333339</v>
      </c>
      <c r="GZ11" s="28" t="n">
        <v>541557.7600000057</v>
      </c>
      <c r="HA11" s="28" t="n">
        <v>538737.1466666724</v>
      </c>
      <c r="HB11" s="28" t="n">
        <v>535916.5333333391</v>
      </c>
      <c r="HC11" s="28" t="n">
        <v>533095.9200000059</v>
      </c>
      <c r="HD11" s="28" t="n">
        <v>530275.3066666726</v>
      </c>
      <c r="HE11" s="28" t="n">
        <v>527454.6933333393</v>
      </c>
      <c r="HF11" s="28" t="n">
        <v>524634.080000006</v>
      </c>
      <c r="HG11" s="28" t="n">
        <v>521813.4666666727</v>
      </c>
      <c r="HH11" s="28" t="n">
        <v>518992.8533333393</v>
      </c>
      <c r="HI11" s="28" t="n">
        <v>516172.240000006</v>
      </c>
      <c r="HJ11" s="28" t="n">
        <v>513351.6266666726</v>
      </c>
      <c r="HK11" s="28" t="n">
        <v>510531.0133333393</v>
      </c>
      <c r="HL11" s="28" t="n">
        <v>507710.400000006</v>
      </c>
      <c r="HM11" s="28" t="n">
        <v>504889.7866666726</v>
      </c>
      <c r="HN11" s="28" t="n">
        <v>502069.1733333393</v>
      </c>
      <c r="HO11" s="28" t="n">
        <v>499248.5600000059</v>
      </c>
      <c r="HP11" s="28" t="n">
        <v>496427.9466666726</v>
      </c>
      <c r="HQ11" s="28" t="n">
        <v>493607.3333333393</v>
      </c>
      <c r="HR11" s="28" t="n">
        <v>490786.7200000059</v>
      </c>
      <c r="HS11" s="28" t="n">
        <v>487966.1066666726</v>
      </c>
      <c r="HT11" s="28" t="n">
        <v>485145.4933333392</v>
      </c>
      <c r="HU11" s="28" t="n">
        <v>482324.8800000059</v>
      </c>
      <c r="HV11" s="28" t="n">
        <v>479504.2666666725</v>
      </c>
      <c r="HW11" s="28" t="n">
        <v>476683.6533333392</v>
      </c>
      <c r="HX11" s="28" t="n">
        <v>473863.0400000059</v>
      </c>
      <c r="HY11" s="28" t="n">
        <v>471042.4266666725</v>
      </c>
      <c r="HZ11" s="28" t="n">
        <v>468221.8133333392</v>
      </c>
      <c r="IA11" s="28" t="n">
        <v>465401.2000000058</v>
      </c>
      <c r="IB11" s="28" t="n">
        <v>462580.5866666725</v>
      </c>
      <c r="IC11" s="28" t="n">
        <v>459759.9733333391</v>
      </c>
      <c r="ID11" s="28" t="n">
        <v>456939.3600000058</v>
      </c>
      <c r="IE11" s="28" t="n">
        <v>454118.7466666725</v>
      </c>
      <c r="IF11" s="28" t="n">
        <v>451298.1333333391</v>
      </c>
      <c r="IG11" s="28" t="n">
        <v>448477.5200000058</v>
      </c>
      <c r="IH11" s="28" t="n">
        <v>445656.9066666724</v>
      </c>
      <c r="II11" s="28" t="n">
        <v>442836.2933333391</v>
      </c>
      <c r="IJ11" s="28" t="n">
        <v>440015.6800000058</v>
      </c>
      <c r="IK11" s="28" t="n">
        <v>437195.0666666724</v>
      </c>
      <c r="IL11" s="28" t="n">
        <v>434374.4533333391</v>
      </c>
      <c r="IM11" s="28" t="n">
        <v>431553.8400000057</v>
      </c>
      <c r="IN11" s="28" t="n">
        <v>428733.2266666724</v>
      </c>
      <c r="IO11" s="28" t="n">
        <v>425912.613333339</v>
      </c>
      <c r="IP11" s="28" t="n">
        <v>423092.0000000057</v>
      </c>
      <c r="IQ11" s="28" t="n">
        <v>420271.3866666724</v>
      </c>
      <c r="IR11" s="28" t="n">
        <v>417450.773333339</v>
      </c>
      <c r="IS11" s="28" t="n">
        <v>414630.1600000057</v>
      </c>
      <c r="IT11" s="28" t="n">
        <v>411809.5466666723</v>
      </c>
      <c r="IU11" s="28" t="n">
        <v>408988.933333339</v>
      </c>
      <c r="IV11" s="28" t="n">
        <v>406168.3200000057</v>
      </c>
      <c r="IW11" s="28" t="n">
        <v>403347.7066666723</v>
      </c>
      <c r="IX11" s="28" t="n">
        <v>400527.093333339</v>
      </c>
      <c r="IY11" s="28" t="n">
        <v>397706.4800000056</v>
      </c>
      <c r="IZ11" s="28" t="n">
        <v>394885.8666666723</v>
      </c>
      <c r="JA11" s="28" t="n">
        <v>392065.2533333389</v>
      </c>
      <c r="JB11" s="28" t="n">
        <v>389244.6400000056</v>
      </c>
      <c r="JC11" s="28" t="n">
        <v>386424.0266666723</v>
      </c>
      <c r="JD11" s="28" t="n">
        <v>383603.4133333389</v>
      </c>
      <c r="JE11" s="28" t="n">
        <v>380782.8000000056</v>
      </c>
      <c r="JF11" s="28" t="n">
        <v>377962.1866666722</v>
      </c>
      <c r="JG11" s="28" t="n">
        <v>375141.5733333389</v>
      </c>
      <c r="JH11" s="28" t="n">
        <v>372320.9600000056</v>
      </c>
      <c r="JI11" s="28" t="n">
        <v>369500.3466666722</v>
      </c>
      <c r="JJ11" s="28" t="n">
        <v>366679.7333333389</v>
      </c>
      <c r="JK11" s="28" t="n">
        <v>363859.1200000055</v>
      </c>
      <c r="JL11" s="28" t="n">
        <v>361038.5066666722</v>
      </c>
      <c r="JM11" s="28" t="n">
        <v>358217.8933333388</v>
      </c>
      <c r="JN11" s="28" t="n">
        <v>355397.2800000055</v>
      </c>
      <c r="JO11" s="28" t="n">
        <v>352576.6666666722</v>
      </c>
      <c r="JP11" s="28" t="n">
        <v>349756.0533333388</v>
      </c>
      <c r="JQ11" s="28" t="n">
        <v>346935.4400000055</v>
      </c>
      <c r="JR11" s="28" t="n">
        <v>344114.8266666721</v>
      </c>
      <c r="JS11" s="28" t="n">
        <v>341294.2133333388</v>
      </c>
      <c r="JT11" s="28" t="n">
        <v>338473.6000000054</v>
      </c>
      <c r="JU11" s="28" t="n">
        <v>335652.9866666721</v>
      </c>
      <c r="JV11" s="28" t="n">
        <v>332832.3733333388</v>
      </c>
      <c r="JW11" s="28" t="n">
        <v>330011.7600000054</v>
      </c>
      <c r="JX11" s="28" t="n">
        <v>327191.1466666721</v>
      </c>
      <c r="JY11" s="28" t="n">
        <v>324370.5333333387</v>
      </c>
      <c r="JZ11" s="28" t="n">
        <v>321549.9200000054</v>
      </c>
      <c r="KA11" s="28" t="n">
        <v>318729.3066666721</v>
      </c>
      <c r="KB11" s="28" t="n">
        <v>315908.6933333387</v>
      </c>
      <c r="KC11" s="28" t="n">
        <v>313088.0800000054</v>
      </c>
      <c r="KD11" s="28" t="n">
        <v>310267.466666672</v>
      </c>
      <c r="KE11" s="28" t="n">
        <v>307446.8533333387</v>
      </c>
      <c r="KF11" s="28" t="n">
        <v>304626.2400000053</v>
      </c>
      <c r="KG11" s="28" t="n">
        <v>301805.626666672</v>
      </c>
      <c r="KH11" s="28" t="n">
        <v>298985.0133333387</v>
      </c>
      <c r="KI11" s="28" t="n">
        <v>296164.4000000053</v>
      </c>
      <c r="KJ11" s="28" t="n">
        <v>293343.786666672</v>
      </c>
      <c r="KK11" s="28" t="n">
        <v>290523.1733333386</v>
      </c>
      <c r="KL11" s="28" t="n">
        <v>287702.5600000053</v>
      </c>
      <c r="KM11" s="28" t="n">
        <v>284881.946666672</v>
      </c>
      <c r="KN11" s="28" t="n">
        <v>282061.3333333386</v>
      </c>
      <c r="KO11" s="28" t="n">
        <v>279240.7200000053</v>
      </c>
      <c r="KP11" s="28" t="n">
        <v>276420.1066666719</v>
      </c>
      <c r="KQ11" s="28" t="n">
        <v>273599.4933333386</v>
      </c>
      <c r="KR11" s="28" t="n">
        <v>270778.8800000052</v>
      </c>
      <c r="KS11" s="28" t="n">
        <v>267958.2666666719</v>
      </c>
      <c r="KT11" s="28" t="n">
        <v>265137.6533333386</v>
      </c>
      <c r="KU11" s="28" t="n">
        <v>262317.0400000052</v>
      </c>
      <c r="KV11" s="28" t="n">
        <v>259496.4266666719</v>
      </c>
      <c r="KW11" s="28" t="n">
        <v>256675.8133333385</v>
      </c>
      <c r="KX11" s="28" t="n">
        <v>253855.2000000052</v>
      </c>
      <c r="KY11" s="28" t="n">
        <v>251034.5866666719</v>
      </c>
      <c r="KZ11" s="28" t="n">
        <v>248213.9733333385</v>
      </c>
      <c r="LA11" s="28" t="n">
        <v>245393.3600000052</v>
      </c>
      <c r="LB11" s="28" t="n">
        <v>242572.7466666718</v>
      </c>
      <c r="LC11" s="28" t="n">
        <v>239752.1333333385</v>
      </c>
      <c r="LD11" s="28" t="n">
        <v>236931.5200000051</v>
      </c>
      <c r="LE11" s="28" t="n">
        <v>234110.9066666718</v>
      </c>
      <c r="LF11" s="28" t="n">
        <v>231290.2933333385</v>
      </c>
      <c r="LG11" s="28" t="n">
        <v>228469.6800000051</v>
      </c>
      <c r="LH11" s="28" t="n">
        <v>225649.0666666718</v>
      </c>
      <c r="LI11" s="28" t="n">
        <v>222828.4533333384</v>
      </c>
      <c r="LJ11" s="28" t="n">
        <v>220007.8400000051</v>
      </c>
      <c r="LK11" s="28" t="n">
        <v>217187.2266666717</v>
      </c>
      <c r="LL11" s="28" t="n">
        <v>214366.6133333384</v>
      </c>
      <c r="LM11" s="28" t="n">
        <v>211546.0000000051</v>
      </c>
      <c r="LN11" s="28" t="n">
        <v>208725.3866666717</v>
      </c>
      <c r="LO11" s="28" t="n">
        <v>205904.7733333384</v>
      </c>
      <c r="LP11" s="28" t="n">
        <v>203084.160000005</v>
      </c>
      <c r="LQ11" s="28" t="n">
        <v>200263.5466666717</v>
      </c>
      <c r="LR11" s="28" t="n">
        <v>197442.9333333384</v>
      </c>
      <c r="LS11" s="28" t="n">
        <v>194622.320000005</v>
      </c>
      <c r="LT11" s="28" t="n">
        <v>191801.7066666717</v>
      </c>
      <c r="LU11" s="28" t="n">
        <v>188981.0933333383</v>
      </c>
      <c r="LV11" s="28" t="n">
        <v>186160.480000005</v>
      </c>
      <c r="LW11" s="28" t="n">
        <v>183339.8666666716</v>
      </c>
      <c r="LX11" s="28" t="n">
        <v>180519.2533333383</v>
      </c>
      <c r="LY11" s="28" t="n">
        <v>177698.640000005</v>
      </c>
      <c r="LZ11" s="28" t="n">
        <v>174878.0266666716</v>
      </c>
      <c r="MA11" s="28" t="n">
        <v>172057.4133333383</v>
      </c>
      <c r="MB11" s="28" t="n">
        <v>169236.8000000049</v>
      </c>
      <c r="MC11" s="28" t="n">
        <v>166416.1866666716</v>
      </c>
      <c r="MD11" s="28" t="n">
        <v>163595.5733333383</v>
      </c>
      <c r="ME11" s="28" t="n">
        <v>160774.9600000049</v>
      </c>
      <c r="MF11" s="28" t="n">
        <v>157954.3466666716</v>
      </c>
      <c r="MG11" s="28" t="n">
        <v>155133.7333333382</v>
      </c>
      <c r="MH11" s="28" t="n">
        <v>152313.1200000049</v>
      </c>
      <c r="MI11" s="28" t="n">
        <v>149492.5066666715</v>
      </c>
      <c r="MJ11" s="28" t="n">
        <v>146671.8933333382</v>
      </c>
      <c r="MK11" s="28" t="n">
        <v>143851.2800000049</v>
      </c>
      <c r="ML11" s="28" t="n">
        <v>141030.6666666715</v>
      </c>
      <c r="MM11" s="28" t="n">
        <v>138210.0533333382</v>
      </c>
      <c r="MN11" s="28" t="n">
        <v>135389.4400000048</v>
      </c>
      <c r="MO11" s="28" t="n">
        <v>132568.8266666715</v>
      </c>
      <c r="MP11" s="28" t="n">
        <v>129748.2133333382</v>
      </c>
      <c r="MQ11" s="28" t="n">
        <v>126927.6000000048</v>
      </c>
      <c r="MR11" s="28" t="n">
        <v>124106.9866666715</v>
      </c>
      <c r="MS11" s="28" t="n">
        <v>121286.3733333382</v>
      </c>
      <c r="MT11" s="28" t="n">
        <v>118465.7600000049</v>
      </c>
      <c r="MU11" s="28" t="n">
        <v>115645.1466666715</v>
      </c>
      <c r="MV11" s="28" t="n">
        <v>112824.5333333382</v>
      </c>
      <c r="MW11" s="28" t="n">
        <v>110003.9200000049</v>
      </c>
      <c r="MX11" s="28" t="n">
        <v>107183.3066666715</v>
      </c>
      <c r="MY11" s="28" t="n">
        <v>104362.6933333382</v>
      </c>
      <c r="MZ11" s="28" t="n">
        <v>101542.0800000049</v>
      </c>
      <c r="NA11" s="28" t="n">
        <v>98721.46666667156</v>
      </c>
      <c r="NB11" s="28" t="n">
        <v>95900.85333333824</v>
      </c>
      <c r="NC11" s="28" t="n">
        <v>93080.24000000491</v>
      </c>
      <c r="ND11" s="28" t="n">
        <v>90259.62666667158</v>
      </c>
      <c r="NE11" s="28" t="n">
        <v>87439.01333333825</v>
      </c>
      <c r="NF11" s="28" t="n">
        <v>84618.40000000493</v>
      </c>
      <c r="NG11" s="28" t="n">
        <v>81797.7866666716</v>
      </c>
      <c r="NH11" s="28" t="n">
        <v>78977.17333333827</v>
      </c>
      <c r="NI11" s="28" t="n">
        <v>76156.56000000495</v>
      </c>
      <c r="NJ11" s="28" t="n">
        <v>73335.94666667162</v>
      </c>
      <c r="NK11" s="28" t="n">
        <v>70515.33333333829</v>
      </c>
      <c r="NL11" s="28" t="n">
        <v>67694.72000000496</v>
      </c>
      <c r="NM11" s="28" t="n">
        <v>64874.10666667163</v>
      </c>
      <c r="NN11" s="28" t="n">
        <v>62053.49333333829</v>
      </c>
      <c r="NO11" s="28" t="n">
        <v>59232.88000000496</v>
      </c>
      <c r="NP11" s="28" t="n">
        <v>56412.26666667162</v>
      </c>
      <c r="NQ11" s="28" t="n">
        <v>53591.65333333829</v>
      </c>
      <c r="NR11" s="28" t="n">
        <v>50771.04000000496</v>
      </c>
      <c r="NS11" s="28" t="n">
        <v>47950.42666667162</v>
      </c>
      <c r="NT11" s="28" t="n">
        <v>45129.81333333829</v>
      </c>
      <c r="NU11" s="28" t="n">
        <v>42309.20000000495</v>
      </c>
      <c r="NV11" s="28" t="n">
        <v>39488.58666667162</v>
      </c>
      <c r="NW11" s="28" t="n">
        <v>36667.97333333828</v>
      </c>
      <c r="NX11" s="28" t="n">
        <v>33847.36000000495</v>
      </c>
      <c r="NY11" s="28" t="n">
        <v>31026.74666667161</v>
      </c>
      <c r="NZ11" s="28" t="n">
        <v>28206.13333333828</v>
      </c>
      <c r="OA11" s="28" t="n">
        <v>25385.52000000494</v>
      </c>
      <c r="OB11" s="28" t="n">
        <v>22564.90666667161</v>
      </c>
      <c r="OC11" s="28" t="n">
        <v>19744.29333333828</v>
      </c>
      <c r="OD11" s="28" t="n">
        <v>16923.68000000494</v>
      </c>
      <c r="OE11" s="28" t="n">
        <v>14103.06666667161</v>
      </c>
      <c r="OF11" s="28" t="n">
        <v>11282.45333333828</v>
      </c>
      <c r="OG11" s="28" t="n">
        <v>8461.840000004942</v>
      </c>
      <c r="OH11" s="28" t="n">
        <v>5641.22666667161</v>
      </c>
      <c r="OI11" s="28" t="n">
        <v>2820.613333338276</v>
      </c>
      <c r="OJ11" s="28" t="n">
        <v>4.943103704135865e-09</v>
      </c>
      <c r="OK11" s="28" t="n">
        <v>0</v>
      </c>
      <c r="OL11" s="28" t="n">
        <v>0</v>
      </c>
      <c r="OM11" s="28" t="n">
        <v>0</v>
      </c>
      <c r="ON11" s="28" t="n">
        <v>0</v>
      </c>
      <c r="OO11" s="28" t="n">
        <v>0</v>
      </c>
      <c r="OP11" s="28" t="n">
        <v>0</v>
      </c>
      <c r="OQ11" s="28" t="n">
        <v>0</v>
      </c>
      <c r="OR11" s="28" t="n">
        <v>0</v>
      </c>
      <c r="OS11" s="28" t="n">
        <v>0</v>
      </c>
      <c r="OT11" s="28" t="n">
        <v>0</v>
      </c>
      <c r="OU11" s="28" t="n">
        <v>0</v>
      </c>
      <c r="OV11" s="28" t="n">
        <v>0</v>
      </c>
      <c r="OW11" s="28" t="n">
        <v>0</v>
      </c>
      <c r="OX11" s="28" t="n">
        <v>0</v>
      </c>
      <c r="OY11" s="28" t="n">
        <v>0</v>
      </c>
      <c r="OZ11" s="28" t="n">
        <v>0</v>
      </c>
      <c r="PA11" s="28" t="n">
        <v>0</v>
      </c>
      <c r="PB11" s="28" t="n">
        <v>0</v>
      </c>
      <c r="PC11" s="28" t="n">
        <v>0</v>
      </c>
      <c r="PD11" s="28" t="n">
        <v>0</v>
      </c>
      <c r="PE11" s="28" t="n">
        <v>0</v>
      </c>
      <c r="PF11" s="28" t="n">
        <v>0</v>
      </c>
      <c r="PG11" s="28" t="n">
        <v>0</v>
      </c>
      <c r="PH11" s="28" t="n">
        <v>0</v>
      </c>
      <c r="PI11" s="28" t="n">
        <v>0</v>
      </c>
      <c r="PJ11" s="28" t="n">
        <v>0</v>
      </c>
      <c r="PK11" s="28" t="n">
        <v>0</v>
      </c>
      <c r="PL11" s="28" t="n">
        <v>0</v>
      </c>
      <c r="PM11" s="28" t="n">
        <v>0</v>
      </c>
      <c r="PN11" s="28" t="n">
        <v>0</v>
      </c>
      <c r="PO11" s="28" t="n">
        <v>0</v>
      </c>
      <c r="PP11" s="28" t="n">
        <v>0</v>
      </c>
      <c r="PQ11" s="28" t="n">
        <v>0</v>
      </c>
      <c r="PR11" s="28" t="n">
        <v>0</v>
      </c>
      <c r="PS11" s="28" t="n">
        <v>0</v>
      </c>
      <c r="PT11" s="28" t="n">
        <v>0</v>
      </c>
      <c r="PU11" s="28" t="n">
        <v>0</v>
      </c>
      <c r="PV11" s="28" t="n">
        <v>0</v>
      </c>
      <c r="PW11" s="28" t="n">
        <v>0</v>
      </c>
      <c r="PX11" s="28" t="n">
        <v>0</v>
      </c>
      <c r="PY11" s="28" t="n">
        <v>0</v>
      </c>
      <c r="PZ11" s="28" t="n">
        <v>0</v>
      </c>
      <c r="QA11" s="28" t="n">
        <v>0</v>
      </c>
      <c r="QB11" s="28" t="n">
        <v>0</v>
      </c>
      <c r="QC11" s="28" t="n">
        <v>0</v>
      </c>
      <c r="QD11" s="28" t="n">
        <v>0</v>
      </c>
      <c r="QE11" s="28" t="n">
        <v>0</v>
      </c>
      <c r="QF11" s="28" t="n">
        <v>0</v>
      </c>
      <c r="QG11" s="28" t="n">
        <v>0</v>
      </c>
      <c r="QH11" s="28" t="n">
        <v>0</v>
      </c>
      <c r="QI11" s="28" t="n">
        <v>0</v>
      </c>
      <c r="QJ11" s="28" t="n">
        <v>0</v>
      </c>
      <c r="QK11" s="28" t="n">
        <v>0</v>
      </c>
      <c r="QL11" s="28" t="n">
        <v>0</v>
      </c>
      <c r="QM11" s="28" t="n">
        <v>0</v>
      </c>
      <c r="QN11" s="28" t="n">
        <v>0</v>
      </c>
      <c r="QO11" s="28" t="n">
        <v>0</v>
      </c>
      <c r="QP11" s="28" t="n">
        <v>0</v>
      </c>
      <c r="QQ11" s="28" t="n">
        <v>0</v>
      </c>
      <c r="QR11" s="28" t="n">
        <v>0</v>
      </c>
      <c r="QS11" s="28" t="n">
        <v>0</v>
      </c>
      <c r="QT11" s="28" t="n">
        <v>0</v>
      </c>
      <c r="QU11" s="28" t="n">
        <v>0</v>
      </c>
      <c r="QV11" s="28" t="n">
        <v>0</v>
      </c>
      <c r="QW11" s="28" t="n">
        <v>0</v>
      </c>
      <c r="QX11" s="28" t="n">
        <v>0</v>
      </c>
      <c r="QY11" s="28" t="n">
        <v>0</v>
      </c>
      <c r="QZ11" s="28" t="n">
        <v>0</v>
      </c>
      <c r="RA11" s="28" t="n">
        <v>0</v>
      </c>
      <c r="RB11" s="28" t="n">
        <v>0</v>
      </c>
      <c r="RC11" s="28" t="n">
        <v>0</v>
      </c>
      <c r="RD11" s="28" t="n">
        <v>0</v>
      </c>
      <c r="RE11" s="28" t="n">
        <v>0</v>
      </c>
      <c r="RF11" s="28" t="n">
        <v>0</v>
      </c>
      <c r="RG11" s="28" t="n">
        <v>0</v>
      </c>
      <c r="RH11" s="28" t="n">
        <v>0</v>
      </c>
      <c r="RI11" s="28" t="n">
        <v>0</v>
      </c>
      <c r="RJ11" s="28" t="n">
        <v>0</v>
      </c>
      <c r="RK11" s="28" t="n">
        <v>0</v>
      </c>
      <c r="RL11" s="28" t="n">
        <v>0</v>
      </c>
      <c r="RM11" s="28" t="n">
        <v>0</v>
      </c>
      <c r="RN11" s="28" t="n">
        <v>0</v>
      </c>
      <c r="RO11" s="28" t="n">
        <v>0</v>
      </c>
      <c r="RP11" s="28" t="n">
        <v>0</v>
      </c>
      <c r="RQ11" s="28" t="n">
        <v>0</v>
      </c>
      <c r="RR11" s="28" t="n">
        <v>0</v>
      </c>
      <c r="RS11" s="28" t="n">
        <v>0</v>
      </c>
      <c r="RT11" s="28" t="n">
        <v>0</v>
      </c>
      <c r="RU11" s="28" t="n">
        <v>0</v>
      </c>
      <c r="RV11" s="28" t="n">
        <v>0</v>
      </c>
      <c r="RW11" s="28" t="n">
        <v>0</v>
      </c>
    </row>
    <row r="12" hidden="1" outlineLevel="1" ht="13.05" customHeight="1">
      <c r="E12" s="21" t="inlineStr">
        <is>
          <t>Debt Service</t>
        </is>
      </c>
      <c r="F12" s="29" t="n"/>
      <c r="G12" s="29" t="inlineStr">
        <is>
          <t>kEUR</t>
        </is>
      </c>
      <c r="H12" s="29" t="n"/>
      <c r="I12" s="29" t="n"/>
      <c r="J12" s="32" t="n">
        <v>1546415.363066678</v>
      </c>
      <c r="K12" s="29" t="n"/>
      <c r="L12" s="33" t="n">
        <v>0</v>
      </c>
      <c r="M12" s="33" t="n">
        <v>0</v>
      </c>
      <c r="N12" s="33" t="n">
        <v>0</v>
      </c>
      <c r="O12" s="33" t="n">
        <v>0</v>
      </c>
      <c r="P12" s="33" t="n">
        <v>0</v>
      </c>
      <c r="Q12" s="33" t="n">
        <v>0</v>
      </c>
      <c r="R12" s="33" t="n">
        <v>0</v>
      </c>
      <c r="S12" s="33" t="n">
        <v>0</v>
      </c>
      <c r="T12" s="33" t="n">
        <v>0</v>
      </c>
      <c r="U12" s="33" t="n">
        <v>0</v>
      </c>
      <c r="V12" s="33" t="n">
        <v>0</v>
      </c>
      <c r="W12" s="33" t="n">
        <v>0</v>
      </c>
      <c r="X12" s="33" t="n">
        <v>0</v>
      </c>
      <c r="Y12" s="33" t="n">
        <v>0</v>
      </c>
      <c r="Z12" s="33" t="n">
        <v>0</v>
      </c>
      <c r="AA12" s="33" t="n">
        <v>0</v>
      </c>
      <c r="AB12" s="33" t="n">
        <v>0</v>
      </c>
      <c r="AC12" s="33" t="n">
        <v>0</v>
      </c>
      <c r="AD12" s="33" t="n">
        <v>0</v>
      </c>
      <c r="AE12" s="33" t="n">
        <v>0</v>
      </c>
      <c r="AF12" s="33" t="n">
        <v>0</v>
      </c>
      <c r="AG12" s="33" t="n">
        <v>0</v>
      </c>
      <c r="AH12" s="33" t="n">
        <v>0</v>
      </c>
      <c r="AI12" s="33" t="n">
        <v>0</v>
      </c>
      <c r="AJ12" s="33" t="n">
        <v>0</v>
      </c>
      <c r="AK12" s="33" t="n">
        <v>0</v>
      </c>
      <c r="AL12" s="33" t="n">
        <v>0</v>
      </c>
      <c r="AM12" s="33" t="n">
        <v>0</v>
      </c>
      <c r="AN12" s="33" t="n">
        <v>0</v>
      </c>
      <c r="AO12" s="33" t="n">
        <v>0</v>
      </c>
      <c r="AP12" s="33" t="n">
        <v>0</v>
      </c>
      <c r="AQ12" s="33" t="n">
        <v>0</v>
      </c>
      <c r="AR12" s="33" t="n">
        <v>0</v>
      </c>
      <c r="AS12" s="33" t="n">
        <v>0</v>
      </c>
      <c r="AT12" s="33" t="n">
        <v>0</v>
      </c>
      <c r="AU12" s="33" t="n">
        <v>0</v>
      </c>
      <c r="AV12" s="33" t="n">
        <v>0</v>
      </c>
      <c r="AW12" s="33" t="n">
        <v>0</v>
      </c>
      <c r="AX12" s="33" t="n">
        <v>0</v>
      </c>
      <c r="AY12" s="33" t="n">
        <v>0</v>
      </c>
      <c r="AZ12" s="33" t="n">
        <v>0</v>
      </c>
      <c r="BA12" s="33" t="n">
        <v>0</v>
      </c>
      <c r="BB12" s="33" t="n">
        <v>0</v>
      </c>
      <c r="BC12" s="33" t="n">
        <v>0</v>
      </c>
      <c r="BD12" s="33" t="n">
        <v>0</v>
      </c>
      <c r="BE12" s="33" t="n">
        <v>0</v>
      </c>
      <c r="BF12" s="33" t="n">
        <v>0</v>
      </c>
      <c r="BG12" s="33" t="n">
        <v>0</v>
      </c>
      <c r="BH12" s="33" t="n">
        <v>0</v>
      </c>
      <c r="BI12" s="33" t="n">
        <v>112.4327814814815</v>
      </c>
      <c r="BJ12" s="33" t="n">
        <v>224.8655629629629</v>
      </c>
      <c r="BK12" s="33" t="n">
        <v>337.2983444444444</v>
      </c>
      <c r="BL12" s="33" t="n">
        <v>449.7311259259259</v>
      </c>
      <c r="BM12" s="33" t="n">
        <v>562.1639074074074</v>
      </c>
      <c r="BN12" s="33" t="n">
        <v>674.5966888888888</v>
      </c>
      <c r="BO12" s="33" t="n">
        <v>787.0294703703702</v>
      </c>
      <c r="BP12" s="33" t="n">
        <v>899.4622518518518</v>
      </c>
      <c r="BQ12" s="33" t="n">
        <v>1011.895033333333</v>
      </c>
      <c r="BR12" s="33" t="n">
        <v>1124.327814814815</v>
      </c>
      <c r="BS12" s="33" t="n">
        <v>1236.760596296296</v>
      </c>
      <c r="BT12" s="33" t="n">
        <v>1349.193377777778</v>
      </c>
      <c r="BU12" s="33" t="n">
        <v>1461.626159259259</v>
      </c>
      <c r="BV12" s="33" t="n">
        <v>1574.058940740741</v>
      </c>
      <c r="BW12" s="33" t="n">
        <v>1686.491722222223</v>
      </c>
      <c r="BX12" s="33" t="n">
        <v>1798.924503703704</v>
      </c>
      <c r="BY12" s="33" t="n">
        <v>1911.357285185185</v>
      </c>
      <c r="BZ12" s="33" t="n">
        <v>2023.790066666667</v>
      </c>
      <c r="CA12" s="33" t="n">
        <v>2136.222848148149</v>
      </c>
      <c r="CB12" s="33" t="n">
        <v>2248.65562962963</v>
      </c>
      <c r="CC12" s="33" t="n">
        <v>2361.088411111112</v>
      </c>
      <c r="CD12" s="33" t="n">
        <v>2473.521192592593</v>
      </c>
      <c r="CE12" s="33" t="n">
        <v>2585.953974074075</v>
      </c>
      <c r="CF12" s="33" t="n">
        <v>2698.386755555556</v>
      </c>
      <c r="CG12" s="33" t="n">
        <v>2810.819537037038</v>
      </c>
      <c r="CH12" s="33" t="n">
        <v>2923.25231851852</v>
      </c>
      <c r="CI12" s="33" t="n">
        <v>3035.685100000001</v>
      </c>
      <c r="CJ12" s="33" t="n">
        <v>3148.117881481483</v>
      </c>
      <c r="CK12" s="33" t="n">
        <v>3260.550662962964</v>
      </c>
      <c r="CL12" s="33" t="n">
        <v>3372.983444444445</v>
      </c>
      <c r="CM12" s="33" t="n">
        <v>3485.416225925927</v>
      </c>
      <c r="CN12" s="33" t="n">
        <v>3597.849007407408</v>
      </c>
      <c r="CO12" s="33" t="n">
        <v>3710.28178888889</v>
      </c>
      <c r="CP12" s="33" t="n">
        <v>3822.714570370372</v>
      </c>
      <c r="CQ12" s="33" t="n">
        <v>3935.147351851853</v>
      </c>
      <c r="CR12" s="33" t="n">
        <v>4047.580133333335</v>
      </c>
      <c r="CS12" s="33" t="n">
        <v>4047.580133333335</v>
      </c>
      <c r="CT12" s="33" t="n">
        <v>4047.580133333335</v>
      </c>
      <c r="CU12" s="33" t="n">
        <v>4047.580133333335</v>
      </c>
      <c r="CV12" s="33" t="n">
        <v>4047.580133333335</v>
      </c>
      <c r="CW12" s="33" t="n">
        <v>6868.193466666668</v>
      </c>
      <c r="CX12" s="33" t="n">
        <v>6854.70153288889</v>
      </c>
      <c r="CY12" s="33" t="n">
        <v>6841.209599111113</v>
      </c>
      <c r="CZ12" s="33" t="n">
        <v>6827.717665333335</v>
      </c>
      <c r="DA12" s="33" t="n">
        <v>6814.225731555558</v>
      </c>
      <c r="DB12" s="33" t="n">
        <v>6800.733797777781</v>
      </c>
      <c r="DC12" s="33" t="n">
        <v>6787.241864000003</v>
      </c>
      <c r="DD12" s="33" t="n">
        <v>6773.749930222225</v>
      </c>
      <c r="DE12" s="33" t="n">
        <v>6760.257996444448</v>
      </c>
      <c r="DF12" s="33" t="n">
        <v>6746.76606266667</v>
      </c>
      <c r="DG12" s="33" t="n">
        <v>6733.274128888892</v>
      </c>
      <c r="DH12" s="33" t="n">
        <v>6719.782195111115</v>
      </c>
      <c r="DI12" s="33" t="n">
        <v>6706.290261333337</v>
      </c>
      <c r="DJ12" s="33" t="n">
        <v>6692.79832755556</v>
      </c>
      <c r="DK12" s="33" t="n">
        <v>6679.306393777782</v>
      </c>
      <c r="DL12" s="33" t="n">
        <v>6665.814460000005</v>
      </c>
      <c r="DM12" s="33" t="n">
        <v>6652.322526222228</v>
      </c>
      <c r="DN12" s="33" t="n">
        <v>6638.83059244445</v>
      </c>
      <c r="DO12" s="33" t="n">
        <v>6625.338658666673</v>
      </c>
      <c r="DP12" s="33" t="n">
        <v>6611.846724888895</v>
      </c>
      <c r="DQ12" s="33" t="n">
        <v>6598.354791111117</v>
      </c>
      <c r="DR12" s="33" t="n">
        <v>6584.862857333339</v>
      </c>
      <c r="DS12" s="33" t="n">
        <v>6571.370923555562</v>
      </c>
      <c r="DT12" s="33" t="n">
        <v>6557.878989777784</v>
      </c>
      <c r="DU12" s="33" t="n">
        <v>6544.387056000007</v>
      </c>
      <c r="DV12" s="33" t="n">
        <v>6530.895122222229</v>
      </c>
      <c r="DW12" s="33" t="n">
        <v>6517.403188444452</v>
      </c>
      <c r="DX12" s="33" t="n">
        <v>6503.911254666675</v>
      </c>
      <c r="DY12" s="33" t="n">
        <v>6490.419320888897</v>
      </c>
      <c r="DZ12" s="33" t="n">
        <v>6476.92738711112</v>
      </c>
      <c r="EA12" s="33" t="n">
        <v>6463.435453333342</v>
      </c>
      <c r="EB12" s="33" t="n">
        <v>6449.943519555564</v>
      </c>
      <c r="EC12" s="33" t="n">
        <v>6436.451585777787</v>
      </c>
      <c r="ED12" s="33" t="n">
        <v>6422.959652000009</v>
      </c>
      <c r="EE12" s="33" t="n">
        <v>6409.467718222231</v>
      </c>
      <c r="EF12" s="33" t="n">
        <v>6395.975784444454</v>
      </c>
      <c r="EG12" s="33" t="n">
        <v>6382.483850666677</v>
      </c>
      <c r="EH12" s="33" t="n">
        <v>6368.991916888899</v>
      </c>
      <c r="EI12" s="33" t="n">
        <v>6355.499983111122</v>
      </c>
      <c r="EJ12" s="33" t="n">
        <v>6342.008049333344</v>
      </c>
      <c r="EK12" s="33" t="n">
        <v>6328.516115555567</v>
      </c>
      <c r="EL12" s="33" t="n">
        <v>6315.024181777789</v>
      </c>
      <c r="EM12" s="33" t="n">
        <v>6301.532248000011</v>
      </c>
      <c r="EN12" s="33" t="n">
        <v>6288.040314222234</v>
      </c>
      <c r="EO12" s="33" t="n">
        <v>6274.548380444456</v>
      </c>
      <c r="EP12" s="33" t="n">
        <v>6261.056446666678</v>
      </c>
      <c r="EQ12" s="33" t="n">
        <v>6247.564512888901</v>
      </c>
      <c r="ER12" s="33" t="n">
        <v>6234.072579111124</v>
      </c>
      <c r="ES12" s="33" t="n">
        <v>6220.580645333346</v>
      </c>
      <c r="ET12" s="33" t="n">
        <v>6207.088711555569</v>
      </c>
      <c r="EU12" s="33" t="n">
        <v>6193.596777777791</v>
      </c>
      <c r="EV12" s="33" t="n">
        <v>6180.104844000014</v>
      </c>
      <c r="EW12" s="33" t="n">
        <v>6166.612910222236</v>
      </c>
      <c r="EX12" s="33" t="n">
        <v>6153.120976444458</v>
      </c>
      <c r="EY12" s="33" t="n">
        <v>6139.629042666681</v>
      </c>
      <c r="EZ12" s="33" t="n">
        <v>6126.137108888903</v>
      </c>
      <c r="FA12" s="33" t="n">
        <v>6112.645175111125</v>
      </c>
      <c r="FB12" s="33" t="n">
        <v>6099.153241333348</v>
      </c>
      <c r="FC12" s="33" t="n">
        <v>6085.661307555571</v>
      </c>
      <c r="FD12" s="33" t="n">
        <v>6072.169373777793</v>
      </c>
      <c r="FE12" s="33" t="n">
        <v>6058.677440000016</v>
      </c>
      <c r="FF12" s="33" t="n">
        <v>6045.185506222238</v>
      </c>
      <c r="FG12" s="33" t="n">
        <v>6031.693572444461</v>
      </c>
      <c r="FH12" s="33" t="n">
        <v>6018.201638666683</v>
      </c>
      <c r="FI12" s="33" t="n">
        <v>6004.709704888905</v>
      </c>
      <c r="FJ12" s="33" t="n">
        <v>5991.217771111128</v>
      </c>
      <c r="FK12" s="33" t="n">
        <v>5977.72583733335</v>
      </c>
      <c r="FL12" s="33" t="n">
        <v>5964.233903555572</v>
      </c>
      <c r="FM12" s="33" t="n">
        <v>5950.741969777795</v>
      </c>
      <c r="FN12" s="33" t="n">
        <v>5937.250036000018</v>
      </c>
      <c r="FO12" s="33" t="n">
        <v>5923.75810222224</v>
      </c>
      <c r="FP12" s="33" t="n">
        <v>5910.266168444463</v>
      </c>
      <c r="FQ12" s="33" t="n">
        <v>5896.774234666686</v>
      </c>
      <c r="FR12" s="33" t="n">
        <v>5883.282300888908</v>
      </c>
      <c r="FS12" s="33" t="n">
        <v>5869.79036711113</v>
      </c>
      <c r="FT12" s="33" t="n">
        <v>5856.298433333352</v>
      </c>
      <c r="FU12" s="33" t="n">
        <v>5842.806499555575</v>
      </c>
      <c r="FV12" s="33" t="n">
        <v>5829.314565777797</v>
      </c>
      <c r="FW12" s="33" t="n">
        <v>5815.822632000019</v>
      </c>
      <c r="FX12" s="33" t="n">
        <v>5802.330698222242</v>
      </c>
      <c r="FY12" s="33" t="n">
        <v>5788.838764444465</v>
      </c>
      <c r="FZ12" s="33" t="n">
        <v>5775.346830666687</v>
      </c>
      <c r="GA12" s="33" t="n">
        <v>5761.85489688891</v>
      </c>
      <c r="GB12" s="33" t="n">
        <v>5748.362963111133</v>
      </c>
      <c r="GC12" s="33" t="n">
        <v>5734.871029333355</v>
      </c>
      <c r="GD12" s="33" t="n">
        <v>5721.379095555578</v>
      </c>
      <c r="GE12" s="33" t="n">
        <v>5707.8871617778</v>
      </c>
      <c r="GF12" s="33" t="n">
        <v>5694.395228000022</v>
      </c>
      <c r="GG12" s="33" t="n">
        <v>5680.903294222244</v>
      </c>
      <c r="GH12" s="33" t="n">
        <v>5667.411360444466</v>
      </c>
      <c r="GI12" s="33" t="n">
        <v>5653.919426666689</v>
      </c>
      <c r="GJ12" s="33" t="n">
        <v>5640.427492888912</v>
      </c>
      <c r="GK12" s="33" t="n">
        <v>5626.935559111134</v>
      </c>
      <c r="GL12" s="33" t="n">
        <v>5613.443625333357</v>
      </c>
      <c r="GM12" s="33" t="n">
        <v>5599.95169155558</v>
      </c>
      <c r="GN12" s="33" t="n">
        <v>5586.459757777802</v>
      </c>
      <c r="GO12" s="33" t="n">
        <v>5572.967824000025</v>
      </c>
      <c r="GP12" s="33" t="n">
        <v>5559.475890222247</v>
      </c>
      <c r="GQ12" s="33" t="n">
        <v>5545.983956444469</v>
      </c>
      <c r="GR12" s="33" t="n">
        <v>5532.492022666691</v>
      </c>
      <c r="GS12" s="33" t="n">
        <v>5519.000088888914</v>
      </c>
      <c r="GT12" s="33" t="n">
        <v>5505.508155111136</v>
      </c>
      <c r="GU12" s="33" t="n">
        <v>5492.016221333359</v>
      </c>
      <c r="GV12" s="33" t="n">
        <v>5478.524287555581</v>
      </c>
      <c r="GW12" s="33" t="n">
        <v>5465.032353777804</v>
      </c>
      <c r="GX12" s="33" t="n">
        <v>5451.540420000027</v>
      </c>
      <c r="GY12" s="33" t="n">
        <v>5438.048486222249</v>
      </c>
      <c r="GZ12" s="33" t="n">
        <v>5424.556552444472</v>
      </c>
      <c r="HA12" s="33" t="n">
        <v>5411.064618666694</v>
      </c>
      <c r="HB12" s="33" t="n">
        <v>5397.572684888916</v>
      </c>
      <c r="HC12" s="33" t="n">
        <v>5384.080751111139</v>
      </c>
      <c r="HD12" s="33" t="n">
        <v>5370.588817333361</v>
      </c>
      <c r="HE12" s="33" t="n">
        <v>5357.096883555583</v>
      </c>
      <c r="HF12" s="33" t="n">
        <v>5343.604949777806</v>
      </c>
      <c r="HG12" s="33" t="n">
        <v>5330.113016000028</v>
      </c>
      <c r="HH12" s="33" t="n">
        <v>5316.621082222251</v>
      </c>
      <c r="HI12" s="33" t="n">
        <v>5303.129148444473</v>
      </c>
      <c r="HJ12" s="33" t="n">
        <v>5289.637214666694</v>
      </c>
      <c r="HK12" s="33" t="n">
        <v>5276.145280888917</v>
      </c>
      <c r="HL12" s="33" t="n">
        <v>5262.65334711114</v>
      </c>
      <c r="HM12" s="33" t="n">
        <v>5249.161413333361</v>
      </c>
      <c r="HN12" s="33" t="n">
        <v>5235.669479555583</v>
      </c>
      <c r="HO12" s="33" t="n">
        <v>5222.177545777806</v>
      </c>
      <c r="HP12" s="33" t="n">
        <v>5208.685612000028</v>
      </c>
      <c r="HQ12" s="33" t="n">
        <v>5195.19367822225</v>
      </c>
      <c r="HR12" s="33" t="n">
        <v>5181.701744444472</v>
      </c>
      <c r="HS12" s="33" t="n">
        <v>5168.209810666694</v>
      </c>
      <c r="HT12" s="33" t="n">
        <v>5154.717876888917</v>
      </c>
      <c r="HU12" s="33" t="n">
        <v>5141.22594311114</v>
      </c>
      <c r="HV12" s="33" t="n">
        <v>5127.734009333361</v>
      </c>
      <c r="HW12" s="33" t="n">
        <v>5114.242075555583</v>
      </c>
      <c r="HX12" s="33" t="n">
        <v>5100.750141777806</v>
      </c>
      <c r="HY12" s="33" t="n">
        <v>5087.258208000028</v>
      </c>
      <c r="HZ12" s="33" t="n">
        <v>5073.76627422225</v>
      </c>
      <c r="IA12" s="33" t="n">
        <v>5060.274340444472</v>
      </c>
      <c r="IB12" s="33" t="n">
        <v>5046.782406666694</v>
      </c>
      <c r="IC12" s="33" t="n">
        <v>5033.290472888917</v>
      </c>
      <c r="ID12" s="33" t="n">
        <v>5019.798539111139</v>
      </c>
      <c r="IE12" s="33" t="n">
        <v>5006.30660533336</v>
      </c>
      <c r="IF12" s="33" t="n">
        <v>4992.814671555583</v>
      </c>
      <c r="IG12" s="33" t="n">
        <v>4979.322737777806</v>
      </c>
      <c r="IH12" s="33" t="n">
        <v>4965.830804000027</v>
      </c>
      <c r="II12" s="33" t="n">
        <v>4952.338870222249</v>
      </c>
      <c r="IJ12" s="33" t="n">
        <v>4938.846936444472</v>
      </c>
      <c r="IK12" s="33" t="n">
        <v>4925.355002666694</v>
      </c>
      <c r="IL12" s="33" t="n">
        <v>4911.863068888916</v>
      </c>
      <c r="IM12" s="33" t="n">
        <v>4898.371135111138</v>
      </c>
      <c r="IN12" s="33" t="n">
        <v>4884.87920133336</v>
      </c>
      <c r="IO12" s="33" t="n">
        <v>4871.387267555583</v>
      </c>
      <c r="IP12" s="33" t="n">
        <v>4857.895333777805</v>
      </c>
      <c r="IQ12" s="33" t="n">
        <v>4844.403400000027</v>
      </c>
      <c r="IR12" s="33" t="n">
        <v>4830.911466222249</v>
      </c>
      <c r="IS12" s="33" t="n">
        <v>4817.419532444472</v>
      </c>
      <c r="IT12" s="33" t="n">
        <v>4803.927598666693</v>
      </c>
      <c r="IU12" s="33" t="n">
        <v>4790.435664888916</v>
      </c>
      <c r="IV12" s="33" t="n">
        <v>4776.943731111138</v>
      </c>
      <c r="IW12" s="33" t="n">
        <v>4763.45179733336</v>
      </c>
      <c r="IX12" s="33" t="n">
        <v>4749.959863555582</v>
      </c>
      <c r="IY12" s="33" t="n">
        <v>4736.467929777805</v>
      </c>
      <c r="IZ12" s="33" t="n">
        <v>4722.975996000026</v>
      </c>
      <c r="JA12" s="33" t="n">
        <v>4709.484062222249</v>
      </c>
      <c r="JB12" s="33" t="n">
        <v>4695.992128444471</v>
      </c>
      <c r="JC12" s="33" t="n">
        <v>4682.500194666693</v>
      </c>
      <c r="JD12" s="33" t="n">
        <v>4669.008260888915</v>
      </c>
      <c r="JE12" s="33" t="n">
        <v>4655.516327111138</v>
      </c>
      <c r="JF12" s="33" t="n">
        <v>4642.02439333336</v>
      </c>
      <c r="JG12" s="33" t="n">
        <v>4628.532459555582</v>
      </c>
      <c r="JH12" s="33" t="n">
        <v>4615.040525777804</v>
      </c>
      <c r="JI12" s="33" t="n">
        <v>4601.548592000026</v>
      </c>
      <c r="JJ12" s="33" t="n">
        <v>4588.056658222248</v>
      </c>
      <c r="JK12" s="33" t="n">
        <v>4574.564724444471</v>
      </c>
      <c r="JL12" s="33" t="n">
        <v>4561.072790666693</v>
      </c>
      <c r="JM12" s="33" t="n">
        <v>4547.580856888915</v>
      </c>
      <c r="JN12" s="33" t="n">
        <v>4534.088923111138</v>
      </c>
      <c r="JO12" s="33" t="n">
        <v>4520.596989333359</v>
      </c>
      <c r="JP12" s="33" t="n">
        <v>4507.105055555581</v>
      </c>
      <c r="JQ12" s="33" t="n">
        <v>4493.613121777804</v>
      </c>
      <c r="JR12" s="33" t="n">
        <v>4480.121188000026</v>
      </c>
      <c r="JS12" s="33" t="n">
        <v>4466.629254222248</v>
      </c>
      <c r="JT12" s="33" t="n">
        <v>4453.13732044447</v>
      </c>
      <c r="JU12" s="33" t="n">
        <v>4439.645386666693</v>
      </c>
      <c r="JV12" s="33" t="n">
        <v>4426.153452888915</v>
      </c>
      <c r="JW12" s="33" t="n">
        <v>4412.661519111137</v>
      </c>
      <c r="JX12" s="33" t="n">
        <v>4399.169585333359</v>
      </c>
      <c r="JY12" s="33" t="n">
        <v>4385.677651555581</v>
      </c>
      <c r="JZ12" s="33" t="n">
        <v>4372.185717777804</v>
      </c>
      <c r="KA12" s="33" t="n">
        <v>4358.693784000026</v>
      </c>
      <c r="KB12" s="33" t="n">
        <v>4345.201850222247</v>
      </c>
      <c r="KC12" s="33" t="n">
        <v>4331.70991644447</v>
      </c>
      <c r="KD12" s="33" t="n">
        <v>4318.217982666692</v>
      </c>
      <c r="KE12" s="33" t="n">
        <v>4304.726048888914</v>
      </c>
      <c r="KF12" s="33" t="n">
        <v>4291.234115111137</v>
      </c>
      <c r="KG12" s="33" t="n">
        <v>4277.742181333359</v>
      </c>
      <c r="KH12" s="33" t="n">
        <v>4264.250247555581</v>
      </c>
      <c r="KI12" s="33" t="n">
        <v>4250.758313777803</v>
      </c>
      <c r="KJ12" s="33" t="n">
        <v>4237.266380000025</v>
      </c>
      <c r="KK12" s="33" t="n">
        <v>4223.774446222247</v>
      </c>
      <c r="KL12" s="33" t="n">
        <v>4210.28251244447</v>
      </c>
      <c r="KM12" s="33" t="n">
        <v>4196.790578666692</v>
      </c>
      <c r="KN12" s="33" t="n">
        <v>4183.298644888914</v>
      </c>
      <c r="KO12" s="33" t="n">
        <v>4169.806711111136</v>
      </c>
      <c r="KP12" s="33" t="n">
        <v>4156.314777333359</v>
      </c>
      <c r="KQ12" s="33" t="n">
        <v>4142.82284355558</v>
      </c>
      <c r="KR12" s="33" t="n">
        <v>4129.330909777803</v>
      </c>
      <c r="KS12" s="33" t="n">
        <v>4115.838976000025</v>
      </c>
      <c r="KT12" s="33" t="n">
        <v>4102.347042222247</v>
      </c>
      <c r="KU12" s="33" t="n">
        <v>4088.855108444469</v>
      </c>
      <c r="KV12" s="33" t="n">
        <v>4075.363174666692</v>
      </c>
      <c r="KW12" s="33" t="n">
        <v>4061.871240888914</v>
      </c>
      <c r="KX12" s="33" t="n">
        <v>4048.379307111136</v>
      </c>
      <c r="KY12" s="33" t="n">
        <v>4034.887373333358</v>
      </c>
      <c r="KZ12" s="33" t="n">
        <v>4021.39543955558</v>
      </c>
      <c r="LA12" s="33" t="n">
        <v>4007.903505777802</v>
      </c>
      <c r="LB12" s="33" t="n">
        <v>3994.411572000025</v>
      </c>
      <c r="LC12" s="33" t="n">
        <v>3980.919638222247</v>
      </c>
      <c r="LD12" s="33" t="n">
        <v>3967.427704444469</v>
      </c>
      <c r="LE12" s="33" t="n">
        <v>3953.935770666691</v>
      </c>
      <c r="LF12" s="33" t="n">
        <v>3940.443836888913</v>
      </c>
      <c r="LG12" s="33" t="n">
        <v>3926.951903111135</v>
      </c>
      <c r="LH12" s="33" t="n">
        <v>3913.459969333358</v>
      </c>
      <c r="LI12" s="33" t="n">
        <v>3899.96803555558</v>
      </c>
      <c r="LJ12" s="33" t="n">
        <v>3886.476101777802</v>
      </c>
      <c r="LK12" s="33" t="n">
        <v>3872.984168000025</v>
      </c>
      <c r="LL12" s="33" t="n">
        <v>3859.492234222246</v>
      </c>
      <c r="LM12" s="33" t="n">
        <v>3846.000300444469</v>
      </c>
      <c r="LN12" s="33" t="n">
        <v>3832.508366666691</v>
      </c>
      <c r="LO12" s="33" t="n">
        <v>3819.016432888913</v>
      </c>
      <c r="LP12" s="33" t="n">
        <v>3805.524499111135</v>
      </c>
      <c r="LQ12" s="33" t="n">
        <v>3792.032565333358</v>
      </c>
      <c r="LR12" s="33" t="n">
        <v>3778.540631555579</v>
      </c>
      <c r="LS12" s="33" t="n">
        <v>3765.048697777802</v>
      </c>
      <c r="LT12" s="33" t="n">
        <v>3751.556764000024</v>
      </c>
      <c r="LU12" s="33" t="n">
        <v>3738.064830222246</v>
      </c>
      <c r="LV12" s="33" t="n">
        <v>3724.572896444468</v>
      </c>
      <c r="LW12" s="33" t="n">
        <v>3711.080962666691</v>
      </c>
      <c r="LX12" s="33" t="n">
        <v>3697.589028888913</v>
      </c>
      <c r="LY12" s="33" t="n">
        <v>3684.097095111135</v>
      </c>
      <c r="LZ12" s="33" t="n">
        <v>3670.605161333357</v>
      </c>
      <c r="MA12" s="33" t="n">
        <v>3657.113227555579</v>
      </c>
      <c r="MB12" s="33" t="n">
        <v>3643.621293777801</v>
      </c>
      <c r="MC12" s="33" t="n">
        <v>3630.129360000024</v>
      </c>
      <c r="MD12" s="33" t="n">
        <v>3616.637426222246</v>
      </c>
      <c r="ME12" s="33" t="n">
        <v>3603.145492444468</v>
      </c>
      <c r="MF12" s="33" t="n">
        <v>3589.65355866669</v>
      </c>
      <c r="MG12" s="33" t="n">
        <v>3576.161624888912</v>
      </c>
      <c r="MH12" s="33" t="n">
        <v>3562.669691111134</v>
      </c>
      <c r="MI12" s="33" t="n">
        <v>3549.177757333357</v>
      </c>
      <c r="MJ12" s="33" t="n">
        <v>3535.685823555579</v>
      </c>
      <c r="MK12" s="33" t="n">
        <v>3522.193889777801</v>
      </c>
      <c r="ML12" s="33" t="n">
        <v>3508.701956000023</v>
      </c>
      <c r="MM12" s="33" t="n">
        <v>3495.210022222245</v>
      </c>
      <c r="MN12" s="33" t="n">
        <v>3481.718088444467</v>
      </c>
      <c r="MO12" s="33" t="n">
        <v>3468.22615466669</v>
      </c>
      <c r="MP12" s="33" t="n">
        <v>3454.734220888912</v>
      </c>
      <c r="MQ12" s="33" t="n">
        <v>3441.242287111134</v>
      </c>
      <c r="MR12" s="33" t="n">
        <v>3427.750353333357</v>
      </c>
      <c r="MS12" s="33" t="n">
        <v>3414.258419555579</v>
      </c>
      <c r="MT12" s="33" t="n">
        <v>3400.766485777801</v>
      </c>
      <c r="MU12" s="33" t="n">
        <v>3387.274552000023</v>
      </c>
      <c r="MV12" s="33" t="n">
        <v>3373.782618222245</v>
      </c>
      <c r="MW12" s="33" t="n">
        <v>3360.290684444468</v>
      </c>
      <c r="MX12" s="33" t="n">
        <v>3346.79875066669</v>
      </c>
      <c r="MY12" s="33" t="n">
        <v>3333.306816888912</v>
      </c>
      <c r="MZ12" s="33" t="n">
        <v>3319.814883111134</v>
      </c>
      <c r="NA12" s="33" t="n">
        <v>3306.322949333357</v>
      </c>
      <c r="NB12" s="33" t="n">
        <v>3292.831015555579</v>
      </c>
      <c r="NC12" s="33" t="n">
        <v>3279.339081777801</v>
      </c>
      <c r="ND12" s="33" t="n">
        <v>3265.847148000023</v>
      </c>
      <c r="NE12" s="33" t="n">
        <v>3252.355214222246</v>
      </c>
      <c r="NF12" s="33" t="n">
        <v>3238.863280444468</v>
      </c>
      <c r="NG12" s="33" t="n">
        <v>3225.37134666669</v>
      </c>
      <c r="NH12" s="33" t="n">
        <v>3211.879412888912</v>
      </c>
      <c r="NI12" s="33" t="n">
        <v>3198.387479111135</v>
      </c>
      <c r="NJ12" s="33" t="n">
        <v>3184.895545333357</v>
      </c>
      <c r="NK12" s="33" t="n">
        <v>3171.403611555579</v>
      </c>
      <c r="NL12" s="33" t="n">
        <v>3157.911677777801</v>
      </c>
      <c r="NM12" s="33" t="n">
        <v>3144.419744000023</v>
      </c>
      <c r="NN12" s="33" t="n">
        <v>3130.927810222246</v>
      </c>
      <c r="NO12" s="33" t="n">
        <v>3117.435876444468</v>
      </c>
      <c r="NP12" s="33" t="n">
        <v>3103.94394266669</v>
      </c>
      <c r="NQ12" s="33" t="n">
        <v>3090.452008888913</v>
      </c>
      <c r="NR12" s="33" t="n">
        <v>3076.960075111135</v>
      </c>
      <c r="NS12" s="33" t="n">
        <v>3063.468141333357</v>
      </c>
      <c r="NT12" s="33" t="n">
        <v>3049.976207555579</v>
      </c>
      <c r="NU12" s="33" t="n">
        <v>3036.484273777801</v>
      </c>
      <c r="NV12" s="33" t="n">
        <v>3022.992340000023</v>
      </c>
      <c r="NW12" s="33" t="n">
        <v>3009.500406222246</v>
      </c>
      <c r="NX12" s="33" t="n">
        <v>2996.008472444468</v>
      </c>
      <c r="NY12" s="33" t="n">
        <v>2982.51653866669</v>
      </c>
      <c r="NZ12" s="33" t="n">
        <v>2969.024604888913</v>
      </c>
      <c r="OA12" s="33" t="n">
        <v>2955.532671111135</v>
      </c>
      <c r="OB12" s="33" t="n">
        <v>2942.040737333357</v>
      </c>
      <c r="OC12" s="33" t="n">
        <v>2928.548803555579</v>
      </c>
      <c r="OD12" s="33" t="n">
        <v>2915.056869777801</v>
      </c>
      <c r="OE12" s="33" t="n">
        <v>2901.564936000023</v>
      </c>
      <c r="OF12" s="33" t="n">
        <v>2888.073002222246</v>
      </c>
      <c r="OG12" s="33" t="n">
        <v>2874.581068444468</v>
      </c>
      <c r="OH12" s="33" t="n">
        <v>2861.08913466669</v>
      </c>
      <c r="OI12" s="33" t="n">
        <v>2847.597200888913</v>
      </c>
      <c r="OJ12" s="33" t="n">
        <v>2834.105267111135</v>
      </c>
      <c r="OK12" s="33" t="n">
        <v>4.966748216853982e-09</v>
      </c>
      <c r="OL12" s="33" t="n">
        <v>0</v>
      </c>
      <c r="OM12" s="33" t="n">
        <v>0</v>
      </c>
      <c r="ON12" s="33" t="n">
        <v>0</v>
      </c>
      <c r="OO12" s="33" t="n">
        <v>0</v>
      </c>
      <c r="OP12" s="33" t="n">
        <v>0</v>
      </c>
      <c r="OQ12" s="33" t="n">
        <v>0</v>
      </c>
      <c r="OR12" s="33" t="n">
        <v>0</v>
      </c>
      <c r="OS12" s="33" t="n">
        <v>0</v>
      </c>
      <c r="OT12" s="33" t="n">
        <v>0</v>
      </c>
      <c r="OU12" s="33" t="n">
        <v>0</v>
      </c>
      <c r="OV12" s="33" t="n">
        <v>0</v>
      </c>
      <c r="OW12" s="33" t="n">
        <v>0</v>
      </c>
      <c r="OX12" s="33" t="n">
        <v>0</v>
      </c>
      <c r="OY12" s="33" t="n">
        <v>0</v>
      </c>
      <c r="OZ12" s="33" t="n">
        <v>0</v>
      </c>
      <c r="PA12" s="33" t="n">
        <v>0</v>
      </c>
      <c r="PB12" s="33" t="n">
        <v>0</v>
      </c>
      <c r="PC12" s="33" t="n">
        <v>0</v>
      </c>
      <c r="PD12" s="33" t="n">
        <v>0</v>
      </c>
      <c r="PE12" s="33" t="n">
        <v>0</v>
      </c>
      <c r="PF12" s="33" t="n">
        <v>0</v>
      </c>
      <c r="PG12" s="33" t="n">
        <v>0</v>
      </c>
      <c r="PH12" s="33" t="n">
        <v>0</v>
      </c>
      <c r="PI12" s="33" t="n">
        <v>0</v>
      </c>
      <c r="PJ12" s="33" t="n">
        <v>0</v>
      </c>
      <c r="PK12" s="33" t="n">
        <v>0</v>
      </c>
      <c r="PL12" s="33" t="n">
        <v>0</v>
      </c>
      <c r="PM12" s="33" t="n">
        <v>0</v>
      </c>
      <c r="PN12" s="33" t="n">
        <v>0</v>
      </c>
      <c r="PO12" s="33" t="n">
        <v>0</v>
      </c>
      <c r="PP12" s="33" t="n">
        <v>0</v>
      </c>
      <c r="PQ12" s="33" t="n">
        <v>0</v>
      </c>
      <c r="PR12" s="33" t="n">
        <v>0</v>
      </c>
      <c r="PS12" s="33" t="n">
        <v>0</v>
      </c>
      <c r="PT12" s="33" t="n">
        <v>0</v>
      </c>
      <c r="PU12" s="33" t="n">
        <v>0</v>
      </c>
      <c r="PV12" s="33" t="n">
        <v>0</v>
      </c>
      <c r="PW12" s="33" t="n">
        <v>0</v>
      </c>
      <c r="PX12" s="33" t="n">
        <v>0</v>
      </c>
      <c r="PY12" s="33" t="n">
        <v>0</v>
      </c>
      <c r="PZ12" s="33" t="n">
        <v>0</v>
      </c>
      <c r="QA12" s="33" t="n">
        <v>0</v>
      </c>
      <c r="QB12" s="33" t="n">
        <v>0</v>
      </c>
      <c r="QC12" s="33" t="n">
        <v>0</v>
      </c>
      <c r="QD12" s="33" t="n">
        <v>0</v>
      </c>
      <c r="QE12" s="33" t="n">
        <v>0</v>
      </c>
      <c r="QF12" s="33" t="n">
        <v>0</v>
      </c>
      <c r="QG12" s="33" t="n">
        <v>0</v>
      </c>
      <c r="QH12" s="33" t="n">
        <v>0</v>
      </c>
      <c r="QI12" s="33" t="n">
        <v>0</v>
      </c>
      <c r="QJ12" s="33" t="n">
        <v>0</v>
      </c>
      <c r="QK12" s="33" t="n">
        <v>0</v>
      </c>
      <c r="QL12" s="33" t="n">
        <v>0</v>
      </c>
      <c r="QM12" s="33" t="n">
        <v>0</v>
      </c>
      <c r="QN12" s="33" t="n">
        <v>0</v>
      </c>
      <c r="QO12" s="33" t="n">
        <v>0</v>
      </c>
      <c r="QP12" s="33" t="n">
        <v>0</v>
      </c>
      <c r="QQ12" s="33" t="n">
        <v>0</v>
      </c>
      <c r="QR12" s="33" t="n">
        <v>0</v>
      </c>
      <c r="QS12" s="33" t="n">
        <v>0</v>
      </c>
      <c r="QT12" s="33" t="n">
        <v>0</v>
      </c>
      <c r="QU12" s="33" t="n">
        <v>0</v>
      </c>
      <c r="QV12" s="33" t="n">
        <v>0</v>
      </c>
      <c r="QW12" s="33" t="n">
        <v>0</v>
      </c>
      <c r="QX12" s="33" t="n">
        <v>0</v>
      </c>
      <c r="QY12" s="33" t="n">
        <v>0</v>
      </c>
      <c r="QZ12" s="33" t="n">
        <v>0</v>
      </c>
      <c r="RA12" s="33" t="n">
        <v>0</v>
      </c>
      <c r="RB12" s="33" t="n">
        <v>0</v>
      </c>
      <c r="RC12" s="33" t="n">
        <v>0</v>
      </c>
      <c r="RD12" s="33" t="n">
        <v>0</v>
      </c>
      <c r="RE12" s="33" t="n">
        <v>0</v>
      </c>
      <c r="RF12" s="33" t="n">
        <v>0</v>
      </c>
      <c r="RG12" s="33" t="n">
        <v>0</v>
      </c>
      <c r="RH12" s="33" t="n">
        <v>0</v>
      </c>
      <c r="RI12" s="33" t="n">
        <v>0</v>
      </c>
      <c r="RJ12" s="33" t="n">
        <v>0</v>
      </c>
      <c r="RK12" s="33" t="n">
        <v>0</v>
      </c>
      <c r="RL12" s="33" t="n">
        <v>0</v>
      </c>
      <c r="RM12" s="33" t="n">
        <v>0</v>
      </c>
      <c r="RN12" s="33" t="n">
        <v>0</v>
      </c>
      <c r="RO12" s="33" t="n">
        <v>0</v>
      </c>
      <c r="RP12" s="33" t="n">
        <v>0</v>
      </c>
      <c r="RQ12" s="33" t="n">
        <v>0</v>
      </c>
      <c r="RR12" s="33" t="n">
        <v>0</v>
      </c>
      <c r="RS12" s="33" t="n">
        <v>0</v>
      </c>
      <c r="RT12" s="33" t="n">
        <v>0</v>
      </c>
      <c r="RU12" s="33" t="n">
        <v>0</v>
      </c>
      <c r="RV12" s="33" t="n">
        <v>0</v>
      </c>
      <c r="RW12" s="33" t="n">
        <v>0</v>
      </c>
    </row>
    <row r="13" hidden="1" outlineLevel="1" ht="13.05" customHeight="1">
      <c r="E13" s="25" t="inlineStr">
        <is>
          <t>DSCR (annual)</t>
        </is>
      </c>
      <c r="F13" s="26" t="n"/>
      <c r="G13" s="26" t="inlineStr">
        <is>
          <t>x</t>
        </is>
      </c>
      <c r="H13" s="26" t="n"/>
      <c r="I13" s="26" t="n"/>
      <c r="J13" s="44" t="n">
        <v>0</v>
      </c>
      <c r="K13" s="26" t="n"/>
      <c r="L13" s="45" t="inlineStr"/>
      <c r="M13" s="45" t="inlineStr"/>
      <c r="N13" s="45" t="inlineStr"/>
      <c r="O13" s="45" t="inlineStr"/>
      <c r="P13" s="45" t="inlineStr"/>
      <c r="Q13" s="45" t="inlineStr"/>
      <c r="R13" s="45" t="inlineStr"/>
      <c r="S13" s="45" t="inlineStr"/>
      <c r="T13" s="45" t="inlineStr"/>
      <c r="U13" s="45" t="inlineStr"/>
      <c r="V13" s="45" t="inlineStr"/>
      <c r="W13" s="45" t="inlineStr"/>
      <c r="X13" s="45" t="inlineStr"/>
      <c r="Y13" s="45" t="inlineStr"/>
      <c r="Z13" s="45" t="inlineStr"/>
      <c r="AA13" s="45" t="inlineStr"/>
      <c r="AB13" s="45" t="inlineStr"/>
      <c r="AC13" s="45" t="inlineStr"/>
      <c r="AD13" s="45" t="inlineStr"/>
      <c r="AE13" s="45" t="inlineStr"/>
      <c r="AF13" s="45" t="inlineStr"/>
      <c r="AG13" s="45" t="inlineStr"/>
      <c r="AH13" s="45" t="inlineStr"/>
      <c r="AI13" s="45" t="inlineStr"/>
      <c r="AJ13" s="45" t="inlineStr"/>
      <c r="AK13" s="45" t="inlineStr"/>
      <c r="AL13" s="45" t="inlineStr"/>
      <c r="AM13" s="45" t="inlineStr"/>
      <c r="AN13" s="45" t="inlineStr"/>
      <c r="AO13" s="45" t="inlineStr"/>
      <c r="AP13" s="45" t="inlineStr"/>
      <c r="AQ13" s="45" t="inlineStr"/>
      <c r="AR13" s="45" t="inlineStr"/>
      <c r="AS13" s="45" t="inlineStr"/>
      <c r="AT13" s="45" t="inlineStr"/>
      <c r="AU13" s="45" t="inlineStr"/>
      <c r="AV13" s="45" t="inlineStr"/>
      <c r="AW13" s="45" t="inlineStr"/>
      <c r="AX13" s="45" t="inlineStr"/>
      <c r="AY13" s="45" t="inlineStr"/>
      <c r="AZ13" s="45" t="inlineStr"/>
      <c r="BA13" s="45" t="inlineStr"/>
      <c r="BB13" s="45" t="inlineStr"/>
      <c r="BC13" s="45" t="inlineStr"/>
      <c r="BD13" s="45" t="inlineStr"/>
      <c r="BE13" s="45" t="inlineStr"/>
      <c r="BF13" s="45" t="inlineStr"/>
      <c r="BG13" s="45" t="inlineStr"/>
      <c r="BH13" s="45" t="inlineStr"/>
      <c r="BI13" s="45" t="inlineStr"/>
      <c r="BJ13" s="45" t="inlineStr"/>
      <c r="BK13" s="45" t="inlineStr"/>
      <c r="BL13" s="45" t="inlineStr"/>
      <c r="BM13" s="45" t="inlineStr"/>
      <c r="BN13" s="45" t="inlineStr"/>
      <c r="BO13" s="45" t="inlineStr"/>
      <c r="BP13" s="45" t="inlineStr"/>
      <c r="BQ13" s="45" t="inlineStr"/>
      <c r="BR13" s="45" t="inlineStr"/>
      <c r="BS13" s="45" t="inlineStr"/>
      <c r="BT13" s="45" t="inlineStr"/>
      <c r="BU13" s="45" t="inlineStr"/>
      <c r="BV13" s="45" t="inlineStr"/>
      <c r="BW13" s="45" t="inlineStr"/>
      <c r="BX13" s="45" t="inlineStr"/>
      <c r="BY13" s="45" t="inlineStr"/>
      <c r="BZ13" s="45" t="inlineStr"/>
      <c r="CA13" s="45" t="inlineStr"/>
      <c r="CB13" s="45" t="inlineStr"/>
      <c r="CC13" s="45" t="inlineStr"/>
      <c r="CD13" s="45" t="inlineStr"/>
      <c r="CE13" s="45" t="inlineStr"/>
      <c r="CF13" s="45" t="inlineStr"/>
      <c r="CG13" s="45" t="inlineStr"/>
      <c r="CH13" s="45" t="inlineStr"/>
      <c r="CI13" s="45" t="inlineStr"/>
      <c r="CJ13" s="45" t="inlineStr"/>
      <c r="CK13" s="45" t="inlineStr"/>
      <c r="CL13" s="45" t="inlineStr"/>
      <c r="CM13" s="45" t="inlineStr"/>
      <c r="CN13" s="45" t="inlineStr"/>
      <c r="CO13" s="45" t="inlineStr"/>
      <c r="CP13" s="45" t="inlineStr"/>
      <c r="CQ13" s="45" t="inlineStr"/>
      <c r="CR13" s="45" t="inlineStr"/>
      <c r="CS13" s="45" t="inlineStr"/>
      <c r="CT13" s="45" t="inlineStr"/>
      <c r="CU13" s="45" t="inlineStr"/>
      <c r="CV13" s="45" t="inlineStr"/>
      <c r="CW13" s="45" t="inlineStr"/>
      <c r="CX13" s="45" t="inlineStr"/>
      <c r="CY13" s="45" t="inlineStr"/>
      <c r="CZ13" s="45" t="inlineStr"/>
      <c r="DA13" s="45" t="inlineStr"/>
      <c r="DB13" s="45" t="inlineStr"/>
      <c r="DC13" s="45" t="inlineStr"/>
      <c r="DD13" s="45" t="inlineStr"/>
      <c r="DE13" s="45" t="inlineStr"/>
      <c r="DF13" s="45" t="inlineStr"/>
      <c r="DG13" s="45" t="inlineStr"/>
      <c r="DH13" s="45" t="inlineStr"/>
      <c r="DI13" s="45" t="inlineStr"/>
      <c r="DJ13" s="45" t="inlineStr"/>
      <c r="DK13" s="45" t="inlineStr"/>
      <c r="DL13" s="45" t="inlineStr"/>
      <c r="DM13" s="45" t="inlineStr"/>
      <c r="DN13" s="45" t="inlineStr"/>
      <c r="DO13" s="45" t="inlineStr"/>
      <c r="DP13" s="45" t="inlineStr"/>
      <c r="DQ13" s="45" t="inlineStr"/>
      <c r="DR13" s="45" t="inlineStr"/>
      <c r="DS13" s="45" t="inlineStr"/>
      <c r="DT13" s="45" t="inlineStr"/>
      <c r="DU13" s="45" t="inlineStr"/>
      <c r="DV13" s="45" t="inlineStr"/>
      <c r="DW13" s="45" t="inlineStr"/>
      <c r="DX13" s="45" t="inlineStr"/>
      <c r="DY13" s="45" t="inlineStr"/>
      <c r="DZ13" s="45" t="inlineStr"/>
      <c r="EA13" s="45" t="inlineStr"/>
      <c r="EB13" s="45" t="inlineStr"/>
      <c r="EC13" s="45" t="inlineStr"/>
      <c r="ED13" s="45" t="inlineStr"/>
      <c r="EE13" s="45" t="inlineStr"/>
      <c r="EF13" s="45" t="inlineStr"/>
      <c r="EG13" s="45" t="inlineStr"/>
      <c r="EH13" s="45" t="inlineStr"/>
      <c r="EI13" s="45" t="inlineStr"/>
      <c r="EJ13" s="45" t="inlineStr"/>
      <c r="EK13" s="45" t="inlineStr"/>
      <c r="EL13" s="45" t="inlineStr"/>
      <c r="EM13" s="45" t="inlineStr"/>
      <c r="EN13" s="45" t="inlineStr"/>
      <c r="EO13" s="45" t="inlineStr"/>
      <c r="EP13" s="45" t="inlineStr"/>
      <c r="EQ13" s="45" t="inlineStr"/>
      <c r="ER13" s="45" t="inlineStr"/>
      <c r="ES13" s="45" t="inlineStr"/>
      <c r="ET13" s="45" t="inlineStr"/>
      <c r="EU13" s="45" t="inlineStr"/>
      <c r="EV13" s="45" t="inlineStr"/>
      <c r="EW13" s="45" t="inlineStr"/>
      <c r="EX13" s="45" t="inlineStr"/>
      <c r="EY13" s="45" t="inlineStr"/>
      <c r="EZ13" s="45" t="inlineStr"/>
      <c r="FA13" s="45" t="inlineStr"/>
      <c r="FB13" s="45" t="inlineStr"/>
      <c r="FC13" s="45" t="inlineStr"/>
      <c r="FD13" s="45" t="inlineStr"/>
      <c r="FE13" s="45" t="inlineStr"/>
      <c r="FF13" s="45" t="inlineStr"/>
      <c r="FG13" s="45" t="inlineStr"/>
      <c r="FH13" s="45" t="inlineStr"/>
      <c r="FI13" s="45" t="inlineStr"/>
      <c r="FJ13" s="45" t="inlineStr"/>
      <c r="FK13" s="45" t="inlineStr"/>
      <c r="FL13" s="45" t="inlineStr"/>
      <c r="FM13" s="45" t="inlineStr"/>
      <c r="FN13" s="45" t="inlineStr"/>
      <c r="FO13" s="45" t="inlineStr"/>
      <c r="FP13" s="45" t="inlineStr"/>
      <c r="FQ13" s="45" t="inlineStr"/>
      <c r="FR13" s="45" t="inlineStr"/>
      <c r="FS13" s="45" t="inlineStr"/>
      <c r="FT13" s="45" t="inlineStr"/>
      <c r="FU13" s="45" t="inlineStr"/>
      <c r="FV13" s="45" t="inlineStr"/>
      <c r="FW13" s="45" t="inlineStr"/>
      <c r="FX13" s="45" t="inlineStr"/>
      <c r="FY13" s="45" t="inlineStr"/>
      <c r="FZ13" s="45" t="inlineStr"/>
      <c r="GA13" s="45" t="inlineStr"/>
      <c r="GB13" s="45" t="inlineStr"/>
      <c r="GC13" s="45" t="inlineStr"/>
      <c r="GD13" s="45" t="inlineStr"/>
      <c r="GE13" s="45" t="inlineStr"/>
      <c r="GF13" s="45" t="inlineStr"/>
      <c r="GG13" s="45" t="inlineStr"/>
      <c r="GH13" s="45" t="inlineStr"/>
      <c r="GI13" s="45" t="inlineStr"/>
      <c r="GJ13" s="45" t="inlineStr"/>
      <c r="GK13" s="45" t="inlineStr"/>
      <c r="GL13" s="45" t="inlineStr"/>
      <c r="GM13" s="45" t="inlineStr"/>
      <c r="GN13" s="45" t="inlineStr"/>
      <c r="GO13" s="45" t="inlineStr"/>
      <c r="GP13" s="45" t="inlineStr"/>
      <c r="GQ13" s="45" t="inlineStr"/>
      <c r="GR13" s="45" t="inlineStr"/>
      <c r="GS13" s="45" t="inlineStr"/>
      <c r="GT13" s="45" t="inlineStr"/>
      <c r="GU13" s="45" t="inlineStr"/>
      <c r="GV13" s="45" t="inlineStr"/>
      <c r="GW13" s="45" t="inlineStr"/>
      <c r="GX13" s="45" t="inlineStr"/>
      <c r="GY13" s="45" t="inlineStr"/>
      <c r="GZ13" s="45" t="inlineStr"/>
      <c r="HA13" s="45" t="inlineStr"/>
      <c r="HB13" s="45" t="inlineStr"/>
      <c r="HC13" s="45" t="inlineStr"/>
      <c r="HD13" s="45" t="inlineStr"/>
      <c r="HE13" s="45" t="inlineStr"/>
      <c r="HF13" s="45" t="inlineStr"/>
      <c r="HG13" s="45" t="inlineStr"/>
      <c r="HH13" s="45" t="inlineStr"/>
      <c r="HI13" s="45" t="inlineStr"/>
      <c r="HJ13" s="45" t="inlineStr"/>
      <c r="HK13" s="45" t="inlineStr"/>
      <c r="HL13" s="45" t="inlineStr"/>
      <c r="HM13" s="45" t="inlineStr"/>
      <c r="HN13" s="45" t="inlineStr"/>
      <c r="HO13" s="45" t="inlineStr"/>
      <c r="HP13" s="45" t="inlineStr"/>
      <c r="HQ13" s="45" t="inlineStr"/>
      <c r="HR13" s="45" t="inlineStr"/>
      <c r="HS13" s="45" t="inlineStr"/>
      <c r="HT13" s="45" t="inlineStr"/>
      <c r="HU13" s="45" t="inlineStr"/>
      <c r="HV13" s="45" t="inlineStr"/>
      <c r="HW13" s="45" t="inlineStr"/>
      <c r="HX13" s="45" t="inlineStr"/>
      <c r="HY13" s="45" t="inlineStr"/>
      <c r="HZ13" s="45" t="inlineStr"/>
      <c r="IA13" s="45" t="inlineStr"/>
      <c r="IB13" s="45" t="inlineStr"/>
      <c r="IC13" s="45" t="inlineStr"/>
      <c r="ID13" s="45" t="inlineStr"/>
      <c r="IE13" s="45" t="inlineStr"/>
      <c r="IF13" s="45" t="inlineStr"/>
      <c r="IG13" s="45" t="inlineStr"/>
      <c r="IH13" s="45" t="inlineStr"/>
      <c r="II13" s="45" t="inlineStr"/>
      <c r="IJ13" s="45" t="inlineStr"/>
      <c r="IK13" s="45" t="inlineStr"/>
      <c r="IL13" s="45" t="inlineStr"/>
      <c r="IM13" s="45" t="inlineStr"/>
      <c r="IN13" s="45" t="inlineStr"/>
      <c r="IO13" s="45" t="inlineStr"/>
      <c r="IP13" s="45" t="inlineStr"/>
      <c r="IQ13" s="45" t="inlineStr"/>
      <c r="IR13" s="45" t="inlineStr"/>
      <c r="IS13" s="45" t="inlineStr"/>
      <c r="IT13" s="45" t="inlineStr"/>
      <c r="IU13" s="45" t="inlineStr"/>
      <c r="IV13" s="45" t="inlineStr"/>
      <c r="IW13" s="45" t="inlineStr"/>
      <c r="IX13" s="45" t="inlineStr"/>
      <c r="IY13" s="45" t="inlineStr"/>
      <c r="IZ13" s="45" t="inlineStr"/>
      <c r="JA13" s="45" t="inlineStr"/>
      <c r="JB13" s="45" t="inlineStr"/>
      <c r="JC13" s="45" t="inlineStr"/>
      <c r="JD13" s="45" t="inlineStr"/>
      <c r="JE13" s="45" t="inlineStr"/>
      <c r="JF13" s="45" t="inlineStr"/>
      <c r="JG13" s="45" t="inlineStr"/>
      <c r="JH13" s="45" t="inlineStr"/>
      <c r="JI13" s="45" t="inlineStr"/>
      <c r="JJ13" s="45" t="inlineStr"/>
      <c r="JK13" s="45" t="inlineStr"/>
      <c r="JL13" s="45" t="inlineStr"/>
      <c r="JM13" s="45" t="inlineStr"/>
      <c r="JN13" s="45" t="inlineStr"/>
      <c r="JO13" s="45" t="inlineStr"/>
      <c r="JP13" s="45" t="inlineStr"/>
      <c r="JQ13" s="45" t="inlineStr"/>
      <c r="JR13" s="45" t="inlineStr"/>
      <c r="JS13" s="45" t="inlineStr"/>
      <c r="JT13" s="45" t="inlineStr"/>
      <c r="JU13" s="45" t="inlineStr"/>
      <c r="JV13" s="45" t="inlineStr"/>
      <c r="JW13" s="45" t="inlineStr"/>
      <c r="JX13" s="45" t="inlineStr"/>
      <c r="JY13" s="45" t="inlineStr"/>
      <c r="JZ13" s="45" t="inlineStr"/>
      <c r="KA13" s="45" t="inlineStr"/>
      <c r="KB13" s="45" t="inlineStr"/>
      <c r="KC13" s="45" t="inlineStr"/>
      <c r="KD13" s="45" t="inlineStr"/>
      <c r="KE13" s="45" t="inlineStr"/>
      <c r="KF13" s="45" t="inlineStr"/>
      <c r="KG13" s="45" t="inlineStr"/>
      <c r="KH13" s="45" t="inlineStr"/>
      <c r="KI13" s="45" t="inlineStr"/>
      <c r="KJ13" s="45" t="inlineStr"/>
      <c r="KK13" s="45" t="inlineStr"/>
      <c r="KL13" s="45" t="inlineStr"/>
      <c r="KM13" s="45" t="inlineStr"/>
      <c r="KN13" s="45" t="inlineStr"/>
      <c r="KO13" s="45" t="inlineStr"/>
      <c r="KP13" s="45" t="inlineStr"/>
      <c r="KQ13" s="45" t="inlineStr"/>
      <c r="KR13" s="45" t="inlineStr"/>
      <c r="KS13" s="45" t="inlineStr"/>
      <c r="KT13" s="45" t="inlineStr"/>
      <c r="KU13" s="45" t="inlineStr"/>
      <c r="KV13" s="45" t="inlineStr"/>
      <c r="KW13" s="45" t="inlineStr"/>
      <c r="KX13" s="45" t="inlineStr"/>
      <c r="KY13" s="45" t="inlineStr"/>
      <c r="KZ13" s="45" t="inlineStr"/>
      <c r="LA13" s="45" t="inlineStr"/>
      <c r="LB13" s="45" t="inlineStr"/>
      <c r="LC13" s="45" t="inlineStr"/>
      <c r="LD13" s="45" t="inlineStr"/>
      <c r="LE13" s="45" t="inlineStr"/>
      <c r="LF13" s="45" t="inlineStr"/>
      <c r="LG13" s="45" t="inlineStr"/>
      <c r="LH13" s="45" t="inlineStr"/>
      <c r="LI13" s="45" t="inlineStr"/>
      <c r="LJ13" s="45" t="inlineStr"/>
      <c r="LK13" s="45" t="inlineStr"/>
      <c r="LL13" s="45" t="inlineStr"/>
      <c r="LM13" s="45" t="inlineStr"/>
      <c r="LN13" s="45" t="inlineStr"/>
      <c r="LO13" s="45" t="inlineStr"/>
      <c r="LP13" s="45" t="inlineStr"/>
      <c r="LQ13" s="45" t="inlineStr"/>
      <c r="LR13" s="45" t="inlineStr"/>
      <c r="LS13" s="45" t="inlineStr"/>
      <c r="LT13" s="45" t="inlineStr"/>
      <c r="LU13" s="45" t="inlineStr"/>
      <c r="LV13" s="45" t="inlineStr"/>
      <c r="LW13" s="45" t="inlineStr"/>
      <c r="LX13" s="45" t="inlineStr"/>
      <c r="LY13" s="45" t="inlineStr"/>
      <c r="LZ13" s="45" t="inlineStr"/>
      <c r="MA13" s="45" t="inlineStr"/>
      <c r="MB13" s="45" t="inlineStr"/>
      <c r="MC13" s="45" t="inlineStr"/>
      <c r="MD13" s="45" t="inlineStr"/>
      <c r="ME13" s="45" t="inlineStr"/>
      <c r="MF13" s="45" t="inlineStr"/>
      <c r="MG13" s="45" t="inlineStr"/>
      <c r="MH13" s="45" t="inlineStr"/>
      <c r="MI13" s="45" t="inlineStr"/>
      <c r="MJ13" s="45" t="inlineStr"/>
      <c r="MK13" s="45" t="inlineStr"/>
      <c r="ML13" s="45" t="inlineStr"/>
      <c r="MM13" s="45" t="inlineStr"/>
      <c r="MN13" s="45" t="inlineStr"/>
      <c r="MO13" s="45" t="inlineStr"/>
      <c r="MP13" s="45" t="inlineStr"/>
      <c r="MQ13" s="45" t="inlineStr"/>
      <c r="MR13" s="45" t="inlineStr"/>
      <c r="MS13" s="45" t="inlineStr"/>
      <c r="MT13" s="45" t="inlineStr"/>
      <c r="MU13" s="45" t="inlineStr"/>
      <c r="MV13" s="45" t="inlineStr"/>
      <c r="MW13" s="45" t="inlineStr"/>
      <c r="MX13" s="45" t="inlineStr"/>
      <c r="MY13" s="45" t="inlineStr"/>
      <c r="MZ13" s="45" t="inlineStr"/>
      <c r="NA13" s="45" t="inlineStr"/>
      <c r="NB13" s="45" t="inlineStr"/>
      <c r="NC13" s="45" t="inlineStr"/>
      <c r="ND13" s="45" t="inlineStr"/>
      <c r="NE13" s="45" t="inlineStr"/>
      <c r="NF13" s="45" t="inlineStr"/>
      <c r="NG13" s="45" t="inlineStr"/>
      <c r="NH13" s="45" t="inlineStr"/>
      <c r="NI13" s="45" t="inlineStr"/>
      <c r="NJ13" s="45" t="inlineStr"/>
      <c r="NK13" s="45" t="inlineStr"/>
      <c r="NL13" s="45" t="inlineStr"/>
      <c r="NM13" s="45" t="inlineStr"/>
      <c r="NN13" s="45" t="inlineStr"/>
      <c r="NO13" s="45" t="inlineStr"/>
      <c r="NP13" s="45" t="inlineStr"/>
      <c r="NQ13" s="45" t="inlineStr"/>
      <c r="NR13" s="45" t="inlineStr"/>
      <c r="NS13" s="45" t="inlineStr"/>
      <c r="NT13" s="45" t="inlineStr"/>
      <c r="NU13" s="45" t="inlineStr"/>
      <c r="NV13" s="45" t="inlineStr"/>
      <c r="NW13" s="45" t="inlineStr"/>
      <c r="NX13" s="45" t="inlineStr"/>
      <c r="NY13" s="45" t="inlineStr"/>
      <c r="NZ13" s="45" t="inlineStr"/>
      <c r="OA13" s="45" t="inlineStr"/>
      <c r="OB13" s="45" t="inlineStr"/>
      <c r="OC13" s="45" t="inlineStr"/>
      <c r="OD13" s="45" t="inlineStr"/>
      <c r="OE13" s="45" t="inlineStr"/>
      <c r="OF13" s="45" t="inlineStr"/>
      <c r="OG13" s="45" t="inlineStr"/>
      <c r="OH13" s="45" t="inlineStr"/>
      <c r="OI13" s="45" t="inlineStr"/>
      <c r="OJ13" s="45" t="inlineStr"/>
      <c r="OK13" s="45" t="inlineStr"/>
      <c r="OL13" s="45" t="inlineStr"/>
      <c r="OM13" s="45" t="inlineStr"/>
      <c r="ON13" s="45" t="inlineStr"/>
      <c r="OO13" s="45" t="inlineStr"/>
      <c r="OP13" s="45" t="inlineStr"/>
      <c r="OQ13" s="45" t="inlineStr"/>
      <c r="OR13" s="45" t="inlineStr"/>
      <c r="OS13" s="45" t="inlineStr"/>
      <c r="OT13" s="45" t="inlineStr"/>
      <c r="OU13" s="45" t="inlineStr"/>
      <c r="OV13" s="45" t="inlineStr"/>
      <c r="OW13" s="45" t="inlineStr"/>
      <c r="OX13" s="45" t="inlineStr"/>
      <c r="OY13" s="45" t="inlineStr"/>
      <c r="OZ13" s="45" t="inlineStr"/>
      <c r="PA13" s="45" t="inlineStr"/>
      <c r="PB13" s="45" t="inlineStr"/>
      <c r="PC13" s="45" t="inlineStr"/>
      <c r="PD13" s="45" t="inlineStr"/>
      <c r="PE13" s="45" t="inlineStr"/>
      <c r="PF13" s="45" t="inlineStr"/>
      <c r="PG13" s="45" t="inlineStr"/>
      <c r="PH13" s="45" t="inlineStr"/>
      <c r="PI13" s="45" t="inlineStr"/>
      <c r="PJ13" s="45" t="inlineStr"/>
      <c r="PK13" s="45" t="inlineStr"/>
      <c r="PL13" s="45" t="inlineStr"/>
      <c r="PM13" s="45" t="inlineStr"/>
      <c r="PN13" s="45" t="inlineStr"/>
      <c r="PO13" s="45" t="inlineStr"/>
      <c r="PP13" s="45" t="inlineStr"/>
      <c r="PQ13" s="45" t="inlineStr"/>
      <c r="PR13" s="45" t="inlineStr"/>
      <c r="PS13" s="45" t="inlineStr"/>
      <c r="PT13" s="45" t="inlineStr"/>
      <c r="PU13" s="45" t="inlineStr"/>
      <c r="PV13" s="45" t="inlineStr"/>
      <c r="PW13" s="45" t="inlineStr"/>
      <c r="PX13" s="45" t="inlineStr"/>
      <c r="PY13" s="45" t="inlineStr"/>
      <c r="PZ13" s="45" t="inlineStr"/>
      <c r="QA13" s="45" t="inlineStr"/>
      <c r="QB13" s="45" t="inlineStr"/>
      <c r="QC13" s="45" t="inlineStr"/>
      <c r="QD13" s="45" t="inlineStr"/>
      <c r="QE13" s="45" t="inlineStr"/>
      <c r="QF13" s="45" t="inlineStr"/>
      <c r="QG13" s="45" t="inlineStr"/>
      <c r="QH13" s="45" t="inlineStr"/>
      <c r="QI13" s="45" t="inlineStr"/>
      <c r="QJ13" s="45" t="inlineStr"/>
      <c r="QK13" s="45" t="inlineStr"/>
      <c r="QL13" s="45" t="inlineStr"/>
      <c r="QM13" s="45" t="inlineStr"/>
      <c r="QN13" s="45" t="inlineStr"/>
      <c r="QO13" s="45" t="inlineStr"/>
      <c r="QP13" s="45" t="inlineStr"/>
      <c r="QQ13" s="45" t="inlineStr"/>
      <c r="QR13" s="45" t="inlineStr"/>
      <c r="QS13" s="45" t="inlineStr"/>
      <c r="QT13" s="45" t="inlineStr"/>
      <c r="QU13" s="45" t="inlineStr"/>
      <c r="QV13" s="45" t="inlineStr"/>
      <c r="QW13" s="45" t="inlineStr"/>
      <c r="QX13" s="45" t="inlineStr"/>
      <c r="QY13" s="45" t="inlineStr"/>
      <c r="QZ13" s="45" t="inlineStr"/>
      <c r="RA13" s="45" t="inlineStr"/>
      <c r="RB13" s="45" t="inlineStr"/>
      <c r="RC13" s="45" t="inlineStr"/>
      <c r="RD13" s="45" t="inlineStr"/>
      <c r="RE13" s="45" t="inlineStr"/>
      <c r="RF13" s="45" t="inlineStr"/>
      <c r="RG13" s="45" t="inlineStr"/>
      <c r="RH13" s="45" t="inlineStr"/>
      <c r="RI13" s="45" t="inlineStr"/>
      <c r="RJ13" s="45" t="inlineStr"/>
      <c r="RK13" s="45" t="inlineStr"/>
      <c r="RL13" s="45" t="inlineStr"/>
      <c r="RM13" s="45" t="inlineStr"/>
      <c r="RN13" s="45" t="inlineStr"/>
      <c r="RO13" s="45" t="inlineStr"/>
      <c r="RP13" s="45" t="inlineStr"/>
      <c r="RQ13" s="45" t="inlineStr"/>
      <c r="RR13" s="45" t="inlineStr"/>
      <c r="RS13" s="45" t="inlineStr"/>
      <c r="RT13" s="45" t="inlineStr"/>
      <c r="RU13" s="45" t="inlineStr"/>
      <c r="RV13" s="45" t="inlineStr"/>
      <c r="RW13" s="45" t="inlineStr"/>
    </row>
    <row r="14" ht="13.05" customHeight="1">
      <c r="E14" s="21" t="inlineStr">
        <is>
          <t>DSCR Covenant (applicable)</t>
        </is>
      </c>
      <c r="F14" s="29" t="n"/>
      <c r="G14" s="29" t="inlineStr">
        <is>
          <t>kEUR</t>
        </is>
      </c>
      <c r="H14" s="29" t="n"/>
      <c r="I14" s="29" t="n"/>
      <c r="J14" s="46" t="n">
        <v>1.1</v>
      </c>
      <c r="K14" s="29" t="n"/>
      <c r="L14" s="47" t="n">
        <v>1.1</v>
      </c>
      <c r="M14" s="47" t="n">
        <v>1.1</v>
      </c>
      <c r="N14" s="47" t="n">
        <v>1.1</v>
      </c>
      <c r="O14" s="47" t="n">
        <v>1.1</v>
      </c>
      <c r="P14" s="47" t="n">
        <v>1.1</v>
      </c>
      <c r="Q14" s="47" t="n">
        <v>1.1</v>
      </c>
      <c r="R14" s="47" t="n">
        <v>1.1</v>
      </c>
      <c r="S14" s="47" t="n">
        <v>1.1</v>
      </c>
      <c r="T14" s="47" t="n">
        <v>1.1</v>
      </c>
      <c r="U14" s="47" t="n">
        <v>1.1</v>
      </c>
      <c r="V14" s="47" t="n">
        <v>1.1</v>
      </c>
      <c r="W14" s="47" t="n">
        <v>1.1</v>
      </c>
      <c r="X14" s="47" t="n">
        <v>1.1</v>
      </c>
      <c r="Y14" s="47" t="n">
        <v>1.1</v>
      </c>
      <c r="Z14" s="47" t="n">
        <v>1.1</v>
      </c>
      <c r="AA14" s="47" t="n">
        <v>1.1</v>
      </c>
      <c r="AB14" s="47" t="n">
        <v>1.1</v>
      </c>
      <c r="AC14" s="47" t="n">
        <v>1.1</v>
      </c>
      <c r="AD14" s="47" t="n">
        <v>1.1</v>
      </c>
      <c r="AE14" s="47" t="n">
        <v>1.1</v>
      </c>
      <c r="AF14" s="47" t="n">
        <v>1.1</v>
      </c>
      <c r="AG14" s="47" t="n">
        <v>1.1</v>
      </c>
      <c r="AH14" s="47" t="n">
        <v>1.1</v>
      </c>
      <c r="AI14" s="47" t="n">
        <v>1.1</v>
      </c>
      <c r="AJ14" s="47" t="n">
        <v>1.1</v>
      </c>
      <c r="AK14" s="47" t="n">
        <v>1.1</v>
      </c>
      <c r="AL14" s="47" t="n">
        <v>1.1</v>
      </c>
      <c r="AM14" s="47" t="n">
        <v>1.1</v>
      </c>
      <c r="AN14" s="47" t="n">
        <v>1.1</v>
      </c>
      <c r="AO14" s="47" t="n">
        <v>1.1</v>
      </c>
      <c r="AP14" s="47" t="n">
        <v>1.1</v>
      </c>
      <c r="AQ14" s="47" t="n">
        <v>1.1</v>
      </c>
      <c r="AR14" s="47" t="n">
        <v>1.1</v>
      </c>
      <c r="AS14" s="47" t="n">
        <v>1.1</v>
      </c>
      <c r="AT14" s="47" t="n">
        <v>1.1</v>
      </c>
      <c r="AU14" s="47" t="n">
        <v>1.1</v>
      </c>
      <c r="AV14" s="47" t="n">
        <v>1.1</v>
      </c>
      <c r="AW14" s="47" t="n">
        <v>1.1</v>
      </c>
      <c r="AX14" s="47" t="n">
        <v>1.1</v>
      </c>
      <c r="AY14" s="47" t="n">
        <v>1.1</v>
      </c>
      <c r="AZ14" s="47" t="n">
        <v>1.1</v>
      </c>
      <c r="BA14" s="47" t="n">
        <v>1.1</v>
      </c>
      <c r="BB14" s="47" t="n">
        <v>1.1</v>
      </c>
      <c r="BC14" s="47" t="n">
        <v>1.1</v>
      </c>
      <c r="BD14" s="47" t="n">
        <v>1.1</v>
      </c>
      <c r="BE14" s="47" t="n">
        <v>1.1</v>
      </c>
      <c r="BF14" s="47" t="n">
        <v>1.1</v>
      </c>
      <c r="BG14" s="47" t="n">
        <v>1.1</v>
      </c>
      <c r="BH14" s="47" t="n">
        <v>1.1</v>
      </c>
      <c r="BI14" s="47" t="n">
        <v>1.1</v>
      </c>
      <c r="BJ14" s="47" t="n">
        <v>1.1</v>
      </c>
      <c r="BK14" s="47" t="n">
        <v>1.1</v>
      </c>
      <c r="BL14" s="47" t="n">
        <v>1.1</v>
      </c>
      <c r="BM14" s="47" t="n">
        <v>1.1</v>
      </c>
      <c r="BN14" s="47" t="n">
        <v>1.1</v>
      </c>
      <c r="BO14" s="47" t="n">
        <v>1.1</v>
      </c>
      <c r="BP14" s="47" t="n">
        <v>1.1</v>
      </c>
      <c r="BQ14" s="47" t="n">
        <v>1.1</v>
      </c>
      <c r="BR14" s="47" t="n">
        <v>1.1</v>
      </c>
      <c r="BS14" s="47" t="n">
        <v>1.1</v>
      </c>
      <c r="BT14" s="47" t="n">
        <v>1.1</v>
      </c>
      <c r="BU14" s="47" t="n">
        <v>1.1</v>
      </c>
      <c r="BV14" s="47" t="n">
        <v>1.1</v>
      </c>
      <c r="BW14" s="47" t="n">
        <v>1.1</v>
      </c>
      <c r="BX14" s="47" t="n">
        <v>1.1</v>
      </c>
      <c r="BY14" s="47" t="n">
        <v>1.1</v>
      </c>
      <c r="BZ14" s="47" t="n">
        <v>1.1</v>
      </c>
      <c r="CA14" s="47" t="n">
        <v>1.1</v>
      </c>
      <c r="CB14" s="47" t="n">
        <v>1.1</v>
      </c>
      <c r="CC14" s="47" t="n">
        <v>1.1</v>
      </c>
      <c r="CD14" s="47" t="n">
        <v>1.1</v>
      </c>
      <c r="CE14" s="47" t="n">
        <v>1.1</v>
      </c>
      <c r="CF14" s="47" t="n">
        <v>1.1</v>
      </c>
      <c r="CG14" s="47" t="n">
        <v>1.1</v>
      </c>
      <c r="CH14" s="47" t="n">
        <v>1.1</v>
      </c>
      <c r="CI14" s="47" t="n">
        <v>1.1</v>
      </c>
      <c r="CJ14" s="47" t="n">
        <v>1.1</v>
      </c>
      <c r="CK14" s="47" t="n">
        <v>1.1</v>
      </c>
      <c r="CL14" s="47" t="n">
        <v>1.1</v>
      </c>
      <c r="CM14" s="47" t="n">
        <v>1.1</v>
      </c>
      <c r="CN14" s="47" t="n">
        <v>1.1</v>
      </c>
      <c r="CO14" s="47" t="n">
        <v>1.1</v>
      </c>
      <c r="CP14" s="47" t="n">
        <v>1.1</v>
      </c>
      <c r="CQ14" s="47" t="n">
        <v>1.1</v>
      </c>
      <c r="CR14" s="47" t="n">
        <v>1.1</v>
      </c>
      <c r="CS14" s="47" t="n">
        <v>1.1</v>
      </c>
      <c r="CT14" s="47" t="n">
        <v>1.1</v>
      </c>
      <c r="CU14" s="47" t="n">
        <v>1.1</v>
      </c>
      <c r="CV14" s="47" t="n">
        <v>1.1</v>
      </c>
      <c r="CW14" s="47" t="n">
        <v>1.1</v>
      </c>
      <c r="CX14" s="47" t="n">
        <v>1.1</v>
      </c>
      <c r="CY14" s="47" t="n">
        <v>1.1</v>
      </c>
      <c r="CZ14" s="47" t="n">
        <v>1.1</v>
      </c>
      <c r="DA14" s="47" t="n">
        <v>1.1</v>
      </c>
      <c r="DB14" s="47" t="n">
        <v>1.1</v>
      </c>
      <c r="DC14" s="47" t="n">
        <v>1.1</v>
      </c>
      <c r="DD14" s="47" t="n">
        <v>1.1</v>
      </c>
      <c r="DE14" s="47" t="n">
        <v>1.1</v>
      </c>
      <c r="DF14" s="47" t="n">
        <v>1.1</v>
      </c>
      <c r="DG14" s="47" t="n">
        <v>1.1</v>
      </c>
      <c r="DH14" s="47" t="n">
        <v>1.1</v>
      </c>
      <c r="DI14" s="47" t="n">
        <v>1.1</v>
      </c>
      <c r="DJ14" s="47" t="n">
        <v>1.1</v>
      </c>
      <c r="DK14" s="47" t="n">
        <v>1.1</v>
      </c>
      <c r="DL14" s="47" t="n">
        <v>1.1</v>
      </c>
      <c r="DM14" s="47" t="n">
        <v>1.1</v>
      </c>
      <c r="DN14" s="47" t="n">
        <v>1.1</v>
      </c>
      <c r="DO14" s="47" t="n">
        <v>1.1</v>
      </c>
      <c r="DP14" s="47" t="n">
        <v>1.1</v>
      </c>
      <c r="DQ14" s="47" t="n">
        <v>1.1</v>
      </c>
      <c r="DR14" s="47" t="n">
        <v>1.1</v>
      </c>
      <c r="DS14" s="47" t="n">
        <v>1.1</v>
      </c>
      <c r="DT14" s="47" t="n">
        <v>1.1</v>
      </c>
      <c r="DU14" s="47" t="n">
        <v>1.1</v>
      </c>
      <c r="DV14" s="47" t="n">
        <v>1.1</v>
      </c>
      <c r="DW14" s="47" t="n">
        <v>1.1</v>
      </c>
      <c r="DX14" s="47" t="n">
        <v>1.1</v>
      </c>
      <c r="DY14" s="47" t="n">
        <v>1.1</v>
      </c>
      <c r="DZ14" s="47" t="n">
        <v>1.1</v>
      </c>
      <c r="EA14" s="47" t="n">
        <v>1.1</v>
      </c>
      <c r="EB14" s="47" t="n">
        <v>1.1</v>
      </c>
      <c r="EC14" s="47" t="n">
        <v>1.1</v>
      </c>
      <c r="ED14" s="47" t="n">
        <v>1.1</v>
      </c>
      <c r="EE14" s="47" t="n">
        <v>1.1</v>
      </c>
      <c r="EF14" s="47" t="n">
        <v>1.1</v>
      </c>
      <c r="EG14" s="47" t="n">
        <v>1.1</v>
      </c>
      <c r="EH14" s="47" t="n">
        <v>1.1</v>
      </c>
      <c r="EI14" s="47" t="n">
        <v>1.1</v>
      </c>
      <c r="EJ14" s="47" t="n">
        <v>1.1</v>
      </c>
      <c r="EK14" s="47" t="n">
        <v>1.1</v>
      </c>
      <c r="EL14" s="47" t="n">
        <v>1.1</v>
      </c>
      <c r="EM14" s="47" t="n">
        <v>1.1</v>
      </c>
      <c r="EN14" s="47" t="n">
        <v>1.1</v>
      </c>
      <c r="EO14" s="47" t="n">
        <v>1.1</v>
      </c>
      <c r="EP14" s="47" t="n">
        <v>1.1</v>
      </c>
      <c r="EQ14" s="47" t="n">
        <v>1.1</v>
      </c>
      <c r="ER14" s="47" t="n">
        <v>1.1</v>
      </c>
      <c r="ES14" s="47" t="n">
        <v>1.1</v>
      </c>
      <c r="ET14" s="47" t="n">
        <v>1.1</v>
      </c>
      <c r="EU14" s="47" t="n">
        <v>1.1</v>
      </c>
      <c r="EV14" s="47" t="n">
        <v>1.1</v>
      </c>
      <c r="EW14" s="47" t="n">
        <v>1.1</v>
      </c>
      <c r="EX14" s="47" t="n">
        <v>1.1</v>
      </c>
      <c r="EY14" s="47" t="n">
        <v>1.1</v>
      </c>
      <c r="EZ14" s="47" t="n">
        <v>1.1</v>
      </c>
      <c r="FA14" s="47" t="n">
        <v>1.1</v>
      </c>
      <c r="FB14" s="47" t="n">
        <v>1.1</v>
      </c>
      <c r="FC14" s="47" t="n">
        <v>1.1</v>
      </c>
      <c r="FD14" s="47" t="n">
        <v>1.1</v>
      </c>
      <c r="FE14" s="47" t="n">
        <v>1.1</v>
      </c>
      <c r="FF14" s="47" t="n">
        <v>1.1</v>
      </c>
      <c r="FG14" s="47" t="n">
        <v>1.1</v>
      </c>
      <c r="FH14" s="47" t="n">
        <v>1.1</v>
      </c>
      <c r="FI14" s="47" t="n">
        <v>1.1</v>
      </c>
      <c r="FJ14" s="47" t="n">
        <v>1.1</v>
      </c>
      <c r="FK14" s="47" t="n">
        <v>1.1</v>
      </c>
      <c r="FL14" s="47" t="n">
        <v>1.1</v>
      </c>
      <c r="FM14" s="47" t="n">
        <v>1.1</v>
      </c>
      <c r="FN14" s="47" t="n">
        <v>1.1</v>
      </c>
      <c r="FO14" s="47" t="n">
        <v>1.1</v>
      </c>
      <c r="FP14" s="47" t="n">
        <v>1.1</v>
      </c>
      <c r="FQ14" s="47" t="n">
        <v>1.1</v>
      </c>
      <c r="FR14" s="47" t="n">
        <v>1.1</v>
      </c>
      <c r="FS14" s="47" t="n">
        <v>1.1</v>
      </c>
      <c r="FT14" s="47" t="n">
        <v>1.1</v>
      </c>
      <c r="FU14" s="47" t="n">
        <v>1.1</v>
      </c>
      <c r="FV14" s="47" t="n">
        <v>1.1</v>
      </c>
      <c r="FW14" s="47" t="n">
        <v>1.1</v>
      </c>
      <c r="FX14" s="47" t="n">
        <v>1.1</v>
      </c>
      <c r="FY14" s="47" t="n">
        <v>1.1</v>
      </c>
      <c r="FZ14" s="47" t="n">
        <v>1.1</v>
      </c>
      <c r="GA14" s="47" t="n">
        <v>1.1</v>
      </c>
      <c r="GB14" s="47" t="n">
        <v>1.1</v>
      </c>
      <c r="GC14" s="47" t="n">
        <v>1.1</v>
      </c>
      <c r="GD14" s="47" t="n">
        <v>1.1</v>
      </c>
      <c r="GE14" s="47" t="n">
        <v>1.1</v>
      </c>
      <c r="GF14" s="47" t="n">
        <v>1.1</v>
      </c>
      <c r="GG14" s="47" t="n">
        <v>1.1</v>
      </c>
      <c r="GH14" s="47" t="n">
        <v>1.1</v>
      </c>
      <c r="GI14" s="47" t="n">
        <v>1.1</v>
      </c>
      <c r="GJ14" s="47" t="n">
        <v>1.1</v>
      </c>
      <c r="GK14" s="47" t="n">
        <v>1.1</v>
      </c>
      <c r="GL14" s="47" t="n">
        <v>1.1</v>
      </c>
      <c r="GM14" s="47" t="n">
        <v>1.1</v>
      </c>
      <c r="GN14" s="47" t="n">
        <v>1.1</v>
      </c>
      <c r="GO14" s="47" t="n">
        <v>1.1</v>
      </c>
      <c r="GP14" s="47" t="n">
        <v>1.1</v>
      </c>
      <c r="GQ14" s="47" t="n">
        <v>1.1</v>
      </c>
      <c r="GR14" s="47" t="n">
        <v>1.1</v>
      </c>
      <c r="GS14" s="47" t="n">
        <v>1.1</v>
      </c>
      <c r="GT14" s="47" t="n">
        <v>1.1</v>
      </c>
      <c r="GU14" s="47" t="n">
        <v>1.1</v>
      </c>
      <c r="GV14" s="47" t="n">
        <v>1.1</v>
      </c>
      <c r="GW14" s="47" t="n">
        <v>1.1</v>
      </c>
      <c r="GX14" s="47" t="n">
        <v>1.1</v>
      </c>
      <c r="GY14" s="47" t="n">
        <v>1.1</v>
      </c>
      <c r="GZ14" s="47" t="n">
        <v>1.1</v>
      </c>
      <c r="HA14" s="47" t="n">
        <v>1.1</v>
      </c>
      <c r="HB14" s="47" t="n">
        <v>1.1</v>
      </c>
      <c r="HC14" s="47" t="n">
        <v>1.1</v>
      </c>
      <c r="HD14" s="47" t="n">
        <v>1.1</v>
      </c>
      <c r="HE14" s="47" t="n">
        <v>1.1</v>
      </c>
      <c r="HF14" s="47" t="n">
        <v>1.1</v>
      </c>
      <c r="HG14" s="47" t="n">
        <v>1.1</v>
      </c>
      <c r="HH14" s="47" t="n">
        <v>1.1</v>
      </c>
      <c r="HI14" s="47" t="n">
        <v>1.1</v>
      </c>
      <c r="HJ14" s="47" t="n">
        <v>1.1</v>
      </c>
      <c r="HK14" s="47" t="n">
        <v>1.1</v>
      </c>
      <c r="HL14" s="47" t="n">
        <v>1.1</v>
      </c>
      <c r="HM14" s="47" t="n">
        <v>1.1</v>
      </c>
      <c r="HN14" s="47" t="n">
        <v>1.1</v>
      </c>
      <c r="HO14" s="47" t="n">
        <v>1.1</v>
      </c>
      <c r="HP14" s="47" t="n">
        <v>1.1</v>
      </c>
      <c r="HQ14" s="47" t="n">
        <v>1.1</v>
      </c>
      <c r="HR14" s="47" t="n">
        <v>1.1</v>
      </c>
      <c r="HS14" s="47" t="n">
        <v>1.1</v>
      </c>
      <c r="HT14" s="47" t="n">
        <v>1.1</v>
      </c>
      <c r="HU14" s="47" t="n">
        <v>1.1</v>
      </c>
      <c r="HV14" s="47" t="n">
        <v>1.1</v>
      </c>
      <c r="HW14" s="47" t="n">
        <v>1.1</v>
      </c>
      <c r="HX14" s="47" t="n">
        <v>1.1</v>
      </c>
      <c r="HY14" s="47" t="n">
        <v>1.1</v>
      </c>
      <c r="HZ14" s="47" t="n">
        <v>1.1</v>
      </c>
      <c r="IA14" s="47" t="n">
        <v>1.1</v>
      </c>
      <c r="IB14" s="47" t="n">
        <v>1.1</v>
      </c>
      <c r="IC14" s="47" t="n">
        <v>1.1</v>
      </c>
      <c r="ID14" s="47" t="n">
        <v>1.1</v>
      </c>
      <c r="IE14" s="47" t="n">
        <v>1.1</v>
      </c>
      <c r="IF14" s="47" t="n">
        <v>1.1</v>
      </c>
      <c r="IG14" s="47" t="n">
        <v>1.1</v>
      </c>
      <c r="IH14" s="47" t="n">
        <v>1.1</v>
      </c>
      <c r="II14" s="47" t="n">
        <v>1.1</v>
      </c>
      <c r="IJ14" s="47" t="n">
        <v>1.1</v>
      </c>
      <c r="IK14" s="47" t="n">
        <v>1.1</v>
      </c>
      <c r="IL14" s="47" t="n">
        <v>1.1</v>
      </c>
      <c r="IM14" s="47" t="n">
        <v>1.1</v>
      </c>
      <c r="IN14" s="47" t="n">
        <v>1.1</v>
      </c>
      <c r="IO14" s="47" t="n">
        <v>1.1</v>
      </c>
      <c r="IP14" s="47" t="n">
        <v>1.1</v>
      </c>
      <c r="IQ14" s="47" t="n">
        <v>1.1</v>
      </c>
      <c r="IR14" s="47" t="n">
        <v>1.1</v>
      </c>
      <c r="IS14" s="47" t="n">
        <v>1.1</v>
      </c>
      <c r="IT14" s="47" t="n">
        <v>1.1</v>
      </c>
      <c r="IU14" s="47" t="n">
        <v>1.1</v>
      </c>
      <c r="IV14" s="47" t="n">
        <v>1.1</v>
      </c>
      <c r="IW14" s="47" t="n">
        <v>1.1</v>
      </c>
      <c r="IX14" s="47" t="n">
        <v>1.1</v>
      </c>
      <c r="IY14" s="47" t="n">
        <v>1.1</v>
      </c>
      <c r="IZ14" s="47" t="n">
        <v>1.1</v>
      </c>
      <c r="JA14" s="47" t="n">
        <v>1.1</v>
      </c>
      <c r="JB14" s="47" t="n">
        <v>1.1</v>
      </c>
      <c r="JC14" s="47" t="n">
        <v>1.1</v>
      </c>
      <c r="JD14" s="47" t="n">
        <v>1.1</v>
      </c>
      <c r="JE14" s="47" t="n">
        <v>1.1</v>
      </c>
      <c r="JF14" s="47" t="n">
        <v>1.1</v>
      </c>
      <c r="JG14" s="47" t="n">
        <v>1.1</v>
      </c>
      <c r="JH14" s="47" t="n">
        <v>1.1</v>
      </c>
      <c r="JI14" s="47" t="n">
        <v>1.1</v>
      </c>
      <c r="JJ14" s="47" t="n">
        <v>1.1</v>
      </c>
      <c r="JK14" s="47" t="n">
        <v>1.1</v>
      </c>
      <c r="JL14" s="47" t="n">
        <v>1.1</v>
      </c>
      <c r="JM14" s="47" t="n">
        <v>1.1</v>
      </c>
      <c r="JN14" s="47" t="n">
        <v>1.1</v>
      </c>
      <c r="JO14" s="47" t="n">
        <v>1.1</v>
      </c>
      <c r="JP14" s="47" t="n">
        <v>1.1</v>
      </c>
      <c r="JQ14" s="47" t="n">
        <v>1.1</v>
      </c>
      <c r="JR14" s="47" t="n">
        <v>1.1</v>
      </c>
      <c r="JS14" s="47" t="n">
        <v>1.1</v>
      </c>
      <c r="JT14" s="47" t="n">
        <v>1.1</v>
      </c>
      <c r="JU14" s="47" t="n">
        <v>1.1</v>
      </c>
      <c r="JV14" s="47" t="n">
        <v>1.1</v>
      </c>
      <c r="JW14" s="47" t="n">
        <v>1.1</v>
      </c>
      <c r="JX14" s="47" t="n">
        <v>1.1</v>
      </c>
      <c r="JY14" s="47" t="n">
        <v>1.1</v>
      </c>
      <c r="JZ14" s="47" t="n">
        <v>1.1</v>
      </c>
      <c r="KA14" s="47" t="n">
        <v>1.1</v>
      </c>
      <c r="KB14" s="47" t="n">
        <v>1.1</v>
      </c>
      <c r="KC14" s="47" t="n">
        <v>1.1</v>
      </c>
      <c r="KD14" s="47" t="n">
        <v>1.1</v>
      </c>
      <c r="KE14" s="47" t="n">
        <v>1.1</v>
      </c>
      <c r="KF14" s="47" t="n">
        <v>1.1</v>
      </c>
      <c r="KG14" s="47" t="n">
        <v>1.1</v>
      </c>
      <c r="KH14" s="47" t="n">
        <v>1.1</v>
      </c>
      <c r="KI14" s="47" t="n">
        <v>1.1</v>
      </c>
      <c r="KJ14" s="47" t="n">
        <v>1.1</v>
      </c>
      <c r="KK14" s="47" t="n">
        <v>1.1</v>
      </c>
      <c r="KL14" s="47" t="n">
        <v>1.1</v>
      </c>
      <c r="KM14" s="47" t="n">
        <v>1.1</v>
      </c>
      <c r="KN14" s="47" t="n">
        <v>1.1</v>
      </c>
      <c r="KO14" s="47" t="n">
        <v>1.1</v>
      </c>
      <c r="KP14" s="47" t="n">
        <v>1.1</v>
      </c>
      <c r="KQ14" s="47" t="n">
        <v>1.1</v>
      </c>
      <c r="KR14" s="47" t="n">
        <v>1.1</v>
      </c>
      <c r="KS14" s="47" t="n">
        <v>1.1</v>
      </c>
      <c r="KT14" s="47" t="n">
        <v>1.1</v>
      </c>
      <c r="KU14" s="47" t="n">
        <v>1.1</v>
      </c>
      <c r="KV14" s="47" t="n">
        <v>1.1</v>
      </c>
      <c r="KW14" s="47" t="n">
        <v>1.1</v>
      </c>
      <c r="KX14" s="47" t="n">
        <v>1.1</v>
      </c>
      <c r="KY14" s="47" t="n">
        <v>1.1</v>
      </c>
      <c r="KZ14" s="47" t="n">
        <v>1.1</v>
      </c>
      <c r="LA14" s="47" t="n">
        <v>1.1</v>
      </c>
      <c r="LB14" s="47" t="n">
        <v>1.1</v>
      </c>
      <c r="LC14" s="47" t="n">
        <v>1.1</v>
      </c>
      <c r="LD14" s="47" t="n">
        <v>1.1</v>
      </c>
      <c r="LE14" s="47" t="n">
        <v>1.1</v>
      </c>
      <c r="LF14" s="47" t="n">
        <v>1.1</v>
      </c>
      <c r="LG14" s="47" t="n">
        <v>1.1</v>
      </c>
      <c r="LH14" s="47" t="n">
        <v>1.1</v>
      </c>
      <c r="LI14" s="47" t="n">
        <v>1.1</v>
      </c>
      <c r="LJ14" s="47" t="n">
        <v>1.1</v>
      </c>
      <c r="LK14" s="47" t="n">
        <v>1.1</v>
      </c>
      <c r="LL14" s="47" t="n">
        <v>1.1</v>
      </c>
      <c r="LM14" s="47" t="n">
        <v>1.1</v>
      </c>
      <c r="LN14" s="47" t="n">
        <v>1.1</v>
      </c>
      <c r="LO14" s="47" t="n">
        <v>1.1</v>
      </c>
      <c r="LP14" s="47" t="n">
        <v>1.1</v>
      </c>
      <c r="LQ14" s="47" t="n">
        <v>1.1</v>
      </c>
      <c r="LR14" s="47" t="n">
        <v>1.1</v>
      </c>
      <c r="LS14" s="47" t="n">
        <v>1.1</v>
      </c>
      <c r="LT14" s="47" t="n">
        <v>1.1</v>
      </c>
      <c r="LU14" s="47" t="n">
        <v>1.1</v>
      </c>
      <c r="LV14" s="47" t="n">
        <v>1.1</v>
      </c>
      <c r="LW14" s="47" t="n">
        <v>1.1</v>
      </c>
      <c r="LX14" s="47" t="n">
        <v>1.1</v>
      </c>
      <c r="LY14" s="47" t="n">
        <v>1.1</v>
      </c>
      <c r="LZ14" s="47" t="n">
        <v>1.1</v>
      </c>
      <c r="MA14" s="47" t="n">
        <v>1.1</v>
      </c>
      <c r="MB14" s="47" t="n">
        <v>1.1</v>
      </c>
      <c r="MC14" s="47" t="n">
        <v>1.1</v>
      </c>
      <c r="MD14" s="47" t="n">
        <v>1.1</v>
      </c>
      <c r="ME14" s="47" t="n">
        <v>1.1</v>
      </c>
      <c r="MF14" s="47" t="n">
        <v>1.1</v>
      </c>
      <c r="MG14" s="47" t="n">
        <v>1.1</v>
      </c>
      <c r="MH14" s="47" t="n">
        <v>1.1</v>
      </c>
      <c r="MI14" s="47" t="n">
        <v>1.1</v>
      </c>
      <c r="MJ14" s="47" t="n">
        <v>1.1</v>
      </c>
      <c r="MK14" s="47" t="n">
        <v>1.1</v>
      </c>
      <c r="ML14" s="47" t="n">
        <v>1.1</v>
      </c>
      <c r="MM14" s="47" t="n">
        <v>1.1</v>
      </c>
      <c r="MN14" s="47" t="n">
        <v>1.1</v>
      </c>
      <c r="MO14" s="47" t="n">
        <v>1.1</v>
      </c>
      <c r="MP14" s="47" t="n">
        <v>1.1</v>
      </c>
      <c r="MQ14" s="47" t="n">
        <v>1.1</v>
      </c>
      <c r="MR14" s="47" t="n">
        <v>1.1</v>
      </c>
      <c r="MS14" s="47" t="n">
        <v>1.1</v>
      </c>
      <c r="MT14" s="47" t="n">
        <v>1.1</v>
      </c>
      <c r="MU14" s="47" t="n">
        <v>1.1</v>
      </c>
      <c r="MV14" s="47" t="n">
        <v>1.1</v>
      </c>
      <c r="MW14" s="47" t="n">
        <v>1.1</v>
      </c>
      <c r="MX14" s="47" t="n">
        <v>1.1</v>
      </c>
      <c r="MY14" s="47" t="n">
        <v>1.1</v>
      </c>
      <c r="MZ14" s="47" t="n">
        <v>1.1</v>
      </c>
      <c r="NA14" s="47" t="n">
        <v>1.1</v>
      </c>
      <c r="NB14" s="47" t="n">
        <v>1.1</v>
      </c>
      <c r="NC14" s="47" t="n">
        <v>1.1</v>
      </c>
      <c r="ND14" s="47" t="n">
        <v>1.1</v>
      </c>
      <c r="NE14" s="47" t="n">
        <v>1.1</v>
      </c>
      <c r="NF14" s="47" t="n">
        <v>1.1</v>
      </c>
      <c r="NG14" s="47" t="n">
        <v>1.1</v>
      </c>
      <c r="NH14" s="47" t="n">
        <v>1.1</v>
      </c>
      <c r="NI14" s="47" t="n">
        <v>1.1</v>
      </c>
      <c r="NJ14" s="47" t="n">
        <v>1.1</v>
      </c>
      <c r="NK14" s="47" t="n">
        <v>1.1</v>
      </c>
      <c r="NL14" s="47" t="n">
        <v>1.1</v>
      </c>
      <c r="NM14" s="47" t="n">
        <v>1.1</v>
      </c>
      <c r="NN14" s="47" t="n">
        <v>1.1</v>
      </c>
      <c r="NO14" s="47" t="n">
        <v>1.1</v>
      </c>
      <c r="NP14" s="47" t="n">
        <v>1.1</v>
      </c>
      <c r="NQ14" s="47" t="n">
        <v>1.1</v>
      </c>
      <c r="NR14" s="47" t="n">
        <v>1.1</v>
      </c>
      <c r="NS14" s="47" t="n">
        <v>1.1</v>
      </c>
      <c r="NT14" s="47" t="n">
        <v>1.1</v>
      </c>
      <c r="NU14" s="47" t="n">
        <v>1.1</v>
      </c>
      <c r="NV14" s="47" t="n">
        <v>1.1</v>
      </c>
      <c r="NW14" s="47" t="n">
        <v>1.1</v>
      </c>
      <c r="NX14" s="47" t="n">
        <v>1.1</v>
      </c>
      <c r="NY14" s="47" t="n">
        <v>1.1</v>
      </c>
      <c r="NZ14" s="47" t="n">
        <v>1.1</v>
      </c>
      <c r="OA14" s="47" t="n">
        <v>1.1</v>
      </c>
      <c r="OB14" s="47" t="n">
        <v>1.1</v>
      </c>
      <c r="OC14" s="47" t="n">
        <v>1.1</v>
      </c>
      <c r="OD14" s="47" t="n">
        <v>1.1</v>
      </c>
      <c r="OE14" s="47" t="n">
        <v>1.1</v>
      </c>
      <c r="OF14" s="47" t="n">
        <v>1.1</v>
      </c>
      <c r="OG14" s="47" t="n">
        <v>1.1</v>
      </c>
      <c r="OH14" s="47" t="n">
        <v>1.1</v>
      </c>
      <c r="OI14" s="47" t="n">
        <v>1.1</v>
      </c>
      <c r="OJ14" s="47" t="n">
        <v>1.1</v>
      </c>
      <c r="OK14" s="47" t="n">
        <v>1.1</v>
      </c>
      <c r="OL14" s="47" t="n">
        <v>1.1</v>
      </c>
      <c r="OM14" s="47" t="n">
        <v>1.1</v>
      </c>
      <c r="ON14" s="47" t="n">
        <v>1.1</v>
      </c>
      <c r="OO14" s="47" t="n">
        <v>1.1</v>
      </c>
      <c r="OP14" s="47" t="n">
        <v>1.1</v>
      </c>
      <c r="OQ14" s="47" t="n">
        <v>1.1</v>
      </c>
      <c r="OR14" s="47" t="n">
        <v>1.1</v>
      </c>
      <c r="OS14" s="47" t="n">
        <v>1.1</v>
      </c>
      <c r="OT14" s="47" t="n">
        <v>1.1</v>
      </c>
      <c r="OU14" s="47" t="n">
        <v>1.1</v>
      </c>
      <c r="OV14" s="47" t="n">
        <v>1.1</v>
      </c>
      <c r="OW14" s="47" t="n">
        <v>1.1</v>
      </c>
      <c r="OX14" s="47" t="n">
        <v>1.1</v>
      </c>
      <c r="OY14" s="47" t="n">
        <v>1.1</v>
      </c>
      <c r="OZ14" s="47" t="n">
        <v>1.1</v>
      </c>
      <c r="PA14" s="47" t="n">
        <v>1.1</v>
      </c>
      <c r="PB14" s="47" t="n">
        <v>1.1</v>
      </c>
      <c r="PC14" s="47" t="n">
        <v>1.1</v>
      </c>
      <c r="PD14" s="47" t="n">
        <v>1.1</v>
      </c>
      <c r="PE14" s="47" t="n">
        <v>1.1</v>
      </c>
      <c r="PF14" s="47" t="n">
        <v>1.1</v>
      </c>
      <c r="PG14" s="47" t="n">
        <v>1.1</v>
      </c>
      <c r="PH14" s="47" t="n">
        <v>1.1</v>
      </c>
      <c r="PI14" s="47" t="n">
        <v>1.1</v>
      </c>
      <c r="PJ14" s="47" t="n">
        <v>1.1</v>
      </c>
      <c r="PK14" s="47" t="n">
        <v>1.1</v>
      </c>
      <c r="PL14" s="47" t="n">
        <v>1.1</v>
      </c>
      <c r="PM14" s="47" t="n">
        <v>1.1</v>
      </c>
      <c r="PN14" s="47" t="n">
        <v>1.1</v>
      </c>
      <c r="PO14" s="47" t="n">
        <v>1.1</v>
      </c>
      <c r="PP14" s="47" t="n">
        <v>1.1</v>
      </c>
      <c r="PQ14" s="47" t="n">
        <v>1.1</v>
      </c>
      <c r="PR14" s="47" t="n">
        <v>1.1</v>
      </c>
      <c r="PS14" s="47" t="n">
        <v>1.1</v>
      </c>
      <c r="PT14" s="47" t="n">
        <v>1.1</v>
      </c>
      <c r="PU14" s="47" t="n">
        <v>1.1</v>
      </c>
      <c r="PV14" s="47" t="n">
        <v>1.1</v>
      </c>
      <c r="PW14" s="47" t="n">
        <v>1.1</v>
      </c>
      <c r="PX14" s="47" t="n">
        <v>1.1</v>
      </c>
      <c r="PY14" s="47" t="n">
        <v>1.1</v>
      </c>
      <c r="PZ14" s="47" t="n">
        <v>1.1</v>
      </c>
      <c r="QA14" s="47" t="n">
        <v>1.1</v>
      </c>
      <c r="QB14" s="47" t="n">
        <v>1.1</v>
      </c>
      <c r="QC14" s="47" t="n">
        <v>1.1</v>
      </c>
      <c r="QD14" s="47" t="n">
        <v>1.1</v>
      </c>
      <c r="QE14" s="47" t="n">
        <v>1.1</v>
      </c>
      <c r="QF14" s="47" t="n">
        <v>1.1</v>
      </c>
      <c r="QG14" s="47" t="n">
        <v>1.1</v>
      </c>
      <c r="QH14" s="47" t="n">
        <v>1.1</v>
      </c>
      <c r="QI14" s="47" t="n">
        <v>1.1</v>
      </c>
      <c r="QJ14" s="47" t="n">
        <v>1.1</v>
      </c>
      <c r="QK14" s="47" t="n">
        <v>1.1</v>
      </c>
      <c r="QL14" s="47" t="n">
        <v>1.1</v>
      </c>
      <c r="QM14" s="47" t="n">
        <v>1.1</v>
      </c>
      <c r="QN14" s="47" t="n">
        <v>1.1</v>
      </c>
      <c r="QO14" s="47" t="n">
        <v>1.1</v>
      </c>
      <c r="QP14" s="47" t="n">
        <v>1.1</v>
      </c>
      <c r="QQ14" s="47" t="n">
        <v>1.1</v>
      </c>
      <c r="QR14" s="47" t="n">
        <v>1.1</v>
      </c>
      <c r="QS14" s="47" t="n">
        <v>1.1</v>
      </c>
      <c r="QT14" s="47" t="n">
        <v>1.1</v>
      </c>
      <c r="QU14" s="47" t="n">
        <v>1.1</v>
      </c>
      <c r="QV14" s="47" t="n">
        <v>1.1</v>
      </c>
      <c r="QW14" s="47" t="n">
        <v>1.1</v>
      </c>
      <c r="QX14" s="47" t="n">
        <v>1.1</v>
      </c>
      <c r="QY14" s="47" t="n">
        <v>1.1</v>
      </c>
      <c r="QZ14" s="47" t="n">
        <v>1.1</v>
      </c>
      <c r="RA14" s="47" t="n">
        <v>1.1</v>
      </c>
      <c r="RB14" s="47" t="n">
        <v>1.1</v>
      </c>
      <c r="RC14" s="47" t="n">
        <v>1.1</v>
      </c>
      <c r="RD14" s="47" t="n">
        <v>1.1</v>
      </c>
      <c r="RE14" s="47" t="n">
        <v>1.1</v>
      </c>
      <c r="RF14" s="47" t="n">
        <v>1.1</v>
      </c>
      <c r="RG14" s="47" t="n">
        <v>1.1</v>
      </c>
      <c r="RH14" s="47" t="n">
        <v>1.1</v>
      </c>
      <c r="RI14" s="47" t="n">
        <v>1.1</v>
      </c>
      <c r="RJ14" s="47" t="n">
        <v>1.1</v>
      </c>
      <c r="RK14" s="47" t="n">
        <v>1.1</v>
      </c>
      <c r="RL14" s="47" t="n">
        <v>1.1</v>
      </c>
      <c r="RM14" s="47" t="n">
        <v>1.1</v>
      </c>
      <c r="RN14" s="47" t="n">
        <v>1.1</v>
      </c>
      <c r="RO14" s="47" t="n">
        <v>1.1</v>
      </c>
      <c r="RP14" s="47" t="n">
        <v>1.1</v>
      </c>
      <c r="RQ14" s="47" t="n">
        <v>1.1</v>
      </c>
      <c r="RR14" s="47" t="n">
        <v>1.1</v>
      </c>
      <c r="RS14" s="47" t="n">
        <v>1.1</v>
      </c>
      <c r="RT14" s="47" t="n">
        <v>1.1</v>
      </c>
      <c r="RU14" s="47" t="n">
        <v>1.1</v>
      </c>
      <c r="RV14" s="47" t="n">
        <v>1.1</v>
      </c>
      <c r="RW14" s="47" t="n">
        <v>1.1</v>
      </c>
    </row>
    <row r="15" ht="13.05" customHeight="1">
      <c r="E15" s="25" t="inlineStr">
        <is>
          <t>Tax Depreciation</t>
        </is>
      </c>
      <c r="F15" s="26" t="n"/>
      <c r="G15" s="26" t="inlineStr">
        <is>
          <t>kEUR</t>
        </is>
      </c>
      <c r="H15" s="26" t="n"/>
      <c r="I15" s="26" t="n"/>
      <c r="J15" s="27" t="n"/>
      <c r="K15" s="26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  <c r="AP15" s="28" t="n"/>
      <c r="AQ15" s="28" t="n"/>
      <c r="AR15" s="28" t="n"/>
      <c r="AS15" s="28" t="n"/>
      <c r="AT15" s="28" t="n"/>
      <c r="AU15" s="28" t="n"/>
      <c r="AV15" s="28" t="n"/>
      <c r="AW15" s="28" t="n"/>
      <c r="AX15" s="28" t="n"/>
      <c r="AY15" s="28" t="n"/>
      <c r="AZ15" s="28" t="n"/>
      <c r="BA15" s="28" t="n"/>
      <c r="BB15" s="28" t="n"/>
      <c r="BC15" s="28" t="n"/>
      <c r="BD15" s="28" t="n"/>
      <c r="BE15" s="28" t="n"/>
      <c r="BF15" s="28" t="n"/>
      <c r="BG15" s="28" t="n"/>
      <c r="BH15" s="28" t="n"/>
      <c r="BI15" s="28" t="n"/>
      <c r="BJ15" s="28" t="n"/>
      <c r="BK15" s="28" t="n"/>
      <c r="BL15" s="28" t="n"/>
      <c r="BM15" s="28" t="n"/>
      <c r="BN15" s="28" t="n"/>
      <c r="BO15" s="28" t="n"/>
      <c r="BP15" s="28" t="n"/>
      <c r="BQ15" s="28" t="n"/>
      <c r="BR15" s="28" t="n"/>
      <c r="BS15" s="28" t="n"/>
      <c r="BT15" s="28" t="n"/>
      <c r="BU15" s="28" t="n"/>
      <c r="BV15" s="28" t="n"/>
      <c r="BW15" s="28" t="n"/>
      <c r="BX15" s="28" t="n"/>
      <c r="BY15" s="28" t="n"/>
      <c r="BZ15" s="28" t="n"/>
      <c r="CA15" s="28" t="n"/>
      <c r="CB15" s="28" t="n"/>
      <c r="CC15" s="28" t="n"/>
      <c r="CD15" s="28" t="n"/>
      <c r="CE15" s="28" t="n"/>
      <c r="CF15" s="28" t="n"/>
      <c r="CG15" s="28" t="n"/>
      <c r="CH15" s="28" t="n"/>
      <c r="CI15" s="28" t="n"/>
      <c r="CJ15" s="28" t="n"/>
      <c r="CK15" s="28" t="n"/>
      <c r="CL15" s="28" t="n"/>
      <c r="CM15" s="28" t="n"/>
      <c r="CN15" s="28" t="n"/>
      <c r="CO15" s="28" t="n"/>
      <c r="CP15" s="28" t="n"/>
      <c r="CQ15" s="28" t="n"/>
      <c r="CR15" s="28" t="n"/>
      <c r="CS15" s="28" t="n"/>
      <c r="CT15" s="28" t="n"/>
      <c r="CU15" s="28" t="n"/>
      <c r="CV15" s="28" t="n"/>
      <c r="CW15" s="28" t="n"/>
      <c r="CX15" s="28" t="n"/>
      <c r="CY15" s="28" t="n"/>
      <c r="CZ15" s="28" t="n"/>
      <c r="DA15" s="28" t="n"/>
      <c r="DB15" s="28" t="n"/>
      <c r="DC15" s="28" t="n"/>
      <c r="DD15" s="28" t="n"/>
      <c r="DE15" s="28" t="n"/>
      <c r="DF15" s="28" t="n"/>
      <c r="DG15" s="28" t="n"/>
      <c r="DH15" s="28" t="n"/>
      <c r="DI15" s="28" t="n"/>
      <c r="DJ15" s="28" t="n"/>
      <c r="DK15" s="28" t="n"/>
      <c r="DL15" s="28" t="n"/>
      <c r="DM15" s="28" t="n"/>
      <c r="DN15" s="28" t="n"/>
      <c r="DO15" s="28" t="n"/>
      <c r="DP15" s="28" t="n"/>
      <c r="DQ15" s="28" t="n"/>
      <c r="DR15" s="28" t="n"/>
      <c r="DS15" s="28" t="n"/>
      <c r="DT15" s="28" t="n"/>
      <c r="DU15" s="28" t="n"/>
      <c r="DV15" s="28" t="n"/>
      <c r="DW15" s="28" t="n"/>
      <c r="DX15" s="28" t="n"/>
      <c r="DY15" s="28" t="n"/>
      <c r="DZ15" s="28" t="n"/>
      <c r="EA15" s="28" t="n"/>
      <c r="EB15" s="28" t="n"/>
      <c r="EC15" s="28" t="n"/>
      <c r="ED15" s="28" t="n"/>
      <c r="EE15" s="28" t="n"/>
      <c r="EF15" s="28" t="n"/>
      <c r="EG15" s="28" t="n"/>
      <c r="EH15" s="28" t="n"/>
      <c r="EI15" s="28" t="n"/>
      <c r="EJ15" s="28" t="n"/>
      <c r="EK15" s="28" t="n"/>
      <c r="EL15" s="28" t="n"/>
      <c r="EM15" s="28" t="n"/>
      <c r="EN15" s="28" t="n"/>
      <c r="EO15" s="28" t="n"/>
      <c r="EP15" s="28" t="n"/>
      <c r="EQ15" s="28" t="n"/>
      <c r="ER15" s="28" t="n"/>
      <c r="ES15" s="28" t="n"/>
      <c r="ET15" s="28" t="n"/>
      <c r="EU15" s="28" t="n"/>
      <c r="EV15" s="28" t="n"/>
      <c r="EW15" s="28" t="n"/>
      <c r="EX15" s="28" t="n"/>
      <c r="EY15" s="28" t="n"/>
      <c r="EZ15" s="28" t="n"/>
      <c r="FA15" s="28" t="n"/>
      <c r="FB15" s="28" t="n"/>
      <c r="FC15" s="28" t="n"/>
      <c r="FD15" s="28" t="n"/>
      <c r="FE15" s="28" t="n"/>
      <c r="FF15" s="28" t="n"/>
      <c r="FG15" s="28" t="n"/>
      <c r="FH15" s="28" t="n"/>
      <c r="FI15" s="28" t="n"/>
      <c r="FJ15" s="28" t="n"/>
      <c r="FK15" s="28" t="n"/>
      <c r="FL15" s="28" t="n"/>
      <c r="FM15" s="28" t="n"/>
      <c r="FN15" s="28" t="n"/>
      <c r="FO15" s="28" t="n"/>
      <c r="FP15" s="28" t="n"/>
      <c r="FQ15" s="28" t="n"/>
      <c r="FR15" s="28" t="n"/>
      <c r="FS15" s="28" t="n"/>
      <c r="FT15" s="28" t="n"/>
      <c r="FU15" s="28" t="n"/>
      <c r="FV15" s="28" t="n"/>
      <c r="FW15" s="28" t="n"/>
      <c r="FX15" s="28" t="n"/>
      <c r="FY15" s="28" t="n"/>
      <c r="FZ15" s="28" t="n"/>
      <c r="GA15" s="28" t="n"/>
      <c r="GB15" s="28" t="n"/>
      <c r="GC15" s="28" t="n"/>
      <c r="GD15" s="28" t="n"/>
      <c r="GE15" s="28" t="n"/>
      <c r="GF15" s="28" t="n"/>
      <c r="GG15" s="28" t="n"/>
      <c r="GH15" s="28" t="n"/>
      <c r="GI15" s="28" t="n"/>
      <c r="GJ15" s="28" t="n"/>
      <c r="GK15" s="28" t="n"/>
      <c r="GL15" s="28" t="n"/>
      <c r="GM15" s="28" t="n"/>
      <c r="GN15" s="28" t="n"/>
      <c r="GO15" s="28" t="n"/>
      <c r="GP15" s="28" t="n"/>
      <c r="GQ15" s="28" t="n"/>
      <c r="GR15" s="28" t="n"/>
      <c r="GS15" s="28" t="n"/>
      <c r="GT15" s="28" t="n"/>
      <c r="GU15" s="28" t="n"/>
      <c r="GV15" s="28" t="n"/>
      <c r="GW15" s="28" t="n"/>
      <c r="GX15" s="28" t="n"/>
      <c r="GY15" s="28" t="n"/>
      <c r="GZ15" s="28" t="n"/>
      <c r="HA15" s="28" t="n"/>
      <c r="HB15" s="28" t="n"/>
      <c r="HC15" s="28" t="n"/>
      <c r="HD15" s="28" t="n"/>
      <c r="HE15" s="28" t="n"/>
      <c r="HF15" s="28" t="n"/>
      <c r="HG15" s="28" t="n"/>
      <c r="HH15" s="28" t="n"/>
      <c r="HI15" s="28" t="n"/>
      <c r="HJ15" s="28" t="n"/>
      <c r="HK15" s="28" t="n"/>
      <c r="HL15" s="28" t="n"/>
      <c r="HM15" s="28" t="n"/>
      <c r="HN15" s="28" t="n"/>
      <c r="HO15" s="28" t="n"/>
      <c r="HP15" s="28" t="n"/>
      <c r="HQ15" s="28" t="n"/>
      <c r="HR15" s="28" t="n"/>
      <c r="HS15" s="28" t="n"/>
      <c r="HT15" s="28" t="n"/>
      <c r="HU15" s="28" t="n"/>
      <c r="HV15" s="28" t="n"/>
      <c r="HW15" s="28" t="n"/>
      <c r="HX15" s="28" t="n"/>
      <c r="HY15" s="28" t="n"/>
      <c r="HZ15" s="28" t="n"/>
      <c r="IA15" s="28" t="n"/>
      <c r="IB15" s="28" t="n"/>
      <c r="IC15" s="28" t="n"/>
      <c r="ID15" s="28" t="n"/>
      <c r="IE15" s="28" t="n"/>
      <c r="IF15" s="28" t="n"/>
      <c r="IG15" s="28" t="n"/>
      <c r="IH15" s="28" t="n"/>
      <c r="II15" s="28" t="n"/>
      <c r="IJ15" s="28" t="n"/>
      <c r="IK15" s="28" t="n"/>
      <c r="IL15" s="28" t="n"/>
      <c r="IM15" s="28" t="n"/>
      <c r="IN15" s="28" t="n"/>
      <c r="IO15" s="28" t="n"/>
      <c r="IP15" s="28" t="n"/>
      <c r="IQ15" s="28" t="n"/>
      <c r="IR15" s="28" t="n"/>
      <c r="IS15" s="28" t="n"/>
      <c r="IT15" s="28" t="n"/>
      <c r="IU15" s="28" t="n"/>
      <c r="IV15" s="28" t="n"/>
      <c r="IW15" s="28" t="n"/>
      <c r="IX15" s="28" t="n"/>
      <c r="IY15" s="28" t="n"/>
      <c r="IZ15" s="28" t="n"/>
      <c r="JA15" s="28" t="n"/>
      <c r="JB15" s="28" t="n"/>
      <c r="JC15" s="28" t="n"/>
      <c r="JD15" s="28" t="n"/>
      <c r="JE15" s="28" t="n"/>
      <c r="JF15" s="28" t="n"/>
      <c r="JG15" s="28" t="n"/>
      <c r="JH15" s="28" t="n"/>
      <c r="JI15" s="28" t="n"/>
      <c r="JJ15" s="28" t="n"/>
      <c r="JK15" s="28" t="n"/>
      <c r="JL15" s="28" t="n"/>
      <c r="JM15" s="28" t="n"/>
      <c r="JN15" s="28" t="n"/>
      <c r="JO15" s="28" t="n"/>
      <c r="JP15" s="28" t="n"/>
      <c r="JQ15" s="28" t="n"/>
      <c r="JR15" s="28" t="n"/>
      <c r="JS15" s="28" t="n"/>
      <c r="JT15" s="28" t="n"/>
      <c r="JU15" s="28" t="n"/>
      <c r="JV15" s="28" t="n"/>
      <c r="JW15" s="28" t="n"/>
      <c r="JX15" s="28" t="n"/>
      <c r="JY15" s="28" t="n"/>
      <c r="JZ15" s="28" t="n"/>
      <c r="KA15" s="28" t="n"/>
      <c r="KB15" s="28" t="n"/>
      <c r="KC15" s="28" t="n"/>
      <c r="KD15" s="28" t="n"/>
      <c r="KE15" s="28" t="n"/>
      <c r="KF15" s="28" t="n"/>
      <c r="KG15" s="28" t="n"/>
      <c r="KH15" s="28" t="n"/>
      <c r="KI15" s="28" t="n"/>
      <c r="KJ15" s="28" t="n"/>
      <c r="KK15" s="28" t="n"/>
      <c r="KL15" s="28" t="n"/>
      <c r="KM15" s="28" t="n"/>
      <c r="KN15" s="28" t="n"/>
      <c r="KO15" s="28" t="n"/>
      <c r="KP15" s="28" t="n"/>
      <c r="KQ15" s="28" t="n"/>
      <c r="KR15" s="28" t="n"/>
      <c r="KS15" s="28" t="n"/>
      <c r="KT15" s="28" t="n"/>
      <c r="KU15" s="28" t="n"/>
      <c r="KV15" s="28" t="n"/>
      <c r="KW15" s="28" t="n"/>
      <c r="KX15" s="28" t="n"/>
      <c r="KY15" s="28" t="n"/>
      <c r="KZ15" s="28" t="n"/>
      <c r="LA15" s="28" t="n"/>
      <c r="LB15" s="28" t="n"/>
      <c r="LC15" s="28" t="n"/>
      <c r="LD15" s="28" t="n"/>
      <c r="LE15" s="28" t="n"/>
      <c r="LF15" s="28" t="n"/>
      <c r="LG15" s="28" t="n"/>
      <c r="LH15" s="28" t="n"/>
      <c r="LI15" s="28" t="n"/>
      <c r="LJ15" s="28" t="n"/>
      <c r="LK15" s="28" t="n"/>
      <c r="LL15" s="28" t="n"/>
      <c r="LM15" s="28" t="n"/>
      <c r="LN15" s="28" t="n"/>
      <c r="LO15" s="28" t="n"/>
      <c r="LP15" s="28" t="n"/>
      <c r="LQ15" s="28" t="n"/>
      <c r="LR15" s="28" t="n"/>
      <c r="LS15" s="28" t="n"/>
      <c r="LT15" s="28" t="n"/>
      <c r="LU15" s="28" t="n"/>
      <c r="LV15" s="28" t="n"/>
      <c r="LW15" s="28" t="n"/>
      <c r="LX15" s="28" t="n"/>
      <c r="LY15" s="28" t="n"/>
      <c r="LZ15" s="28" t="n"/>
      <c r="MA15" s="28" t="n"/>
      <c r="MB15" s="28" t="n"/>
      <c r="MC15" s="28" t="n"/>
      <c r="MD15" s="28" t="n"/>
      <c r="ME15" s="28" t="n"/>
      <c r="MF15" s="28" t="n"/>
      <c r="MG15" s="28" t="n"/>
      <c r="MH15" s="28" t="n"/>
      <c r="MI15" s="28" t="n"/>
      <c r="MJ15" s="28" t="n"/>
      <c r="MK15" s="28" t="n"/>
      <c r="ML15" s="28" t="n"/>
      <c r="MM15" s="28" t="n"/>
      <c r="MN15" s="28" t="n"/>
      <c r="MO15" s="28" t="n"/>
      <c r="MP15" s="28" t="n"/>
      <c r="MQ15" s="28" t="n"/>
      <c r="MR15" s="28" t="n"/>
      <c r="MS15" s="28" t="n"/>
      <c r="MT15" s="28" t="n"/>
      <c r="MU15" s="28" t="n"/>
      <c r="MV15" s="28" t="n"/>
      <c r="MW15" s="28" t="n"/>
      <c r="MX15" s="28" t="n"/>
      <c r="MY15" s="28" t="n"/>
      <c r="MZ15" s="28" t="n"/>
      <c r="NA15" s="28" t="n"/>
      <c r="NB15" s="28" t="n"/>
      <c r="NC15" s="28" t="n"/>
      <c r="ND15" s="28" t="n"/>
      <c r="NE15" s="28" t="n"/>
      <c r="NF15" s="28" t="n"/>
      <c r="NG15" s="28" t="n"/>
      <c r="NH15" s="28" t="n"/>
      <c r="NI15" s="28" t="n"/>
      <c r="NJ15" s="28" t="n"/>
      <c r="NK15" s="28" t="n"/>
      <c r="NL15" s="28" t="n"/>
      <c r="NM15" s="28" t="n"/>
      <c r="NN15" s="28" t="n"/>
      <c r="NO15" s="28" t="n"/>
      <c r="NP15" s="28" t="n"/>
      <c r="NQ15" s="28" t="n"/>
      <c r="NR15" s="28" t="n"/>
      <c r="NS15" s="28" t="n"/>
      <c r="NT15" s="28" t="n"/>
      <c r="NU15" s="28" t="n"/>
      <c r="NV15" s="28" t="n"/>
      <c r="NW15" s="28" t="n"/>
      <c r="NX15" s="28" t="n"/>
      <c r="NY15" s="28" t="n"/>
      <c r="NZ15" s="28" t="n"/>
      <c r="OA15" s="28" t="n"/>
      <c r="OB15" s="28" t="n"/>
      <c r="OC15" s="28" t="n"/>
      <c r="OD15" s="28" t="n"/>
      <c r="OE15" s="28" t="n"/>
      <c r="OF15" s="28" t="n"/>
      <c r="OG15" s="28" t="n"/>
      <c r="OH15" s="28" t="n"/>
      <c r="OI15" s="28" t="n"/>
      <c r="OJ15" s="28" t="n"/>
      <c r="OK15" s="28" t="n"/>
      <c r="OL15" s="28" t="n"/>
      <c r="OM15" s="28" t="n"/>
      <c r="ON15" s="28" t="n"/>
      <c r="OO15" s="28" t="n"/>
      <c r="OP15" s="28" t="n"/>
      <c r="OQ15" s="28" t="n"/>
      <c r="OR15" s="28" t="n"/>
      <c r="OS15" s="28" t="n"/>
      <c r="OT15" s="28" t="n"/>
      <c r="OU15" s="28" t="n"/>
      <c r="OV15" s="28" t="n"/>
      <c r="OW15" s="28" t="n"/>
      <c r="OX15" s="28" t="n"/>
      <c r="OY15" s="28" t="n"/>
      <c r="OZ15" s="28" t="n"/>
      <c r="PA15" s="28" t="n"/>
      <c r="PB15" s="28" t="n"/>
      <c r="PC15" s="28" t="n"/>
      <c r="PD15" s="28" t="n"/>
      <c r="PE15" s="28" t="n"/>
      <c r="PF15" s="28" t="n"/>
      <c r="PG15" s="28" t="n"/>
      <c r="PH15" s="28" t="n"/>
      <c r="PI15" s="28" t="n"/>
      <c r="PJ15" s="28" t="n"/>
      <c r="PK15" s="28" t="n"/>
      <c r="PL15" s="28" t="n"/>
      <c r="PM15" s="28" t="n"/>
      <c r="PN15" s="28" t="n"/>
      <c r="PO15" s="28" t="n"/>
      <c r="PP15" s="28" t="n"/>
      <c r="PQ15" s="28" t="n"/>
      <c r="PR15" s="28" t="n"/>
      <c r="PS15" s="28" t="n"/>
      <c r="PT15" s="28" t="n"/>
      <c r="PU15" s="28" t="n"/>
      <c r="PV15" s="28" t="n"/>
      <c r="PW15" s="28" t="n"/>
      <c r="PX15" s="28" t="n"/>
      <c r="PY15" s="28" t="n"/>
      <c r="PZ15" s="28" t="n"/>
      <c r="QA15" s="28" t="n"/>
      <c r="QB15" s="28" t="n"/>
      <c r="QC15" s="28" t="n"/>
      <c r="QD15" s="28" t="n"/>
      <c r="QE15" s="28" t="n"/>
      <c r="QF15" s="28" t="n"/>
      <c r="QG15" s="28" t="n"/>
      <c r="QH15" s="28" t="n"/>
      <c r="QI15" s="28" t="n"/>
      <c r="QJ15" s="28" t="n"/>
      <c r="QK15" s="28" t="n"/>
      <c r="QL15" s="28" t="n"/>
      <c r="QM15" s="28" t="n"/>
      <c r="QN15" s="28" t="n"/>
      <c r="QO15" s="28" t="n"/>
      <c r="QP15" s="28" t="n"/>
      <c r="QQ15" s="28" t="n"/>
      <c r="QR15" s="28" t="n"/>
      <c r="QS15" s="28" t="n"/>
      <c r="QT15" s="28" t="n"/>
      <c r="QU15" s="28" t="n"/>
      <c r="QV15" s="28" t="n"/>
      <c r="QW15" s="28" t="n"/>
      <c r="QX15" s="28" t="n"/>
      <c r="QY15" s="28" t="n"/>
      <c r="QZ15" s="28" t="n"/>
      <c r="RA15" s="28" t="n"/>
      <c r="RB15" s="28" t="n"/>
      <c r="RC15" s="28" t="n"/>
      <c r="RD15" s="28" t="n"/>
      <c r="RE15" s="28" t="n"/>
      <c r="RF15" s="28" t="n"/>
      <c r="RG15" s="28" t="n"/>
      <c r="RH15" s="28" t="n"/>
      <c r="RI15" s="28" t="n"/>
      <c r="RJ15" s="28" t="n"/>
      <c r="RK15" s="28" t="n"/>
      <c r="RL15" s="28" t="n"/>
      <c r="RM15" s="28" t="n"/>
      <c r="RN15" s="28" t="n"/>
      <c r="RO15" s="28" t="n"/>
      <c r="RP15" s="28" t="n"/>
      <c r="RQ15" s="28" t="n"/>
      <c r="RR15" s="28" t="n"/>
      <c r="RS15" s="28" t="n"/>
      <c r="RT15" s="28" t="n"/>
      <c r="RU15" s="28" t="n"/>
      <c r="RV15" s="28" t="n"/>
      <c r="RW15" s="28" t="n"/>
    </row>
    <row r="16" hidden="1" outlineLevel="1" ht="13.05" customHeight="1">
      <c r="E16" s="21" t="inlineStr">
        <is>
          <t>Deductible Interest</t>
        </is>
      </c>
      <c r="F16" s="29" t="n"/>
      <c r="G16" s="29" t="inlineStr">
        <is>
          <t>kEUR</t>
        </is>
      </c>
      <c r="H16" s="29" t="n"/>
      <c r="I16" s="29" t="n"/>
      <c r="J16" s="32" t="n"/>
      <c r="K16" s="29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3" t="n"/>
      <c r="AY16" s="33" t="n"/>
      <c r="AZ16" s="33" t="n"/>
      <c r="BA16" s="33" t="n"/>
      <c r="BB16" s="33" t="n"/>
      <c r="BC16" s="33" t="n"/>
      <c r="BD16" s="33" t="n"/>
      <c r="BE16" s="33" t="n"/>
      <c r="BF16" s="33" t="n"/>
      <c r="BG16" s="33" t="n"/>
      <c r="BH16" s="33" t="n"/>
      <c r="BI16" s="33" t="n"/>
      <c r="BJ16" s="33" t="n"/>
      <c r="BK16" s="33" t="n"/>
      <c r="BL16" s="33" t="n"/>
      <c r="BM16" s="33" t="n"/>
      <c r="BN16" s="33" t="n"/>
      <c r="BO16" s="33" t="n"/>
      <c r="BP16" s="33" t="n"/>
      <c r="BQ16" s="33" t="n"/>
      <c r="BR16" s="33" t="n"/>
      <c r="BS16" s="33" t="n"/>
      <c r="BT16" s="33" t="n"/>
      <c r="BU16" s="33" t="n"/>
      <c r="BV16" s="33" t="n"/>
      <c r="BW16" s="33" t="n"/>
      <c r="BX16" s="33" t="n"/>
      <c r="BY16" s="33" t="n"/>
      <c r="BZ16" s="33" t="n"/>
      <c r="CA16" s="33" t="n"/>
      <c r="CB16" s="33" t="n"/>
      <c r="CC16" s="33" t="n"/>
      <c r="CD16" s="33" t="n"/>
      <c r="CE16" s="33" t="n"/>
      <c r="CF16" s="33" t="n"/>
      <c r="CG16" s="33" t="n"/>
      <c r="CH16" s="33" t="n"/>
      <c r="CI16" s="33" t="n"/>
      <c r="CJ16" s="33" t="n"/>
      <c r="CK16" s="33" t="n"/>
      <c r="CL16" s="33" t="n"/>
      <c r="CM16" s="33" t="n"/>
      <c r="CN16" s="33" t="n"/>
      <c r="CO16" s="33" t="n"/>
      <c r="CP16" s="33" t="n"/>
      <c r="CQ16" s="33" t="n"/>
      <c r="CR16" s="33" t="n"/>
      <c r="CS16" s="33" t="n"/>
      <c r="CT16" s="33" t="n"/>
      <c r="CU16" s="33" t="n"/>
      <c r="CV16" s="33" t="n"/>
      <c r="CW16" s="33" t="n"/>
      <c r="CX16" s="33" t="n"/>
      <c r="CY16" s="33" t="n"/>
      <c r="CZ16" s="33" t="n"/>
      <c r="DA16" s="33" t="n"/>
      <c r="DB16" s="33" t="n"/>
      <c r="DC16" s="33" t="n"/>
      <c r="DD16" s="33" t="n"/>
      <c r="DE16" s="33" t="n"/>
      <c r="DF16" s="33" t="n"/>
      <c r="DG16" s="33" t="n"/>
      <c r="DH16" s="33" t="n"/>
      <c r="DI16" s="33" t="n"/>
      <c r="DJ16" s="33" t="n"/>
      <c r="DK16" s="33" t="n"/>
      <c r="DL16" s="33" t="n"/>
      <c r="DM16" s="33" t="n"/>
      <c r="DN16" s="33" t="n"/>
      <c r="DO16" s="33" t="n"/>
      <c r="DP16" s="33" t="n"/>
      <c r="DQ16" s="33" t="n"/>
      <c r="DR16" s="33" t="n"/>
      <c r="DS16" s="33" t="n"/>
      <c r="DT16" s="33" t="n"/>
      <c r="DU16" s="33" t="n"/>
      <c r="DV16" s="33" t="n"/>
      <c r="DW16" s="33" t="n"/>
      <c r="DX16" s="33" t="n"/>
      <c r="DY16" s="33" t="n"/>
      <c r="DZ16" s="33" t="n"/>
      <c r="EA16" s="33" t="n"/>
      <c r="EB16" s="33" t="n"/>
      <c r="EC16" s="33" t="n"/>
      <c r="ED16" s="33" t="n"/>
      <c r="EE16" s="33" t="n"/>
      <c r="EF16" s="33" t="n"/>
      <c r="EG16" s="33" t="n"/>
      <c r="EH16" s="33" t="n"/>
      <c r="EI16" s="33" t="n"/>
      <c r="EJ16" s="33" t="n"/>
      <c r="EK16" s="33" t="n"/>
      <c r="EL16" s="33" t="n"/>
      <c r="EM16" s="33" t="n"/>
      <c r="EN16" s="33" t="n"/>
      <c r="EO16" s="33" t="n"/>
      <c r="EP16" s="33" t="n"/>
      <c r="EQ16" s="33" t="n"/>
      <c r="ER16" s="33" t="n"/>
      <c r="ES16" s="33" t="n"/>
      <c r="ET16" s="33" t="n"/>
      <c r="EU16" s="33" t="n"/>
      <c r="EV16" s="33" t="n"/>
      <c r="EW16" s="33" t="n"/>
      <c r="EX16" s="33" t="n"/>
      <c r="EY16" s="33" t="n"/>
      <c r="EZ16" s="33" t="n"/>
      <c r="FA16" s="33" t="n"/>
      <c r="FB16" s="33" t="n"/>
      <c r="FC16" s="33" t="n"/>
      <c r="FD16" s="33" t="n"/>
      <c r="FE16" s="33" t="n"/>
      <c r="FF16" s="33" t="n"/>
      <c r="FG16" s="33" t="n"/>
      <c r="FH16" s="33" t="n"/>
      <c r="FI16" s="33" t="n"/>
      <c r="FJ16" s="33" t="n"/>
      <c r="FK16" s="33" t="n"/>
      <c r="FL16" s="33" t="n"/>
      <c r="FM16" s="33" t="n"/>
      <c r="FN16" s="33" t="n"/>
      <c r="FO16" s="33" t="n"/>
      <c r="FP16" s="33" t="n"/>
      <c r="FQ16" s="33" t="n"/>
      <c r="FR16" s="33" t="n"/>
      <c r="FS16" s="33" t="n"/>
      <c r="FT16" s="33" t="n"/>
      <c r="FU16" s="33" t="n"/>
      <c r="FV16" s="33" t="n"/>
      <c r="FW16" s="33" t="n"/>
      <c r="FX16" s="33" t="n"/>
      <c r="FY16" s="33" t="n"/>
      <c r="FZ16" s="33" t="n"/>
      <c r="GA16" s="33" t="n"/>
      <c r="GB16" s="33" t="n"/>
      <c r="GC16" s="33" t="n"/>
      <c r="GD16" s="33" t="n"/>
      <c r="GE16" s="33" t="n"/>
      <c r="GF16" s="33" t="n"/>
      <c r="GG16" s="33" t="n"/>
      <c r="GH16" s="33" t="n"/>
      <c r="GI16" s="33" t="n"/>
      <c r="GJ16" s="33" t="n"/>
      <c r="GK16" s="33" t="n"/>
      <c r="GL16" s="33" t="n"/>
      <c r="GM16" s="33" t="n"/>
      <c r="GN16" s="33" t="n"/>
      <c r="GO16" s="33" t="n"/>
      <c r="GP16" s="33" t="n"/>
      <c r="GQ16" s="33" t="n"/>
      <c r="GR16" s="33" t="n"/>
      <c r="GS16" s="33" t="n"/>
      <c r="GT16" s="33" t="n"/>
      <c r="GU16" s="33" t="n"/>
      <c r="GV16" s="33" t="n"/>
      <c r="GW16" s="33" t="n"/>
      <c r="GX16" s="33" t="n"/>
      <c r="GY16" s="33" t="n"/>
      <c r="GZ16" s="33" t="n"/>
      <c r="HA16" s="33" t="n"/>
      <c r="HB16" s="33" t="n"/>
      <c r="HC16" s="33" t="n"/>
      <c r="HD16" s="33" t="n"/>
      <c r="HE16" s="33" t="n"/>
      <c r="HF16" s="33" t="n"/>
      <c r="HG16" s="33" t="n"/>
      <c r="HH16" s="33" t="n"/>
      <c r="HI16" s="33" t="n"/>
      <c r="HJ16" s="33" t="n"/>
      <c r="HK16" s="33" t="n"/>
      <c r="HL16" s="33" t="n"/>
      <c r="HM16" s="33" t="n"/>
      <c r="HN16" s="33" t="n"/>
      <c r="HO16" s="33" t="n"/>
      <c r="HP16" s="33" t="n"/>
      <c r="HQ16" s="33" t="n"/>
      <c r="HR16" s="33" t="n"/>
      <c r="HS16" s="33" t="n"/>
      <c r="HT16" s="33" t="n"/>
      <c r="HU16" s="33" t="n"/>
      <c r="HV16" s="33" t="n"/>
      <c r="HW16" s="33" t="n"/>
      <c r="HX16" s="33" t="n"/>
      <c r="HY16" s="33" t="n"/>
      <c r="HZ16" s="33" t="n"/>
      <c r="IA16" s="33" t="n"/>
      <c r="IB16" s="33" t="n"/>
      <c r="IC16" s="33" t="n"/>
      <c r="ID16" s="33" t="n"/>
      <c r="IE16" s="33" t="n"/>
      <c r="IF16" s="33" t="n"/>
      <c r="IG16" s="33" t="n"/>
      <c r="IH16" s="33" t="n"/>
      <c r="II16" s="33" t="n"/>
      <c r="IJ16" s="33" t="n"/>
      <c r="IK16" s="33" t="n"/>
      <c r="IL16" s="33" t="n"/>
      <c r="IM16" s="33" t="n"/>
      <c r="IN16" s="33" t="n"/>
      <c r="IO16" s="33" t="n"/>
      <c r="IP16" s="33" t="n"/>
      <c r="IQ16" s="33" t="n"/>
      <c r="IR16" s="33" t="n"/>
      <c r="IS16" s="33" t="n"/>
      <c r="IT16" s="33" t="n"/>
      <c r="IU16" s="33" t="n"/>
      <c r="IV16" s="33" t="n"/>
      <c r="IW16" s="33" t="n"/>
      <c r="IX16" s="33" t="n"/>
      <c r="IY16" s="33" t="n"/>
      <c r="IZ16" s="33" t="n"/>
      <c r="JA16" s="33" t="n"/>
      <c r="JB16" s="33" t="n"/>
      <c r="JC16" s="33" t="n"/>
      <c r="JD16" s="33" t="n"/>
      <c r="JE16" s="33" t="n"/>
      <c r="JF16" s="33" t="n"/>
      <c r="JG16" s="33" t="n"/>
      <c r="JH16" s="33" t="n"/>
      <c r="JI16" s="33" t="n"/>
      <c r="JJ16" s="33" t="n"/>
      <c r="JK16" s="33" t="n"/>
      <c r="JL16" s="33" t="n"/>
      <c r="JM16" s="33" t="n"/>
      <c r="JN16" s="33" t="n"/>
      <c r="JO16" s="33" t="n"/>
      <c r="JP16" s="33" t="n"/>
      <c r="JQ16" s="33" t="n"/>
      <c r="JR16" s="33" t="n"/>
      <c r="JS16" s="33" t="n"/>
      <c r="JT16" s="33" t="n"/>
      <c r="JU16" s="33" t="n"/>
      <c r="JV16" s="33" t="n"/>
      <c r="JW16" s="33" t="n"/>
      <c r="JX16" s="33" t="n"/>
      <c r="JY16" s="33" t="n"/>
      <c r="JZ16" s="33" t="n"/>
      <c r="KA16" s="33" t="n"/>
      <c r="KB16" s="33" t="n"/>
      <c r="KC16" s="33" t="n"/>
      <c r="KD16" s="33" t="n"/>
      <c r="KE16" s="33" t="n"/>
      <c r="KF16" s="33" t="n"/>
      <c r="KG16" s="33" t="n"/>
      <c r="KH16" s="33" t="n"/>
      <c r="KI16" s="33" t="n"/>
      <c r="KJ16" s="33" t="n"/>
      <c r="KK16" s="33" t="n"/>
      <c r="KL16" s="33" t="n"/>
      <c r="KM16" s="33" t="n"/>
      <c r="KN16" s="33" t="n"/>
      <c r="KO16" s="33" t="n"/>
      <c r="KP16" s="33" t="n"/>
      <c r="KQ16" s="33" t="n"/>
      <c r="KR16" s="33" t="n"/>
      <c r="KS16" s="33" t="n"/>
      <c r="KT16" s="33" t="n"/>
      <c r="KU16" s="33" t="n"/>
      <c r="KV16" s="33" t="n"/>
      <c r="KW16" s="33" t="n"/>
      <c r="KX16" s="33" t="n"/>
      <c r="KY16" s="33" t="n"/>
      <c r="KZ16" s="33" t="n"/>
      <c r="LA16" s="33" t="n"/>
      <c r="LB16" s="33" t="n"/>
      <c r="LC16" s="33" t="n"/>
      <c r="LD16" s="33" t="n"/>
      <c r="LE16" s="33" t="n"/>
      <c r="LF16" s="33" t="n"/>
      <c r="LG16" s="33" t="n"/>
      <c r="LH16" s="33" t="n"/>
      <c r="LI16" s="33" t="n"/>
      <c r="LJ16" s="33" t="n"/>
      <c r="LK16" s="33" t="n"/>
      <c r="LL16" s="33" t="n"/>
      <c r="LM16" s="33" t="n"/>
      <c r="LN16" s="33" t="n"/>
      <c r="LO16" s="33" t="n"/>
      <c r="LP16" s="33" t="n"/>
      <c r="LQ16" s="33" t="n"/>
      <c r="LR16" s="33" t="n"/>
      <c r="LS16" s="33" t="n"/>
      <c r="LT16" s="33" t="n"/>
      <c r="LU16" s="33" t="n"/>
      <c r="LV16" s="33" t="n"/>
      <c r="LW16" s="33" t="n"/>
      <c r="LX16" s="33" t="n"/>
      <c r="LY16" s="33" t="n"/>
      <c r="LZ16" s="33" t="n"/>
      <c r="MA16" s="33" t="n"/>
      <c r="MB16" s="33" t="n"/>
      <c r="MC16" s="33" t="n"/>
      <c r="MD16" s="33" t="n"/>
      <c r="ME16" s="33" t="n"/>
      <c r="MF16" s="33" t="n"/>
      <c r="MG16" s="33" t="n"/>
      <c r="MH16" s="33" t="n"/>
      <c r="MI16" s="33" t="n"/>
      <c r="MJ16" s="33" t="n"/>
      <c r="MK16" s="33" t="n"/>
      <c r="ML16" s="33" t="n"/>
      <c r="MM16" s="33" t="n"/>
      <c r="MN16" s="33" t="n"/>
      <c r="MO16" s="33" t="n"/>
      <c r="MP16" s="33" t="n"/>
      <c r="MQ16" s="33" t="n"/>
      <c r="MR16" s="33" t="n"/>
      <c r="MS16" s="33" t="n"/>
      <c r="MT16" s="33" t="n"/>
      <c r="MU16" s="33" t="n"/>
      <c r="MV16" s="33" t="n"/>
      <c r="MW16" s="33" t="n"/>
      <c r="MX16" s="33" t="n"/>
      <c r="MY16" s="33" t="n"/>
      <c r="MZ16" s="33" t="n"/>
      <c r="NA16" s="33" t="n"/>
      <c r="NB16" s="33" t="n"/>
      <c r="NC16" s="33" t="n"/>
      <c r="ND16" s="33" t="n"/>
      <c r="NE16" s="33" t="n"/>
      <c r="NF16" s="33" t="n"/>
      <c r="NG16" s="33" t="n"/>
      <c r="NH16" s="33" t="n"/>
      <c r="NI16" s="33" t="n"/>
      <c r="NJ16" s="33" t="n"/>
      <c r="NK16" s="33" t="n"/>
      <c r="NL16" s="33" t="n"/>
      <c r="NM16" s="33" t="n"/>
      <c r="NN16" s="33" t="n"/>
      <c r="NO16" s="33" t="n"/>
      <c r="NP16" s="33" t="n"/>
      <c r="NQ16" s="33" t="n"/>
      <c r="NR16" s="33" t="n"/>
      <c r="NS16" s="33" t="n"/>
      <c r="NT16" s="33" t="n"/>
      <c r="NU16" s="33" t="n"/>
      <c r="NV16" s="33" t="n"/>
      <c r="NW16" s="33" t="n"/>
      <c r="NX16" s="33" t="n"/>
      <c r="NY16" s="33" t="n"/>
      <c r="NZ16" s="33" t="n"/>
      <c r="OA16" s="33" t="n"/>
      <c r="OB16" s="33" t="n"/>
      <c r="OC16" s="33" t="n"/>
      <c r="OD16" s="33" t="n"/>
      <c r="OE16" s="33" t="n"/>
      <c r="OF16" s="33" t="n"/>
      <c r="OG16" s="33" t="n"/>
      <c r="OH16" s="33" t="n"/>
      <c r="OI16" s="33" t="n"/>
      <c r="OJ16" s="33" t="n"/>
      <c r="OK16" s="33" t="n"/>
      <c r="OL16" s="33" t="n"/>
      <c r="OM16" s="33" t="n"/>
      <c r="ON16" s="33" t="n"/>
      <c r="OO16" s="33" t="n"/>
      <c r="OP16" s="33" t="n"/>
      <c r="OQ16" s="33" t="n"/>
      <c r="OR16" s="33" t="n"/>
      <c r="OS16" s="33" t="n"/>
      <c r="OT16" s="33" t="n"/>
      <c r="OU16" s="33" t="n"/>
      <c r="OV16" s="33" t="n"/>
      <c r="OW16" s="33" t="n"/>
      <c r="OX16" s="33" t="n"/>
      <c r="OY16" s="33" t="n"/>
      <c r="OZ16" s="33" t="n"/>
      <c r="PA16" s="33" t="n"/>
      <c r="PB16" s="33" t="n"/>
      <c r="PC16" s="33" t="n"/>
      <c r="PD16" s="33" t="n"/>
      <c r="PE16" s="33" t="n"/>
      <c r="PF16" s="33" t="n"/>
      <c r="PG16" s="33" t="n"/>
      <c r="PH16" s="33" t="n"/>
      <c r="PI16" s="33" t="n"/>
      <c r="PJ16" s="33" t="n"/>
      <c r="PK16" s="33" t="n"/>
      <c r="PL16" s="33" t="n"/>
      <c r="PM16" s="33" t="n"/>
      <c r="PN16" s="33" t="n"/>
      <c r="PO16" s="33" t="n"/>
      <c r="PP16" s="33" t="n"/>
      <c r="PQ16" s="33" t="n"/>
      <c r="PR16" s="33" t="n"/>
      <c r="PS16" s="33" t="n"/>
      <c r="PT16" s="33" t="n"/>
      <c r="PU16" s="33" t="n"/>
      <c r="PV16" s="33" t="n"/>
      <c r="PW16" s="33" t="n"/>
      <c r="PX16" s="33" t="n"/>
      <c r="PY16" s="33" t="n"/>
      <c r="PZ16" s="33" t="n"/>
      <c r="QA16" s="33" t="n"/>
      <c r="QB16" s="33" t="n"/>
      <c r="QC16" s="33" t="n"/>
      <c r="QD16" s="33" t="n"/>
      <c r="QE16" s="33" t="n"/>
      <c r="QF16" s="33" t="n"/>
      <c r="QG16" s="33" t="n"/>
      <c r="QH16" s="33" t="n"/>
      <c r="QI16" s="33" t="n"/>
      <c r="QJ16" s="33" t="n"/>
      <c r="QK16" s="33" t="n"/>
      <c r="QL16" s="33" t="n"/>
      <c r="QM16" s="33" t="n"/>
      <c r="QN16" s="33" t="n"/>
      <c r="QO16" s="33" t="n"/>
      <c r="QP16" s="33" t="n"/>
      <c r="QQ16" s="33" t="n"/>
      <c r="QR16" s="33" t="n"/>
      <c r="QS16" s="33" t="n"/>
      <c r="QT16" s="33" t="n"/>
      <c r="QU16" s="33" t="n"/>
      <c r="QV16" s="33" t="n"/>
      <c r="QW16" s="33" t="n"/>
      <c r="QX16" s="33" t="n"/>
      <c r="QY16" s="33" t="n"/>
      <c r="QZ16" s="33" t="n"/>
      <c r="RA16" s="33" t="n"/>
      <c r="RB16" s="33" t="n"/>
      <c r="RC16" s="33" t="n"/>
      <c r="RD16" s="33" t="n"/>
      <c r="RE16" s="33" t="n"/>
      <c r="RF16" s="33" t="n"/>
      <c r="RG16" s="33" t="n"/>
      <c r="RH16" s="33" t="n"/>
      <c r="RI16" s="33" t="n"/>
      <c r="RJ16" s="33" t="n"/>
      <c r="RK16" s="33" t="n"/>
      <c r="RL16" s="33" t="n"/>
      <c r="RM16" s="33" t="n"/>
      <c r="RN16" s="33" t="n"/>
      <c r="RO16" s="33" t="n"/>
      <c r="RP16" s="33" t="n"/>
      <c r="RQ16" s="33" t="n"/>
      <c r="RR16" s="33" t="n"/>
      <c r="RS16" s="33" t="n"/>
      <c r="RT16" s="33" t="n"/>
      <c r="RU16" s="33" t="n"/>
      <c r="RV16" s="33" t="n"/>
      <c r="RW16" s="33" t="n"/>
    </row>
    <row r="17" hidden="1" outlineLevel="1" ht="13.05" customHeight="1">
      <c r="E17" s="21" t="inlineStr">
        <is>
          <t>Non-Deductible Interest</t>
        </is>
      </c>
      <c r="F17" s="29" t="n"/>
      <c r="G17" s="29" t="inlineStr">
        <is>
          <t>kEUR</t>
        </is>
      </c>
      <c r="H17" s="29" t="n"/>
      <c r="I17" s="29" t="n"/>
      <c r="J17" s="32" t="n"/>
      <c r="K17" s="29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3" t="n"/>
      <c r="AY17" s="33" t="n"/>
      <c r="AZ17" s="33" t="n"/>
      <c r="BA17" s="33" t="n"/>
      <c r="BB17" s="33" t="n"/>
      <c r="BC17" s="33" t="n"/>
      <c r="BD17" s="33" t="n"/>
      <c r="BE17" s="33" t="n"/>
      <c r="BF17" s="33" t="n"/>
      <c r="BG17" s="33" t="n"/>
      <c r="BH17" s="33" t="n"/>
      <c r="BI17" s="33" t="n"/>
      <c r="BJ17" s="33" t="n"/>
      <c r="BK17" s="33" t="n"/>
      <c r="BL17" s="33" t="n"/>
      <c r="BM17" s="33" t="n"/>
      <c r="BN17" s="33" t="n"/>
      <c r="BO17" s="33" t="n"/>
      <c r="BP17" s="33" t="n"/>
      <c r="BQ17" s="33" t="n"/>
      <c r="BR17" s="33" t="n"/>
      <c r="BS17" s="33" t="n"/>
      <c r="BT17" s="33" t="n"/>
      <c r="BU17" s="33" t="n"/>
      <c r="BV17" s="33" t="n"/>
      <c r="BW17" s="33" t="n"/>
      <c r="BX17" s="33" t="n"/>
      <c r="BY17" s="33" t="n"/>
      <c r="BZ17" s="33" t="n"/>
      <c r="CA17" s="33" t="n"/>
      <c r="CB17" s="33" t="n"/>
      <c r="CC17" s="33" t="n"/>
      <c r="CD17" s="33" t="n"/>
      <c r="CE17" s="33" t="n"/>
      <c r="CF17" s="33" t="n"/>
      <c r="CG17" s="33" t="n"/>
      <c r="CH17" s="33" t="n"/>
      <c r="CI17" s="33" t="n"/>
      <c r="CJ17" s="33" t="n"/>
      <c r="CK17" s="33" t="n"/>
      <c r="CL17" s="33" t="n"/>
      <c r="CM17" s="33" t="n"/>
      <c r="CN17" s="33" t="n"/>
      <c r="CO17" s="33" t="n"/>
      <c r="CP17" s="33" t="n"/>
      <c r="CQ17" s="33" t="n"/>
      <c r="CR17" s="33" t="n"/>
      <c r="CS17" s="33" t="n"/>
      <c r="CT17" s="33" t="n"/>
      <c r="CU17" s="33" t="n"/>
      <c r="CV17" s="33" t="n"/>
      <c r="CW17" s="33" t="n"/>
      <c r="CX17" s="33" t="n"/>
      <c r="CY17" s="33" t="n"/>
      <c r="CZ17" s="33" t="n"/>
      <c r="DA17" s="33" t="n"/>
      <c r="DB17" s="33" t="n"/>
      <c r="DC17" s="33" t="n"/>
      <c r="DD17" s="33" t="n"/>
      <c r="DE17" s="33" t="n"/>
      <c r="DF17" s="33" t="n"/>
      <c r="DG17" s="33" t="n"/>
      <c r="DH17" s="33" t="n"/>
      <c r="DI17" s="33" t="n"/>
      <c r="DJ17" s="33" t="n"/>
      <c r="DK17" s="33" t="n"/>
      <c r="DL17" s="33" t="n"/>
      <c r="DM17" s="33" t="n"/>
      <c r="DN17" s="33" t="n"/>
      <c r="DO17" s="33" t="n"/>
      <c r="DP17" s="33" t="n"/>
      <c r="DQ17" s="33" t="n"/>
      <c r="DR17" s="33" t="n"/>
      <c r="DS17" s="33" t="n"/>
      <c r="DT17" s="33" t="n"/>
      <c r="DU17" s="33" t="n"/>
      <c r="DV17" s="33" t="n"/>
      <c r="DW17" s="33" t="n"/>
      <c r="DX17" s="33" t="n"/>
      <c r="DY17" s="33" t="n"/>
      <c r="DZ17" s="33" t="n"/>
      <c r="EA17" s="33" t="n"/>
      <c r="EB17" s="33" t="n"/>
      <c r="EC17" s="33" t="n"/>
      <c r="ED17" s="33" t="n"/>
      <c r="EE17" s="33" t="n"/>
      <c r="EF17" s="33" t="n"/>
      <c r="EG17" s="33" t="n"/>
      <c r="EH17" s="33" t="n"/>
      <c r="EI17" s="33" t="n"/>
      <c r="EJ17" s="33" t="n"/>
      <c r="EK17" s="33" t="n"/>
      <c r="EL17" s="33" t="n"/>
      <c r="EM17" s="33" t="n"/>
      <c r="EN17" s="33" t="n"/>
      <c r="EO17" s="33" t="n"/>
      <c r="EP17" s="33" t="n"/>
      <c r="EQ17" s="33" t="n"/>
      <c r="ER17" s="33" t="n"/>
      <c r="ES17" s="33" t="n"/>
      <c r="ET17" s="33" t="n"/>
      <c r="EU17" s="33" t="n"/>
      <c r="EV17" s="33" t="n"/>
      <c r="EW17" s="33" t="n"/>
      <c r="EX17" s="33" t="n"/>
      <c r="EY17" s="33" t="n"/>
      <c r="EZ17" s="33" t="n"/>
      <c r="FA17" s="33" t="n"/>
      <c r="FB17" s="33" t="n"/>
      <c r="FC17" s="33" t="n"/>
      <c r="FD17" s="33" t="n"/>
      <c r="FE17" s="33" t="n"/>
      <c r="FF17" s="33" t="n"/>
      <c r="FG17" s="33" t="n"/>
      <c r="FH17" s="33" t="n"/>
      <c r="FI17" s="33" t="n"/>
      <c r="FJ17" s="33" t="n"/>
      <c r="FK17" s="33" t="n"/>
      <c r="FL17" s="33" t="n"/>
      <c r="FM17" s="33" t="n"/>
      <c r="FN17" s="33" t="n"/>
      <c r="FO17" s="33" t="n"/>
      <c r="FP17" s="33" t="n"/>
      <c r="FQ17" s="33" t="n"/>
      <c r="FR17" s="33" t="n"/>
      <c r="FS17" s="33" t="n"/>
      <c r="FT17" s="33" t="n"/>
      <c r="FU17" s="33" t="n"/>
      <c r="FV17" s="33" t="n"/>
      <c r="FW17" s="33" t="n"/>
      <c r="FX17" s="33" t="n"/>
      <c r="FY17" s="33" t="n"/>
      <c r="FZ17" s="33" t="n"/>
      <c r="GA17" s="33" t="n"/>
      <c r="GB17" s="33" t="n"/>
      <c r="GC17" s="33" t="n"/>
      <c r="GD17" s="33" t="n"/>
      <c r="GE17" s="33" t="n"/>
      <c r="GF17" s="33" t="n"/>
      <c r="GG17" s="33" t="n"/>
      <c r="GH17" s="33" t="n"/>
      <c r="GI17" s="33" t="n"/>
      <c r="GJ17" s="33" t="n"/>
      <c r="GK17" s="33" t="n"/>
      <c r="GL17" s="33" t="n"/>
      <c r="GM17" s="33" t="n"/>
      <c r="GN17" s="33" t="n"/>
      <c r="GO17" s="33" t="n"/>
      <c r="GP17" s="33" t="n"/>
      <c r="GQ17" s="33" t="n"/>
      <c r="GR17" s="33" t="n"/>
      <c r="GS17" s="33" t="n"/>
      <c r="GT17" s="33" t="n"/>
      <c r="GU17" s="33" t="n"/>
      <c r="GV17" s="33" t="n"/>
      <c r="GW17" s="33" t="n"/>
      <c r="GX17" s="33" t="n"/>
      <c r="GY17" s="33" t="n"/>
      <c r="GZ17" s="33" t="n"/>
      <c r="HA17" s="33" t="n"/>
      <c r="HB17" s="33" t="n"/>
      <c r="HC17" s="33" t="n"/>
      <c r="HD17" s="33" t="n"/>
      <c r="HE17" s="33" t="n"/>
      <c r="HF17" s="33" t="n"/>
      <c r="HG17" s="33" t="n"/>
      <c r="HH17" s="33" t="n"/>
      <c r="HI17" s="33" t="n"/>
      <c r="HJ17" s="33" t="n"/>
      <c r="HK17" s="33" t="n"/>
      <c r="HL17" s="33" t="n"/>
      <c r="HM17" s="33" t="n"/>
      <c r="HN17" s="33" t="n"/>
      <c r="HO17" s="33" t="n"/>
      <c r="HP17" s="33" t="n"/>
      <c r="HQ17" s="33" t="n"/>
      <c r="HR17" s="33" t="n"/>
      <c r="HS17" s="33" t="n"/>
      <c r="HT17" s="33" t="n"/>
      <c r="HU17" s="33" t="n"/>
      <c r="HV17" s="33" t="n"/>
      <c r="HW17" s="33" t="n"/>
      <c r="HX17" s="33" t="n"/>
      <c r="HY17" s="33" t="n"/>
      <c r="HZ17" s="33" t="n"/>
      <c r="IA17" s="33" t="n"/>
      <c r="IB17" s="33" t="n"/>
      <c r="IC17" s="33" t="n"/>
      <c r="ID17" s="33" t="n"/>
      <c r="IE17" s="33" t="n"/>
      <c r="IF17" s="33" t="n"/>
      <c r="IG17" s="33" t="n"/>
      <c r="IH17" s="33" t="n"/>
      <c r="II17" s="33" t="n"/>
      <c r="IJ17" s="33" t="n"/>
      <c r="IK17" s="33" t="n"/>
      <c r="IL17" s="33" t="n"/>
      <c r="IM17" s="33" t="n"/>
      <c r="IN17" s="33" t="n"/>
      <c r="IO17" s="33" t="n"/>
      <c r="IP17" s="33" t="n"/>
      <c r="IQ17" s="33" t="n"/>
      <c r="IR17" s="33" t="n"/>
      <c r="IS17" s="33" t="n"/>
      <c r="IT17" s="33" t="n"/>
      <c r="IU17" s="33" t="n"/>
      <c r="IV17" s="33" t="n"/>
      <c r="IW17" s="33" t="n"/>
      <c r="IX17" s="33" t="n"/>
      <c r="IY17" s="33" t="n"/>
      <c r="IZ17" s="33" t="n"/>
      <c r="JA17" s="33" t="n"/>
      <c r="JB17" s="33" t="n"/>
      <c r="JC17" s="33" t="n"/>
      <c r="JD17" s="33" t="n"/>
      <c r="JE17" s="33" t="n"/>
      <c r="JF17" s="33" t="n"/>
      <c r="JG17" s="33" t="n"/>
      <c r="JH17" s="33" t="n"/>
      <c r="JI17" s="33" t="n"/>
      <c r="JJ17" s="33" t="n"/>
      <c r="JK17" s="33" t="n"/>
      <c r="JL17" s="33" t="n"/>
      <c r="JM17" s="33" t="n"/>
      <c r="JN17" s="33" t="n"/>
      <c r="JO17" s="33" t="n"/>
      <c r="JP17" s="33" t="n"/>
      <c r="JQ17" s="33" t="n"/>
      <c r="JR17" s="33" t="n"/>
      <c r="JS17" s="33" t="n"/>
      <c r="JT17" s="33" t="n"/>
      <c r="JU17" s="33" t="n"/>
      <c r="JV17" s="33" t="n"/>
      <c r="JW17" s="33" t="n"/>
      <c r="JX17" s="33" t="n"/>
      <c r="JY17" s="33" t="n"/>
      <c r="JZ17" s="33" t="n"/>
      <c r="KA17" s="33" t="n"/>
      <c r="KB17" s="33" t="n"/>
      <c r="KC17" s="33" t="n"/>
      <c r="KD17" s="33" t="n"/>
      <c r="KE17" s="33" t="n"/>
      <c r="KF17" s="33" t="n"/>
      <c r="KG17" s="33" t="n"/>
      <c r="KH17" s="33" t="n"/>
      <c r="KI17" s="33" t="n"/>
      <c r="KJ17" s="33" t="n"/>
      <c r="KK17" s="33" t="n"/>
      <c r="KL17" s="33" t="n"/>
      <c r="KM17" s="33" t="n"/>
      <c r="KN17" s="33" t="n"/>
      <c r="KO17" s="33" t="n"/>
      <c r="KP17" s="33" t="n"/>
      <c r="KQ17" s="33" t="n"/>
      <c r="KR17" s="33" t="n"/>
      <c r="KS17" s="33" t="n"/>
      <c r="KT17" s="33" t="n"/>
      <c r="KU17" s="33" t="n"/>
      <c r="KV17" s="33" t="n"/>
      <c r="KW17" s="33" t="n"/>
      <c r="KX17" s="33" t="n"/>
      <c r="KY17" s="33" t="n"/>
      <c r="KZ17" s="33" t="n"/>
      <c r="LA17" s="33" t="n"/>
      <c r="LB17" s="33" t="n"/>
      <c r="LC17" s="33" t="n"/>
      <c r="LD17" s="33" t="n"/>
      <c r="LE17" s="33" t="n"/>
      <c r="LF17" s="33" t="n"/>
      <c r="LG17" s="33" t="n"/>
      <c r="LH17" s="33" t="n"/>
      <c r="LI17" s="33" t="n"/>
      <c r="LJ17" s="33" t="n"/>
      <c r="LK17" s="33" t="n"/>
      <c r="LL17" s="33" t="n"/>
      <c r="LM17" s="33" t="n"/>
      <c r="LN17" s="33" t="n"/>
      <c r="LO17" s="33" t="n"/>
      <c r="LP17" s="33" t="n"/>
      <c r="LQ17" s="33" t="n"/>
      <c r="LR17" s="33" t="n"/>
      <c r="LS17" s="33" t="n"/>
      <c r="LT17" s="33" t="n"/>
      <c r="LU17" s="33" t="n"/>
      <c r="LV17" s="33" t="n"/>
      <c r="LW17" s="33" t="n"/>
      <c r="LX17" s="33" t="n"/>
      <c r="LY17" s="33" t="n"/>
      <c r="LZ17" s="33" t="n"/>
      <c r="MA17" s="33" t="n"/>
      <c r="MB17" s="33" t="n"/>
      <c r="MC17" s="33" t="n"/>
      <c r="MD17" s="33" t="n"/>
      <c r="ME17" s="33" t="n"/>
      <c r="MF17" s="33" t="n"/>
      <c r="MG17" s="33" t="n"/>
      <c r="MH17" s="33" t="n"/>
      <c r="MI17" s="33" t="n"/>
      <c r="MJ17" s="33" t="n"/>
      <c r="MK17" s="33" t="n"/>
      <c r="ML17" s="33" t="n"/>
      <c r="MM17" s="33" t="n"/>
      <c r="MN17" s="33" t="n"/>
      <c r="MO17" s="33" t="n"/>
      <c r="MP17" s="33" t="n"/>
      <c r="MQ17" s="33" t="n"/>
      <c r="MR17" s="33" t="n"/>
      <c r="MS17" s="33" t="n"/>
      <c r="MT17" s="33" t="n"/>
      <c r="MU17" s="33" t="n"/>
      <c r="MV17" s="33" t="n"/>
      <c r="MW17" s="33" t="n"/>
      <c r="MX17" s="33" t="n"/>
      <c r="MY17" s="33" t="n"/>
      <c r="MZ17" s="33" t="n"/>
      <c r="NA17" s="33" t="n"/>
      <c r="NB17" s="33" t="n"/>
      <c r="NC17" s="33" t="n"/>
      <c r="ND17" s="33" t="n"/>
      <c r="NE17" s="33" t="n"/>
      <c r="NF17" s="33" t="n"/>
      <c r="NG17" s="33" t="n"/>
      <c r="NH17" s="33" t="n"/>
      <c r="NI17" s="33" t="n"/>
      <c r="NJ17" s="33" t="n"/>
      <c r="NK17" s="33" t="n"/>
      <c r="NL17" s="33" t="n"/>
      <c r="NM17" s="33" t="n"/>
      <c r="NN17" s="33" t="n"/>
      <c r="NO17" s="33" t="n"/>
      <c r="NP17" s="33" t="n"/>
      <c r="NQ17" s="33" t="n"/>
      <c r="NR17" s="33" t="n"/>
      <c r="NS17" s="33" t="n"/>
      <c r="NT17" s="33" t="n"/>
      <c r="NU17" s="33" t="n"/>
      <c r="NV17" s="33" t="n"/>
      <c r="NW17" s="33" t="n"/>
      <c r="NX17" s="33" t="n"/>
      <c r="NY17" s="33" t="n"/>
      <c r="NZ17" s="33" t="n"/>
      <c r="OA17" s="33" t="n"/>
      <c r="OB17" s="33" t="n"/>
      <c r="OC17" s="33" t="n"/>
      <c r="OD17" s="33" t="n"/>
      <c r="OE17" s="33" t="n"/>
      <c r="OF17" s="33" t="n"/>
      <c r="OG17" s="33" t="n"/>
      <c r="OH17" s="33" t="n"/>
      <c r="OI17" s="33" t="n"/>
      <c r="OJ17" s="33" t="n"/>
      <c r="OK17" s="33" t="n"/>
      <c r="OL17" s="33" t="n"/>
      <c r="OM17" s="33" t="n"/>
      <c r="ON17" s="33" t="n"/>
      <c r="OO17" s="33" t="n"/>
      <c r="OP17" s="33" t="n"/>
      <c r="OQ17" s="33" t="n"/>
      <c r="OR17" s="33" t="n"/>
      <c r="OS17" s="33" t="n"/>
      <c r="OT17" s="33" t="n"/>
      <c r="OU17" s="33" t="n"/>
      <c r="OV17" s="33" t="n"/>
      <c r="OW17" s="33" t="n"/>
      <c r="OX17" s="33" t="n"/>
      <c r="OY17" s="33" t="n"/>
      <c r="OZ17" s="33" t="n"/>
      <c r="PA17" s="33" t="n"/>
      <c r="PB17" s="33" t="n"/>
      <c r="PC17" s="33" t="n"/>
      <c r="PD17" s="33" t="n"/>
      <c r="PE17" s="33" t="n"/>
      <c r="PF17" s="33" t="n"/>
      <c r="PG17" s="33" t="n"/>
      <c r="PH17" s="33" t="n"/>
      <c r="PI17" s="33" t="n"/>
      <c r="PJ17" s="33" t="n"/>
      <c r="PK17" s="33" t="n"/>
      <c r="PL17" s="33" t="n"/>
      <c r="PM17" s="33" t="n"/>
      <c r="PN17" s="33" t="n"/>
      <c r="PO17" s="33" t="n"/>
      <c r="PP17" s="33" t="n"/>
      <c r="PQ17" s="33" t="n"/>
      <c r="PR17" s="33" t="n"/>
      <c r="PS17" s="33" t="n"/>
      <c r="PT17" s="33" t="n"/>
      <c r="PU17" s="33" t="n"/>
      <c r="PV17" s="33" t="n"/>
      <c r="PW17" s="33" t="n"/>
      <c r="PX17" s="33" t="n"/>
      <c r="PY17" s="33" t="n"/>
      <c r="PZ17" s="33" t="n"/>
      <c r="QA17" s="33" t="n"/>
      <c r="QB17" s="33" t="n"/>
      <c r="QC17" s="33" t="n"/>
      <c r="QD17" s="33" t="n"/>
      <c r="QE17" s="33" t="n"/>
      <c r="QF17" s="33" t="n"/>
      <c r="QG17" s="33" t="n"/>
      <c r="QH17" s="33" t="n"/>
      <c r="QI17" s="33" t="n"/>
      <c r="QJ17" s="33" t="n"/>
      <c r="QK17" s="33" t="n"/>
      <c r="QL17" s="33" t="n"/>
      <c r="QM17" s="33" t="n"/>
      <c r="QN17" s="33" t="n"/>
      <c r="QO17" s="33" t="n"/>
      <c r="QP17" s="33" t="n"/>
      <c r="QQ17" s="33" t="n"/>
      <c r="QR17" s="33" t="n"/>
      <c r="QS17" s="33" t="n"/>
      <c r="QT17" s="33" t="n"/>
      <c r="QU17" s="33" t="n"/>
      <c r="QV17" s="33" t="n"/>
      <c r="QW17" s="33" t="n"/>
      <c r="QX17" s="33" t="n"/>
      <c r="QY17" s="33" t="n"/>
      <c r="QZ17" s="33" t="n"/>
      <c r="RA17" s="33" t="n"/>
      <c r="RB17" s="33" t="n"/>
      <c r="RC17" s="33" t="n"/>
      <c r="RD17" s="33" t="n"/>
      <c r="RE17" s="33" t="n"/>
      <c r="RF17" s="33" t="n"/>
      <c r="RG17" s="33" t="n"/>
      <c r="RH17" s="33" t="n"/>
      <c r="RI17" s="33" t="n"/>
      <c r="RJ17" s="33" t="n"/>
      <c r="RK17" s="33" t="n"/>
      <c r="RL17" s="33" t="n"/>
      <c r="RM17" s="33" t="n"/>
      <c r="RN17" s="33" t="n"/>
      <c r="RO17" s="33" t="n"/>
      <c r="RP17" s="33" t="n"/>
      <c r="RQ17" s="33" t="n"/>
      <c r="RR17" s="33" t="n"/>
      <c r="RS17" s="33" t="n"/>
      <c r="RT17" s="33" t="n"/>
      <c r="RU17" s="33" t="n"/>
      <c r="RV17" s="33" t="n"/>
      <c r="RW17" s="33" t="n"/>
    </row>
    <row r="18" hidden="1" outlineLevel="1" ht="13.05" customHeight="1">
      <c r="E18" s="25" t="inlineStr">
        <is>
          <t>Tax Charge (accrued)</t>
        </is>
      </c>
      <c r="F18" s="26" t="n"/>
      <c r="G18" s="26" t="inlineStr">
        <is>
          <t>kEUR</t>
        </is>
      </c>
      <c r="H18" s="26" t="n"/>
      <c r="I18" s="26" t="n"/>
      <c r="J18" s="27" t="n"/>
      <c r="K18" s="26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  <c r="FD18" s="28" t="n"/>
      <c r="FE18" s="28" t="n"/>
      <c r="FF18" s="28" t="n"/>
      <c r="FG18" s="28" t="n"/>
      <c r="FH18" s="28" t="n"/>
      <c r="FI18" s="28" t="n"/>
      <c r="FJ18" s="28" t="n"/>
      <c r="FK18" s="28" t="n"/>
      <c r="FL18" s="28" t="n"/>
      <c r="FM18" s="28" t="n"/>
      <c r="FN18" s="28" t="n"/>
      <c r="FO18" s="28" t="n"/>
      <c r="FP18" s="28" t="n"/>
      <c r="FQ18" s="28" t="n"/>
      <c r="FR18" s="28" t="n"/>
      <c r="FS18" s="28" t="n"/>
      <c r="FT18" s="28" t="n"/>
      <c r="FU18" s="28" t="n"/>
      <c r="FV18" s="28" t="n"/>
      <c r="FW18" s="28" t="n"/>
      <c r="FX18" s="28" t="n"/>
      <c r="FY18" s="28" t="n"/>
      <c r="FZ18" s="28" t="n"/>
      <c r="GA18" s="28" t="n"/>
      <c r="GB18" s="28" t="n"/>
      <c r="GC18" s="28" t="n"/>
      <c r="GD18" s="28" t="n"/>
      <c r="GE18" s="28" t="n"/>
      <c r="GF18" s="28" t="n"/>
      <c r="GG18" s="28" t="n"/>
      <c r="GH18" s="28" t="n"/>
      <c r="GI18" s="28" t="n"/>
      <c r="GJ18" s="28" t="n"/>
      <c r="GK18" s="28" t="n"/>
      <c r="GL18" s="28" t="n"/>
      <c r="GM18" s="28" t="n"/>
      <c r="GN18" s="28" t="n"/>
      <c r="GO18" s="28" t="n"/>
      <c r="GP18" s="28" t="n"/>
      <c r="GQ18" s="28" t="n"/>
      <c r="GR18" s="28" t="n"/>
      <c r="GS18" s="28" t="n"/>
      <c r="GT18" s="28" t="n"/>
      <c r="GU18" s="28" t="n"/>
      <c r="GV18" s="28" t="n"/>
      <c r="GW18" s="28" t="n"/>
      <c r="GX18" s="28" t="n"/>
      <c r="GY18" s="28" t="n"/>
      <c r="GZ18" s="28" t="n"/>
      <c r="HA18" s="28" t="n"/>
      <c r="HB18" s="28" t="n"/>
      <c r="HC18" s="28" t="n"/>
      <c r="HD18" s="28" t="n"/>
      <c r="HE18" s="28" t="n"/>
      <c r="HF18" s="28" t="n"/>
      <c r="HG18" s="28" t="n"/>
      <c r="HH18" s="28" t="n"/>
      <c r="HI18" s="28" t="n"/>
      <c r="HJ18" s="28" t="n"/>
      <c r="HK18" s="28" t="n"/>
      <c r="HL18" s="28" t="n"/>
      <c r="HM18" s="28" t="n"/>
      <c r="HN18" s="28" t="n"/>
      <c r="HO18" s="28" t="n"/>
      <c r="HP18" s="28" t="n"/>
      <c r="HQ18" s="28" t="n"/>
      <c r="HR18" s="28" t="n"/>
      <c r="HS18" s="28" t="n"/>
      <c r="HT18" s="28" t="n"/>
      <c r="HU18" s="28" t="n"/>
      <c r="HV18" s="28" t="n"/>
      <c r="HW18" s="28" t="n"/>
      <c r="HX18" s="28" t="n"/>
      <c r="HY18" s="28" t="n"/>
      <c r="HZ18" s="28" t="n"/>
      <c r="IA18" s="28" t="n"/>
      <c r="IB18" s="28" t="n"/>
      <c r="IC18" s="28" t="n"/>
      <c r="ID18" s="28" t="n"/>
      <c r="IE18" s="28" t="n"/>
      <c r="IF18" s="28" t="n"/>
      <c r="IG18" s="28" t="n"/>
      <c r="IH18" s="28" t="n"/>
      <c r="II18" s="28" t="n"/>
      <c r="IJ18" s="28" t="n"/>
      <c r="IK18" s="28" t="n"/>
      <c r="IL18" s="28" t="n"/>
      <c r="IM18" s="28" t="n"/>
      <c r="IN18" s="28" t="n"/>
      <c r="IO18" s="28" t="n"/>
      <c r="IP18" s="28" t="n"/>
      <c r="IQ18" s="28" t="n"/>
      <c r="IR18" s="28" t="n"/>
      <c r="IS18" s="28" t="n"/>
      <c r="IT18" s="28" t="n"/>
      <c r="IU18" s="28" t="n"/>
      <c r="IV18" s="28" t="n"/>
      <c r="IW18" s="28" t="n"/>
      <c r="IX18" s="28" t="n"/>
      <c r="IY18" s="28" t="n"/>
      <c r="IZ18" s="28" t="n"/>
      <c r="JA18" s="28" t="n"/>
      <c r="JB18" s="28" t="n"/>
      <c r="JC18" s="28" t="n"/>
      <c r="JD18" s="28" t="n"/>
      <c r="JE18" s="28" t="n"/>
      <c r="JF18" s="28" t="n"/>
      <c r="JG18" s="28" t="n"/>
      <c r="JH18" s="28" t="n"/>
      <c r="JI18" s="28" t="n"/>
      <c r="JJ18" s="28" t="n"/>
      <c r="JK18" s="28" t="n"/>
      <c r="JL18" s="28" t="n"/>
      <c r="JM18" s="28" t="n"/>
      <c r="JN18" s="28" t="n"/>
      <c r="JO18" s="28" t="n"/>
      <c r="JP18" s="28" t="n"/>
      <c r="JQ18" s="28" t="n"/>
      <c r="JR18" s="28" t="n"/>
      <c r="JS18" s="28" t="n"/>
      <c r="JT18" s="28" t="n"/>
      <c r="JU18" s="28" t="n"/>
      <c r="JV18" s="28" t="n"/>
      <c r="JW18" s="28" t="n"/>
      <c r="JX18" s="28" t="n"/>
      <c r="JY18" s="28" t="n"/>
      <c r="JZ18" s="28" t="n"/>
      <c r="KA18" s="28" t="n"/>
      <c r="KB18" s="28" t="n"/>
      <c r="KC18" s="28" t="n"/>
      <c r="KD18" s="28" t="n"/>
      <c r="KE18" s="28" t="n"/>
      <c r="KF18" s="28" t="n"/>
      <c r="KG18" s="28" t="n"/>
      <c r="KH18" s="28" t="n"/>
      <c r="KI18" s="28" t="n"/>
      <c r="KJ18" s="28" t="n"/>
      <c r="KK18" s="28" t="n"/>
      <c r="KL18" s="28" t="n"/>
      <c r="KM18" s="28" t="n"/>
      <c r="KN18" s="28" t="n"/>
      <c r="KO18" s="28" t="n"/>
      <c r="KP18" s="28" t="n"/>
      <c r="KQ18" s="28" t="n"/>
      <c r="KR18" s="28" t="n"/>
      <c r="KS18" s="28" t="n"/>
      <c r="KT18" s="28" t="n"/>
      <c r="KU18" s="28" t="n"/>
      <c r="KV18" s="28" t="n"/>
      <c r="KW18" s="28" t="n"/>
      <c r="KX18" s="28" t="n"/>
      <c r="KY18" s="28" t="n"/>
      <c r="KZ18" s="28" t="n"/>
      <c r="LA18" s="28" t="n"/>
      <c r="LB18" s="28" t="n"/>
      <c r="LC18" s="28" t="n"/>
      <c r="LD18" s="28" t="n"/>
      <c r="LE18" s="28" t="n"/>
      <c r="LF18" s="28" t="n"/>
      <c r="LG18" s="28" t="n"/>
      <c r="LH18" s="28" t="n"/>
      <c r="LI18" s="28" t="n"/>
      <c r="LJ18" s="28" t="n"/>
      <c r="LK18" s="28" t="n"/>
      <c r="LL18" s="28" t="n"/>
      <c r="LM18" s="28" t="n"/>
      <c r="LN18" s="28" t="n"/>
      <c r="LO18" s="28" t="n"/>
      <c r="LP18" s="28" t="n"/>
      <c r="LQ18" s="28" t="n"/>
      <c r="LR18" s="28" t="n"/>
      <c r="LS18" s="28" t="n"/>
      <c r="LT18" s="28" t="n"/>
      <c r="LU18" s="28" t="n"/>
      <c r="LV18" s="28" t="n"/>
      <c r="LW18" s="28" t="n"/>
      <c r="LX18" s="28" t="n"/>
      <c r="LY18" s="28" t="n"/>
      <c r="LZ18" s="28" t="n"/>
      <c r="MA18" s="28" t="n"/>
      <c r="MB18" s="28" t="n"/>
      <c r="MC18" s="28" t="n"/>
      <c r="MD18" s="28" t="n"/>
      <c r="ME18" s="28" t="n"/>
      <c r="MF18" s="28" t="n"/>
      <c r="MG18" s="28" t="n"/>
      <c r="MH18" s="28" t="n"/>
      <c r="MI18" s="28" t="n"/>
      <c r="MJ18" s="28" t="n"/>
      <c r="MK18" s="28" t="n"/>
      <c r="ML18" s="28" t="n"/>
      <c r="MM18" s="28" t="n"/>
      <c r="MN18" s="28" t="n"/>
      <c r="MO18" s="28" t="n"/>
      <c r="MP18" s="28" t="n"/>
      <c r="MQ18" s="28" t="n"/>
      <c r="MR18" s="28" t="n"/>
      <c r="MS18" s="28" t="n"/>
      <c r="MT18" s="28" t="n"/>
      <c r="MU18" s="28" t="n"/>
      <c r="MV18" s="28" t="n"/>
      <c r="MW18" s="28" t="n"/>
      <c r="MX18" s="28" t="n"/>
      <c r="MY18" s="28" t="n"/>
      <c r="MZ18" s="28" t="n"/>
      <c r="NA18" s="28" t="n"/>
      <c r="NB18" s="28" t="n"/>
      <c r="NC18" s="28" t="n"/>
      <c r="ND18" s="28" t="n"/>
      <c r="NE18" s="28" t="n"/>
      <c r="NF18" s="28" t="n"/>
      <c r="NG18" s="28" t="n"/>
      <c r="NH18" s="28" t="n"/>
      <c r="NI18" s="28" t="n"/>
      <c r="NJ18" s="28" t="n"/>
      <c r="NK18" s="28" t="n"/>
      <c r="NL18" s="28" t="n"/>
      <c r="NM18" s="28" t="n"/>
      <c r="NN18" s="28" t="n"/>
      <c r="NO18" s="28" t="n"/>
      <c r="NP18" s="28" t="n"/>
      <c r="NQ18" s="28" t="n"/>
      <c r="NR18" s="28" t="n"/>
      <c r="NS18" s="28" t="n"/>
      <c r="NT18" s="28" t="n"/>
      <c r="NU18" s="28" t="n"/>
      <c r="NV18" s="28" t="n"/>
      <c r="NW18" s="28" t="n"/>
      <c r="NX18" s="28" t="n"/>
      <c r="NY18" s="28" t="n"/>
      <c r="NZ18" s="28" t="n"/>
      <c r="OA18" s="28" t="n"/>
      <c r="OB18" s="28" t="n"/>
      <c r="OC18" s="28" t="n"/>
      <c r="OD18" s="28" t="n"/>
      <c r="OE18" s="28" t="n"/>
      <c r="OF18" s="28" t="n"/>
      <c r="OG18" s="28" t="n"/>
      <c r="OH18" s="28" t="n"/>
      <c r="OI18" s="28" t="n"/>
      <c r="OJ18" s="28" t="n"/>
      <c r="OK18" s="28" t="n"/>
      <c r="OL18" s="28" t="n"/>
      <c r="OM18" s="28" t="n"/>
      <c r="ON18" s="28" t="n"/>
      <c r="OO18" s="28" t="n"/>
      <c r="OP18" s="28" t="n"/>
      <c r="OQ18" s="28" t="n"/>
      <c r="OR18" s="28" t="n"/>
      <c r="OS18" s="28" t="n"/>
      <c r="OT18" s="28" t="n"/>
      <c r="OU18" s="28" t="n"/>
      <c r="OV18" s="28" t="n"/>
      <c r="OW18" s="28" t="n"/>
      <c r="OX18" s="28" t="n"/>
      <c r="OY18" s="28" t="n"/>
      <c r="OZ18" s="28" t="n"/>
      <c r="PA18" s="28" t="n"/>
      <c r="PB18" s="28" t="n"/>
      <c r="PC18" s="28" t="n"/>
      <c r="PD18" s="28" t="n"/>
      <c r="PE18" s="28" t="n"/>
      <c r="PF18" s="28" t="n"/>
      <c r="PG18" s="28" t="n"/>
      <c r="PH18" s="28" t="n"/>
      <c r="PI18" s="28" t="n"/>
      <c r="PJ18" s="28" t="n"/>
      <c r="PK18" s="28" t="n"/>
      <c r="PL18" s="28" t="n"/>
      <c r="PM18" s="28" t="n"/>
      <c r="PN18" s="28" t="n"/>
      <c r="PO18" s="28" t="n"/>
      <c r="PP18" s="28" t="n"/>
      <c r="PQ18" s="28" t="n"/>
      <c r="PR18" s="28" t="n"/>
      <c r="PS18" s="28" t="n"/>
      <c r="PT18" s="28" t="n"/>
      <c r="PU18" s="28" t="n"/>
      <c r="PV18" s="28" t="n"/>
      <c r="PW18" s="28" t="n"/>
      <c r="PX18" s="28" t="n"/>
      <c r="PY18" s="28" t="n"/>
      <c r="PZ18" s="28" t="n"/>
      <c r="QA18" s="28" t="n"/>
      <c r="QB18" s="28" t="n"/>
      <c r="QC18" s="28" t="n"/>
      <c r="QD18" s="28" t="n"/>
      <c r="QE18" s="28" t="n"/>
      <c r="QF18" s="28" t="n"/>
      <c r="QG18" s="28" t="n"/>
      <c r="QH18" s="28" t="n"/>
      <c r="QI18" s="28" t="n"/>
      <c r="QJ18" s="28" t="n"/>
      <c r="QK18" s="28" t="n"/>
      <c r="QL18" s="28" t="n"/>
      <c r="QM18" s="28" t="n"/>
      <c r="QN18" s="28" t="n"/>
      <c r="QO18" s="28" t="n"/>
      <c r="QP18" s="28" t="n"/>
      <c r="QQ18" s="28" t="n"/>
      <c r="QR18" s="28" t="n"/>
      <c r="QS18" s="28" t="n"/>
      <c r="QT18" s="28" t="n"/>
      <c r="QU18" s="28" t="n"/>
      <c r="QV18" s="28" t="n"/>
      <c r="QW18" s="28" t="n"/>
      <c r="QX18" s="28" t="n"/>
      <c r="QY18" s="28" t="n"/>
      <c r="QZ18" s="28" t="n"/>
      <c r="RA18" s="28" t="n"/>
      <c r="RB18" s="28" t="n"/>
      <c r="RC18" s="28" t="n"/>
      <c r="RD18" s="28" t="n"/>
      <c r="RE18" s="28" t="n"/>
      <c r="RF18" s="28" t="n"/>
      <c r="RG18" s="28" t="n"/>
      <c r="RH18" s="28" t="n"/>
      <c r="RI18" s="28" t="n"/>
      <c r="RJ18" s="28" t="n"/>
      <c r="RK18" s="28" t="n"/>
      <c r="RL18" s="28" t="n"/>
      <c r="RM18" s="28" t="n"/>
      <c r="RN18" s="28" t="n"/>
      <c r="RO18" s="28" t="n"/>
      <c r="RP18" s="28" t="n"/>
      <c r="RQ18" s="28" t="n"/>
      <c r="RR18" s="28" t="n"/>
      <c r="RS18" s="28" t="n"/>
      <c r="RT18" s="28" t="n"/>
      <c r="RU18" s="28" t="n"/>
      <c r="RV18" s="28" t="n"/>
      <c r="RW18" s="28" t="n"/>
    </row>
    <row r="19" ht="13.05" customHeight="1">
      <c r="E19" s="25" t="inlineStr">
        <is>
          <t>Tax Paid</t>
        </is>
      </c>
      <c r="F19" s="26" t="n"/>
      <c r="G19" s="26" t="inlineStr">
        <is>
          <t>kEUR</t>
        </is>
      </c>
      <c r="H19" s="26" t="n"/>
      <c r="I19" s="26" t="n"/>
      <c r="J19" s="27" t="n"/>
      <c r="K19" s="26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  <c r="AU19" s="28" t="n"/>
      <c r="AV19" s="28" t="n"/>
      <c r="AW19" s="28" t="n"/>
      <c r="AX19" s="28" t="n"/>
      <c r="AY19" s="28" t="n"/>
      <c r="AZ19" s="28" t="n"/>
      <c r="BA19" s="28" t="n"/>
      <c r="BB19" s="28" t="n"/>
      <c r="BC19" s="28" t="n"/>
      <c r="BD19" s="28" t="n"/>
      <c r="BE19" s="28" t="n"/>
      <c r="BF19" s="28" t="n"/>
      <c r="BG19" s="28" t="n"/>
      <c r="BH19" s="28" t="n"/>
      <c r="BI19" s="28" t="n"/>
      <c r="BJ19" s="28" t="n"/>
      <c r="BK19" s="28" t="n"/>
      <c r="BL19" s="28" t="n"/>
      <c r="BM19" s="28" t="n"/>
      <c r="BN19" s="28" t="n"/>
      <c r="BO19" s="28" t="n"/>
      <c r="BP19" s="28" t="n"/>
      <c r="BQ19" s="28" t="n"/>
      <c r="BR19" s="28" t="n"/>
      <c r="BS19" s="28" t="n"/>
      <c r="BT19" s="28" t="n"/>
      <c r="BU19" s="28" t="n"/>
      <c r="BV19" s="28" t="n"/>
      <c r="BW19" s="28" t="n"/>
      <c r="BX19" s="28" t="n"/>
      <c r="BY19" s="28" t="n"/>
      <c r="BZ19" s="28" t="n"/>
      <c r="CA19" s="28" t="n"/>
      <c r="CB19" s="28" t="n"/>
      <c r="CC19" s="28" t="n"/>
      <c r="CD19" s="28" t="n"/>
      <c r="CE19" s="28" t="n"/>
      <c r="CF19" s="28" t="n"/>
      <c r="CG19" s="28" t="n"/>
      <c r="CH19" s="28" t="n"/>
      <c r="CI19" s="28" t="n"/>
      <c r="CJ19" s="28" t="n"/>
      <c r="CK19" s="28" t="n"/>
      <c r="CL19" s="28" t="n"/>
      <c r="CM19" s="28" t="n"/>
      <c r="CN19" s="28" t="n"/>
      <c r="CO19" s="28" t="n"/>
      <c r="CP19" s="28" t="n"/>
      <c r="CQ19" s="28" t="n"/>
      <c r="CR19" s="28" t="n"/>
      <c r="CS19" s="28" t="n"/>
      <c r="CT19" s="28" t="n"/>
      <c r="CU19" s="28" t="n"/>
      <c r="CV19" s="28" t="n"/>
      <c r="CW19" s="28" t="n"/>
      <c r="CX19" s="28" t="n"/>
      <c r="CY19" s="28" t="n"/>
      <c r="CZ19" s="28" t="n"/>
      <c r="DA19" s="28" t="n"/>
      <c r="DB19" s="28" t="n"/>
      <c r="DC19" s="28" t="n"/>
      <c r="DD19" s="28" t="n"/>
      <c r="DE19" s="28" t="n"/>
      <c r="DF19" s="28" t="n"/>
      <c r="DG19" s="28" t="n"/>
      <c r="DH19" s="28" t="n"/>
      <c r="DI19" s="28" t="n"/>
      <c r="DJ19" s="28" t="n"/>
      <c r="DK19" s="28" t="n"/>
      <c r="DL19" s="28" t="n"/>
      <c r="DM19" s="28" t="n"/>
      <c r="DN19" s="28" t="n"/>
      <c r="DO19" s="28" t="n"/>
      <c r="DP19" s="28" t="n"/>
      <c r="DQ19" s="28" t="n"/>
      <c r="DR19" s="28" t="n"/>
      <c r="DS19" s="28" t="n"/>
      <c r="DT19" s="28" t="n"/>
      <c r="DU19" s="28" t="n"/>
      <c r="DV19" s="28" t="n"/>
      <c r="DW19" s="28" t="n"/>
      <c r="DX19" s="28" t="n"/>
      <c r="DY19" s="28" t="n"/>
      <c r="DZ19" s="28" t="n"/>
      <c r="EA19" s="28" t="n"/>
      <c r="EB19" s="28" t="n"/>
      <c r="EC19" s="28" t="n"/>
      <c r="ED19" s="28" t="n"/>
      <c r="EE19" s="28" t="n"/>
      <c r="EF19" s="28" t="n"/>
      <c r="EG19" s="28" t="n"/>
      <c r="EH19" s="28" t="n"/>
      <c r="EI19" s="28" t="n"/>
      <c r="EJ19" s="28" t="n"/>
      <c r="EK19" s="28" t="n"/>
      <c r="EL19" s="28" t="n"/>
      <c r="EM19" s="28" t="n"/>
      <c r="EN19" s="28" t="n"/>
      <c r="EO19" s="28" t="n"/>
      <c r="EP19" s="28" t="n"/>
      <c r="EQ19" s="28" t="n"/>
      <c r="ER19" s="28" t="n"/>
      <c r="ES19" s="28" t="n"/>
      <c r="ET19" s="28" t="n"/>
      <c r="EU19" s="28" t="n"/>
      <c r="EV19" s="28" t="n"/>
      <c r="EW19" s="28" t="n"/>
      <c r="EX19" s="28" t="n"/>
      <c r="EY19" s="28" t="n"/>
      <c r="EZ19" s="28" t="n"/>
      <c r="FA19" s="28" t="n"/>
      <c r="FB19" s="28" t="n"/>
      <c r="FC19" s="28" t="n"/>
      <c r="FD19" s="28" t="n"/>
      <c r="FE19" s="28" t="n"/>
      <c r="FF19" s="28" t="n"/>
      <c r="FG19" s="28" t="n"/>
      <c r="FH19" s="28" t="n"/>
      <c r="FI19" s="28" t="n"/>
      <c r="FJ19" s="28" t="n"/>
      <c r="FK19" s="28" t="n"/>
      <c r="FL19" s="28" t="n"/>
      <c r="FM19" s="28" t="n"/>
      <c r="FN19" s="28" t="n"/>
      <c r="FO19" s="28" t="n"/>
      <c r="FP19" s="28" t="n"/>
      <c r="FQ19" s="28" t="n"/>
      <c r="FR19" s="28" t="n"/>
      <c r="FS19" s="28" t="n"/>
      <c r="FT19" s="28" t="n"/>
      <c r="FU19" s="28" t="n"/>
      <c r="FV19" s="28" t="n"/>
      <c r="FW19" s="28" t="n"/>
      <c r="FX19" s="28" t="n"/>
      <c r="FY19" s="28" t="n"/>
      <c r="FZ19" s="28" t="n"/>
      <c r="GA19" s="28" t="n"/>
      <c r="GB19" s="28" t="n"/>
      <c r="GC19" s="28" t="n"/>
      <c r="GD19" s="28" t="n"/>
      <c r="GE19" s="28" t="n"/>
      <c r="GF19" s="28" t="n"/>
      <c r="GG19" s="28" t="n"/>
      <c r="GH19" s="28" t="n"/>
      <c r="GI19" s="28" t="n"/>
      <c r="GJ19" s="28" t="n"/>
      <c r="GK19" s="28" t="n"/>
      <c r="GL19" s="28" t="n"/>
      <c r="GM19" s="28" t="n"/>
      <c r="GN19" s="28" t="n"/>
      <c r="GO19" s="28" t="n"/>
      <c r="GP19" s="28" t="n"/>
      <c r="GQ19" s="28" t="n"/>
      <c r="GR19" s="28" t="n"/>
      <c r="GS19" s="28" t="n"/>
      <c r="GT19" s="28" t="n"/>
      <c r="GU19" s="28" t="n"/>
      <c r="GV19" s="28" t="n"/>
      <c r="GW19" s="28" t="n"/>
      <c r="GX19" s="28" t="n"/>
      <c r="GY19" s="28" t="n"/>
      <c r="GZ19" s="28" t="n"/>
      <c r="HA19" s="28" t="n"/>
      <c r="HB19" s="28" t="n"/>
      <c r="HC19" s="28" t="n"/>
      <c r="HD19" s="28" t="n"/>
      <c r="HE19" s="28" t="n"/>
      <c r="HF19" s="28" t="n"/>
      <c r="HG19" s="28" t="n"/>
      <c r="HH19" s="28" t="n"/>
      <c r="HI19" s="28" t="n"/>
      <c r="HJ19" s="28" t="n"/>
      <c r="HK19" s="28" t="n"/>
      <c r="HL19" s="28" t="n"/>
      <c r="HM19" s="28" t="n"/>
      <c r="HN19" s="28" t="n"/>
      <c r="HO19" s="28" t="n"/>
      <c r="HP19" s="28" t="n"/>
      <c r="HQ19" s="28" t="n"/>
      <c r="HR19" s="28" t="n"/>
      <c r="HS19" s="28" t="n"/>
      <c r="HT19" s="28" t="n"/>
      <c r="HU19" s="28" t="n"/>
      <c r="HV19" s="28" t="n"/>
      <c r="HW19" s="28" t="n"/>
      <c r="HX19" s="28" t="n"/>
      <c r="HY19" s="28" t="n"/>
      <c r="HZ19" s="28" t="n"/>
      <c r="IA19" s="28" t="n"/>
      <c r="IB19" s="28" t="n"/>
      <c r="IC19" s="28" t="n"/>
      <c r="ID19" s="28" t="n"/>
      <c r="IE19" s="28" t="n"/>
      <c r="IF19" s="28" t="n"/>
      <c r="IG19" s="28" t="n"/>
      <c r="IH19" s="28" t="n"/>
      <c r="II19" s="28" t="n"/>
      <c r="IJ19" s="28" t="n"/>
      <c r="IK19" s="28" t="n"/>
      <c r="IL19" s="28" t="n"/>
      <c r="IM19" s="28" t="n"/>
      <c r="IN19" s="28" t="n"/>
      <c r="IO19" s="28" t="n"/>
      <c r="IP19" s="28" t="n"/>
      <c r="IQ19" s="28" t="n"/>
      <c r="IR19" s="28" t="n"/>
      <c r="IS19" s="28" t="n"/>
      <c r="IT19" s="28" t="n"/>
      <c r="IU19" s="28" t="n"/>
      <c r="IV19" s="28" t="n"/>
      <c r="IW19" s="28" t="n"/>
      <c r="IX19" s="28" t="n"/>
      <c r="IY19" s="28" t="n"/>
      <c r="IZ19" s="28" t="n"/>
      <c r="JA19" s="28" t="n"/>
      <c r="JB19" s="28" t="n"/>
      <c r="JC19" s="28" t="n"/>
      <c r="JD19" s="28" t="n"/>
      <c r="JE19" s="28" t="n"/>
      <c r="JF19" s="28" t="n"/>
      <c r="JG19" s="28" t="n"/>
      <c r="JH19" s="28" t="n"/>
      <c r="JI19" s="28" t="n"/>
      <c r="JJ19" s="28" t="n"/>
      <c r="JK19" s="28" t="n"/>
      <c r="JL19" s="28" t="n"/>
      <c r="JM19" s="28" t="n"/>
      <c r="JN19" s="28" t="n"/>
      <c r="JO19" s="28" t="n"/>
      <c r="JP19" s="28" t="n"/>
      <c r="JQ19" s="28" t="n"/>
      <c r="JR19" s="28" t="n"/>
      <c r="JS19" s="28" t="n"/>
      <c r="JT19" s="28" t="n"/>
      <c r="JU19" s="28" t="n"/>
      <c r="JV19" s="28" t="n"/>
      <c r="JW19" s="28" t="n"/>
      <c r="JX19" s="28" t="n"/>
      <c r="JY19" s="28" t="n"/>
      <c r="JZ19" s="28" t="n"/>
      <c r="KA19" s="28" t="n"/>
      <c r="KB19" s="28" t="n"/>
      <c r="KC19" s="28" t="n"/>
      <c r="KD19" s="28" t="n"/>
      <c r="KE19" s="28" t="n"/>
      <c r="KF19" s="28" t="n"/>
      <c r="KG19" s="28" t="n"/>
      <c r="KH19" s="28" t="n"/>
      <c r="KI19" s="28" t="n"/>
      <c r="KJ19" s="28" t="n"/>
      <c r="KK19" s="28" t="n"/>
      <c r="KL19" s="28" t="n"/>
      <c r="KM19" s="28" t="n"/>
      <c r="KN19" s="28" t="n"/>
      <c r="KO19" s="28" t="n"/>
      <c r="KP19" s="28" t="n"/>
      <c r="KQ19" s="28" t="n"/>
      <c r="KR19" s="28" t="n"/>
      <c r="KS19" s="28" t="n"/>
      <c r="KT19" s="28" t="n"/>
      <c r="KU19" s="28" t="n"/>
      <c r="KV19" s="28" t="n"/>
      <c r="KW19" s="28" t="n"/>
      <c r="KX19" s="28" t="n"/>
      <c r="KY19" s="28" t="n"/>
      <c r="KZ19" s="28" t="n"/>
      <c r="LA19" s="28" t="n"/>
      <c r="LB19" s="28" t="n"/>
      <c r="LC19" s="28" t="n"/>
      <c r="LD19" s="28" t="n"/>
      <c r="LE19" s="28" t="n"/>
      <c r="LF19" s="28" t="n"/>
      <c r="LG19" s="28" t="n"/>
      <c r="LH19" s="28" t="n"/>
      <c r="LI19" s="28" t="n"/>
      <c r="LJ19" s="28" t="n"/>
      <c r="LK19" s="28" t="n"/>
      <c r="LL19" s="28" t="n"/>
      <c r="LM19" s="28" t="n"/>
      <c r="LN19" s="28" t="n"/>
      <c r="LO19" s="28" t="n"/>
      <c r="LP19" s="28" t="n"/>
      <c r="LQ19" s="28" t="n"/>
      <c r="LR19" s="28" t="n"/>
      <c r="LS19" s="28" t="n"/>
      <c r="LT19" s="28" t="n"/>
      <c r="LU19" s="28" t="n"/>
      <c r="LV19" s="28" t="n"/>
      <c r="LW19" s="28" t="n"/>
      <c r="LX19" s="28" t="n"/>
      <c r="LY19" s="28" t="n"/>
      <c r="LZ19" s="28" t="n"/>
      <c r="MA19" s="28" t="n"/>
      <c r="MB19" s="28" t="n"/>
      <c r="MC19" s="28" t="n"/>
      <c r="MD19" s="28" t="n"/>
      <c r="ME19" s="28" t="n"/>
      <c r="MF19" s="28" t="n"/>
      <c r="MG19" s="28" t="n"/>
      <c r="MH19" s="28" t="n"/>
      <c r="MI19" s="28" t="n"/>
      <c r="MJ19" s="28" t="n"/>
      <c r="MK19" s="28" t="n"/>
      <c r="ML19" s="28" t="n"/>
      <c r="MM19" s="28" t="n"/>
      <c r="MN19" s="28" t="n"/>
      <c r="MO19" s="28" t="n"/>
      <c r="MP19" s="28" t="n"/>
      <c r="MQ19" s="28" t="n"/>
      <c r="MR19" s="28" t="n"/>
      <c r="MS19" s="28" t="n"/>
      <c r="MT19" s="28" t="n"/>
      <c r="MU19" s="28" t="n"/>
      <c r="MV19" s="28" t="n"/>
      <c r="MW19" s="28" t="n"/>
      <c r="MX19" s="28" t="n"/>
      <c r="MY19" s="28" t="n"/>
      <c r="MZ19" s="28" t="n"/>
      <c r="NA19" s="28" t="n"/>
      <c r="NB19" s="28" t="n"/>
      <c r="NC19" s="28" t="n"/>
      <c r="ND19" s="28" t="n"/>
      <c r="NE19" s="28" t="n"/>
      <c r="NF19" s="28" t="n"/>
      <c r="NG19" s="28" t="n"/>
      <c r="NH19" s="28" t="n"/>
      <c r="NI19" s="28" t="n"/>
      <c r="NJ19" s="28" t="n"/>
      <c r="NK19" s="28" t="n"/>
      <c r="NL19" s="28" t="n"/>
      <c r="NM19" s="28" t="n"/>
      <c r="NN19" s="28" t="n"/>
      <c r="NO19" s="28" t="n"/>
      <c r="NP19" s="28" t="n"/>
      <c r="NQ19" s="28" t="n"/>
      <c r="NR19" s="28" t="n"/>
      <c r="NS19" s="28" t="n"/>
      <c r="NT19" s="28" t="n"/>
      <c r="NU19" s="28" t="n"/>
      <c r="NV19" s="28" t="n"/>
      <c r="NW19" s="28" t="n"/>
      <c r="NX19" s="28" t="n"/>
      <c r="NY19" s="28" t="n"/>
      <c r="NZ19" s="28" t="n"/>
      <c r="OA19" s="28" t="n"/>
      <c r="OB19" s="28" t="n"/>
      <c r="OC19" s="28" t="n"/>
      <c r="OD19" s="28" t="n"/>
      <c r="OE19" s="28" t="n"/>
      <c r="OF19" s="28" t="n"/>
      <c r="OG19" s="28" t="n"/>
      <c r="OH19" s="28" t="n"/>
      <c r="OI19" s="28" t="n"/>
      <c r="OJ19" s="28" t="n"/>
      <c r="OK19" s="28" t="n"/>
      <c r="OL19" s="28" t="n"/>
      <c r="OM19" s="28" t="n"/>
      <c r="ON19" s="28" t="n"/>
      <c r="OO19" s="28" t="n"/>
      <c r="OP19" s="28" t="n"/>
      <c r="OQ19" s="28" t="n"/>
      <c r="OR19" s="28" t="n"/>
      <c r="OS19" s="28" t="n"/>
      <c r="OT19" s="28" t="n"/>
      <c r="OU19" s="28" t="n"/>
      <c r="OV19" s="28" t="n"/>
      <c r="OW19" s="28" t="n"/>
      <c r="OX19" s="28" t="n"/>
      <c r="OY19" s="28" t="n"/>
      <c r="OZ19" s="28" t="n"/>
      <c r="PA19" s="28" t="n"/>
      <c r="PB19" s="28" t="n"/>
      <c r="PC19" s="28" t="n"/>
      <c r="PD19" s="28" t="n"/>
      <c r="PE19" s="28" t="n"/>
      <c r="PF19" s="28" t="n"/>
      <c r="PG19" s="28" t="n"/>
      <c r="PH19" s="28" t="n"/>
      <c r="PI19" s="28" t="n"/>
      <c r="PJ19" s="28" t="n"/>
      <c r="PK19" s="28" t="n"/>
      <c r="PL19" s="28" t="n"/>
      <c r="PM19" s="28" t="n"/>
      <c r="PN19" s="28" t="n"/>
      <c r="PO19" s="28" t="n"/>
      <c r="PP19" s="28" t="n"/>
      <c r="PQ19" s="28" t="n"/>
      <c r="PR19" s="28" t="n"/>
      <c r="PS19" s="28" t="n"/>
      <c r="PT19" s="28" t="n"/>
      <c r="PU19" s="28" t="n"/>
      <c r="PV19" s="28" t="n"/>
      <c r="PW19" s="28" t="n"/>
      <c r="PX19" s="28" t="n"/>
      <c r="PY19" s="28" t="n"/>
      <c r="PZ19" s="28" t="n"/>
      <c r="QA19" s="28" t="n"/>
      <c r="QB19" s="28" t="n"/>
      <c r="QC19" s="28" t="n"/>
      <c r="QD19" s="28" t="n"/>
      <c r="QE19" s="28" t="n"/>
      <c r="QF19" s="28" t="n"/>
      <c r="QG19" s="28" t="n"/>
      <c r="QH19" s="28" t="n"/>
      <c r="QI19" s="28" t="n"/>
      <c r="QJ19" s="28" t="n"/>
      <c r="QK19" s="28" t="n"/>
      <c r="QL19" s="28" t="n"/>
      <c r="QM19" s="28" t="n"/>
      <c r="QN19" s="28" t="n"/>
      <c r="QO19" s="28" t="n"/>
      <c r="QP19" s="28" t="n"/>
      <c r="QQ19" s="28" t="n"/>
      <c r="QR19" s="28" t="n"/>
      <c r="QS19" s="28" t="n"/>
      <c r="QT19" s="28" t="n"/>
      <c r="QU19" s="28" t="n"/>
      <c r="QV19" s="28" t="n"/>
      <c r="QW19" s="28" t="n"/>
      <c r="QX19" s="28" t="n"/>
      <c r="QY19" s="28" t="n"/>
      <c r="QZ19" s="28" t="n"/>
      <c r="RA19" s="28" t="n"/>
      <c r="RB19" s="28" t="n"/>
      <c r="RC19" s="28" t="n"/>
      <c r="RD19" s="28" t="n"/>
      <c r="RE19" s="28" t="n"/>
      <c r="RF19" s="28" t="n"/>
      <c r="RG19" s="28" t="n"/>
      <c r="RH19" s="28" t="n"/>
      <c r="RI19" s="28" t="n"/>
      <c r="RJ19" s="28" t="n"/>
      <c r="RK19" s="28" t="n"/>
      <c r="RL19" s="28" t="n"/>
      <c r="RM19" s="28" t="n"/>
      <c r="RN19" s="28" t="n"/>
      <c r="RO19" s="28" t="n"/>
      <c r="RP19" s="28" t="n"/>
      <c r="RQ19" s="28" t="n"/>
      <c r="RR19" s="28" t="n"/>
      <c r="RS19" s="28" t="n"/>
      <c r="RT19" s="28" t="n"/>
      <c r="RU19" s="28" t="n"/>
      <c r="RV19" s="28" t="n"/>
      <c r="RW19" s="28" t="n"/>
    </row>
    <row r="20" ht="5.25" customHeight="1">
      <c r="A20" s="38" t="n"/>
      <c r="B20" s="38" t="n"/>
      <c r="C20" s="38" t="n"/>
      <c r="D20" s="38" t="n"/>
      <c r="E20" s="38" t="inlineStr">
        <is>
          <t>Senior Debt</t>
        </is>
      </c>
      <c r="F20" s="38" t="n"/>
      <c r="G20" s="38" t="n"/>
    </row>
    <row r="21" ht="13.05" customHeight="1">
      <c r="E21" s="39" t="inlineStr">
        <is>
          <t>WACC</t>
        </is>
      </c>
      <c r="F21" s="39" t="n"/>
      <c r="G21" s="39" t="n"/>
    </row>
    <row r="22" ht="13.05" customHeight="1">
      <c r="E22" s="29" t="n"/>
      <c r="F22" s="29" t="n"/>
      <c r="G22" s="29" t="n"/>
      <c r="H22" s="29" t="n"/>
      <c r="I22" s="29" t="n"/>
      <c r="J22" s="48" t="n"/>
      <c r="K22" s="2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/>
      <c r="AR22" s="49" t="n"/>
      <c r="AS22" s="49" t="n"/>
      <c r="AT22" s="49" t="n"/>
      <c r="AU22" s="49" t="n"/>
      <c r="AV22" s="49" t="n"/>
      <c r="AW22" s="49" t="n"/>
      <c r="AX22" s="49" t="n"/>
      <c r="AY22" s="49" t="n"/>
      <c r="AZ22" s="49" t="n"/>
      <c r="BA22" s="49" t="n"/>
      <c r="BB22" s="49" t="n"/>
      <c r="BC22" s="49" t="n"/>
      <c r="BD22" s="49" t="n"/>
      <c r="BE22" s="49" t="n"/>
      <c r="BF22" s="49" t="n"/>
      <c r="BG22" s="49" t="n"/>
      <c r="BH22" s="49" t="n"/>
      <c r="BI22" s="49" t="n"/>
      <c r="BJ22" s="49" t="n"/>
      <c r="BK22" s="49" t="n"/>
      <c r="BL22" s="49" t="n"/>
      <c r="BM22" s="49" t="n"/>
      <c r="BN22" s="49" t="n"/>
      <c r="BO22" s="49" t="n"/>
      <c r="BP22" s="49" t="n"/>
      <c r="BQ22" s="49" t="n"/>
      <c r="BR22" s="49" t="n"/>
      <c r="BS22" s="49" t="n"/>
      <c r="BT22" s="49" t="n"/>
      <c r="BU22" s="49" t="n"/>
      <c r="BV22" s="49" t="n"/>
      <c r="BW22" s="49" t="n"/>
      <c r="BX22" s="49" t="n"/>
      <c r="BY22" s="49" t="n"/>
      <c r="BZ22" s="49" t="n"/>
      <c r="CA22" s="49" t="n"/>
      <c r="CB22" s="49" t="n"/>
      <c r="CC22" s="49" t="n"/>
      <c r="CD22" s="49" t="n"/>
      <c r="CE22" s="49" t="n"/>
      <c r="CF22" s="49" t="n"/>
      <c r="CG22" s="49" t="n"/>
      <c r="CH22" s="49" t="n"/>
      <c r="CI22" s="49" t="n"/>
      <c r="CJ22" s="49" t="n"/>
      <c r="CK22" s="49" t="n"/>
      <c r="CL22" s="49" t="n"/>
      <c r="CM22" s="49" t="n"/>
      <c r="CN22" s="49" t="n"/>
      <c r="CO22" s="49" t="n"/>
      <c r="CP22" s="49" t="n"/>
      <c r="CQ22" s="49" t="n"/>
      <c r="CR22" s="49" t="n"/>
      <c r="CS22" s="49" t="n"/>
      <c r="CT22" s="49" t="n"/>
      <c r="CU22" s="49" t="n"/>
      <c r="CV22" s="49" t="n"/>
      <c r="CW22" s="49" t="n"/>
      <c r="CX22" s="49" t="n"/>
      <c r="CY22" s="49" t="n"/>
      <c r="CZ22" s="49" t="n"/>
      <c r="DA22" s="49" t="n"/>
      <c r="DB22" s="49" t="n"/>
      <c r="DC22" s="49" t="n"/>
      <c r="DD22" s="49" t="n"/>
      <c r="DE22" s="49" t="n"/>
      <c r="DF22" s="49" t="n"/>
      <c r="DG22" s="49" t="n"/>
      <c r="DH22" s="49" t="n"/>
      <c r="DI22" s="49" t="n"/>
      <c r="DJ22" s="49" t="n"/>
      <c r="DK22" s="49" t="n"/>
      <c r="DL22" s="49" t="n"/>
      <c r="DM22" s="49" t="n"/>
      <c r="DN22" s="49" t="n"/>
      <c r="DO22" s="49" t="n"/>
      <c r="DP22" s="49" t="n"/>
      <c r="DQ22" s="49" t="n"/>
      <c r="DR22" s="49" t="n"/>
      <c r="DS22" s="49" t="n"/>
      <c r="DT22" s="49" t="n"/>
      <c r="DU22" s="49" t="n"/>
      <c r="DV22" s="49" t="n"/>
      <c r="DW22" s="49" t="n"/>
      <c r="DX22" s="49" t="n"/>
      <c r="DY22" s="49" t="n"/>
      <c r="DZ22" s="49" t="n"/>
      <c r="EA22" s="49" t="n"/>
      <c r="EB22" s="49" t="n"/>
      <c r="EC22" s="49" t="n"/>
      <c r="ED22" s="49" t="n"/>
      <c r="EE22" s="49" t="n"/>
      <c r="EF22" s="49" t="n"/>
      <c r="EG22" s="49" t="n"/>
      <c r="EH22" s="49" t="n"/>
      <c r="EI22" s="49" t="n"/>
      <c r="EJ22" s="49" t="n"/>
      <c r="EK22" s="49" t="n"/>
      <c r="EL22" s="49" t="n"/>
      <c r="EM22" s="49" t="n"/>
      <c r="EN22" s="49" t="n"/>
      <c r="EO22" s="49" t="n"/>
      <c r="EP22" s="49" t="n"/>
      <c r="EQ22" s="49" t="n"/>
      <c r="ER22" s="49" t="n"/>
      <c r="ES22" s="49" t="n"/>
      <c r="ET22" s="49" t="n"/>
      <c r="EU22" s="49" t="n"/>
      <c r="EV22" s="49" t="n"/>
      <c r="EW22" s="49" t="n"/>
      <c r="EX22" s="49" t="n"/>
      <c r="EY22" s="49" t="n"/>
      <c r="EZ22" s="49" t="n"/>
      <c r="FA22" s="49" t="n"/>
      <c r="FB22" s="49" t="n"/>
      <c r="FC22" s="49" t="n"/>
      <c r="FD22" s="49" t="n"/>
      <c r="FE22" s="49" t="n"/>
      <c r="FF22" s="49" t="n"/>
      <c r="FG22" s="49" t="n"/>
      <c r="FH22" s="49" t="n"/>
      <c r="FI22" s="49" t="n"/>
      <c r="FJ22" s="49" t="n"/>
      <c r="FK22" s="49" t="n"/>
      <c r="FL22" s="49" t="n"/>
      <c r="FM22" s="49" t="n"/>
      <c r="FN22" s="49" t="n"/>
      <c r="FO22" s="49" t="n"/>
      <c r="FP22" s="49" t="n"/>
      <c r="FQ22" s="49" t="n"/>
      <c r="FR22" s="49" t="n"/>
      <c r="FS22" s="49" t="n"/>
      <c r="FT22" s="49" t="n"/>
      <c r="FU22" s="49" t="n"/>
      <c r="FV22" s="49" t="n"/>
      <c r="FW22" s="49" t="n"/>
      <c r="FX22" s="49" t="n"/>
      <c r="FY22" s="49" t="n"/>
      <c r="FZ22" s="49" t="n"/>
      <c r="GA22" s="49" t="n"/>
      <c r="GB22" s="49" t="n"/>
      <c r="GC22" s="49" t="n"/>
      <c r="GD22" s="49" t="n"/>
      <c r="GE22" s="49" t="n"/>
      <c r="GF22" s="49" t="n"/>
      <c r="GG22" s="49" t="n"/>
      <c r="GH22" s="49" t="n"/>
      <c r="GI22" s="49" t="n"/>
      <c r="GJ22" s="49" t="n"/>
      <c r="GK22" s="49" t="n"/>
      <c r="GL22" s="49" t="n"/>
      <c r="GM22" s="49" t="n"/>
      <c r="GN22" s="49" t="n"/>
      <c r="GO22" s="49" t="n"/>
      <c r="GP22" s="49" t="n"/>
      <c r="GQ22" s="49" t="n"/>
      <c r="GR22" s="49" t="n"/>
      <c r="GS22" s="49" t="n"/>
      <c r="GT22" s="49" t="n"/>
      <c r="GU22" s="49" t="n"/>
      <c r="GV22" s="49" t="n"/>
      <c r="GW22" s="49" t="n"/>
      <c r="GX22" s="49" t="n"/>
      <c r="GY22" s="49" t="n"/>
      <c r="GZ22" s="49" t="n"/>
      <c r="HA22" s="49" t="n"/>
      <c r="HB22" s="49" t="n"/>
      <c r="HC22" s="49" t="n"/>
      <c r="HD22" s="49" t="n"/>
      <c r="HE22" s="49" t="n"/>
      <c r="HF22" s="49" t="n"/>
      <c r="HG22" s="49" t="n"/>
      <c r="HH22" s="49" t="n"/>
      <c r="HI22" s="49" t="n"/>
      <c r="HJ22" s="49" t="n"/>
      <c r="HK22" s="49" t="n"/>
      <c r="HL22" s="49" t="n"/>
      <c r="HM22" s="49" t="n"/>
      <c r="HN22" s="49" t="n"/>
      <c r="HO22" s="49" t="n"/>
      <c r="HP22" s="49" t="n"/>
      <c r="HQ22" s="49" t="n"/>
      <c r="HR22" s="49" t="n"/>
      <c r="HS22" s="49" t="n"/>
      <c r="HT22" s="49" t="n"/>
      <c r="HU22" s="49" t="n"/>
      <c r="HV22" s="49" t="n"/>
      <c r="HW22" s="49" t="n"/>
      <c r="HX22" s="49" t="n"/>
      <c r="HY22" s="49" t="n"/>
      <c r="HZ22" s="49" t="n"/>
      <c r="IA22" s="49" t="n"/>
      <c r="IB22" s="49" t="n"/>
      <c r="IC22" s="49" t="n"/>
      <c r="ID22" s="49" t="n"/>
      <c r="IE22" s="49" t="n"/>
      <c r="IF22" s="49" t="n"/>
      <c r="IG22" s="49" t="n"/>
      <c r="IH22" s="49" t="n"/>
      <c r="II22" s="49" t="n"/>
      <c r="IJ22" s="49" t="n"/>
      <c r="IK22" s="49" t="n"/>
      <c r="IL22" s="49" t="n"/>
      <c r="IM22" s="49" t="n"/>
      <c r="IN22" s="49" t="n"/>
      <c r="IO22" s="49" t="n"/>
      <c r="IP22" s="49" t="n"/>
      <c r="IQ22" s="49" t="n"/>
      <c r="IR22" s="49" t="n"/>
      <c r="IS22" s="49" t="n"/>
      <c r="IT22" s="49" t="n"/>
      <c r="IU22" s="49" t="n"/>
      <c r="IV22" s="49" t="n"/>
      <c r="IW22" s="49" t="n"/>
      <c r="IX22" s="49" t="n"/>
      <c r="IY22" s="49" t="n"/>
      <c r="IZ22" s="49" t="n"/>
      <c r="JA22" s="49" t="n"/>
      <c r="JB22" s="49" t="n"/>
      <c r="JC22" s="49" t="n"/>
      <c r="JD22" s="49" t="n"/>
      <c r="JE22" s="49" t="n"/>
      <c r="JF22" s="49" t="n"/>
      <c r="JG22" s="49" t="n"/>
      <c r="JH22" s="49" t="n"/>
      <c r="JI22" s="49" t="n"/>
      <c r="JJ22" s="49" t="n"/>
      <c r="JK22" s="49" t="n"/>
      <c r="JL22" s="49" t="n"/>
      <c r="JM22" s="49" t="n"/>
      <c r="JN22" s="49" t="n"/>
      <c r="JO22" s="49" t="n"/>
      <c r="JP22" s="49" t="n"/>
      <c r="JQ22" s="49" t="n"/>
      <c r="JR22" s="49" t="n"/>
      <c r="JS22" s="49" t="n"/>
      <c r="JT22" s="49" t="n"/>
      <c r="JU22" s="49" t="n"/>
      <c r="JV22" s="49" t="n"/>
      <c r="JW22" s="49" t="n"/>
      <c r="JX22" s="49" t="n"/>
      <c r="JY22" s="49" t="n"/>
      <c r="JZ22" s="49" t="n"/>
      <c r="KA22" s="49" t="n"/>
      <c r="KB22" s="49" t="n"/>
      <c r="KC22" s="49" t="n"/>
      <c r="KD22" s="49" t="n"/>
      <c r="KE22" s="49" t="n"/>
      <c r="KF22" s="49" t="n"/>
      <c r="KG22" s="49" t="n"/>
      <c r="KH22" s="49" t="n"/>
      <c r="KI22" s="49" t="n"/>
      <c r="KJ22" s="49" t="n"/>
      <c r="KK22" s="49" t="n"/>
      <c r="KL22" s="49" t="n"/>
      <c r="KM22" s="49" t="n"/>
      <c r="KN22" s="49" t="n"/>
      <c r="KO22" s="49" t="n"/>
      <c r="KP22" s="49" t="n"/>
      <c r="KQ22" s="49" t="n"/>
      <c r="KR22" s="49" t="n"/>
      <c r="KS22" s="49" t="n"/>
      <c r="KT22" s="49" t="n"/>
      <c r="KU22" s="49" t="n"/>
      <c r="KV22" s="49" t="n"/>
      <c r="KW22" s="49" t="n"/>
      <c r="KX22" s="49" t="n"/>
      <c r="KY22" s="49" t="n"/>
      <c r="KZ22" s="49" t="n"/>
      <c r="LA22" s="49" t="n"/>
      <c r="LB22" s="49" t="n"/>
      <c r="LC22" s="49" t="n"/>
      <c r="LD22" s="49" t="n"/>
      <c r="LE22" s="49" t="n"/>
      <c r="LF22" s="49" t="n"/>
      <c r="LG22" s="49" t="n"/>
      <c r="LH22" s="49" t="n"/>
      <c r="LI22" s="49" t="n"/>
      <c r="LJ22" s="49" t="n"/>
      <c r="LK22" s="49" t="n"/>
      <c r="LL22" s="49" t="n"/>
      <c r="LM22" s="49" t="n"/>
      <c r="LN22" s="49" t="n"/>
      <c r="LO22" s="49" t="n"/>
      <c r="LP22" s="49" t="n"/>
      <c r="LQ22" s="49" t="n"/>
      <c r="LR22" s="49" t="n"/>
      <c r="LS22" s="49" t="n"/>
      <c r="LT22" s="49" t="n"/>
      <c r="LU22" s="49" t="n"/>
      <c r="LV22" s="49" t="n"/>
      <c r="LW22" s="49" t="n"/>
      <c r="LX22" s="49" t="n"/>
      <c r="LY22" s="49" t="n"/>
      <c r="LZ22" s="49" t="n"/>
      <c r="MA22" s="49" t="n"/>
      <c r="MB22" s="49" t="n"/>
      <c r="MC22" s="49" t="n"/>
      <c r="MD22" s="49" t="n"/>
      <c r="ME22" s="49" t="n"/>
      <c r="MF22" s="49" t="n"/>
      <c r="MG22" s="49" t="n"/>
      <c r="MH22" s="49" t="n"/>
      <c r="MI22" s="49" t="n"/>
      <c r="MJ22" s="49" t="n"/>
      <c r="MK22" s="49" t="n"/>
      <c r="ML22" s="49" t="n"/>
      <c r="MM22" s="49" t="n"/>
      <c r="MN22" s="49" t="n"/>
      <c r="MO22" s="49" t="n"/>
      <c r="MP22" s="49" t="n"/>
      <c r="MQ22" s="49" t="n"/>
      <c r="MR22" s="49" t="n"/>
      <c r="MS22" s="49" t="n"/>
      <c r="MT22" s="49" t="n"/>
      <c r="MU22" s="49" t="n"/>
      <c r="MV22" s="49" t="n"/>
      <c r="MW22" s="49" t="n"/>
      <c r="MX22" s="49" t="n"/>
      <c r="MY22" s="49" t="n"/>
      <c r="MZ22" s="49" t="n"/>
      <c r="NA22" s="49" t="n"/>
      <c r="NB22" s="49" t="n"/>
      <c r="NC22" s="49" t="n"/>
      <c r="ND22" s="49" t="n"/>
      <c r="NE22" s="49" t="n"/>
      <c r="NF22" s="49" t="n"/>
      <c r="NG22" s="49" t="n"/>
      <c r="NH22" s="49" t="n"/>
      <c r="NI22" s="49" t="n"/>
      <c r="NJ22" s="49" t="n"/>
      <c r="NK22" s="49" t="n"/>
      <c r="NL22" s="49" t="n"/>
      <c r="NM22" s="49" t="n"/>
      <c r="NN22" s="49" t="n"/>
      <c r="NO22" s="49" t="n"/>
      <c r="NP22" s="49" t="n"/>
      <c r="NQ22" s="49" t="n"/>
      <c r="NR22" s="49" t="n"/>
      <c r="NS22" s="49" t="n"/>
      <c r="NT22" s="49" t="n"/>
      <c r="NU22" s="49" t="n"/>
      <c r="NV22" s="49" t="n"/>
      <c r="NW22" s="49" t="n"/>
      <c r="NX22" s="49" t="n"/>
      <c r="NY22" s="49" t="n"/>
      <c r="NZ22" s="49" t="n"/>
      <c r="OA22" s="49" t="n"/>
      <c r="OB22" s="49" t="n"/>
      <c r="OC22" s="49" t="n"/>
      <c r="OD22" s="49" t="n"/>
      <c r="OE22" s="49" t="n"/>
      <c r="OF22" s="49" t="n"/>
      <c r="OG22" s="49" t="n"/>
      <c r="OH22" s="49" t="n"/>
      <c r="OI22" s="49" t="n"/>
      <c r="OJ22" s="49" t="n"/>
      <c r="OK22" s="49" t="n"/>
      <c r="OL22" s="49" t="n"/>
      <c r="OM22" s="49" t="n"/>
      <c r="ON22" s="49" t="n"/>
      <c r="OO22" s="49" t="n"/>
      <c r="OP22" s="49" t="n"/>
      <c r="OQ22" s="49" t="n"/>
      <c r="OR22" s="49" t="n"/>
      <c r="OS22" s="49" t="n"/>
      <c r="OT22" s="49" t="n"/>
      <c r="OU22" s="49" t="n"/>
      <c r="OV22" s="49" t="n"/>
      <c r="OW22" s="49" t="n"/>
      <c r="OX22" s="49" t="n"/>
      <c r="OY22" s="49" t="n"/>
      <c r="OZ22" s="49" t="n"/>
      <c r="PA22" s="49" t="n"/>
      <c r="PB22" s="49" t="n"/>
      <c r="PC22" s="49" t="n"/>
      <c r="PD22" s="49" t="n"/>
      <c r="PE22" s="49" t="n"/>
      <c r="PF22" s="49" t="n"/>
      <c r="PG22" s="49" t="n"/>
      <c r="PH22" s="49" t="n"/>
      <c r="PI22" s="49" t="n"/>
      <c r="PJ22" s="49" t="n"/>
      <c r="PK22" s="49" t="n"/>
      <c r="PL22" s="49" t="n"/>
      <c r="PM22" s="49" t="n"/>
      <c r="PN22" s="49" t="n"/>
      <c r="PO22" s="49" t="n"/>
      <c r="PP22" s="49" t="n"/>
      <c r="PQ22" s="49" t="n"/>
      <c r="PR22" s="49" t="n"/>
      <c r="PS22" s="49" t="n"/>
      <c r="PT22" s="49" t="n"/>
      <c r="PU22" s="49" t="n"/>
      <c r="PV22" s="49" t="n"/>
      <c r="PW22" s="49" t="n"/>
      <c r="PX22" s="49" t="n"/>
      <c r="PY22" s="49" t="n"/>
      <c r="PZ22" s="49" t="n"/>
      <c r="QA22" s="49" t="n"/>
      <c r="QB22" s="49" t="n"/>
      <c r="QC22" s="49" t="n"/>
      <c r="QD22" s="49" t="n"/>
      <c r="QE22" s="49" t="n"/>
      <c r="QF22" s="49" t="n"/>
      <c r="QG22" s="49" t="n"/>
      <c r="QH22" s="49" t="n"/>
      <c r="QI22" s="49" t="n"/>
      <c r="QJ22" s="49" t="n"/>
      <c r="QK22" s="49" t="n"/>
      <c r="QL22" s="49" t="n"/>
      <c r="QM22" s="49" t="n"/>
      <c r="QN22" s="49" t="n"/>
      <c r="QO22" s="49" t="n"/>
      <c r="QP22" s="49" t="n"/>
      <c r="QQ22" s="49" t="n"/>
      <c r="QR22" s="49" t="n"/>
      <c r="QS22" s="49" t="n"/>
      <c r="QT22" s="49" t="n"/>
      <c r="QU22" s="49" t="n"/>
      <c r="QV22" s="49" t="n"/>
      <c r="QW22" s="49" t="n"/>
      <c r="QX22" s="49" t="n"/>
      <c r="QY22" s="49" t="n"/>
      <c r="QZ22" s="49" t="n"/>
      <c r="RA22" s="49" t="n"/>
      <c r="RB22" s="49" t="n"/>
      <c r="RC22" s="49" t="n"/>
      <c r="RD22" s="49" t="n"/>
      <c r="RE22" s="49" t="n"/>
      <c r="RF22" s="49" t="n"/>
      <c r="RG22" s="49" t="n"/>
      <c r="RH22" s="49" t="n"/>
      <c r="RI22" s="49" t="n"/>
      <c r="RJ22" s="49" t="n"/>
      <c r="RK22" s="49" t="n"/>
      <c r="RL22" s="49" t="n"/>
      <c r="RM22" s="49" t="n"/>
      <c r="RN22" s="49" t="n"/>
      <c r="RO22" s="49" t="n"/>
      <c r="RP22" s="49" t="n"/>
      <c r="RQ22" s="49" t="n"/>
      <c r="RR22" s="49" t="n"/>
      <c r="RS22" s="49" t="n"/>
      <c r="RT22" s="49" t="n"/>
      <c r="RU22" s="49" t="n"/>
      <c r="RV22" s="49" t="n"/>
      <c r="RW22" s="49" t="n"/>
    </row>
    <row r="23" hidden="1" outlineLevel="1" ht="13.05" customHeight="1">
      <c r="E23" s="29" t="n"/>
      <c r="F23" s="29" t="n"/>
      <c r="G23" s="29" t="n"/>
      <c r="H23" s="29" t="n"/>
      <c r="I23" s="29" t="n"/>
      <c r="J23" s="48" t="n"/>
      <c r="K23" s="2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  <c r="AZ23" s="49" t="n"/>
      <c r="BA23" s="49" t="n"/>
      <c r="BB23" s="49" t="n"/>
      <c r="BC23" s="49" t="n"/>
      <c r="BD23" s="49" t="n"/>
      <c r="BE23" s="49" t="n"/>
      <c r="BF23" s="49" t="n"/>
      <c r="BG23" s="49" t="n"/>
      <c r="BH23" s="49" t="n"/>
      <c r="BI23" s="49" t="n"/>
      <c r="BJ23" s="49" t="n"/>
      <c r="BK23" s="49" t="n"/>
      <c r="BL23" s="49" t="n"/>
      <c r="BM23" s="49" t="n"/>
      <c r="BN23" s="49" t="n"/>
      <c r="BO23" s="49" t="n"/>
      <c r="BP23" s="49" t="n"/>
      <c r="BQ23" s="49" t="n"/>
      <c r="BR23" s="49" t="n"/>
      <c r="BS23" s="49" t="n"/>
      <c r="BT23" s="49" t="n"/>
      <c r="BU23" s="49" t="n"/>
      <c r="BV23" s="49" t="n"/>
      <c r="BW23" s="49" t="n"/>
      <c r="BX23" s="49" t="n"/>
      <c r="BY23" s="49" t="n"/>
      <c r="BZ23" s="49" t="n"/>
      <c r="CA23" s="49" t="n"/>
      <c r="CB23" s="49" t="n"/>
      <c r="CC23" s="49" t="n"/>
      <c r="CD23" s="49" t="n"/>
      <c r="CE23" s="49" t="n"/>
      <c r="CF23" s="49" t="n"/>
      <c r="CG23" s="49" t="n"/>
      <c r="CH23" s="49" t="n"/>
      <c r="CI23" s="49" t="n"/>
      <c r="CJ23" s="49" t="n"/>
      <c r="CK23" s="49" t="n"/>
      <c r="CL23" s="49" t="n"/>
      <c r="CM23" s="49" t="n"/>
      <c r="CN23" s="49" t="n"/>
      <c r="CO23" s="49" t="n"/>
      <c r="CP23" s="49" t="n"/>
      <c r="CQ23" s="49" t="n"/>
      <c r="CR23" s="49" t="n"/>
      <c r="CS23" s="49" t="n"/>
      <c r="CT23" s="49" t="n"/>
      <c r="CU23" s="49" t="n"/>
      <c r="CV23" s="49" t="n"/>
      <c r="CW23" s="49" t="n"/>
      <c r="CX23" s="49" t="n"/>
      <c r="CY23" s="49" t="n"/>
      <c r="CZ23" s="49" t="n"/>
      <c r="DA23" s="49" t="n"/>
      <c r="DB23" s="49" t="n"/>
      <c r="DC23" s="49" t="n"/>
      <c r="DD23" s="49" t="n"/>
      <c r="DE23" s="49" t="n"/>
      <c r="DF23" s="49" t="n"/>
      <c r="DG23" s="49" t="n"/>
      <c r="DH23" s="49" t="n"/>
      <c r="DI23" s="49" t="n"/>
      <c r="DJ23" s="49" t="n"/>
      <c r="DK23" s="49" t="n"/>
      <c r="DL23" s="49" t="n"/>
      <c r="DM23" s="49" t="n"/>
      <c r="DN23" s="49" t="n"/>
      <c r="DO23" s="49" t="n"/>
      <c r="DP23" s="49" t="n"/>
      <c r="DQ23" s="49" t="n"/>
      <c r="DR23" s="49" t="n"/>
      <c r="DS23" s="49" t="n"/>
      <c r="DT23" s="49" t="n"/>
      <c r="DU23" s="49" t="n"/>
      <c r="DV23" s="49" t="n"/>
      <c r="DW23" s="49" t="n"/>
      <c r="DX23" s="49" t="n"/>
      <c r="DY23" s="49" t="n"/>
      <c r="DZ23" s="49" t="n"/>
      <c r="EA23" s="49" t="n"/>
      <c r="EB23" s="49" t="n"/>
      <c r="EC23" s="49" t="n"/>
      <c r="ED23" s="49" t="n"/>
      <c r="EE23" s="49" t="n"/>
      <c r="EF23" s="49" t="n"/>
      <c r="EG23" s="49" t="n"/>
      <c r="EH23" s="49" t="n"/>
      <c r="EI23" s="49" t="n"/>
      <c r="EJ23" s="49" t="n"/>
      <c r="EK23" s="49" t="n"/>
      <c r="EL23" s="49" t="n"/>
      <c r="EM23" s="49" t="n"/>
      <c r="EN23" s="49" t="n"/>
      <c r="EO23" s="49" t="n"/>
      <c r="EP23" s="49" t="n"/>
      <c r="EQ23" s="49" t="n"/>
      <c r="ER23" s="49" t="n"/>
      <c r="ES23" s="49" t="n"/>
      <c r="ET23" s="49" t="n"/>
      <c r="EU23" s="49" t="n"/>
      <c r="EV23" s="49" t="n"/>
      <c r="EW23" s="49" t="n"/>
      <c r="EX23" s="49" t="n"/>
      <c r="EY23" s="49" t="n"/>
      <c r="EZ23" s="49" t="n"/>
      <c r="FA23" s="49" t="n"/>
      <c r="FB23" s="49" t="n"/>
      <c r="FC23" s="49" t="n"/>
      <c r="FD23" s="49" t="n"/>
      <c r="FE23" s="49" t="n"/>
      <c r="FF23" s="49" t="n"/>
      <c r="FG23" s="49" t="n"/>
      <c r="FH23" s="49" t="n"/>
      <c r="FI23" s="49" t="n"/>
      <c r="FJ23" s="49" t="n"/>
      <c r="FK23" s="49" t="n"/>
      <c r="FL23" s="49" t="n"/>
      <c r="FM23" s="49" t="n"/>
      <c r="FN23" s="49" t="n"/>
      <c r="FO23" s="49" t="n"/>
      <c r="FP23" s="49" t="n"/>
      <c r="FQ23" s="49" t="n"/>
      <c r="FR23" s="49" t="n"/>
      <c r="FS23" s="49" t="n"/>
      <c r="FT23" s="49" t="n"/>
      <c r="FU23" s="49" t="n"/>
      <c r="FV23" s="49" t="n"/>
      <c r="FW23" s="49" t="n"/>
      <c r="FX23" s="49" t="n"/>
      <c r="FY23" s="49" t="n"/>
      <c r="FZ23" s="49" t="n"/>
      <c r="GA23" s="49" t="n"/>
      <c r="GB23" s="49" t="n"/>
      <c r="GC23" s="49" t="n"/>
      <c r="GD23" s="49" t="n"/>
      <c r="GE23" s="49" t="n"/>
      <c r="GF23" s="49" t="n"/>
      <c r="GG23" s="49" t="n"/>
      <c r="GH23" s="49" t="n"/>
      <c r="GI23" s="49" t="n"/>
      <c r="GJ23" s="49" t="n"/>
      <c r="GK23" s="49" t="n"/>
      <c r="GL23" s="49" t="n"/>
      <c r="GM23" s="49" t="n"/>
      <c r="GN23" s="49" t="n"/>
      <c r="GO23" s="49" t="n"/>
      <c r="GP23" s="49" t="n"/>
      <c r="GQ23" s="49" t="n"/>
      <c r="GR23" s="49" t="n"/>
      <c r="GS23" s="49" t="n"/>
      <c r="GT23" s="49" t="n"/>
      <c r="GU23" s="49" t="n"/>
      <c r="GV23" s="49" t="n"/>
      <c r="GW23" s="49" t="n"/>
      <c r="GX23" s="49" t="n"/>
      <c r="GY23" s="49" t="n"/>
      <c r="GZ23" s="49" t="n"/>
      <c r="HA23" s="49" t="n"/>
      <c r="HB23" s="49" t="n"/>
      <c r="HC23" s="49" t="n"/>
      <c r="HD23" s="49" t="n"/>
      <c r="HE23" s="49" t="n"/>
      <c r="HF23" s="49" t="n"/>
      <c r="HG23" s="49" t="n"/>
      <c r="HH23" s="49" t="n"/>
      <c r="HI23" s="49" t="n"/>
      <c r="HJ23" s="49" t="n"/>
      <c r="HK23" s="49" t="n"/>
      <c r="HL23" s="49" t="n"/>
      <c r="HM23" s="49" t="n"/>
      <c r="HN23" s="49" t="n"/>
      <c r="HO23" s="49" t="n"/>
      <c r="HP23" s="49" t="n"/>
      <c r="HQ23" s="49" t="n"/>
      <c r="HR23" s="49" t="n"/>
      <c r="HS23" s="49" t="n"/>
      <c r="HT23" s="49" t="n"/>
      <c r="HU23" s="49" t="n"/>
      <c r="HV23" s="49" t="n"/>
      <c r="HW23" s="49" t="n"/>
      <c r="HX23" s="49" t="n"/>
      <c r="HY23" s="49" t="n"/>
      <c r="HZ23" s="49" t="n"/>
      <c r="IA23" s="49" t="n"/>
      <c r="IB23" s="49" t="n"/>
      <c r="IC23" s="49" t="n"/>
      <c r="ID23" s="49" t="n"/>
      <c r="IE23" s="49" t="n"/>
      <c r="IF23" s="49" t="n"/>
      <c r="IG23" s="49" t="n"/>
      <c r="IH23" s="49" t="n"/>
      <c r="II23" s="49" t="n"/>
      <c r="IJ23" s="49" t="n"/>
      <c r="IK23" s="49" t="n"/>
      <c r="IL23" s="49" t="n"/>
      <c r="IM23" s="49" t="n"/>
      <c r="IN23" s="49" t="n"/>
      <c r="IO23" s="49" t="n"/>
      <c r="IP23" s="49" t="n"/>
      <c r="IQ23" s="49" t="n"/>
      <c r="IR23" s="49" t="n"/>
      <c r="IS23" s="49" t="n"/>
      <c r="IT23" s="49" t="n"/>
      <c r="IU23" s="49" t="n"/>
      <c r="IV23" s="49" t="n"/>
      <c r="IW23" s="49" t="n"/>
      <c r="IX23" s="49" t="n"/>
      <c r="IY23" s="49" t="n"/>
      <c r="IZ23" s="49" t="n"/>
      <c r="JA23" s="49" t="n"/>
      <c r="JB23" s="49" t="n"/>
      <c r="JC23" s="49" t="n"/>
      <c r="JD23" s="49" t="n"/>
      <c r="JE23" s="49" t="n"/>
      <c r="JF23" s="49" t="n"/>
      <c r="JG23" s="49" t="n"/>
      <c r="JH23" s="49" t="n"/>
      <c r="JI23" s="49" t="n"/>
      <c r="JJ23" s="49" t="n"/>
      <c r="JK23" s="49" t="n"/>
      <c r="JL23" s="49" t="n"/>
      <c r="JM23" s="49" t="n"/>
      <c r="JN23" s="49" t="n"/>
      <c r="JO23" s="49" t="n"/>
      <c r="JP23" s="49" t="n"/>
      <c r="JQ23" s="49" t="n"/>
      <c r="JR23" s="49" t="n"/>
      <c r="JS23" s="49" t="n"/>
      <c r="JT23" s="49" t="n"/>
      <c r="JU23" s="49" t="n"/>
      <c r="JV23" s="49" t="n"/>
      <c r="JW23" s="49" t="n"/>
      <c r="JX23" s="49" t="n"/>
      <c r="JY23" s="49" t="n"/>
      <c r="JZ23" s="49" t="n"/>
      <c r="KA23" s="49" t="n"/>
      <c r="KB23" s="49" t="n"/>
      <c r="KC23" s="49" t="n"/>
      <c r="KD23" s="49" t="n"/>
      <c r="KE23" s="49" t="n"/>
      <c r="KF23" s="49" t="n"/>
      <c r="KG23" s="49" t="n"/>
      <c r="KH23" s="49" t="n"/>
      <c r="KI23" s="49" t="n"/>
      <c r="KJ23" s="49" t="n"/>
      <c r="KK23" s="49" t="n"/>
      <c r="KL23" s="49" t="n"/>
      <c r="KM23" s="49" t="n"/>
      <c r="KN23" s="49" t="n"/>
      <c r="KO23" s="49" t="n"/>
      <c r="KP23" s="49" t="n"/>
      <c r="KQ23" s="49" t="n"/>
      <c r="KR23" s="49" t="n"/>
      <c r="KS23" s="49" t="n"/>
      <c r="KT23" s="49" t="n"/>
      <c r="KU23" s="49" t="n"/>
      <c r="KV23" s="49" t="n"/>
      <c r="KW23" s="49" t="n"/>
      <c r="KX23" s="49" t="n"/>
      <c r="KY23" s="49" t="n"/>
      <c r="KZ23" s="49" t="n"/>
      <c r="LA23" s="49" t="n"/>
      <c r="LB23" s="49" t="n"/>
      <c r="LC23" s="49" t="n"/>
      <c r="LD23" s="49" t="n"/>
      <c r="LE23" s="49" t="n"/>
      <c r="LF23" s="49" t="n"/>
      <c r="LG23" s="49" t="n"/>
      <c r="LH23" s="49" t="n"/>
      <c r="LI23" s="49" t="n"/>
      <c r="LJ23" s="49" t="n"/>
      <c r="LK23" s="49" t="n"/>
      <c r="LL23" s="49" t="n"/>
      <c r="LM23" s="49" t="n"/>
      <c r="LN23" s="49" t="n"/>
      <c r="LO23" s="49" t="n"/>
      <c r="LP23" s="49" t="n"/>
      <c r="LQ23" s="49" t="n"/>
      <c r="LR23" s="49" t="n"/>
      <c r="LS23" s="49" t="n"/>
      <c r="LT23" s="49" t="n"/>
      <c r="LU23" s="49" t="n"/>
      <c r="LV23" s="49" t="n"/>
      <c r="LW23" s="49" t="n"/>
      <c r="LX23" s="49" t="n"/>
      <c r="LY23" s="49" t="n"/>
      <c r="LZ23" s="49" t="n"/>
      <c r="MA23" s="49" t="n"/>
      <c r="MB23" s="49" t="n"/>
      <c r="MC23" s="49" t="n"/>
      <c r="MD23" s="49" t="n"/>
      <c r="ME23" s="49" t="n"/>
      <c r="MF23" s="49" t="n"/>
      <c r="MG23" s="49" t="n"/>
      <c r="MH23" s="49" t="n"/>
      <c r="MI23" s="49" t="n"/>
      <c r="MJ23" s="49" t="n"/>
      <c r="MK23" s="49" t="n"/>
      <c r="ML23" s="49" t="n"/>
      <c r="MM23" s="49" t="n"/>
      <c r="MN23" s="49" t="n"/>
      <c r="MO23" s="49" t="n"/>
      <c r="MP23" s="49" t="n"/>
      <c r="MQ23" s="49" t="n"/>
      <c r="MR23" s="49" t="n"/>
      <c r="MS23" s="49" t="n"/>
      <c r="MT23" s="49" t="n"/>
      <c r="MU23" s="49" t="n"/>
      <c r="MV23" s="49" t="n"/>
      <c r="MW23" s="49" t="n"/>
      <c r="MX23" s="49" t="n"/>
      <c r="MY23" s="49" t="n"/>
      <c r="MZ23" s="49" t="n"/>
      <c r="NA23" s="49" t="n"/>
      <c r="NB23" s="49" t="n"/>
      <c r="NC23" s="49" t="n"/>
      <c r="ND23" s="49" t="n"/>
      <c r="NE23" s="49" t="n"/>
      <c r="NF23" s="49" t="n"/>
      <c r="NG23" s="49" t="n"/>
      <c r="NH23" s="49" t="n"/>
      <c r="NI23" s="49" t="n"/>
      <c r="NJ23" s="49" t="n"/>
      <c r="NK23" s="49" t="n"/>
      <c r="NL23" s="49" t="n"/>
      <c r="NM23" s="49" t="n"/>
      <c r="NN23" s="49" t="n"/>
      <c r="NO23" s="49" t="n"/>
      <c r="NP23" s="49" t="n"/>
      <c r="NQ23" s="49" t="n"/>
      <c r="NR23" s="49" t="n"/>
      <c r="NS23" s="49" t="n"/>
      <c r="NT23" s="49" t="n"/>
      <c r="NU23" s="49" t="n"/>
      <c r="NV23" s="49" t="n"/>
      <c r="NW23" s="49" t="n"/>
      <c r="NX23" s="49" t="n"/>
      <c r="NY23" s="49" t="n"/>
      <c r="NZ23" s="49" t="n"/>
      <c r="OA23" s="49" t="n"/>
      <c r="OB23" s="49" t="n"/>
      <c r="OC23" s="49" t="n"/>
      <c r="OD23" s="49" t="n"/>
      <c r="OE23" s="49" t="n"/>
      <c r="OF23" s="49" t="n"/>
      <c r="OG23" s="49" t="n"/>
      <c r="OH23" s="49" t="n"/>
      <c r="OI23" s="49" t="n"/>
      <c r="OJ23" s="49" t="n"/>
      <c r="OK23" s="49" t="n"/>
      <c r="OL23" s="49" t="n"/>
      <c r="OM23" s="49" t="n"/>
      <c r="ON23" s="49" t="n"/>
      <c r="OO23" s="49" t="n"/>
      <c r="OP23" s="49" t="n"/>
      <c r="OQ23" s="49" t="n"/>
      <c r="OR23" s="49" t="n"/>
      <c r="OS23" s="49" t="n"/>
      <c r="OT23" s="49" t="n"/>
      <c r="OU23" s="49" t="n"/>
      <c r="OV23" s="49" t="n"/>
      <c r="OW23" s="49" t="n"/>
      <c r="OX23" s="49" t="n"/>
      <c r="OY23" s="49" t="n"/>
      <c r="OZ23" s="49" t="n"/>
      <c r="PA23" s="49" t="n"/>
      <c r="PB23" s="49" t="n"/>
      <c r="PC23" s="49" t="n"/>
      <c r="PD23" s="49" t="n"/>
      <c r="PE23" s="49" t="n"/>
      <c r="PF23" s="49" t="n"/>
      <c r="PG23" s="49" t="n"/>
      <c r="PH23" s="49" t="n"/>
      <c r="PI23" s="49" t="n"/>
      <c r="PJ23" s="49" t="n"/>
      <c r="PK23" s="49" t="n"/>
      <c r="PL23" s="49" t="n"/>
      <c r="PM23" s="49" t="n"/>
      <c r="PN23" s="49" t="n"/>
      <c r="PO23" s="49" t="n"/>
      <c r="PP23" s="49" t="n"/>
      <c r="PQ23" s="49" t="n"/>
      <c r="PR23" s="49" t="n"/>
      <c r="PS23" s="49" t="n"/>
      <c r="PT23" s="49" t="n"/>
      <c r="PU23" s="49" t="n"/>
      <c r="PV23" s="49" t="n"/>
      <c r="PW23" s="49" t="n"/>
      <c r="PX23" s="49" t="n"/>
      <c r="PY23" s="49" t="n"/>
      <c r="PZ23" s="49" t="n"/>
      <c r="QA23" s="49" t="n"/>
      <c r="QB23" s="49" t="n"/>
      <c r="QC23" s="49" t="n"/>
      <c r="QD23" s="49" t="n"/>
      <c r="QE23" s="49" t="n"/>
      <c r="QF23" s="49" t="n"/>
      <c r="QG23" s="49" t="n"/>
      <c r="QH23" s="49" t="n"/>
      <c r="QI23" s="49" t="n"/>
      <c r="QJ23" s="49" t="n"/>
      <c r="QK23" s="49" t="n"/>
      <c r="QL23" s="49" t="n"/>
      <c r="QM23" s="49" t="n"/>
      <c r="QN23" s="49" t="n"/>
      <c r="QO23" s="49" t="n"/>
      <c r="QP23" s="49" t="n"/>
      <c r="QQ23" s="49" t="n"/>
      <c r="QR23" s="49" t="n"/>
      <c r="QS23" s="49" t="n"/>
      <c r="QT23" s="49" t="n"/>
      <c r="QU23" s="49" t="n"/>
      <c r="QV23" s="49" t="n"/>
      <c r="QW23" s="49" t="n"/>
      <c r="QX23" s="49" t="n"/>
      <c r="QY23" s="49" t="n"/>
      <c r="QZ23" s="49" t="n"/>
      <c r="RA23" s="49" t="n"/>
      <c r="RB23" s="49" t="n"/>
      <c r="RC23" s="49" t="n"/>
      <c r="RD23" s="49" t="n"/>
      <c r="RE23" s="49" t="n"/>
      <c r="RF23" s="49" t="n"/>
      <c r="RG23" s="49" t="n"/>
      <c r="RH23" s="49" t="n"/>
      <c r="RI23" s="49" t="n"/>
      <c r="RJ23" s="49" t="n"/>
      <c r="RK23" s="49" t="n"/>
      <c r="RL23" s="49" t="n"/>
      <c r="RM23" s="49" t="n"/>
      <c r="RN23" s="49" t="n"/>
      <c r="RO23" s="49" t="n"/>
      <c r="RP23" s="49" t="n"/>
      <c r="RQ23" s="49" t="n"/>
      <c r="RR23" s="49" t="n"/>
      <c r="RS23" s="49" t="n"/>
      <c r="RT23" s="49" t="n"/>
      <c r="RU23" s="49" t="n"/>
      <c r="RV23" s="49" t="n"/>
      <c r="RW23" s="49" t="n"/>
    </row>
    <row r="24" hidden="1" outlineLevel="1" ht="13.05" customHeight="1">
      <c r="E24" s="29" t="n"/>
      <c r="F24" s="29" t="n"/>
      <c r="G24" s="29" t="n"/>
      <c r="H24" s="29" t="n"/>
      <c r="I24" s="29" t="n"/>
      <c r="J24" s="48" t="n"/>
      <c r="K24" s="2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  <c r="AZ24" s="49" t="n"/>
      <c r="BA24" s="49" t="n"/>
      <c r="BB24" s="49" t="n"/>
      <c r="BC24" s="49" t="n"/>
      <c r="BD24" s="49" t="n"/>
      <c r="BE24" s="49" t="n"/>
      <c r="BF24" s="49" t="n"/>
      <c r="BG24" s="49" t="n"/>
      <c r="BH24" s="49" t="n"/>
      <c r="BI24" s="49" t="n"/>
      <c r="BJ24" s="49" t="n"/>
      <c r="BK24" s="49" t="n"/>
      <c r="BL24" s="49" t="n"/>
      <c r="BM24" s="49" t="n"/>
      <c r="BN24" s="49" t="n"/>
      <c r="BO24" s="49" t="n"/>
      <c r="BP24" s="49" t="n"/>
      <c r="BQ24" s="49" t="n"/>
      <c r="BR24" s="49" t="n"/>
      <c r="BS24" s="49" t="n"/>
      <c r="BT24" s="49" t="n"/>
      <c r="BU24" s="49" t="n"/>
      <c r="BV24" s="49" t="n"/>
      <c r="BW24" s="49" t="n"/>
      <c r="BX24" s="49" t="n"/>
      <c r="BY24" s="49" t="n"/>
      <c r="BZ24" s="49" t="n"/>
      <c r="CA24" s="49" t="n"/>
      <c r="CB24" s="49" t="n"/>
      <c r="CC24" s="49" t="n"/>
      <c r="CD24" s="49" t="n"/>
      <c r="CE24" s="49" t="n"/>
      <c r="CF24" s="49" t="n"/>
      <c r="CG24" s="49" t="n"/>
      <c r="CH24" s="49" t="n"/>
      <c r="CI24" s="49" t="n"/>
      <c r="CJ24" s="49" t="n"/>
      <c r="CK24" s="49" t="n"/>
      <c r="CL24" s="49" t="n"/>
      <c r="CM24" s="49" t="n"/>
      <c r="CN24" s="49" t="n"/>
      <c r="CO24" s="49" t="n"/>
      <c r="CP24" s="49" t="n"/>
      <c r="CQ24" s="49" t="n"/>
      <c r="CR24" s="49" t="n"/>
      <c r="CS24" s="49" t="n"/>
      <c r="CT24" s="49" t="n"/>
      <c r="CU24" s="49" t="n"/>
      <c r="CV24" s="49" t="n"/>
      <c r="CW24" s="49" t="n"/>
      <c r="CX24" s="49" t="n"/>
      <c r="CY24" s="49" t="n"/>
      <c r="CZ24" s="49" t="n"/>
      <c r="DA24" s="49" t="n"/>
      <c r="DB24" s="49" t="n"/>
      <c r="DC24" s="49" t="n"/>
      <c r="DD24" s="49" t="n"/>
      <c r="DE24" s="49" t="n"/>
      <c r="DF24" s="49" t="n"/>
      <c r="DG24" s="49" t="n"/>
      <c r="DH24" s="49" t="n"/>
      <c r="DI24" s="49" t="n"/>
      <c r="DJ24" s="49" t="n"/>
      <c r="DK24" s="49" t="n"/>
      <c r="DL24" s="49" t="n"/>
      <c r="DM24" s="49" t="n"/>
      <c r="DN24" s="49" t="n"/>
      <c r="DO24" s="49" t="n"/>
      <c r="DP24" s="49" t="n"/>
      <c r="DQ24" s="49" t="n"/>
      <c r="DR24" s="49" t="n"/>
      <c r="DS24" s="49" t="n"/>
      <c r="DT24" s="49" t="n"/>
      <c r="DU24" s="49" t="n"/>
      <c r="DV24" s="49" t="n"/>
      <c r="DW24" s="49" t="n"/>
      <c r="DX24" s="49" t="n"/>
      <c r="DY24" s="49" t="n"/>
      <c r="DZ24" s="49" t="n"/>
      <c r="EA24" s="49" t="n"/>
      <c r="EB24" s="49" t="n"/>
      <c r="EC24" s="49" t="n"/>
      <c r="ED24" s="49" t="n"/>
      <c r="EE24" s="49" t="n"/>
      <c r="EF24" s="49" t="n"/>
      <c r="EG24" s="49" t="n"/>
      <c r="EH24" s="49" t="n"/>
      <c r="EI24" s="49" t="n"/>
      <c r="EJ24" s="49" t="n"/>
      <c r="EK24" s="49" t="n"/>
      <c r="EL24" s="49" t="n"/>
      <c r="EM24" s="49" t="n"/>
      <c r="EN24" s="49" t="n"/>
      <c r="EO24" s="49" t="n"/>
      <c r="EP24" s="49" t="n"/>
      <c r="EQ24" s="49" t="n"/>
      <c r="ER24" s="49" t="n"/>
      <c r="ES24" s="49" t="n"/>
      <c r="ET24" s="49" t="n"/>
      <c r="EU24" s="49" t="n"/>
      <c r="EV24" s="49" t="n"/>
      <c r="EW24" s="49" t="n"/>
      <c r="EX24" s="49" t="n"/>
      <c r="EY24" s="49" t="n"/>
      <c r="EZ24" s="49" t="n"/>
      <c r="FA24" s="49" t="n"/>
      <c r="FB24" s="49" t="n"/>
      <c r="FC24" s="49" t="n"/>
      <c r="FD24" s="49" t="n"/>
      <c r="FE24" s="49" t="n"/>
      <c r="FF24" s="49" t="n"/>
      <c r="FG24" s="49" t="n"/>
      <c r="FH24" s="49" t="n"/>
      <c r="FI24" s="49" t="n"/>
      <c r="FJ24" s="49" t="n"/>
      <c r="FK24" s="49" t="n"/>
      <c r="FL24" s="49" t="n"/>
      <c r="FM24" s="49" t="n"/>
      <c r="FN24" s="49" t="n"/>
      <c r="FO24" s="49" t="n"/>
      <c r="FP24" s="49" t="n"/>
      <c r="FQ24" s="49" t="n"/>
      <c r="FR24" s="49" t="n"/>
      <c r="FS24" s="49" t="n"/>
      <c r="FT24" s="49" t="n"/>
      <c r="FU24" s="49" t="n"/>
      <c r="FV24" s="49" t="n"/>
      <c r="FW24" s="49" t="n"/>
      <c r="FX24" s="49" t="n"/>
      <c r="FY24" s="49" t="n"/>
      <c r="FZ24" s="49" t="n"/>
      <c r="GA24" s="49" t="n"/>
      <c r="GB24" s="49" t="n"/>
      <c r="GC24" s="49" t="n"/>
      <c r="GD24" s="49" t="n"/>
      <c r="GE24" s="49" t="n"/>
      <c r="GF24" s="49" t="n"/>
      <c r="GG24" s="49" t="n"/>
      <c r="GH24" s="49" t="n"/>
      <c r="GI24" s="49" t="n"/>
      <c r="GJ24" s="49" t="n"/>
      <c r="GK24" s="49" t="n"/>
      <c r="GL24" s="49" t="n"/>
      <c r="GM24" s="49" t="n"/>
      <c r="GN24" s="49" t="n"/>
      <c r="GO24" s="49" t="n"/>
      <c r="GP24" s="49" t="n"/>
      <c r="GQ24" s="49" t="n"/>
      <c r="GR24" s="49" t="n"/>
      <c r="GS24" s="49" t="n"/>
      <c r="GT24" s="49" t="n"/>
      <c r="GU24" s="49" t="n"/>
      <c r="GV24" s="49" t="n"/>
      <c r="GW24" s="49" t="n"/>
      <c r="GX24" s="49" t="n"/>
      <c r="GY24" s="49" t="n"/>
      <c r="GZ24" s="49" t="n"/>
      <c r="HA24" s="49" t="n"/>
      <c r="HB24" s="49" t="n"/>
      <c r="HC24" s="49" t="n"/>
      <c r="HD24" s="49" t="n"/>
      <c r="HE24" s="49" t="n"/>
      <c r="HF24" s="49" t="n"/>
      <c r="HG24" s="49" t="n"/>
      <c r="HH24" s="49" t="n"/>
      <c r="HI24" s="49" t="n"/>
      <c r="HJ24" s="49" t="n"/>
      <c r="HK24" s="49" t="n"/>
      <c r="HL24" s="49" t="n"/>
      <c r="HM24" s="49" t="n"/>
      <c r="HN24" s="49" t="n"/>
      <c r="HO24" s="49" t="n"/>
      <c r="HP24" s="49" t="n"/>
      <c r="HQ24" s="49" t="n"/>
      <c r="HR24" s="49" t="n"/>
      <c r="HS24" s="49" t="n"/>
      <c r="HT24" s="49" t="n"/>
      <c r="HU24" s="49" t="n"/>
      <c r="HV24" s="49" t="n"/>
      <c r="HW24" s="49" t="n"/>
      <c r="HX24" s="49" t="n"/>
      <c r="HY24" s="49" t="n"/>
      <c r="HZ24" s="49" t="n"/>
      <c r="IA24" s="49" t="n"/>
      <c r="IB24" s="49" t="n"/>
      <c r="IC24" s="49" t="n"/>
      <c r="ID24" s="49" t="n"/>
      <c r="IE24" s="49" t="n"/>
      <c r="IF24" s="49" t="n"/>
      <c r="IG24" s="49" t="n"/>
      <c r="IH24" s="49" t="n"/>
      <c r="II24" s="49" t="n"/>
      <c r="IJ24" s="49" t="n"/>
      <c r="IK24" s="49" t="n"/>
      <c r="IL24" s="49" t="n"/>
      <c r="IM24" s="49" t="n"/>
      <c r="IN24" s="49" t="n"/>
      <c r="IO24" s="49" t="n"/>
      <c r="IP24" s="49" t="n"/>
      <c r="IQ24" s="49" t="n"/>
      <c r="IR24" s="49" t="n"/>
      <c r="IS24" s="49" t="n"/>
      <c r="IT24" s="49" t="n"/>
      <c r="IU24" s="49" t="n"/>
      <c r="IV24" s="49" t="n"/>
      <c r="IW24" s="49" t="n"/>
      <c r="IX24" s="49" t="n"/>
      <c r="IY24" s="49" t="n"/>
      <c r="IZ24" s="49" t="n"/>
      <c r="JA24" s="49" t="n"/>
      <c r="JB24" s="49" t="n"/>
      <c r="JC24" s="49" t="n"/>
      <c r="JD24" s="49" t="n"/>
      <c r="JE24" s="49" t="n"/>
      <c r="JF24" s="49" t="n"/>
      <c r="JG24" s="49" t="n"/>
      <c r="JH24" s="49" t="n"/>
      <c r="JI24" s="49" t="n"/>
      <c r="JJ24" s="49" t="n"/>
      <c r="JK24" s="49" t="n"/>
      <c r="JL24" s="49" t="n"/>
      <c r="JM24" s="49" t="n"/>
      <c r="JN24" s="49" t="n"/>
      <c r="JO24" s="49" t="n"/>
      <c r="JP24" s="49" t="n"/>
      <c r="JQ24" s="49" t="n"/>
      <c r="JR24" s="49" t="n"/>
      <c r="JS24" s="49" t="n"/>
      <c r="JT24" s="49" t="n"/>
      <c r="JU24" s="49" t="n"/>
      <c r="JV24" s="49" t="n"/>
      <c r="JW24" s="49" t="n"/>
      <c r="JX24" s="49" t="n"/>
      <c r="JY24" s="49" t="n"/>
      <c r="JZ24" s="49" t="n"/>
      <c r="KA24" s="49" t="n"/>
      <c r="KB24" s="49" t="n"/>
      <c r="KC24" s="49" t="n"/>
      <c r="KD24" s="49" t="n"/>
      <c r="KE24" s="49" t="n"/>
      <c r="KF24" s="49" t="n"/>
      <c r="KG24" s="49" t="n"/>
      <c r="KH24" s="49" t="n"/>
      <c r="KI24" s="49" t="n"/>
      <c r="KJ24" s="49" t="n"/>
      <c r="KK24" s="49" t="n"/>
      <c r="KL24" s="49" t="n"/>
      <c r="KM24" s="49" t="n"/>
      <c r="KN24" s="49" t="n"/>
      <c r="KO24" s="49" t="n"/>
      <c r="KP24" s="49" t="n"/>
      <c r="KQ24" s="49" t="n"/>
      <c r="KR24" s="49" t="n"/>
      <c r="KS24" s="49" t="n"/>
      <c r="KT24" s="49" t="n"/>
      <c r="KU24" s="49" t="n"/>
      <c r="KV24" s="49" t="n"/>
      <c r="KW24" s="49" t="n"/>
      <c r="KX24" s="49" t="n"/>
      <c r="KY24" s="49" t="n"/>
      <c r="KZ24" s="49" t="n"/>
      <c r="LA24" s="49" t="n"/>
      <c r="LB24" s="49" t="n"/>
      <c r="LC24" s="49" t="n"/>
      <c r="LD24" s="49" t="n"/>
      <c r="LE24" s="49" t="n"/>
      <c r="LF24" s="49" t="n"/>
      <c r="LG24" s="49" t="n"/>
      <c r="LH24" s="49" t="n"/>
      <c r="LI24" s="49" t="n"/>
      <c r="LJ24" s="49" t="n"/>
      <c r="LK24" s="49" t="n"/>
      <c r="LL24" s="49" t="n"/>
      <c r="LM24" s="49" t="n"/>
      <c r="LN24" s="49" t="n"/>
      <c r="LO24" s="49" t="n"/>
      <c r="LP24" s="49" t="n"/>
      <c r="LQ24" s="49" t="n"/>
      <c r="LR24" s="49" t="n"/>
      <c r="LS24" s="49" t="n"/>
      <c r="LT24" s="49" t="n"/>
      <c r="LU24" s="49" t="n"/>
      <c r="LV24" s="49" t="n"/>
      <c r="LW24" s="49" t="n"/>
      <c r="LX24" s="49" t="n"/>
      <c r="LY24" s="49" t="n"/>
      <c r="LZ24" s="49" t="n"/>
      <c r="MA24" s="49" t="n"/>
      <c r="MB24" s="49" t="n"/>
      <c r="MC24" s="49" t="n"/>
      <c r="MD24" s="49" t="n"/>
      <c r="ME24" s="49" t="n"/>
      <c r="MF24" s="49" t="n"/>
      <c r="MG24" s="49" t="n"/>
      <c r="MH24" s="49" t="n"/>
      <c r="MI24" s="49" t="n"/>
      <c r="MJ24" s="49" t="n"/>
      <c r="MK24" s="49" t="n"/>
      <c r="ML24" s="49" t="n"/>
      <c r="MM24" s="49" t="n"/>
      <c r="MN24" s="49" t="n"/>
      <c r="MO24" s="49" t="n"/>
      <c r="MP24" s="49" t="n"/>
      <c r="MQ24" s="49" t="n"/>
      <c r="MR24" s="49" t="n"/>
      <c r="MS24" s="49" t="n"/>
      <c r="MT24" s="49" t="n"/>
      <c r="MU24" s="49" t="n"/>
      <c r="MV24" s="49" t="n"/>
      <c r="MW24" s="49" t="n"/>
      <c r="MX24" s="49" t="n"/>
      <c r="MY24" s="49" t="n"/>
      <c r="MZ24" s="49" t="n"/>
      <c r="NA24" s="49" t="n"/>
      <c r="NB24" s="49" t="n"/>
      <c r="NC24" s="49" t="n"/>
      <c r="ND24" s="49" t="n"/>
      <c r="NE24" s="49" t="n"/>
      <c r="NF24" s="49" t="n"/>
      <c r="NG24" s="49" t="n"/>
      <c r="NH24" s="49" t="n"/>
      <c r="NI24" s="49" t="n"/>
      <c r="NJ24" s="49" t="n"/>
      <c r="NK24" s="49" t="n"/>
      <c r="NL24" s="49" t="n"/>
      <c r="NM24" s="49" t="n"/>
      <c r="NN24" s="49" t="n"/>
      <c r="NO24" s="49" t="n"/>
      <c r="NP24" s="49" t="n"/>
      <c r="NQ24" s="49" t="n"/>
      <c r="NR24" s="49" t="n"/>
      <c r="NS24" s="49" t="n"/>
      <c r="NT24" s="49" t="n"/>
      <c r="NU24" s="49" t="n"/>
      <c r="NV24" s="49" t="n"/>
      <c r="NW24" s="49" t="n"/>
      <c r="NX24" s="49" t="n"/>
      <c r="NY24" s="49" t="n"/>
      <c r="NZ24" s="49" t="n"/>
      <c r="OA24" s="49" t="n"/>
      <c r="OB24" s="49" t="n"/>
      <c r="OC24" s="49" t="n"/>
      <c r="OD24" s="49" t="n"/>
      <c r="OE24" s="49" t="n"/>
      <c r="OF24" s="49" t="n"/>
      <c r="OG24" s="49" t="n"/>
      <c r="OH24" s="49" t="n"/>
      <c r="OI24" s="49" t="n"/>
      <c r="OJ24" s="49" t="n"/>
      <c r="OK24" s="49" t="n"/>
      <c r="OL24" s="49" t="n"/>
      <c r="OM24" s="49" t="n"/>
      <c r="ON24" s="49" t="n"/>
      <c r="OO24" s="49" t="n"/>
      <c r="OP24" s="49" t="n"/>
      <c r="OQ24" s="49" t="n"/>
      <c r="OR24" s="49" t="n"/>
      <c r="OS24" s="49" t="n"/>
      <c r="OT24" s="49" t="n"/>
      <c r="OU24" s="49" t="n"/>
      <c r="OV24" s="49" t="n"/>
      <c r="OW24" s="49" t="n"/>
      <c r="OX24" s="49" t="n"/>
      <c r="OY24" s="49" t="n"/>
      <c r="OZ24" s="49" t="n"/>
      <c r="PA24" s="49" t="n"/>
      <c r="PB24" s="49" t="n"/>
      <c r="PC24" s="49" t="n"/>
      <c r="PD24" s="49" t="n"/>
      <c r="PE24" s="49" t="n"/>
      <c r="PF24" s="49" t="n"/>
      <c r="PG24" s="49" t="n"/>
      <c r="PH24" s="49" t="n"/>
      <c r="PI24" s="49" t="n"/>
      <c r="PJ24" s="49" t="n"/>
      <c r="PK24" s="49" t="n"/>
      <c r="PL24" s="49" t="n"/>
      <c r="PM24" s="49" t="n"/>
      <c r="PN24" s="49" t="n"/>
      <c r="PO24" s="49" t="n"/>
      <c r="PP24" s="49" t="n"/>
      <c r="PQ24" s="49" t="n"/>
      <c r="PR24" s="49" t="n"/>
      <c r="PS24" s="49" t="n"/>
      <c r="PT24" s="49" t="n"/>
      <c r="PU24" s="49" t="n"/>
      <c r="PV24" s="49" t="n"/>
      <c r="PW24" s="49" t="n"/>
      <c r="PX24" s="49" t="n"/>
      <c r="PY24" s="49" t="n"/>
      <c r="PZ24" s="49" t="n"/>
      <c r="QA24" s="49" t="n"/>
      <c r="QB24" s="49" t="n"/>
      <c r="QC24" s="49" t="n"/>
      <c r="QD24" s="49" t="n"/>
      <c r="QE24" s="49" t="n"/>
      <c r="QF24" s="49" t="n"/>
      <c r="QG24" s="49" t="n"/>
      <c r="QH24" s="49" t="n"/>
      <c r="QI24" s="49" t="n"/>
      <c r="QJ24" s="49" t="n"/>
      <c r="QK24" s="49" t="n"/>
      <c r="QL24" s="49" t="n"/>
      <c r="QM24" s="49" t="n"/>
      <c r="QN24" s="49" t="n"/>
      <c r="QO24" s="49" t="n"/>
      <c r="QP24" s="49" t="n"/>
      <c r="QQ24" s="49" t="n"/>
      <c r="QR24" s="49" t="n"/>
      <c r="QS24" s="49" t="n"/>
      <c r="QT24" s="49" t="n"/>
      <c r="QU24" s="49" t="n"/>
      <c r="QV24" s="49" t="n"/>
      <c r="QW24" s="49" t="n"/>
      <c r="QX24" s="49" t="n"/>
      <c r="QY24" s="49" t="n"/>
      <c r="QZ24" s="49" t="n"/>
      <c r="RA24" s="49" t="n"/>
      <c r="RB24" s="49" t="n"/>
      <c r="RC24" s="49" t="n"/>
      <c r="RD24" s="49" t="n"/>
      <c r="RE24" s="49" t="n"/>
      <c r="RF24" s="49" t="n"/>
      <c r="RG24" s="49" t="n"/>
      <c r="RH24" s="49" t="n"/>
      <c r="RI24" s="49" t="n"/>
      <c r="RJ24" s="49" t="n"/>
      <c r="RK24" s="49" t="n"/>
      <c r="RL24" s="49" t="n"/>
      <c r="RM24" s="49" t="n"/>
      <c r="RN24" s="49" t="n"/>
      <c r="RO24" s="49" t="n"/>
      <c r="RP24" s="49" t="n"/>
      <c r="RQ24" s="49" t="n"/>
      <c r="RR24" s="49" t="n"/>
      <c r="RS24" s="49" t="n"/>
      <c r="RT24" s="49" t="n"/>
      <c r="RU24" s="49" t="n"/>
      <c r="RV24" s="49" t="n"/>
      <c r="RW24" s="49" t="n"/>
    </row>
    <row r="25" hidden="1" outlineLevel="1" ht="13.05" customHeight="1">
      <c r="E25" s="29" t="n"/>
      <c r="F25" s="29" t="n"/>
      <c r="G25" s="29" t="n"/>
      <c r="H25" s="29" t="n"/>
      <c r="I25" s="29" t="n"/>
      <c r="J25" s="48" t="n"/>
      <c r="K25" s="2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  <c r="AZ25" s="49" t="n"/>
      <c r="BA25" s="49" t="n"/>
      <c r="BB25" s="49" t="n"/>
      <c r="BC25" s="49" t="n"/>
      <c r="BD25" s="49" t="n"/>
      <c r="BE25" s="49" t="n"/>
      <c r="BF25" s="49" t="n"/>
      <c r="BG25" s="49" t="n"/>
      <c r="BH25" s="49" t="n"/>
      <c r="BI25" s="49" t="n"/>
      <c r="BJ25" s="49" t="n"/>
      <c r="BK25" s="49" t="n"/>
      <c r="BL25" s="49" t="n"/>
      <c r="BM25" s="49" t="n"/>
      <c r="BN25" s="49" t="n"/>
      <c r="BO25" s="49" t="n"/>
      <c r="BP25" s="49" t="n"/>
      <c r="BQ25" s="49" t="n"/>
      <c r="BR25" s="49" t="n"/>
      <c r="BS25" s="49" t="n"/>
      <c r="BT25" s="49" t="n"/>
      <c r="BU25" s="49" t="n"/>
      <c r="BV25" s="49" t="n"/>
      <c r="BW25" s="49" t="n"/>
      <c r="BX25" s="49" t="n"/>
      <c r="BY25" s="49" t="n"/>
      <c r="BZ25" s="49" t="n"/>
      <c r="CA25" s="49" t="n"/>
      <c r="CB25" s="49" t="n"/>
      <c r="CC25" s="49" t="n"/>
      <c r="CD25" s="49" t="n"/>
      <c r="CE25" s="49" t="n"/>
      <c r="CF25" s="49" t="n"/>
      <c r="CG25" s="49" t="n"/>
      <c r="CH25" s="49" t="n"/>
      <c r="CI25" s="49" t="n"/>
      <c r="CJ25" s="49" t="n"/>
      <c r="CK25" s="49" t="n"/>
      <c r="CL25" s="49" t="n"/>
      <c r="CM25" s="49" t="n"/>
      <c r="CN25" s="49" t="n"/>
      <c r="CO25" s="49" t="n"/>
      <c r="CP25" s="49" t="n"/>
      <c r="CQ25" s="49" t="n"/>
      <c r="CR25" s="49" t="n"/>
      <c r="CS25" s="49" t="n"/>
      <c r="CT25" s="49" t="n"/>
      <c r="CU25" s="49" t="n"/>
      <c r="CV25" s="49" t="n"/>
      <c r="CW25" s="49" t="n"/>
      <c r="CX25" s="49" t="n"/>
      <c r="CY25" s="49" t="n"/>
      <c r="CZ25" s="49" t="n"/>
      <c r="DA25" s="49" t="n"/>
      <c r="DB25" s="49" t="n"/>
      <c r="DC25" s="49" t="n"/>
      <c r="DD25" s="49" t="n"/>
      <c r="DE25" s="49" t="n"/>
      <c r="DF25" s="49" t="n"/>
      <c r="DG25" s="49" t="n"/>
      <c r="DH25" s="49" t="n"/>
      <c r="DI25" s="49" t="n"/>
      <c r="DJ25" s="49" t="n"/>
      <c r="DK25" s="49" t="n"/>
      <c r="DL25" s="49" t="n"/>
      <c r="DM25" s="49" t="n"/>
      <c r="DN25" s="49" t="n"/>
      <c r="DO25" s="49" t="n"/>
      <c r="DP25" s="49" t="n"/>
      <c r="DQ25" s="49" t="n"/>
      <c r="DR25" s="49" t="n"/>
      <c r="DS25" s="49" t="n"/>
      <c r="DT25" s="49" t="n"/>
      <c r="DU25" s="49" t="n"/>
      <c r="DV25" s="49" t="n"/>
      <c r="DW25" s="49" t="n"/>
      <c r="DX25" s="49" t="n"/>
      <c r="DY25" s="49" t="n"/>
      <c r="DZ25" s="49" t="n"/>
      <c r="EA25" s="49" t="n"/>
      <c r="EB25" s="49" t="n"/>
      <c r="EC25" s="49" t="n"/>
      <c r="ED25" s="49" t="n"/>
      <c r="EE25" s="49" t="n"/>
      <c r="EF25" s="49" t="n"/>
      <c r="EG25" s="49" t="n"/>
      <c r="EH25" s="49" t="n"/>
      <c r="EI25" s="49" t="n"/>
      <c r="EJ25" s="49" t="n"/>
      <c r="EK25" s="49" t="n"/>
      <c r="EL25" s="49" t="n"/>
      <c r="EM25" s="49" t="n"/>
      <c r="EN25" s="49" t="n"/>
      <c r="EO25" s="49" t="n"/>
      <c r="EP25" s="49" t="n"/>
      <c r="EQ25" s="49" t="n"/>
      <c r="ER25" s="49" t="n"/>
      <c r="ES25" s="49" t="n"/>
      <c r="ET25" s="49" t="n"/>
      <c r="EU25" s="49" t="n"/>
      <c r="EV25" s="49" t="n"/>
      <c r="EW25" s="49" t="n"/>
      <c r="EX25" s="49" t="n"/>
      <c r="EY25" s="49" t="n"/>
      <c r="EZ25" s="49" t="n"/>
      <c r="FA25" s="49" t="n"/>
      <c r="FB25" s="49" t="n"/>
      <c r="FC25" s="49" t="n"/>
      <c r="FD25" s="49" t="n"/>
      <c r="FE25" s="49" t="n"/>
      <c r="FF25" s="49" t="n"/>
      <c r="FG25" s="49" t="n"/>
      <c r="FH25" s="49" t="n"/>
      <c r="FI25" s="49" t="n"/>
      <c r="FJ25" s="49" t="n"/>
      <c r="FK25" s="49" t="n"/>
      <c r="FL25" s="49" t="n"/>
      <c r="FM25" s="49" t="n"/>
      <c r="FN25" s="49" t="n"/>
      <c r="FO25" s="49" t="n"/>
      <c r="FP25" s="49" t="n"/>
      <c r="FQ25" s="49" t="n"/>
      <c r="FR25" s="49" t="n"/>
      <c r="FS25" s="49" t="n"/>
      <c r="FT25" s="49" t="n"/>
      <c r="FU25" s="49" t="n"/>
      <c r="FV25" s="49" t="n"/>
      <c r="FW25" s="49" t="n"/>
      <c r="FX25" s="49" t="n"/>
      <c r="FY25" s="49" t="n"/>
      <c r="FZ25" s="49" t="n"/>
      <c r="GA25" s="49" t="n"/>
      <c r="GB25" s="49" t="n"/>
      <c r="GC25" s="49" t="n"/>
      <c r="GD25" s="49" t="n"/>
      <c r="GE25" s="49" t="n"/>
      <c r="GF25" s="49" t="n"/>
      <c r="GG25" s="49" t="n"/>
      <c r="GH25" s="49" t="n"/>
      <c r="GI25" s="49" t="n"/>
      <c r="GJ25" s="49" t="n"/>
      <c r="GK25" s="49" t="n"/>
      <c r="GL25" s="49" t="n"/>
      <c r="GM25" s="49" t="n"/>
      <c r="GN25" s="49" t="n"/>
      <c r="GO25" s="49" t="n"/>
      <c r="GP25" s="49" t="n"/>
      <c r="GQ25" s="49" t="n"/>
      <c r="GR25" s="49" t="n"/>
      <c r="GS25" s="49" t="n"/>
      <c r="GT25" s="49" t="n"/>
      <c r="GU25" s="49" t="n"/>
      <c r="GV25" s="49" t="n"/>
      <c r="GW25" s="49" t="n"/>
      <c r="GX25" s="49" t="n"/>
      <c r="GY25" s="49" t="n"/>
      <c r="GZ25" s="49" t="n"/>
      <c r="HA25" s="49" t="n"/>
      <c r="HB25" s="49" t="n"/>
      <c r="HC25" s="49" t="n"/>
      <c r="HD25" s="49" t="n"/>
      <c r="HE25" s="49" t="n"/>
      <c r="HF25" s="49" t="n"/>
      <c r="HG25" s="49" t="n"/>
      <c r="HH25" s="49" t="n"/>
      <c r="HI25" s="49" t="n"/>
      <c r="HJ25" s="49" t="n"/>
      <c r="HK25" s="49" t="n"/>
      <c r="HL25" s="49" t="n"/>
      <c r="HM25" s="49" t="n"/>
      <c r="HN25" s="49" t="n"/>
      <c r="HO25" s="49" t="n"/>
      <c r="HP25" s="49" t="n"/>
      <c r="HQ25" s="49" t="n"/>
      <c r="HR25" s="49" t="n"/>
      <c r="HS25" s="49" t="n"/>
      <c r="HT25" s="49" t="n"/>
      <c r="HU25" s="49" t="n"/>
      <c r="HV25" s="49" t="n"/>
      <c r="HW25" s="49" t="n"/>
      <c r="HX25" s="49" t="n"/>
      <c r="HY25" s="49" t="n"/>
      <c r="HZ25" s="49" t="n"/>
      <c r="IA25" s="49" t="n"/>
      <c r="IB25" s="49" t="n"/>
      <c r="IC25" s="49" t="n"/>
      <c r="ID25" s="49" t="n"/>
      <c r="IE25" s="49" t="n"/>
      <c r="IF25" s="49" t="n"/>
      <c r="IG25" s="49" t="n"/>
      <c r="IH25" s="49" t="n"/>
      <c r="II25" s="49" t="n"/>
      <c r="IJ25" s="49" t="n"/>
      <c r="IK25" s="49" t="n"/>
      <c r="IL25" s="49" t="n"/>
      <c r="IM25" s="49" t="n"/>
      <c r="IN25" s="49" t="n"/>
      <c r="IO25" s="49" t="n"/>
      <c r="IP25" s="49" t="n"/>
      <c r="IQ25" s="49" t="n"/>
      <c r="IR25" s="49" t="n"/>
      <c r="IS25" s="49" t="n"/>
      <c r="IT25" s="49" t="n"/>
      <c r="IU25" s="49" t="n"/>
      <c r="IV25" s="49" t="n"/>
      <c r="IW25" s="49" t="n"/>
      <c r="IX25" s="49" t="n"/>
      <c r="IY25" s="49" t="n"/>
      <c r="IZ25" s="49" t="n"/>
      <c r="JA25" s="49" t="n"/>
      <c r="JB25" s="49" t="n"/>
      <c r="JC25" s="49" t="n"/>
      <c r="JD25" s="49" t="n"/>
      <c r="JE25" s="49" t="n"/>
      <c r="JF25" s="49" t="n"/>
      <c r="JG25" s="49" t="n"/>
      <c r="JH25" s="49" t="n"/>
      <c r="JI25" s="49" t="n"/>
      <c r="JJ25" s="49" t="n"/>
      <c r="JK25" s="49" t="n"/>
      <c r="JL25" s="49" t="n"/>
      <c r="JM25" s="49" t="n"/>
      <c r="JN25" s="49" t="n"/>
      <c r="JO25" s="49" t="n"/>
      <c r="JP25" s="49" t="n"/>
      <c r="JQ25" s="49" t="n"/>
      <c r="JR25" s="49" t="n"/>
      <c r="JS25" s="49" t="n"/>
      <c r="JT25" s="49" t="n"/>
      <c r="JU25" s="49" t="n"/>
      <c r="JV25" s="49" t="n"/>
      <c r="JW25" s="49" t="n"/>
      <c r="JX25" s="49" t="n"/>
      <c r="JY25" s="49" t="n"/>
      <c r="JZ25" s="49" t="n"/>
      <c r="KA25" s="49" t="n"/>
      <c r="KB25" s="49" t="n"/>
      <c r="KC25" s="49" t="n"/>
      <c r="KD25" s="49" t="n"/>
      <c r="KE25" s="49" t="n"/>
      <c r="KF25" s="49" t="n"/>
      <c r="KG25" s="49" t="n"/>
      <c r="KH25" s="49" t="n"/>
      <c r="KI25" s="49" t="n"/>
      <c r="KJ25" s="49" t="n"/>
      <c r="KK25" s="49" t="n"/>
      <c r="KL25" s="49" t="n"/>
      <c r="KM25" s="49" t="n"/>
      <c r="KN25" s="49" t="n"/>
      <c r="KO25" s="49" t="n"/>
      <c r="KP25" s="49" t="n"/>
      <c r="KQ25" s="49" t="n"/>
      <c r="KR25" s="49" t="n"/>
      <c r="KS25" s="49" t="n"/>
      <c r="KT25" s="49" t="n"/>
      <c r="KU25" s="49" t="n"/>
      <c r="KV25" s="49" t="n"/>
      <c r="KW25" s="49" t="n"/>
      <c r="KX25" s="49" t="n"/>
      <c r="KY25" s="49" t="n"/>
      <c r="KZ25" s="49" t="n"/>
      <c r="LA25" s="49" t="n"/>
      <c r="LB25" s="49" t="n"/>
      <c r="LC25" s="49" t="n"/>
      <c r="LD25" s="49" t="n"/>
      <c r="LE25" s="49" t="n"/>
      <c r="LF25" s="49" t="n"/>
      <c r="LG25" s="49" t="n"/>
      <c r="LH25" s="49" t="n"/>
      <c r="LI25" s="49" t="n"/>
      <c r="LJ25" s="49" t="n"/>
      <c r="LK25" s="49" t="n"/>
      <c r="LL25" s="49" t="n"/>
      <c r="LM25" s="49" t="n"/>
      <c r="LN25" s="49" t="n"/>
      <c r="LO25" s="49" t="n"/>
      <c r="LP25" s="49" t="n"/>
      <c r="LQ25" s="49" t="n"/>
      <c r="LR25" s="49" t="n"/>
      <c r="LS25" s="49" t="n"/>
      <c r="LT25" s="49" t="n"/>
      <c r="LU25" s="49" t="n"/>
      <c r="LV25" s="49" t="n"/>
      <c r="LW25" s="49" t="n"/>
      <c r="LX25" s="49" t="n"/>
      <c r="LY25" s="49" t="n"/>
      <c r="LZ25" s="49" t="n"/>
      <c r="MA25" s="49" t="n"/>
      <c r="MB25" s="49" t="n"/>
      <c r="MC25" s="49" t="n"/>
      <c r="MD25" s="49" t="n"/>
      <c r="ME25" s="49" t="n"/>
      <c r="MF25" s="49" t="n"/>
      <c r="MG25" s="49" t="n"/>
      <c r="MH25" s="49" t="n"/>
      <c r="MI25" s="49" t="n"/>
      <c r="MJ25" s="49" t="n"/>
      <c r="MK25" s="49" t="n"/>
      <c r="ML25" s="49" t="n"/>
      <c r="MM25" s="49" t="n"/>
      <c r="MN25" s="49" t="n"/>
      <c r="MO25" s="49" t="n"/>
      <c r="MP25" s="49" t="n"/>
      <c r="MQ25" s="49" t="n"/>
      <c r="MR25" s="49" t="n"/>
      <c r="MS25" s="49" t="n"/>
      <c r="MT25" s="49" t="n"/>
      <c r="MU25" s="49" t="n"/>
      <c r="MV25" s="49" t="n"/>
      <c r="MW25" s="49" t="n"/>
      <c r="MX25" s="49" t="n"/>
      <c r="MY25" s="49" t="n"/>
      <c r="MZ25" s="49" t="n"/>
      <c r="NA25" s="49" t="n"/>
      <c r="NB25" s="49" t="n"/>
      <c r="NC25" s="49" t="n"/>
      <c r="ND25" s="49" t="n"/>
      <c r="NE25" s="49" t="n"/>
      <c r="NF25" s="49" t="n"/>
      <c r="NG25" s="49" t="n"/>
      <c r="NH25" s="49" t="n"/>
      <c r="NI25" s="49" t="n"/>
      <c r="NJ25" s="49" t="n"/>
      <c r="NK25" s="49" t="n"/>
      <c r="NL25" s="49" t="n"/>
      <c r="NM25" s="49" t="n"/>
      <c r="NN25" s="49" t="n"/>
      <c r="NO25" s="49" t="n"/>
      <c r="NP25" s="49" t="n"/>
      <c r="NQ25" s="49" t="n"/>
      <c r="NR25" s="49" t="n"/>
      <c r="NS25" s="49" t="n"/>
      <c r="NT25" s="49" t="n"/>
      <c r="NU25" s="49" t="n"/>
      <c r="NV25" s="49" t="n"/>
      <c r="NW25" s="49" t="n"/>
      <c r="NX25" s="49" t="n"/>
      <c r="NY25" s="49" t="n"/>
      <c r="NZ25" s="49" t="n"/>
      <c r="OA25" s="49" t="n"/>
      <c r="OB25" s="49" t="n"/>
      <c r="OC25" s="49" t="n"/>
      <c r="OD25" s="49" t="n"/>
      <c r="OE25" s="49" t="n"/>
      <c r="OF25" s="49" t="n"/>
      <c r="OG25" s="49" t="n"/>
      <c r="OH25" s="49" t="n"/>
      <c r="OI25" s="49" t="n"/>
      <c r="OJ25" s="49" t="n"/>
      <c r="OK25" s="49" t="n"/>
      <c r="OL25" s="49" t="n"/>
      <c r="OM25" s="49" t="n"/>
      <c r="ON25" s="49" t="n"/>
      <c r="OO25" s="49" t="n"/>
      <c r="OP25" s="49" t="n"/>
      <c r="OQ25" s="49" t="n"/>
      <c r="OR25" s="49" t="n"/>
      <c r="OS25" s="49" t="n"/>
      <c r="OT25" s="49" t="n"/>
      <c r="OU25" s="49" t="n"/>
      <c r="OV25" s="49" t="n"/>
      <c r="OW25" s="49" t="n"/>
      <c r="OX25" s="49" t="n"/>
      <c r="OY25" s="49" t="n"/>
      <c r="OZ25" s="49" t="n"/>
      <c r="PA25" s="49" t="n"/>
      <c r="PB25" s="49" t="n"/>
      <c r="PC25" s="49" t="n"/>
      <c r="PD25" s="49" t="n"/>
      <c r="PE25" s="49" t="n"/>
      <c r="PF25" s="49" t="n"/>
      <c r="PG25" s="49" t="n"/>
      <c r="PH25" s="49" t="n"/>
      <c r="PI25" s="49" t="n"/>
      <c r="PJ25" s="49" t="n"/>
      <c r="PK25" s="49" t="n"/>
      <c r="PL25" s="49" t="n"/>
      <c r="PM25" s="49" t="n"/>
      <c r="PN25" s="49" t="n"/>
      <c r="PO25" s="49" t="n"/>
      <c r="PP25" s="49" t="n"/>
      <c r="PQ25" s="49" t="n"/>
      <c r="PR25" s="49" t="n"/>
      <c r="PS25" s="49" t="n"/>
      <c r="PT25" s="49" t="n"/>
      <c r="PU25" s="49" t="n"/>
      <c r="PV25" s="49" t="n"/>
      <c r="PW25" s="49" t="n"/>
      <c r="PX25" s="49" t="n"/>
      <c r="PY25" s="49" t="n"/>
      <c r="PZ25" s="49" t="n"/>
      <c r="QA25" s="49" t="n"/>
      <c r="QB25" s="49" t="n"/>
      <c r="QC25" s="49" t="n"/>
      <c r="QD25" s="49" t="n"/>
      <c r="QE25" s="49" t="n"/>
      <c r="QF25" s="49" t="n"/>
      <c r="QG25" s="49" t="n"/>
      <c r="QH25" s="49" t="n"/>
      <c r="QI25" s="49" t="n"/>
      <c r="QJ25" s="49" t="n"/>
      <c r="QK25" s="49" t="n"/>
      <c r="QL25" s="49" t="n"/>
      <c r="QM25" s="49" t="n"/>
      <c r="QN25" s="49" t="n"/>
      <c r="QO25" s="49" t="n"/>
      <c r="QP25" s="49" t="n"/>
      <c r="QQ25" s="49" t="n"/>
      <c r="QR25" s="49" t="n"/>
      <c r="QS25" s="49" t="n"/>
      <c r="QT25" s="49" t="n"/>
      <c r="QU25" s="49" t="n"/>
      <c r="QV25" s="49" t="n"/>
      <c r="QW25" s="49" t="n"/>
      <c r="QX25" s="49" t="n"/>
      <c r="QY25" s="49" t="n"/>
      <c r="QZ25" s="49" t="n"/>
      <c r="RA25" s="49" t="n"/>
      <c r="RB25" s="49" t="n"/>
      <c r="RC25" s="49" t="n"/>
      <c r="RD25" s="49" t="n"/>
      <c r="RE25" s="49" t="n"/>
      <c r="RF25" s="49" t="n"/>
      <c r="RG25" s="49" t="n"/>
      <c r="RH25" s="49" t="n"/>
      <c r="RI25" s="49" t="n"/>
      <c r="RJ25" s="49" t="n"/>
      <c r="RK25" s="49" t="n"/>
      <c r="RL25" s="49" t="n"/>
      <c r="RM25" s="49" t="n"/>
      <c r="RN25" s="49" t="n"/>
      <c r="RO25" s="49" t="n"/>
      <c r="RP25" s="49" t="n"/>
      <c r="RQ25" s="49" t="n"/>
      <c r="RR25" s="49" t="n"/>
      <c r="RS25" s="49" t="n"/>
      <c r="RT25" s="49" t="n"/>
      <c r="RU25" s="49" t="n"/>
      <c r="RV25" s="49" t="n"/>
      <c r="RW25" s="49" t="n"/>
    </row>
    <row r="26" hidden="1" outlineLevel="1" ht="13.05" customHeight="1">
      <c r="E26" s="29" t="n"/>
      <c r="F26" s="29" t="n"/>
      <c r="G26" s="29" t="n"/>
      <c r="H26" s="29" t="n"/>
      <c r="I26" s="29" t="n"/>
      <c r="J26" s="48" t="n"/>
      <c r="K26" s="2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  <c r="AZ26" s="49" t="n"/>
      <c r="BA26" s="49" t="n"/>
      <c r="BB26" s="49" t="n"/>
      <c r="BC26" s="49" t="n"/>
      <c r="BD26" s="49" t="n"/>
      <c r="BE26" s="49" t="n"/>
      <c r="BF26" s="49" t="n"/>
      <c r="BG26" s="49" t="n"/>
      <c r="BH26" s="49" t="n"/>
      <c r="BI26" s="49" t="n"/>
      <c r="BJ26" s="49" t="n"/>
      <c r="BK26" s="49" t="n"/>
      <c r="BL26" s="49" t="n"/>
      <c r="BM26" s="49" t="n"/>
      <c r="BN26" s="49" t="n"/>
      <c r="BO26" s="49" t="n"/>
      <c r="BP26" s="49" t="n"/>
      <c r="BQ26" s="49" t="n"/>
      <c r="BR26" s="49" t="n"/>
      <c r="BS26" s="49" t="n"/>
      <c r="BT26" s="49" t="n"/>
      <c r="BU26" s="49" t="n"/>
      <c r="BV26" s="49" t="n"/>
      <c r="BW26" s="49" t="n"/>
      <c r="BX26" s="49" t="n"/>
      <c r="BY26" s="49" t="n"/>
      <c r="BZ26" s="49" t="n"/>
      <c r="CA26" s="49" t="n"/>
      <c r="CB26" s="49" t="n"/>
      <c r="CC26" s="49" t="n"/>
      <c r="CD26" s="49" t="n"/>
      <c r="CE26" s="49" t="n"/>
      <c r="CF26" s="49" t="n"/>
      <c r="CG26" s="49" t="n"/>
      <c r="CH26" s="49" t="n"/>
      <c r="CI26" s="49" t="n"/>
      <c r="CJ26" s="49" t="n"/>
      <c r="CK26" s="49" t="n"/>
      <c r="CL26" s="49" t="n"/>
      <c r="CM26" s="49" t="n"/>
      <c r="CN26" s="49" t="n"/>
      <c r="CO26" s="49" t="n"/>
      <c r="CP26" s="49" t="n"/>
      <c r="CQ26" s="49" t="n"/>
      <c r="CR26" s="49" t="n"/>
      <c r="CS26" s="49" t="n"/>
      <c r="CT26" s="49" t="n"/>
      <c r="CU26" s="49" t="n"/>
      <c r="CV26" s="49" t="n"/>
      <c r="CW26" s="49" t="n"/>
      <c r="CX26" s="49" t="n"/>
      <c r="CY26" s="49" t="n"/>
      <c r="CZ26" s="49" t="n"/>
      <c r="DA26" s="49" t="n"/>
      <c r="DB26" s="49" t="n"/>
      <c r="DC26" s="49" t="n"/>
      <c r="DD26" s="49" t="n"/>
      <c r="DE26" s="49" t="n"/>
      <c r="DF26" s="49" t="n"/>
      <c r="DG26" s="49" t="n"/>
      <c r="DH26" s="49" t="n"/>
      <c r="DI26" s="49" t="n"/>
      <c r="DJ26" s="49" t="n"/>
      <c r="DK26" s="49" t="n"/>
      <c r="DL26" s="49" t="n"/>
      <c r="DM26" s="49" t="n"/>
      <c r="DN26" s="49" t="n"/>
      <c r="DO26" s="49" t="n"/>
      <c r="DP26" s="49" t="n"/>
      <c r="DQ26" s="49" t="n"/>
      <c r="DR26" s="49" t="n"/>
      <c r="DS26" s="49" t="n"/>
      <c r="DT26" s="49" t="n"/>
      <c r="DU26" s="49" t="n"/>
      <c r="DV26" s="49" t="n"/>
      <c r="DW26" s="49" t="n"/>
      <c r="DX26" s="49" t="n"/>
      <c r="DY26" s="49" t="n"/>
      <c r="DZ26" s="49" t="n"/>
      <c r="EA26" s="49" t="n"/>
      <c r="EB26" s="49" t="n"/>
      <c r="EC26" s="49" t="n"/>
      <c r="ED26" s="49" t="n"/>
      <c r="EE26" s="49" t="n"/>
      <c r="EF26" s="49" t="n"/>
      <c r="EG26" s="49" t="n"/>
      <c r="EH26" s="49" t="n"/>
      <c r="EI26" s="49" t="n"/>
      <c r="EJ26" s="49" t="n"/>
      <c r="EK26" s="49" t="n"/>
      <c r="EL26" s="49" t="n"/>
      <c r="EM26" s="49" t="n"/>
      <c r="EN26" s="49" t="n"/>
      <c r="EO26" s="49" t="n"/>
      <c r="EP26" s="49" t="n"/>
      <c r="EQ26" s="49" t="n"/>
      <c r="ER26" s="49" t="n"/>
      <c r="ES26" s="49" t="n"/>
      <c r="ET26" s="49" t="n"/>
      <c r="EU26" s="49" t="n"/>
      <c r="EV26" s="49" t="n"/>
      <c r="EW26" s="49" t="n"/>
      <c r="EX26" s="49" t="n"/>
      <c r="EY26" s="49" t="n"/>
      <c r="EZ26" s="49" t="n"/>
      <c r="FA26" s="49" t="n"/>
      <c r="FB26" s="49" t="n"/>
      <c r="FC26" s="49" t="n"/>
      <c r="FD26" s="49" t="n"/>
      <c r="FE26" s="49" t="n"/>
      <c r="FF26" s="49" t="n"/>
      <c r="FG26" s="49" t="n"/>
      <c r="FH26" s="49" t="n"/>
      <c r="FI26" s="49" t="n"/>
      <c r="FJ26" s="49" t="n"/>
      <c r="FK26" s="49" t="n"/>
      <c r="FL26" s="49" t="n"/>
      <c r="FM26" s="49" t="n"/>
      <c r="FN26" s="49" t="n"/>
      <c r="FO26" s="49" t="n"/>
      <c r="FP26" s="49" t="n"/>
      <c r="FQ26" s="49" t="n"/>
      <c r="FR26" s="49" t="n"/>
      <c r="FS26" s="49" t="n"/>
      <c r="FT26" s="49" t="n"/>
      <c r="FU26" s="49" t="n"/>
      <c r="FV26" s="49" t="n"/>
      <c r="FW26" s="49" t="n"/>
      <c r="FX26" s="49" t="n"/>
      <c r="FY26" s="49" t="n"/>
      <c r="FZ26" s="49" t="n"/>
      <c r="GA26" s="49" t="n"/>
      <c r="GB26" s="49" t="n"/>
      <c r="GC26" s="49" t="n"/>
      <c r="GD26" s="49" t="n"/>
      <c r="GE26" s="49" t="n"/>
      <c r="GF26" s="49" t="n"/>
      <c r="GG26" s="49" t="n"/>
      <c r="GH26" s="49" t="n"/>
      <c r="GI26" s="49" t="n"/>
      <c r="GJ26" s="49" t="n"/>
      <c r="GK26" s="49" t="n"/>
      <c r="GL26" s="49" t="n"/>
      <c r="GM26" s="49" t="n"/>
      <c r="GN26" s="49" t="n"/>
      <c r="GO26" s="49" t="n"/>
      <c r="GP26" s="49" t="n"/>
      <c r="GQ26" s="49" t="n"/>
      <c r="GR26" s="49" t="n"/>
      <c r="GS26" s="49" t="n"/>
      <c r="GT26" s="49" t="n"/>
      <c r="GU26" s="49" t="n"/>
      <c r="GV26" s="49" t="n"/>
      <c r="GW26" s="49" t="n"/>
      <c r="GX26" s="49" t="n"/>
      <c r="GY26" s="49" t="n"/>
      <c r="GZ26" s="49" t="n"/>
      <c r="HA26" s="49" t="n"/>
      <c r="HB26" s="49" t="n"/>
      <c r="HC26" s="49" t="n"/>
      <c r="HD26" s="49" t="n"/>
      <c r="HE26" s="49" t="n"/>
      <c r="HF26" s="49" t="n"/>
      <c r="HG26" s="49" t="n"/>
      <c r="HH26" s="49" t="n"/>
      <c r="HI26" s="49" t="n"/>
      <c r="HJ26" s="49" t="n"/>
      <c r="HK26" s="49" t="n"/>
      <c r="HL26" s="49" t="n"/>
      <c r="HM26" s="49" t="n"/>
      <c r="HN26" s="49" t="n"/>
      <c r="HO26" s="49" t="n"/>
      <c r="HP26" s="49" t="n"/>
      <c r="HQ26" s="49" t="n"/>
      <c r="HR26" s="49" t="n"/>
      <c r="HS26" s="49" t="n"/>
      <c r="HT26" s="49" t="n"/>
      <c r="HU26" s="49" t="n"/>
      <c r="HV26" s="49" t="n"/>
      <c r="HW26" s="49" t="n"/>
      <c r="HX26" s="49" t="n"/>
      <c r="HY26" s="49" t="n"/>
      <c r="HZ26" s="49" t="n"/>
      <c r="IA26" s="49" t="n"/>
      <c r="IB26" s="49" t="n"/>
      <c r="IC26" s="49" t="n"/>
      <c r="ID26" s="49" t="n"/>
      <c r="IE26" s="49" t="n"/>
      <c r="IF26" s="49" t="n"/>
      <c r="IG26" s="49" t="n"/>
      <c r="IH26" s="49" t="n"/>
      <c r="II26" s="49" t="n"/>
      <c r="IJ26" s="49" t="n"/>
      <c r="IK26" s="49" t="n"/>
      <c r="IL26" s="49" t="n"/>
      <c r="IM26" s="49" t="n"/>
      <c r="IN26" s="49" t="n"/>
      <c r="IO26" s="49" t="n"/>
      <c r="IP26" s="49" t="n"/>
      <c r="IQ26" s="49" t="n"/>
      <c r="IR26" s="49" t="n"/>
      <c r="IS26" s="49" t="n"/>
      <c r="IT26" s="49" t="n"/>
      <c r="IU26" s="49" t="n"/>
      <c r="IV26" s="49" t="n"/>
      <c r="IW26" s="49" t="n"/>
      <c r="IX26" s="49" t="n"/>
      <c r="IY26" s="49" t="n"/>
      <c r="IZ26" s="49" t="n"/>
      <c r="JA26" s="49" t="n"/>
      <c r="JB26" s="49" t="n"/>
      <c r="JC26" s="49" t="n"/>
      <c r="JD26" s="49" t="n"/>
      <c r="JE26" s="49" t="n"/>
      <c r="JF26" s="49" t="n"/>
      <c r="JG26" s="49" t="n"/>
      <c r="JH26" s="49" t="n"/>
      <c r="JI26" s="49" t="n"/>
      <c r="JJ26" s="49" t="n"/>
      <c r="JK26" s="49" t="n"/>
      <c r="JL26" s="49" t="n"/>
      <c r="JM26" s="49" t="n"/>
      <c r="JN26" s="49" t="n"/>
      <c r="JO26" s="49" t="n"/>
      <c r="JP26" s="49" t="n"/>
      <c r="JQ26" s="49" t="n"/>
      <c r="JR26" s="49" t="n"/>
      <c r="JS26" s="49" t="n"/>
      <c r="JT26" s="49" t="n"/>
      <c r="JU26" s="49" t="n"/>
      <c r="JV26" s="49" t="n"/>
      <c r="JW26" s="49" t="n"/>
      <c r="JX26" s="49" t="n"/>
      <c r="JY26" s="49" t="n"/>
      <c r="JZ26" s="49" t="n"/>
      <c r="KA26" s="49" t="n"/>
      <c r="KB26" s="49" t="n"/>
      <c r="KC26" s="49" t="n"/>
      <c r="KD26" s="49" t="n"/>
      <c r="KE26" s="49" t="n"/>
      <c r="KF26" s="49" t="n"/>
      <c r="KG26" s="49" t="n"/>
      <c r="KH26" s="49" t="n"/>
      <c r="KI26" s="49" t="n"/>
      <c r="KJ26" s="49" t="n"/>
      <c r="KK26" s="49" t="n"/>
      <c r="KL26" s="49" t="n"/>
      <c r="KM26" s="49" t="n"/>
      <c r="KN26" s="49" t="n"/>
      <c r="KO26" s="49" t="n"/>
      <c r="KP26" s="49" t="n"/>
      <c r="KQ26" s="49" t="n"/>
      <c r="KR26" s="49" t="n"/>
      <c r="KS26" s="49" t="n"/>
      <c r="KT26" s="49" t="n"/>
      <c r="KU26" s="49" t="n"/>
      <c r="KV26" s="49" t="n"/>
      <c r="KW26" s="49" t="n"/>
      <c r="KX26" s="49" t="n"/>
      <c r="KY26" s="49" t="n"/>
      <c r="KZ26" s="49" t="n"/>
      <c r="LA26" s="49" t="n"/>
      <c r="LB26" s="49" t="n"/>
      <c r="LC26" s="49" t="n"/>
      <c r="LD26" s="49" t="n"/>
      <c r="LE26" s="49" t="n"/>
      <c r="LF26" s="49" t="n"/>
      <c r="LG26" s="49" t="n"/>
      <c r="LH26" s="49" t="n"/>
      <c r="LI26" s="49" t="n"/>
      <c r="LJ26" s="49" t="n"/>
      <c r="LK26" s="49" t="n"/>
      <c r="LL26" s="49" t="n"/>
      <c r="LM26" s="49" t="n"/>
      <c r="LN26" s="49" t="n"/>
      <c r="LO26" s="49" t="n"/>
      <c r="LP26" s="49" t="n"/>
      <c r="LQ26" s="49" t="n"/>
      <c r="LR26" s="49" t="n"/>
      <c r="LS26" s="49" t="n"/>
      <c r="LT26" s="49" t="n"/>
      <c r="LU26" s="49" t="n"/>
      <c r="LV26" s="49" t="n"/>
      <c r="LW26" s="49" t="n"/>
      <c r="LX26" s="49" t="n"/>
      <c r="LY26" s="49" t="n"/>
      <c r="LZ26" s="49" t="n"/>
      <c r="MA26" s="49" t="n"/>
      <c r="MB26" s="49" t="n"/>
      <c r="MC26" s="49" t="n"/>
      <c r="MD26" s="49" t="n"/>
      <c r="ME26" s="49" t="n"/>
      <c r="MF26" s="49" t="n"/>
      <c r="MG26" s="49" t="n"/>
      <c r="MH26" s="49" t="n"/>
      <c r="MI26" s="49" t="n"/>
      <c r="MJ26" s="49" t="n"/>
      <c r="MK26" s="49" t="n"/>
      <c r="ML26" s="49" t="n"/>
      <c r="MM26" s="49" t="n"/>
      <c r="MN26" s="49" t="n"/>
      <c r="MO26" s="49" t="n"/>
      <c r="MP26" s="49" t="n"/>
      <c r="MQ26" s="49" t="n"/>
      <c r="MR26" s="49" t="n"/>
      <c r="MS26" s="49" t="n"/>
      <c r="MT26" s="49" t="n"/>
      <c r="MU26" s="49" t="n"/>
      <c r="MV26" s="49" t="n"/>
      <c r="MW26" s="49" t="n"/>
      <c r="MX26" s="49" t="n"/>
      <c r="MY26" s="49" t="n"/>
      <c r="MZ26" s="49" t="n"/>
      <c r="NA26" s="49" t="n"/>
      <c r="NB26" s="49" t="n"/>
      <c r="NC26" s="49" t="n"/>
      <c r="ND26" s="49" t="n"/>
      <c r="NE26" s="49" t="n"/>
      <c r="NF26" s="49" t="n"/>
      <c r="NG26" s="49" t="n"/>
      <c r="NH26" s="49" t="n"/>
      <c r="NI26" s="49" t="n"/>
      <c r="NJ26" s="49" t="n"/>
      <c r="NK26" s="49" t="n"/>
      <c r="NL26" s="49" t="n"/>
      <c r="NM26" s="49" t="n"/>
      <c r="NN26" s="49" t="n"/>
      <c r="NO26" s="49" t="n"/>
      <c r="NP26" s="49" t="n"/>
      <c r="NQ26" s="49" t="n"/>
      <c r="NR26" s="49" t="n"/>
      <c r="NS26" s="49" t="n"/>
      <c r="NT26" s="49" t="n"/>
      <c r="NU26" s="49" t="n"/>
      <c r="NV26" s="49" t="n"/>
      <c r="NW26" s="49" t="n"/>
      <c r="NX26" s="49" t="n"/>
      <c r="NY26" s="49" t="n"/>
      <c r="NZ26" s="49" t="n"/>
      <c r="OA26" s="49" t="n"/>
      <c r="OB26" s="49" t="n"/>
      <c r="OC26" s="49" t="n"/>
      <c r="OD26" s="49" t="n"/>
      <c r="OE26" s="49" t="n"/>
      <c r="OF26" s="49" t="n"/>
      <c r="OG26" s="49" t="n"/>
      <c r="OH26" s="49" t="n"/>
      <c r="OI26" s="49" t="n"/>
      <c r="OJ26" s="49" t="n"/>
      <c r="OK26" s="49" t="n"/>
      <c r="OL26" s="49" t="n"/>
      <c r="OM26" s="49" t="n"/>
      <c r="ON26" s="49" t="n"/>
      <c r="OO26" s="49" t="n"/>
      <c r="OP26" s="49" t="n"/>
      <c r="OQ26" s="49" t="n"/>
      <c r="OR26" s="49" t="n"/>
      <c r="OS26" s="49" t="n"/>
      <c r="OT26" s="49" t="n"/>
      <c r="OU26" s="49" t="n"/>
      <c r="OV26" s="49" t="n"/>
      <c r="OW26" s="49" t="n"/>
      <c r="OX26" s="49" t="n"/>
      <c r="OY26" s="49" t="n"/>
      <c r="OZ26" s="49" t="n"/>
      <c r="PA26" s="49" t="n"/>
      <c r="PB26" s="49" t="n"/>
      <c r="PC26" s="49" t="n"/>
      <c r="PD26" s="49" t="n"/>
      <c r="PE26" s="49" t="n"/>
      <c r="PF26" s="49" t="n"/>
      <c r="PG26" s="49" t="n"/>
      <c r="PH26" s="49" t="n"/>
      <c r="PI26" s="49" t="n"/>
      <c r="PJ26" s="49" t="n"/>
      <c r="PK26" s="49" t="n"/>
      <c r="PL26" s="49" t="n"/>
      <c r="PM26" s="49" t="n"/>
      <c r="PN26" s="49" t="n"/>
      <c r="PO26" s="49" t="n"/>
      <c r="PP26" s="49" t="n"/>
      <c r="PQ26" s="49" t="n"/>
      <c r="PR26" s="49" t="n"/>
      <c r="PS26" s="49" t="n"/>
      <c r="PT26" s="49" t="n"/>
      <c r="PU26" s="49" t="n"/>
      <c r="PV26" s="49" t="n"/>
      <c r="PW26" s="49" t="n"/>
      <c r="PX26" s="49" t="n"/>
      <c r="PY26" s="49" t="n"/>
      <c r="PZ26" s="49" t="n"/>
      <c r="QA26" s="49" t="n"/>
      <c r="QB26" s="49" t="n"/>
      <c r="QC26" s="49" t="n"/>
      <c r="QD26" s="49" t="n"/>
      <c r="QE26" s="49" t="n"/>
      <c r="QF26" s="49" t="n"/>
      <c r="QG26" s="49" t="n"/>
      <c r="QH26" s="49" t="n"/>
      <c r="QI26" s="49" t="n"/>
      <c r="QJ26" s="49" t="n"/>
      <c r="QK26" s="49" t="n"/>
      <c r="QL26" s="49" t="n"/>
      <c r="QM26" s="49" t="n"/>
      <c r="QN26" s="49" t="n"/>
      <c r="QO26" s="49" t="n"/>
      <c r="QP26" s="49" t="n"/>
      <c r="QQ26" s="49" t="n"/>
      <c r="QR26" s="49" t="n"/>
      <c r="QS26" s="49" t="n"/>
      <c r="QT26" s="49" t="n"/>
      <c r="QU26" s="49" t="n"/>
      <c r="QV26" s="49" t="n"/>
      <c r="QW26" s="49" t="n"/>
      <c r="QX26" s="49" t="n"/>
      <c r="QY26" s="49" t="n"/>
      <c r="QZ26" s="49" t="n"/>
      <c r="RA26" s="49" t="n"/>
      <c r="RB26" s="49" t="n"/>
      <c r="RC26" s="49" t="n"/>
      <c r="RD26" s="49" t="n"/>
      <c r="RE26" s="49" t="n"/>
      <c r="RF26" s="49" t="n"/>
      <c r="RG26" s="49" t="n"/>
      <c r="RH26" s="49" t="n"/>
      <c r="RI26" s="49" t="n"/>
      <c r="RJ26" s="49" t="n"/>
      <c r="RK26" s="49" t="n"/>
      <c r="RL26" s="49" t="n"/>
      <c r="RM26" s="49" t="n"/>
      <c r="RN26" s="49" t="n"/>
      <c r="RO26" s="49" t="n"/>
      <c r="RP26" s="49" t="n"/>
      <c r="RQ26" s="49" t="n"/>
      <c r="RR26" s="49" t="n"/>
      <c r="RS26" s="49" t="n"/>
      <c r="RT26" s="49" t="n"/>
      <c r="RU26" s="49" t="n"/>
      <c r="RV26" s="49" t="n"/>
      <c r="RW26" s="49" t="n"/>
    </row>
    <row r="27" hidden="1" outlineLevel="1" ht="13.05" customHeight="1">
      <c r="E27" s="29" t="n"/>
      <c r="F27" s="29" t="n"/>
      <c r="G27" s="29" t="n"/>
      <c r="H27" s="29" t="n"/>
      <c r="I27" s="29" t="n"/>
      <c r="J27" s="30" t="n"/>
      <c r="K27" s="29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31" t="n"/>
      <c r="AR27" s="31" t="n"/>
      <c r="AS27" s="31" t="n"/>
      <c r="AT27" s="31" t="n"/>
      <c r="AU27" s="31" t="n"/>
      <c r="AV27" s="31" t="n"/>
      <c r="AW27" s="31" t="n"/>
      <c r="AX27" s="31" t="n"/>
      <c r="AY27" s="31" t="n"/>
      <c r="AZ27" s="31" t="n"/>
      <c r="BA27" s="31" t="n"/>
      <c r="BB27" s="31" t="n"/>
      <c r="BC27" s="31" t="n"/>
      <c r="BD27" s="31" t="n"/>
      <c r="BE27" s="31" t="n"/>
      <c r="BF27" s="31" t="n"/>
      <c r="BG27" s="31" t="n"/>
      <c r="BH27" s="31" t="n"/>
      <c r="BI27" s="31" t="n"/>
      <c r="BJ27" s="31" t="n"/>
      <c r="BK27" s="31" t="n"/>
      <c r="BL27" s="31" t="n"/>
      <c r="BM27" s="31" t="n"/>
      <c r="BN27" s="31" t="n"/>
      <c r="BO27" s="31" t="n"/>
      <c r="BP27" s="31" t="n"/>
      <c r="BQ27" s="31" t="n"/>
      <c r="BR27" s="31" t="n"/>
      <c r="BS27" s="31" t="n"/>
      <c r="BT27" s="31" t="n"/>
      <c r="BU27" s="31" t="n"/>
      <c r="BV27" s="31" t="n"/>
      <c r="BW27" s="31" t="n"/>
      <c r="BX27" s="31" t="n"/>
      <c r="BY27" s="31" t="n"/>
      <c r="BZ27" s="31" t="n"/>
      <c r="CA27" s="31" t="n"/>
      <c r="CB27" s="31" t="n"/>
      <c r="CC27" s="31" t="n"/>
      <c r="CD27" s="31" t="n"/>
      <c r="CE27" s="31" t="n"/>
      <c r="CF27" s="31" t="n"/>
      <c r="CG27" s="31" t="n"/>
      <c r="CH27" s="31" t="n"/>
      <c r="CI27" s="31" t="n"/>
      <c r="CJ27" s="31" t="n"/>
      <c r="CK27" s="31" t="n"/>
      <c r="CL27" s="31" t="n"/>
      <c r="CM27" s="31" t="n"/>
      <c r="CN27" s="31" t="n"/>
      <c r="CO27" s="31" t="n"/>
      <c r="CP27" s="31" t="n"/>
      <c r="CQ27" s="31" t="n"/>
      <c r="CR27" s="31" t="n"/>
      <c r="CS27" s="31" t="n"/>
      <c r="CT27" s="31" t="n"/>
      <c r="CU27" s="31" t="n"/>
      <c r="CV27" s="31" t="n"/>
      <c r="CW27" s="31" t="n"/>
      <c r="CX27" s="31" t="n"/>
      <c r="CY27" s="31" t="n"/>
      <c r="CZ27" s="31" t="n"/>
      <c r="DA27" s="31" t="n"/>
      <c r="DB27" s="31" t="n"/>
      <c r="DC27" s="31" t="n"/>
      <c r="DD27" s="31" t="n"/>
      <c r="DE27" s="31" t="n"/>
      <c r="DF27" s="31" t="n"/>
      <c r="DG27" s="31" t="n"/>
      <c r="DH27" s="31" t="n"/>
      <c r="DI27" s="31" t="n"/>
      <c r="DJ27" s="31" t="n"/>
      <c r="DK27" s="31" t="n"/>
      <c r="DL27" s="31" t="n"/>
      <c r="DM27" s="31" t="n"/>
      <c r="DN27" s="31" t="n"/>
      <c r="DO27" s="31" t="n"/>
      <c r="DP27" s="31" t="n"/>
      <c r="DQ27" s="31" t="n"/>
      <c r="DR27" s="31" t="n"/>
      <c r="DS27" s="31" t="n"/>
      <c r="DT27" s="31" t="n"/>
      <c r="DU27" s="31" t="n"/>
      <c r="DV27" s="31" t="n"/>
      <c r="DW27" s="31" t="n"/>
      <c r="DX27" s="31" t="n"/>
      <c r="DY27" s="31" t="n"/>
      <c r="DZ27" s="31" t="n"/>
      <c r="EA27" s="31" t="n"/>
      <c r="EB27" s="31" t="n"/>
      <c r="EC27" s="31" t="n"/>
      <c r="ED27" s="31" t="n"/>
      <c r="EE27" s="31" t="n"/>
      <c r="EF27" s="31" t="n"/>
      <c r="EG27" s="31" t="n"/>
      <c r="EH27" s="31" t="n"/>
      <c r="EI27" s="31" t="n"/>
      <c r="EJ27" s="31" t="n"/>
      <c r="EK27" s="31" t="n"/>
      <c r="EL27" s="31" t="n"/>
      <c r="EM27" s="31" t="n"/>
      <c r="EN27" s="31" t="n"/>
      <c r="EO27" s="31" t="n"/>
      <c r="EP27" s="31" t="n"/>
      <c r="EQ27" s="31" t="n"/>
      <c r="ER27" s="31" t="n"/>
      <c r="ES27" s="31" t="n"/>
      <c r="ET27" s="31" t="n"/>
      <c r="EU27" s="31" t="n"/>
      <c r="EV27" s="31" t="n"/>
      <c r="EW27" s="31" t="n"/>
      <c r="EX27" s="31" t="n"/>
      <c r="EY27" s="31" t="n"/>
      <c r="EZ27" s="31" t="n"/>
      <c r="FA27" s="31" t="n"/>
      <c r="FB27" s="31" t="n"/>
      <c r="FC27" s="31" t="n"/>
      <c r="FD27" s="31" t="n"/>
      <c r="FE27" s="31" t="n"/>
      <c r="FF27" s="31" t="n"/>
      <c r="FG27" s="31" t="n"/>
      <c r="FH27" s="31" t="n"/>
      <c r="FI27" s="31" t="n"/>
      <c r="FJ27" s="31" t="n"/>
      <c r="FK27" s="31" t="n"/>
      <c r="FL27" s="31" t="n"/>
      <c r="FM27" s="31" t="n"/>
      <c r="FN27" s="31" t="n"/>
      <c r="FO27" s="31" t="n"/>
      <c r="FP27" s="31" t="n"/>
      <c r="FQ27" s="31" t="n"/>
      <c r="FR27" s="31" t="n"/>
      <c r="FS27" s="31" t="n"/>
      <c r="FT27" s="31" t="n"/>
      <c r="FU27" s="31" t="n"/>
      <c r="FV27" s="31" t="n"/>
      <c r="FW27" s="31" t="n"/>
      <c r="FX27" s="31" t="n"/>
      <c r="FY27" s="31" t="n"/>
      <c r="FZ27" s="31" t="n"/>
      <c r="GA27" s="31" t="n"/>
      <c r="GB27" s="31" t="n"/>
      <c r="GC27" s="31" t="n"/>
      <c r="GD27" s="31" t="n"/>
      <c r="GE27" s="31" t="n"/>
      <c r="GF27" s="31" t="n"/>
      <c r="GG27" s="31" t="n"/>
      <c r="GH27" s="31" t="n"/>
      <c r="GI27" s="31" t="n"/>
      <c r="GJ27" s="31" t="n"/>
      <c r="GK27" s="31" t="n"/>
      <c r="GL27" s="31" t="n"/>
      <c r="GM27" s="31" t="n"/>
      <c r="GN27" s="31" t="n"/>
      <c r="GO27" s="31" t="n"/>
      <c r="GP27" s="31" t="n"/>
      <c r="GQ27" s="31" t="n"/>
      <c r="GR27" s="31" t="n"/>
      <c r="GS27" s="31" t="n"/>
      <c r="GT27" s="31" t="n"/>
      <c r="GU27" s="31" t="n"/>
      <c r="GV27" s="31" t="n"/>
      <c r="GW27" s="31" t="n"/>
      <c r="GX27" s="31" t="n"/>
      <c r="GY27" s="31" t="n"/>
      <c r="GZ27" s="31" t="n"/>
      <c r="HA27" s="31" t="n"/>
      <c r="HB27" s="31" t="n"/>
      <c r="HC27" s="31" t="n"/>
      <c r="HD27" s="31" t="n"/>
      <c r="HE27" s="31" t="n"/>
      <c r="HF27" s="31" t="n"/>
      <c r="HG27" s="31" t="n"/>
      <c r="HH27" s="31" t="n"/>
      <c r="HI27" s="31" t="n"/>
      <c r="HJ27" s="31" t="n"/>
      <c r="HK27" s="31" t="n"/>
      <c r="HL27" s="31" t="n"/>
      <c r="HM27" s="31" t="n"/>
      <c r="HN27" s="31" t="n"/>
      <c r="HO27" s="31" t="n"/>
      <c r="HP27" s="31" t="n"/>
      <c r="HQ27" s="31" t="n"/>
      <c r="HR27" s="31" t="n"/>
      <c r="HS27" s="31" t="n"/>
      <c r="HT27" s="31" t="n"/>
      <c r="HU27" s="31" t="n"/>
      <c r="HV27" s="31" t="n"/>
      <c r="HW27" s="31" t="n"/>
      <c r="HX27" s="31" t="n"/>
      <c r="HY27" s="31" t="n"/>
      <c r="HZ27" s="31" t="n"/>
      <c r="IA27" s="31" t="n"/>
      <c r="IB27" s="31" t="n"/>
      <c r="IC27" s="31" t="n"/>
      <c r="ID27" s="31" t="n"/>
      <c r="IE27" s="31" t="n"/>
      <c r="IF27" s="31" t="n"/>
      <c r="IG27" s="31" t="n"/>
      <c r="IH27" s="31" t="n"/>
      <c r="II27" s="31" t="n"/>
      <c r="IJ27" s="31" t="n"/>
      <c r="IK27" s="31" t="n"/>
      <c r="IL27" s="31" t="n"/>
      <c r="IM27" s="31" t="n"/>
      <c r="IN27" s="31" t="n"/>
      <c r="IO27" s="31" t="n"/>
      <c r="IP27" s="31" t="n"/>
      <c r="IQ27" s="31" t="n"/>
      <c r="IR27" s="31" t="n"/>
      <c r="IS27" s="31" t="n"/>
      <c r="IT27" s="31" t="n"/>
      <c r="IU27" s="31" t="n"/>
      <c r="IV27" s="31" t="n"/>
      <c r="IW27" s="31" t="n"/>
      <c r="IX27" s="31" t="n"/>
      <c r="IY27" s="31" t="n"/>
      <c r="IZ27" s="31" t="n"/>
      <c r="JA27" s="31" t="n"/>
      <c r="JB27" s="31" t="n"/>
      <c r="JC27" s="31" t="n"/>
      <c r="JD27" s="31" t="n"/>
      <c r="JE27" s="31" t="n"/>
      <c r="JF27" s="31" t="n"/>
      <c r="JG27" s="31" t="n"/>
      <c r="JH27" s="31" t="n"/>
      <c r="JI27" s="31" t="n"/>
      <c r="JJ27" s="31" t="n"/>
      <c r="JK27" s="31" t="n"/>
      <c r="JL27" s="31" t="n"/>
      <c r="JM27" s="31" t="n"/>
      <c r="JN27" s="31" t="n"/>
      <c r="JO27" s="31" t="n"/>
      <c r="JP27" s="31" t="n"/>
      <c r="JQ27" s="31" t="n"/>
      <c r="JR27" s="31" t="n"/>
      <c r="JS27" s="31" t="n"/>
      <c r="JT27" s="31" t="n"/>
      <c r="JU27" s="31" t="n"/>
      <c r="JV27" s="31" t="n"/>
      <c r="JW27" s="31" t="n"/>
      <c r="JX27" s="31" t="n"/>
      <c r="JY27" s="31" t="n"/>
      <c r="JZ27" s="31" t="n"/>
      <c r="KA27" s="31" t="n"/>
      <c r="KB27" s="31" t="n"/>
      <c r="KC27" s="31" t="n"/>
      <c r="KD27" s="31" t="n"/>
      <c r="KE27" s="31" t="n"/>
      <c r="KF27" s="31" t="n"/>
      <c r="KG27" s="31" t="n"/>
      <c r="KH27" s="31" t="n"/>
      <c r="KI27" s="31" t="n"/>
      <c r="KJ27" s="31" t="n"/>
      <c r="KK27" s="31" t="n"/>
      <c r="KL27" s="31" t="n"/>
      <c r="KM27" s="31" t="n"/>
      <c r="KN27" s="31" t="n"/>
      <c r="KO27" s="31" t="n"/>
      <c r="KP27" s="31" t="n"/>
      <c r="KQ27" s="31" t="n"/>
      <c r="KR27" s="31" t="n"/>
      <c r="KS27" s="31" t="n"/>
      <c r="KT27" s="31" t="n"/>
      <c r="KU27" s="31" t="n"/>
      <c r="KV27" s="31" t="n"/>
      <c r="KW27" s="31" t="n"/>
      <c r="KX27" s="31" t="n"/>
      <c r="KY27" s="31" t="n"/>
      <c r="KZ27" s="31" t="n"/>
      <c r="LA27" s="31" t="n"/>
      <c r="LB27" s="31" t="n"/>
      <c r="LC27" s="31" t="n"/>
      <c r="LD27" s="31" t="n"/>
      <c r="LE27" s="31" t="n"/>
      <c r="LF27" s="31" t="n"/>
      <c r="LG27" s="31" t="n"/>
      <c r="LH27" s="31" t="n"/>
      <c r="LI27" s="31" t="n"/>
      <c r="LJ27" s="31" t="n"/>
      <c r="LK27" s="31" t="n"/>
      <c r="LL27" s="31" t="n"/>
      <c r="LM27" s="31" t="n"/>
      <c r="LN27" s="31" t="n"/>
      <c r="LO27" s="31" t="n"/>
      <c r="LP27" s="31" t="n"/>
      <c r="LQ27" s="31" t="n"/>
      <c r="LR27" s="31" t="n"/>
      <c r="LS27" s="31" t="n"/>
      <c r="LT27" s="31" t="n"/>
      <c r="LU27" s="31" t="n"/>
      <c r="LV27" s="31" t="n"/>
      <c r="LW27" s="31" t="n"/>
      <c r="LX27" s="31" t="n"/>
      <c r="LY27" s="31" t="n"/>
      <c r="LZ27" s="31" t="n"/>
      <c r="MA27" s="31" t="n"/>
      <c r="MB27" s="31" t="n"/>
      <c r="MC27" s="31" t="n"/>
      <c r="MD27" s="31" t="n"/>
      <c r="ME27" s="31" t="n"/>
      <c r="MF27" s="31" t="n"/>
      <c r="MG27" s="31" t="n"/>
      <c r="MH27" s="31" t="n"/>
      <c r="MI27" s="31" t="n"/>
      <c r="MJ27" s="31" t="n"/>
      <c r="MK27" s="31" t="n"/>
      <c r="ML27" s="31" t="n"/>
      <c r="MM27" s="31" t="n"/>
      <c r="MN27" s="31" t="n"/>
      <c r="MO27" s="31" t="n"/>
      <c r="MP27" s="31" t="n"/>
      <c r="MQ27" s="31" t="n"/>
      <c r="MR27" s="31" t="n"/>
      <c r="MS27" s="31" t="n"/>
      <c r="MT27" s="31" t="n"/>
      <c r="MU27" s="31" t="n"/>
      <c r="MV27" s="31" t="n"/>
      <c r="MW27" s="31" t="n"/>
      <c r="MX27" s="31" t="n"/>
      <c r="MY27" s="31" t="n"/>
      <c r="MZ27" s="31" t="n"/>
      <c r="NA27" s="31" t="n"/>
      <c r="NB27" s="31" t="n"/>
      <c r="NC27" s="31" t="n"/>
      <c r="ND27" s="31" t="n"/>
      <c r="NE27" s="31" t="n"/>
      <c r="NF27" s="31" t="n"/>
      <c r="NG27" s="31" t="n"/>
      <c r="NH27" s="31" t="n"/>
      <c r="NI27" s="31" t="n"/>
      <c r="NJ27" s="31" t="n"/>
      <c r="NK27" s="31" t="n"/>
      <c r="NL27" s="31" t="n"/>
      <c r="NM27" s="31" t="n"/>
      <c r="NN27" s="31" t="n"/>
      <c r="NO27" s="31" t="n"/>
      <c r="NP27" s="31" t="n"/>
      <c r="NQ27" s="31" t="n"/>
      <c r="NR27" s="31" t="n"/>
      <c r="NS27" s="31" t="n"/>
      <c r="NT27" s="31" t="n"/>
      <c r="NU27" s="31" t="n"/>
      <c r="NV27" s="31" t="n"/>
      <c r="NW27" s="31" t="n"/>
      <c r="NX27" s="31" t="n"/>
      <c r="NY27" s="31" t="n"/>
      <c r="NZ27" s="31" t="n"/>
      <c r="OA27" s="31" t="n"/>
      <c r="OB27" s="31" t="n"/>
      <c r="OC27" s="31" t="n"/>
      <c r="OD27" s="31" t="n"/>
      <c r="OE27" s="31" t="n"/>
      <c r="OF27" s="31" t="n"/>
      <c r="OG27" s="31" t="n"/>
      <c r="OH27" s="31" t="n"/>
      <c r="OI27" s="31" t="n"/>
      <c r="OJ27" s="31" t="n"/>
      <c r="OK27" s="31" t="n"/>
      <c r="OL27" s="31" t="n"/>
      <c r="OM27" s="31" t="n"/>
      <c r="ON27" s="31" t="n"/>
      <c r="OO27" s="31" t="n"/>
      <c r="OP27" s="31" t="n"/>
      <c r="OQ27" s="31" t="n"/>
      <c r="OR27" s="31" t="n"/>
      <c r="OS27" s="31" t="n"/>
      <c r="OT27" s="31" t="n"/>
      <c r="OU27" s="31" t="n"/>
      <c r="OV27" s="31" t="n"/>
      <c r="OW27" s="31" t="n"/>
      <c r="OX27" s="31" t="n"/>
      <c r="OY27" s="31" t="n"/>
      <c r="OZ27" s="31" t="n"/>
      <c r="PA27" s="31" t="n"/>
      <c r="PB27" s="31" t="n"/>
      <c r="PC27" s="31" t="n"/>
      <c r="PD27" s="31" t="n"/>
      <c r="PE27" s="31" t="n"/>
      <c r="PF27" s="31" t="n"/>
      <c r="PG27" s="31" t="n"/>
      <c r="PH27" s="31" t="n"/>
      <c r="PI27" s="31" t="n"/>
      <c r="PJ27" s="31" t="n"/>
      <c r="PK27" s="31" t="n"/>
      <c r="PL27" s="31" t="n"/>
      <c r="PM27" s="31" t="n"/>
      <c r="PN27" s="31" t="n"/>
      <c r="PO27" s="31" t="n"/>
      <c r="PP27" s="31" t="n"/>
      <c r="PQ27" s="31" t="n"/>
      <c r="PR27" s="31" t="n"/>
      <c r="PS27" s="31" t="n"/>
      <c r="PT27" s="31" t="n"/>
      <c r="PU27" s="31" t="n"/>
      <c r="PV27" s="31" t="n"/>
      <c r="PW27" s="31" t="n"/>
      <c r="PX27" s="31" t="n"/>
      <c r="PY27" s="31" t="n"/>
      <c r="PZ27" s="31" t="n"/>
      <c r="QA27" s="31" t="n"/>
      <c r="QB27" s="31" t="n"/>
      <c r="QC27" s="31" t="n"/>
      <c r="QD27" s="31" t="n"/>
      <c r="QE27" s="31" t="n"/>
      <c r="QF27" s="31" t="n"/>
      <c r="QG27" s="31" t="n"/>
      <c r="QH27" s="31" t="n"/>
      <c r="QI27" s="31" t="n"/>
      <c r="QJ27" s="31" t="n"/>
      <c r="QK27" s="31" t="n"/>
      <c r="QL27" s="31" t="n"/>
      <c r="QM27" s="31" t="n"/>
      <c r="QN27" s="31" t="n"/>
      <c r="QO27" s="31" t="n"/>
      <c r="QP27" s="31" t="n"/>
      <c r="QQ27" s="31" t="n"/>
      <c r="QR27" s="31" t="n"/>
      <c r="QS27" s="31" t="n"/>
      <c r="QT27" s="31" t="n"/>
      <c r="QU27" s="31" t="n"/>
      <c r="QV27" s="31" t="n"/>
      <c r="QW27" s="31" t="n"/>
      <c r="QX27" s="31" t="n"/>
      <c r="QY27" s="31" t="n"/>
      <c r="QZ27" s="31" t="n"/>
      <c r="RA27" s="31" t="n"/>
      <c r="RB27" s="31" t="n"/>
      <c r="RC27" s="31" t="n"/>
      <c r="RD27" s="31" t="n"/>
      <c r="RE27" s="31" t="n"/>
      <c r="RF27" s="31" t="n"/>
      <c r="RG27" s="31" t="n"/>
      <c r="RH27" s="31" t="n"/>
      <c r="RI27" s="31" t="n"/>
      <c r="RJ27" s="31" t="n"/>
      <c r="RK27" s="31" t="n"/>
      <c r="RL27" s="31" t="n"/>
      <c r="RM27" s="31" t="n"/>
      <c r="RN27" s="31" t="n"/>
      <c r="RO27" s="31" t="n"/>
      <c r="RP27" s="31" t="n"/>
      <c r="RQ27" s="31" t="n"/>
      <c r="RR27" s="31" t="n"/>
      <c r="RS27" s="31" t="n"/>
      <c r="RT27" s="31" t="n"/>
      <c r="RU27" s="31" t="n"/>
      <c r="RV27" s="31" t="n"/>
      <c r="RW27" s="31" t="n"/>
    </row>
    <row r="28" hidden="1" outlineLevel="1" ht="13.05" customHeight="1">
      <c r="E28" s="29" t="n"/>
      <c r="F28" s="29" t="n"/>
      <c r="G28" s="29" t="n"/>
      <c r="H28" s="29" t="n"/>
      <c r="I28" s="29" t="n"/>
      <c r="J28" s="30" t="n"/>
      <c r="K28" s="29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31" t="n"/>
      <c r="AR28" s="31" t="n"/>
      <c r="AS28" s="31" t="n"/>
      <c r="AT28" s="31" t="n"/>
      <c r="AU28" s="31" t="n"/>
      <c r="AV28" s="31" t="n"/>
      <c r="AW28" s="31" t="n"/>
      <c r="AX28" s="31" t="n"/>
      <c r="AY28" s="31" t="n"/>
      <c r="AZ28" s="31" t="n"/>
      <c r="BA28" s="31" t="n"/>
      <c r="BB28" s="31" t="n"/>
      <c r="BC28" s="31" t="n"/>
      <c r="BD28" s="31" t="n"/>
      <c r="BE28" s="31" t="n"/>
      <c r="BF28" s="31" t="n"/>
      <c r="BG28" s="31" t="n"/>
      <c r="BH28" s="31" t="n"/>
      <c r="BI28" s="31" t="n"/>
      <c r="BJ28" s="31" t="n"/>
      <c r="BK28" s="31" t="n"/>
      <c r="BL28" s="31" t="n"/>
      <c r="BM28" s="31" t="n"/>
      <c r="BN28" s="31" t="n"/>
      <c r="BO28" s="31" t="n"/>
      <c r="BP28" s="31" t="n"/>
      <c r="BQ28" s="31" t="n"/>
      <c r="BR28" s="31" t="n"/>
      <c r="BS28" s="31" t="n"/>
      <c r="BT28" s="31" t="n"/>
      <c r="BU28" s="31" t="n"/>
      <c r="BV28" s="31" t="n"/>
      <c r="BW28" s="31" t="n"/>
      <c r="BX28" s="31" t="n"/>
      <c r="BY28" s="31" t="n"/>
      <c r="BZ28" s="31" t="n"/>
      <c r="CA28" s="31" t="n"/>
      <c r="CB28" s="31" t="n"/>
      <c r="CC28" s="31" t="n"/>
      <c r="CD28" s="31" t="n"/>
      <c r="CE28" s="31" t="n"/>
      <c r="CF28" s="31" t="n"/>
      <c r="CG28" s="31" t="n"/>
      <c r="CH28" s="31" t="n"/>
      <c r="CI28" s="31" t="n"/>
      <c r="CJ28" s="31" t="n"/>
      <c r="CK28" s="31" t="n"/>
      <c r="CL28" s="31" t="n"/>
      <c r="CM28" s="31" t="n"/>
      <c r="CN28" s="31" t="n"/>
      <c r="CO28" s="31" t="n"/>
      <c r="CP28" s="31" t="n"/>
      <c r="CQ28" s="31" t="n"/>
      <c r="CR28" s="31" t="n"/>
      <c r="CS28" s="31" t="n"/>
      <c r="CT28" s="31" t="n"/>
      <c r="CU28" s="31" t="n"/>
      <c r="CV28" s="31" t="n"/>
      <c r="CW28" s="31" t="n"/>
      <c r="CX28" s="31" t="n"/>
      <c r="CY28" s="31" t="n"/>
      <c r="CZ28" s="31" t="n"/>
      <c r="DA28" s="31" t="n"/>
      <c r="DB28" s="31" t="n"/>
      <c r="DC28" s="31" t="n"/>
      <c r="DD28" s="31" t="n"/>
      <c r="DE28" s="31" t="n"/>
      <c r="DF28" s="31" t="n"/>
      <c r="DG28" s="31" t="n"/>
      <c r="DH28" s="31" t="n"/>
      <c r="DI28" s="31" t="n"/>
      <c r="DJ28" s="31" t="n"/>
      <c r="DK28" s="31" t="n"/>
      <c r="DL28" s="31" t="n"/>
      <c r="DM28" s="31" t="n"/>
      <c r="DN28" s="31" t="n"/>
      <c r="DO28" s="31" t="n"/>
      <c r="DP28" s="31" t="n"/>
      <c r="DQ28" s="31" t="n"/>
      <c r="DR28" s="31" t="n"/>
      <c r="DS28" s="31" t="n"/>
      <c r="DT28" s="31" t="n"/>
      <c r="DU28" s="31" t="n"/>
      <c r="DV28" s="31" t="n"/>
      <c r="DW28" s="31" t="n"/>
      <c r="DX28" s="31" t="n"/>
      <c r="DY28" s="31" t="n"/>
      <c r="DZ28" s="31" t="n"/>
      <c r="EA28" s="31" t="n"/>
      <c r="EB28" s="31" t="n"/>
      <c r="EC28" s="31" t="n"/>
      <c r="ED28" s="31" t="n"/>
      <c r="EE28" s="31" t="n"/>
      <c r="EF28" s="31" t="n"/>
      <c r="EG28" s="31" t="n"/>
      <c r="EH28" s="31" t="n"/>
      <c r="EI28" s="31" t="n"/>
      <c r="EJ28" s="31" t="n"/>
      <c r="EK28" s="31" t="n"/>
      <c r="EL28" s="31" t="n"/>
      <c r="EM28" s="31" t="n"/>
      <c r="EN28" s="31" t="n"/>
      <c r="EO28" s="31" t="n"/>
      <c r="EP28" s="31" t="n"/>
      <c r="EQ28" s="31" t="n"/>
      <c r="ER28" s="31" t="n"/>
      <c r="ES28" s="31" t="n"/>
      <c r="ET28" s="31" t="n"/>
      <c r="EU28" s="31" t="n"/>
      <c r="EV28" s="31" t="n"/>
      <c r="EW28" s="31" t="n"/>
      <c r="EX28" s="31" t="n"/>
      <c r="EY28" s="31" t="n"/>
      <c r="EZ28" s="31" t="n"/>
      <c r="FA28" s="31" t="n"/>
      <c r="FB28" s="31" t="n"/>
      <c r="FC28" s="31" t="n"/>
      <c r="FD28" s="31" t="n"/>
      <c r="FE28" s="31" t="n"/>
      <c r="FF28" s="31" t="n"/>
      <c r="FG28" s="31" t="n"/>
      <c r="FH28" s="31" t="n"/>
      <c r="FI28" s="31" t="n"/>
      <c r="FJ28" s="31" t="n"/>
      <c r="FK28" s="31" t="n"/>
      <c r="FL28" s="31" t="n"/>
      <c r="FM28" s="31" t="n"/>
      <c r="FN28" s="31" t="n"/>
      <c r="FO28" s="31" t="n"/>
      <c r="FP28" s="31" t="n"/>
      <c r="FQ28" s="31" t="n"/>
      <c r="FR28" s="31" t="n"/>
      <c r="FS28" s="31" t="n"/>
      <c r="FT28" s="31" t="n"/>
      <c r="FU28" s="31" t="n"/>
      <c r="FV28" s="31" t="n"/>
      <c r="FW28" s="31" t="n"/>
      <c r="FX28" s="31" t="n"/>
      <c r="FY28" s="31" t="n"/>
      <c r="FZ28" s="31" t="n"/>
      <c r="GA28" s="31" t="n"/>
      <c r="GB28" s="31" t="n"/>
      <c r="GC28" s="31" t="n"/>
      <c r="GD28" s="31" t="n"/>
      <c r="GE28" s="31" t="n"/>
      <c r="GF28" s="31" t="n"/>
      <c r="GG28" s="31" t="n"/>
      <c r="GH28" s="31" t="n"/>
      <c r="GI28" s="31" t="n"/>
      <c r="GJ28" s="31" t="n"/>
      <c r="GK28" s="31" t="n"/>
      <c r="GL28" s="31" t="n"/>
      <c r="GM28" s="31" t="n"/>
      <c r="GN28" s="31" t="n"/>
      <c r="GO28" s="31" t="n"/>
      <c r="GP28" s="31" t="n"/>
      <c r="GQ28" s="31" t="n"/>
      <c r="GR28" s="31" t="n"/>
      <c r="GS28" s="31" t="n"/>
      <c r="GT28" s="31" t="n"/>
      <c r="GU28" s="31" t="n"/>
      <c r="GV28" s="31" t="n"/>
      <c r="GW28" s="31" t="n"/>
      <c r="GX28" s="31" t="n"/>
      <c r="GY28" s="31" t="n"/>
      <c r="GZ28" s="31" t="n"/>
      <c r="HA28" s="31" t="n"/>
      <c r="HB28" s="31" t="n"/>
      <c r="HC28" s="31" t="n"/>
      <c r="HD28" s="31" t="n"/>
      <c r="HE28" s="31" t="n"/>
      <c r="HF28" s="31" t="n"/>
      <c r="HG28" s="31" t="n"/>
      <c r="HH28" s="31" t="n"/>
      <c r="HI28" s="31" t="n"/>
      <c r="HJ28" s="31" t="n"/>
      <c r="HK28" s="31" t="n"/>
      <c r="HL28" s="31" t="n"/>
      <c r="HM28" s="31" t="n"/>
      <c r="HN28" s="31" t="n"/>
      <c r="HO28" s="31" t="n"/>
      <c r="HP28" s="31" t="n"/>
      <c r="HQ28" s="31" t="n"/>
      <c r="HR28" s="31" t="n"/>
      <c r="HS28" s="31" t="n"/>
      <c r="HT28" s="31" t="n"/>
      <c r="HU28" s="31" t="n"/>
      <c r="HV28" s="31" t="n"/>
      <c r="HW28" s="31" t="n"/>
      <c r="HX28" s="31" t="n"/>
      <c r="HY28" s="31" t="n"/>
      <c r="HZ28" s="31" t="n"/>
      <c r="IA28" s="31" t="n"/>
      <c r="IB28" s="31" t="n"/>
      <c r="IC28" s="31" t="n"/>
      <c r="ID28" s="31" t="n"/>
      <c r="IE28" s="31" t="n"/>
      <c r="IF28" s="31" t="n"/>
      <c r="IG28" s="31" t="n"/>
      <c r="IH28" s="31" t="n"/>
      <c r="II28" s="31" t="n"/>
      <c r="IJ28" s="31" t="n"/>
      <c r="IK28" s="31" t="n"/>
      <c r="IL28" s="31" t="n"/>
      <c r="IM28" s="31" t="n"/>
      <c r="IN28" s="31" t="n"/>
      <c r="IO28" s="31" t="n"/>
      <c r="IP28" s="31" t="n"/>
      <c r="IQ28" s="31" t="n"/>
      <c r="IR28" s="31" t="n"/>
      <c r="IS28" s="31" t="n"/>
      <c r="IT28" s="31" t="n"/>
      <c r="IU28" s="31" t="n"/>
      <c r="IV28" s="31" t="n"/>
      <c r="IW28" s="31" t="n"/>
      <c r="IX28" s="31" t="n"/>
      <c r="IY28" s="31" t="n"/>
      <c r="IZ28" s="31" t="n"/>
      <c r="JA28" s="31" t="n"/>
      <c r="JB28" s="31" t="n"/>
      <c r="JC28" s="31" t="n"/>
      <c r="JD28" s="31" t="n"/>
      <c r="JE28" s="31" t="n"/>
      <c r="JF28" s="31" t="n"/>
      <c r="JG28" s="31" t="n"/>
      <c r="JH28" s="31" t="n"/>
      <c r="JI28" s="31" t="n"/>
      <c r="JJ28" s="31" t="n"/>
      <c r="JK28" s="31" t="n"/>
      <c r="JL28" s="31" t="n"/>
      <c r="JM28" s="31" t="n"/>
      <c r="JN28" s="31" t="n"/>
      <c r="JO28" s="31" t="n"/>
      <c r="JP28" s="31" t="n"/>
      <c r="JQ28" s="31" t="n"/>
      <c r="JR28" s="31" t="n"/>
      <c r="JS28" s="31" t="n"/>
      <c r="JT28" s="31" t="n"/>
      <c r="JU28" s="31" t="n"/>
      <c r="JV28" s="31" t="n"/>
      <c r="JW28" s="31" t="n"/>
      <c r="JX28" s="31" t="n"/>
      <c r="JY28" s="31" t="n"/>
      <c r="JZ28" s="31" t="n"/>
      <c r="KA28" s="31" t="n"/>
      <c r="KB28" s="31" t="n"/>
      <c r="KC28" s="31" t="n"/>
      <c r="KD28" s="31" t="n"/>
      <c r="KE28" s="31" t="n"/>
      <c r="KF28" s="31" t="n"/>
      <c r="KG28" s="31" t="n"/>
      <c r="KH28" s="31" t="n"/>
      <c r="KI28" s="31" t="n"/>
      <c r="KJ28" s="31" t="n"/>
      <c r="KK28" s="31" t="n"/>
      <c r="KL28" s="31" t="n"/>
      <c r="KM28" s="31" t="n"/>
      <c r="KN28" s="31" t="n"/>
      <c r="KO28" s="31" t="n"/>
      <c r="KP28" s="31" t="n"/>
      <c r="KQ28" s="31" t="n"/>
      <c r="KR28" s="31" t="n"/>
      <c r="KS28" s="31" t="n"/>
      <c r="KT28" s="31" t="n"/>
      <c r="KU28" s="31" t="n"/>
      <c r="KV28" s="31" t="n"/>
      <c r="KW28" s="31" t="n"/>
      <c r="KX28" s="31" t="n"/>
      <c r="KY28" s="31" t="n"/>
      <c r="KZ28" s="31" t="n"/>
      <c r="LA28" s="31" t="n"/>
      <c r="LB28" s="31" t="n"/>
      <c r="LC28" s="31" t="n"/>
      <c r="LD28" s="31" t="n"/>
      <c r="LE28" s="31" t="n"/>
      <c r="LF28" s="31" t="n"/>
      <c r="LG28" s="31" t="n"/>
      <c r="LH28" s="31" t="n"/>
      <c r="LI28" s="31" t="n"/>
      <c r="LJ28" s="31" t="n"/>
      <c r="LK28" s="31" t="n"/>
      <c r="LL28" s="31" t="n"/>
      <c r="LM28" s="31" t="n"/>
      <c r="LN28" s="31" t="n"/>
      <c r="LO28" s="31" t="n"/>
      <c r="LP28" s="31" t="n"/>
      <c r="LQ28" s="31" t="n"/>
      <c r="LR28" s="31" t="n"/>
      <c r="LS28" s="31" t="n"/>
      <c r="LT28" s="31" t="n"/>
      <c r="LU28" s="31" t="n"/>
      <c r="LV28" s="31" t="n"/>
      <c r="LW28" s="31" t="n"/>
      <c r="LX28" s="31" t="n"/>
      <c r="LY28" s="31" t="n"/>
      <c r="LZ28" s="31" t="n"/>
      <c r="MA28" s="31" t="n"/>
      <c r="MB28" s="31" t="n"/>
      <c r="MC28" s="31" t="n"/>
      <c r="MD28" s="31" t="n"/>
      <c r="ME28" s="31" t="n"/>
      <c r="MF28" s="31" t="n"/>
      <c r="MG28" s="31" t="n"/>
      <c r="MH28" s="31" t="n"/>
      <c r="MI28" s="31" t="n"/>
      <c r="MJ28" s="31" t="n"/>
      <c r="MK28" s="31" t="n"/>
      <c r="ML28" s="31" t="n"/>
      <c r="MM28" s="31" t="n"/>
      <c r="MN28" s="31" t="n"/>
      <c r="MO28" s="31" t="n"/>
      <c r="MP28" s="31" t="n"/>
      <c r="MQ28" s="31" t="n"/>
      <c r="MR28" s="31" t="n"/>
      <c r="MS28" s="31" t="n"/>
      <c r="MT28" s="31" t="n"/>
      <c r="MU28" s="31" t="n"/>
      <c r="MV28" s="31" t="n"/>
      <c r="MW28" s="31" t="n"/>
      <c r="MX28" s="31" t="n"/>
      <c r="MY28" s="31" t="n"/>
      <c r="MZ28" s="31" t="n"/>
      <c r="NA28" s="31" t="n"/>
      <c r="NB28" s="31" t="n"/>
      <c r="NC28" s="31" t="n"/>
      <c r="ND28" s="31" t="n"/>
      <c r="NE28" s="31" t="n"/>
      <c r="NF28" s="31" t="n"/>
      <c r="NG28" s="31" t="n"/>
      <c r="NH28" s="31" t="n"/>
      <c r="NI28" s="31" t="n"/>
      <c r="NJ28" s="31" t="n"/>
      <c r="NK28" s="31" t="n"/>
      <c r="NL28" s="31" t="n"/>
      <c r="NM28" s="31" t="n"/>
      <c r="NN28" s="31" t="n"/>
      <c r="NO28" s="31" t="n"/>
      <c r="NP28" s="31" t="n"/>
      <c r="NQ28" s="31" t="n"/>
      <c r="NR28" s="31" t="n"/>
      <c r="NS28" s="31" t="n"/>
      <c r="NT28" s="31" t="n"/>
      <c r="NU28" s="31" t="n"/>
      <c r="NV28" s="31" t="n"/>
      <c r="NW28" s="31" t="n"/>
      <c r="NX28" s="31" t="n"/>
      <c r="NY28" s="31" t="n"/>
      <c r="NZ28" s="31" t="n"/>
      <c r="OA28" s="31" t="n"/>
      <c r="OB28" s="31" t="n"/>
      <c r="OC28" s="31" t="n"/>
      <c r="OD28" s="31" t="n"/>
      <c r="OE28" s="31" t="n"/>
      <c r="OF28" s="31" t="n"/>
      <c r="OG28" s="31" t="n"/>
      <c r="OH28" s="31" t="n"/>
      <c r="OI28" s="31" t="n"/>
      <c r="OJ28" s="31" t="n"/>
      <c r="OK28" s="31" t="n"/>
      <c r="OL28" s="31" t="n"/>
      <c r="OM28" s="31" t="n"/>
      <c r="ON28" s="31" t="n"/>
      <c r="OO28" s="31" t="n"/>
      <c r="OP28" s="31" t="n"/>
      <c r="OQ28" s="31" t="n"/>
      <c r="OR28" s="31" t="n"/>
      <c r="OS28" s="31" t="n"/>
      <c r="OT28" s="31" t="n"/>
      <c r="OU28" s="31" t="n"/>
      <c r="OV28" s="31" t="n"/>
      <c r="OW28" s="31" t="n"/>
      <c r="OX28" s="31" t="n"/>
      <c r="OY28" s="31" t="n"/>
      <c r="OZ28" s="31" t="n"/>
      <c r="PA28" s="31" t="n"/>
      <c r="PB28" s="31" t="n"/>
      <c r="PC28" s="31" t="n"/>
      <c r="PD28" s="31" t="n"/>
      <c r="PE28" s="31" t="n"/>
      <c r="PF28" s="31" t="n"/>
      <c r="PG28" s="31" t="n"/>
      <c r="PH28" s="31" t="n"/>
      <c r="PI28" s="31" t="n"/>
      <c r="PJ28" s="31" t="n"/>
      <c r="PK28" s="31" t="n"/>
      <c r="PL28" s="31" t="n"/>
      <c r="PM28" s="31" t="n"/>
      <c r="PN28" s="31" t="n"/>
      <c r="PO28" s="31" t="n"/>
      <c r="PP28" s="31" t="n"/>
      <c r="PQ28" s="31" t="n"/>
      <c r="PR28" s="31" t="n"/>
      <c r="PS28" s="31" t="n"/>
      <c r="PT28" s="31" t="n"/>
      <c r="PU28" s="31" t="n"/>
      <c r="PV28" s="31" t="n"/>
      <c r="PW28" s="31" t="n"/>
      <c r="PX28" s="31" t="n"/>
      <c r="PY28" s="31" t="n"/>
      <c r="PZ28" s="31" t="n"/>
      <c r="QA28" s="31" t="n"/>
      <c r="QB28" s="31" t="n"/>
      <c r="QC28" s="31" t="n"/>
      <c r="QD28" s="31" t="n"/>
      <c r="QE28" s="31" t="n"/>
      <c r="QF28" s="31" t="n"/>
      <c r="QG28" s="31" t="n"/>
      <c r="QH28" s="31" t="n"/>
      <c r="QI28" s="31" t="n"/>
      <c r="QJ28" s="31" t="n"/>
      <c r="QK28" s="31" t="n"/>
      <c r="QL28" s="31" t="n"/>
      <c r="QM28" s="31" t="n"/>
      <c r="QN28" s="31" t="n"/>
      <c r="QO28" s="31" t="n"/>
      <c r="QP28" s="31" t="n"/>
      <c r="QQ28" s="31" t="n"/>
      <c r="QR28" s="31" t="n"/>
      <c r="QS28" s="31" t="n"/>
      <c r="QT28" s="31" t="n"/>
      <c r="QU28" s="31" t="n"/>
      <c r="QV28" s="31" t="n"/>
      <c r="QW28" s="31" t="n"/>
      <c r="QX28" s="31" t="n"/>
      <c r="QY28" s="31" t="n"/>
      <c r="QZ28" s="31" t="n"/>
      <c r="RA28" s="31" t="n"/>
      <c r="RB28" s="31" t="n"/>
      <c r="RC28" s="31" t="n"/>
      <c r="RD28" s="31" t="n"/>
      <c r="RE28" s="31" t="n"/>
      <c r="RF28" s="31" t="n"/>
      <c r="RG28" s="31" t="n"/>
      <c r="RH28" s="31" t="n"/>
      <c r="RI28" s="31" t="n"/>
      <c r="RJ28" s="31" t="n"/>
      <c r="RK28" s="31" t="n"/>
      <c r="RL28" s="31" t="n"/>
      <c r="RM28" s="31" t="n"/>
      <c r="RN28" s="31" t="n"/>
      <c r="RO28" s="31" t="n"/>
      <c r="RP28" s="31" t="n"/>
      <c r="RQ28" s="31" t="n"/>
      <c r="RR28" s="31" t="n"/>
      <c r="RS28" s="31" t="n"/>
      <c r="RT28" s="31" t="n"/>
      <c r="RU28" s="31" t="n"/>
      <c r="RV28" s="31" t="n"/>
      <c r="RW28" s="31" t="n"/>
    </row>
    <row r="29" hidden="1" outlineLevel="1" ht="13.05" customHeight="1">
      <c r="E29" s="29" t="n"/>
      <c r="F29" s="29" t="n"/>
      <c r="G29" s="29" t="n"/>
      <c r="H29" s="29" t="n"/>
      <c r="I29" s="29" t="n"/>
      <c r="J29" s="48" t="n"/>
      <c r="K29" s="2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  <c r="AZ29" s="49" t="n"/>
      <c r="BA29" s="49" t="n"/>
      <c r="BB29" s="49" t="n"/>
      <c r="BC29" s="49" t="n"/>
      <c r="BD29" s="49" t="n"/>
      <c r="BE29" s="49" t="n"/>
      <c r="BF29" s="49" t="n"/>
      <c r="BG29" s="49" t="n"/>
      <c r="BH29" s="49" t="n"/>
      <c r="BI29" s="49" t="n"/>
      <c r="BJ29" s="49" t="n"/>
      <c r="BK29" s="49" t="n"/>
      <c r="BL29" s="49" t="n"/>
      <c r="BM29" s="49" t="n"/>
      <c r="BN29" s="49" t="n"/>
      <c r="BO29" s="49" t="n"/>
      <c r="BP29" s="49" t="n"/>
      <c r="BQ29" s="49" t="n"/>
      <c r="BR29" s="49" t="n"/>
      <c r="BS29" s="49" t="n"/>
      <c r="BT29" s="49" t="n"/>
      <c r="BU29" s="49" t="n"/>
      <c r="BV29" s="49" t="n"/>
      <c r="BW29" s="49" t="n"/>
      <c r="BX29" s="49" t="n"/>
      <c r="BY29" s="49" t="n"/>
      <c r="BZ29" s="49" t="n"/>
      <c r="CA29" s="49" t="n"/>
      <c r="CB29" s="49" t="n"/>
      <c r="CC29" s="49" t="n"/>
      <c r="CD29" s="49" t="n"/>
      <c r="CE29" s="49" t="n"/>
      <c r="CF29" s="49" t="n"/>
      <c r="CG29" s="49" t="n"/>
      <c r="CH29" s="49" t="n"/>
      <c r="CI29" s="49" t="n"/>
      <c r="CJ29" s="49" t="n"/>
      <c r="CK29" s="49" t="n"/>
      <c r="CL29" s="49" t="n"/>
      <c r="CM29" s="49" t="n"/>
      <c r="CN29" s="49" t="n"/>
      <c r="CO29" s="49" t="n"/>
      <c r="CP29" s="49" t="n"/>
      <c r="CQ29" s="49" t="n"/>
      <c r="CR29" s="49" t="n"/>
      <c r="CS29" s="49" t="n"/>
      <c r="CT29" s="49" t="n"/>
      <c r="CU29" s="49" t="n"/>
      <c r="CV29" s="49" t="n"/>
      <c r="CW29" s="49" t="n"/>
      <c r="CX29" s="49" t="n"/>
      <c r="CY29" s="49" t="n"/>
      <c r="CZ29" s="49" t="n"/>
      <c r="DA29" s="49" t="n"/>
      <c r="DB29" s="49" t="n"/>
      <c r="DC29" s="49" t="n"/>
      <c r="DD29" s="49" t="n"/>
      <c r="DE29" s="49" t="n"/>
      <c r="DF29" s="49" t="n"/>
      <c r="DG29" s="49" t="n"/>
      <c r="DH29" s="49" t="n"/>
      <c r="DI29" s="49" t="n"/>
      <c r="DJ29" s="49" t="n"/>
      <c r="DK29" s="49" t="n"/>
      <c r="DL29" s="49" t="n"/>
      <c r="DM29" s="49" t="n"/>
      <c r="DN29" s="49" t="n"/>
      <c r="DO29" s="49" t="n"/>
      <c r="DP29" s="49" t="n"/>
      <c r="DQ29" s="49" t="n"/>
      <c r="DR29" s="49" t="n"/>
      <c r="DS29" s="49" t="n"/>
      <c r="DT29" s="49" t="n"/>
      <c r="DU29" s="49" t="n"/>
      <c r="DV29" s="49" t="n"/>
      <c r="DW29" s="49" t="n"/>
      <c r="DX29" s="49" t="n"/>
      <c r="DY29" s="49" t="n"/>
      <c r="DZ29" s="49" t="n"/>
      <c r="EA29" s="49" t="n"/>
      <c r="EB29" s="49" t="n"/>
      <c r="EC29" s="49" t="n"/>
      <c r="ED29" s="49" t="n"/>
      <c r="EE29" s="49" t="n"/>
      <c r="EF29" s="49" t="n"/>
      <c r="EG29" s="49" t="n"/>
      <c r="EH29" s="49" t="n"/>
      <c r="EI29" s="49" t="n"/>
      <c r="EJ29" s="49" t="n"/>
      <c r="EK29" s="49" t="n"/>
      <c r="EL29" s="49" t="n"/>
      <c r="EM29" s="49" t="n"/>
      <c r="EN29" s="49" t="n"/>
      <c r="EO29" s="49" t="n"/>
      <c r="EP29" s="49" t="n"/>
      <c r="EQ29" s="49" t="n"/>
      <c r="ER29" s="49" t="n"/>
      <c r="ES29" s="49" t="n"/>
      <c r="ET29" s="49" t="n"/>
      <c r="EU29" s="49" t="n"/>
      <c r="EV29" s="49" t="n"/>
      <c r="EW29" s="49" t="n"/>
      <c r="EX29" s="49" t="n"/>
      <c r="EY29" s="49" t="n"/>
      <c r="EZ29" s="49" t="n"/>
      <c r="FA29" s="49" t="n"/>
      <c r="FB29" s="49" t="n"/>
      <c r="FC29" s="49" t="n"/>
      <c r="FD29" s="49" t="n"/>
      <c r="FE29" s="49" t="n"/>
      <c r="FF29" s="49" t="n"/>
      <c r="FG29" s="49" t="n"/>
      <c r="FH29" s="49" t="n"/>
      <c r="FI29" s="49" t="n"/>
      <c r="FJ29" s="49" t="n"/>
      <c r="FK29" s="49" t="n"/>
      <c r="FL29" s="49" t="n"/>
      <c r="FM29" s="49" t="n"/>
      <c r="FN29" s="49" t="n"/>
      <c r="FO29" s="49" t="n"/>
      <c r="FP29" s="49" t="n"/>
      <c r="FQ29" s="49" t="n"/>
      <c r="FR29" s="49" t="n"/>
      <c r="FS29" s="49" t="n"/>
      <c r="FT29" s="49" t="n"/>
      <c r="FU29" s="49" t="n"/>
      <c r="FV29" s="49" t="n"/>
      <c r="FW29" s="49" t="n"/>
      <c r="FX29" s="49" t="n"/>
      <c r="FY29" s="49" t="n"/>
      <c r="FZ29" s="49" t="n"/>
      <c r="GA29" s="49" t="n"/>
      <c r="GB29" s="49" t="n"/>
      <c r="GC29" s="49" t="n"/>
      <c r="GD29" s="49" t="n"/>
      <c r="GE29" s="49" t="n"/>
      <c r="GF29" s="49" t="n"/>
      <c r="GG29" s="49" t="n"/>
      <c r="GH29" s="49" t="n"/>
      <c r="GI29" s="49" t="n"/>
      <c r="GJ29" s="49" t="n"/>
      <c r="GK29" s="49" t="n"/>
      <c r="GL29" s="49" t="n"/>
      <c r="GM29" s="49" t="n"/>
      <c r="GN29" s="49" t="n"/>
      <c r="GO29" s="49" t="n"/>
      <c r="GP29" s="49" t="n"/>
      <c r="GQ29" s="49" t="n"/>
      <c r="GR29" s="49" t="n"/>
      <c r="GS29" s="49" t="n"/>
      <c r="GT29" s="49" t="n"/>
      <c r="GU29" s="49" t="n"/>
      <c r="GV29" s="49" t="n"/>
      <c r="GW29" s="49" t="n"/>
      <c r="GX29" s="49" t="n"/>
      <c r="GY29" s="49" t="n"/>
      <c r="GZ29" s="49" t="n"/>
      <c r="HA29" s="49" t="n"/>
      <c r="HB29" s="49" t="n"/>
      <c r="HC29" s="49" t="n"/>
      <c r="HD29" s="49" t="n"/>
      <c r="HE29" s="49" t="n"/>
      <c r="HF29" s="49" t="n"/>
      <c r="HG29" s="49" t="n"/>
      <c r="HH29" s="49" t="n"/>
      <c r="HI29" s="49" t="n"/>
      <c r="HJ29" s="49" t="n"/>
      <c r="HK29" s="49" t="n"/>
      <c r="HL29" s="49" t="n"/>
      <c r="HM29" s="49" t="n"/>
      <c r="HN29" s="49" t="n"/>
      <c r="HO29" s="49" t="n"/>
      <c r="HP29" s="49" t="n"/>
      <c r="HQ29" s="49" t="n"/>
      <c r="HR29" s="49" t="n"/>
      <c r="HS29" s="49" t="n"/>
      <c r="HT29" s="49" t="n"/>
      <c r="HU29" s="49" t="n"/>
      <c r="HV29" s="49" t="n"/>
      <c r="HW29" s="49" t="n"/>
      <c r="HX29" s="49" t="n"/>
      <c r="HY29" s="49" t="n"/>
      <c r="HZ29" s="49" t="n"/>
      <c r="IA29" s="49" t="n"/>
      <c r="IB29" s="49" t="n"/>
      <c r="IC29" s="49" t="n"/>
      <c r="ID29" s="49" t="n"/>
      <c r="IE29" s="49" t="n"/>
      <c r="IF29" s="49" t="n"/>
      <c r="IG29" s="49" t="n"/>
      <c r="IH29" s="49" t="n"/>
      <c r="II29" s="49" t="n"/>
      <c r="IJ29" s="49" t="n"/>
      <c r="IK29" s="49" t="n"/>
      <c r="IL29" s="49" t="n"/>
      <c r="IM29" s="49" t="n"/>
      <c r="IN29" s="49" t="n"/>
      <c r="IO29" s="49" t="n"/>
      <c r="IP29" s="49" t="n"/>
      <c r="IQ29" s="49" t="n"/>
      <c r="IR29" s="49" t="n"/>
      <c r="IS29" s="49" t="n"/>
      <c r="IT29" s="49" t="n"/>
      <c r="IU29" s="49" t="n"/>
      <c r="IV29" s="49" t="n"/>
      <c r="IW29" s="49" t="n"/>
      <c r="IX29" s="49" t="n"/>
      <c r="IY29" s="49" t="n"/>
      <c r="IZ29" s="49" t="n"/>
      <c r="JA29" s="49" t="n"/>
      <c r="JB29" s="49" t="n"/>
      <c r="JC29" s="49" t="n"/>
      <c r="JD29" s="49" t="n"/>
      <c r="JE29" s="49" t="n"/>
      <c r="JF29" s="49" t="n"/>
      <c r="JG29" s="49" t="n"/>
      <c r="JH29" s="49" t="n"/>
      <c r="JI29" s="49" t="n"/>
      <c r="JJ29" s="49" t="n"/>
      <c r="JK29" s="49" t="n"/>
      <c r="JL29" s="49" t="n"/>
      <c r="JM29" s="49" t="n"/>
      <c r="JN29" s="49" t="n"/>
      <c r="JO29" s="49" t="n"/>
      <c r="JP29" s="49" t="n"/>
      <c r="JQ29" s="49" t="n"/>
      <c r="JR29" s="49" t="n"/>
      <c r="JS29" s="49" t="n"/>
      <c r="JT29" s="49" t="n"/>
      <c r="JU29" s="49" t="n"/>
      <c r="JV29" s="49" t="n"/>
      <c r="JW29" s="49" t="n"/>
      <c r="JX29" s="49" t="n"/>
      <c r="JY29" s="49" t="n"/>
      <c r="JZ29" s="49" t="n"/>
      <c r="KA29" s="49" t="n"/>
      <c r="KB29" s="49" t="n"/>
      <c r="KC29" s="49" t="n"/>
      <c r="KD29" s="49" t="n"/>
      <c r="KE29" s="49" t="n"/>
      <c r="KF29" s="49" t="n"/>
      <c r="KG29" s="49" t="n"/>
      <c r="KH29" s="49" t="n"/>
      <c r="KI29" s="49" t="n"/>
      <c r="KJ29" s="49" t="n"/>
      <c r="KK29" s="49" t="n"/>
      <c r="KL29" s="49" t="n"/>
      <c r="KM29" s="49" t="n"/>
      <c r="KN29" s="49" t="n"/>
      <c r="KO29" s="49" t="n"/>
      <c r="KP29" s="49" t="n"/>
      <c r="KQ29" s="49" t="n"/>
      <c r="KR29" s="49" t="n"/>
      <c r="KS29" s="49" t="n"/>
      <c r="KT29" s="49" t="n"/>
      <c r="KU29" s="49" t="n"/>
      <c r="KV29" s="49" t="n"/>
      <c r="KW29" s="49" t="n"/>
      <c r="KX29" s="49" t="n"/>
      <c r="KY29" s="49" t="n"/>
      <c r="KZ29" s="49" t="n"/>
      <c r="LA29" s="49" t="n"/>
      <c r="LB29" s="49" t="n"/>
      <c r="LC29" s="49" t="n"/>
      <c r="LD29" s="49" t="n"/>
      <c r="LE29" s="49" t="n"/>
      <c r="LF29" s="49" t="n"/>
      <c r="LG29" s="49" t="n"/>
      <c r="LH29" s="49" t="n"/>
      <c r="LI29" s="49" t="n"/>
      <c r="LJ29" s="49" t="n"/>
      <c r="LK29" s="49" t="n"/>
      <c r="LL29" s="49" t="n"/>
      <c r="LM29" s="49" t="n"/>
      <c r="LN29" s="49" t="n"/>
      <c r="LO29" s="49" t="n"/>
      <c r="LP29" s="49" t="n"/>
      <c r="LQ29" s="49" t="n"/>
      <c r="LR29" s="49" t="n"/>
      <c r="LS29" s="49" t="n"/>
      <c r="LT29" s="49" t="n"/>
      <c r="LU29" s="49" t="n"/>
      <c r="LV29" s="49" t="n"/>
      <c r="LW29" s="49" t="n"/>
      <c r="LX29" s="49" t="n"/>
      <c r="LY29" s="49" t="n"/>
      <c r="LZ29" s="49" t="n"/>
      <c r="MA29" s="49" t="n"/>
      <c r="MB29" s="49" t="n"/>
      <c r="MC29" s="49" t="n"/>
      <c r="MD29" s="49" t="n"/>
      <c r="ME29" s="49" t="n"/>
      <c r="MF29" s="49" t="n"/>
      <c r="MG29" s="49" t="n"/>
      <c r="MH29" s="49" t="n"/>
      <c r="MI29" s="49" t="n"/>
      <c r="MJ29" s="49" t="n"/>
      <c r="MK29" s="49" t="n"/>
      <c r="ML29" s="49" t="n"/>
      <c r="MM29" s="49" t="n"/>
      <c r="MN29" s="49" t="n"/>
      <c r="MO29" s="49" t="n"/>
      <c r="MP29" s="49" t="n"/>
      <c r="MQ29" s="49" t="n"/>
      <c r="MR29" s="49" t="n"/>
      <c r="MS29" s="49" t="n"/>
      <c r="MT29" s="49" t="n"/>
      <c r="MU29" s="49" t="n"/>
      <c r="MV29" s="49" t="n"/>
      <c r="MW29" s="49" t="n"/>
      <c r="MX29" s="49" t="n"/>
      <c r="MY29" s="49" t="n"/>
      <c r="MZ29" s="49" t="n"/>
      <c r="NA29" s="49" t="n"/>
      <c r="NB29" s="49" t="n"/>
      <c r="NC29" s="49" t="n"/>
      <c r="ND29" s="49" t="n"/>
      <c r="NE29" s="49" t="n"/>
      <c r="NF29" s="49" t="n"/>
      <c r="NG29" s="49" t="n"/>
      <c r="NH29" s="49" t="n"/>
      <c r="NI29" s="49" t="n"/>
      <c r="NJ29" s="49" t="n"/>
      <c r="NK29" s="49" t="n"/>
      <c r="NL29" s="49" t="n"/>
      <c r="NM29" s="49" t="n"/>
      <c r="NN29" s="49" t="n"/>
      <c r="NO29" s="49" t="n"/>
      <c r="NP29" s="49" t="n"/>
      <c r="NQ29" s="49" t="n"/>
      <c r="NR29" s="49" t="n"/>
      <c r="NS29" s="49" t="n"/>
      <c r="NT29" s="49" t="n"/>
      <c r="NU29" s="49" t="n"/>
      <c r="NV29" s="49" t="n"/>
      <c r="NW29" s="49" t="n"/>
      <c r="NX29" s="49" t="n"/>
      <c r="NY29" s="49" t="n"/>
      <c r="NZ29" s="49" t="n"/>
      <c r="OA29" s="49" t="n"/>
      <c r="OB29" s="49" t="n"/>
      <c r="OC29" s="49" t="n"/>
      <c r="OD29" s="49" t="n"/>
      <c r="OE29" s="49" t="n"/>
      <c r="OF29" s="49" t="n"/>
      <c r="OG29" s="49" t="n"/>
      <c r="OH29" s="49" t="n"/>
      <c r="OI29" s="49" t="n"/>
      <c r="OJ29" s="49" t="n"/>
      <c r="OK29" s="49" t="n"/>
      <c r="OL29" s="49" t="n"/>
      <c r="OM29" s="49" t="n"/>
      <c r="ON29" s="49" t="n"/>
      <c r="OO29" s="49" t="n"/>
      <c r="OP29" s="49" t="n"/>
      <c r="OQ29" s="49" t="n"/>
      <c r="OR29" s="49" t="n"/>
      <c r="OS29" s="49" t="n"/>
      <c r="OT29" s="49" t="n"/>
      <c r="OU29" s="49" t="n"/>
      <c r="OV29" s="49" t="n"/>
      <c r="OW29" s="49" t="n"/>
      <c r="OX29" s="49" t="n"/>
      <c r="OY29" s="49" t="n"/>
      <c r="OZ29" s="49" t="n"/>
      <c r="PA29" s="49" t="n"/>
      <c r="PB29" s="49" t="n"/>
      <c r="PC29" s="49" t="n"/>
      <c r="PD29" s="49" t="n"/>
      <c r="PE29" s="49" t="n"/>
      <c r="PF29" s="49" t="n"/>
      <c r="PG29" s="49" t="n"/>
      <c r="PH29" s="49" t="n"/>
      <c r="PI29" s="49" t="n"/>
      <c r="PJ29" s="49" t="n"/>
      <c r="PK29" s="49" t="n"/>
      <c r="PL29" s="49" t="n"/>
      <c r="PM29" s="49" t="n"/>
      <c r="PN29" s="49" t="n"/>
      <c r="PO29" s="49" t="n"/>
      <c r="PP29" s="49" t="n"/>
      <c r="PQ29" s="49" t="n"/>
      <c r="PR29" s="49" t="n"/>
      <c r="PS29" s="49" t="n"/>
      <c r="PT29" s="49" t="n"/>
      <c r="PU29" s="49" t="n"/>
      <c r="PV29" s="49" t="n"/>
      <c r="PW29" s="49" t="n"/>
      <c r="PX29" s="49" t="n"/>
      <c r="PY29" s="49" t="n"/>
      <c r="PZ29" s="49" t="n"/>
      <c r="QA29" s="49" t="n"/>
      <c r="QB29" s="49" t="n"/>
      <c r="QC29" s="49" t="n"/>
      <c r="QD29" s="49" t="n"/>
      <c r="QE29" s="49" t="n"/>
      <c r="QF29" s="49" t="n"/>
      <c r="QG29" s="49" t="n"/>
      <c r="QH29" s="49" t="n"/>
      <c r="QI29" s="49" t="n"/>
      <c r="QJ29" s="49" t="n"/>
      <c r="QK29" s="49" t="n"/>
      <c r="QL29" s="49" t="n"/>
      <c r="QM29" s="49" t="n"/>
      <c r="QN29" s="49" t="n"/>
      <c r="QO29" s="49" t="n"/>
      <c r="QP29" s="49" t="n"/>
      <c r="QQ29" s="49" t="n"/>
      <c r="QR29" s="49" t="n"/>
      <c r="QS29" s="49" t="n"/>
      <c r="QT29" s="49" t="n"/>
      <c r="QU29" s="49" t="n"/>
      <c r="QV29" s="49" t="n"/>
      <c r="QW29" s="49" t="n"/>
      <c r="QX29" s="49" t="n"/>
      <c r="QY29" s="49" t="n"/>
      <c r="QZ29" s="49" t="n"/>
      <c r="RA29" s="49" t="n"/>
      <c r="RB29" s="49" t="n"/>
      <c r="RC29" s="49" t="n"/>
      <c r="RD29" s="49" t="n"/>
      <c r="RE29" s="49" t="n"/>
      <c r="RF29" s="49" t="n"/>
      <c r="RG29" s="49" t="n"/>
      <c r="RH29" s="49" t="n"/>
      <c r="RI29" s="49" t="n"/>
      <c r="RJ29" s="49" t="n"/>
      <c r="RK29" s="49" t="n"/>
      <c r="RL29" s="49" t="n"/>
      <c r="RM29" s="49" t="n"/>
      <c r="RN29" s="49" t="n"/>
      <c r="RO29" s="49" t="n"/>
      <c r="RP29" s="49" t="n"/>
      <c r="RQ29" s="49" t="n"/>
      <c r="RR29" s="49" t="n"/>
      <c r="RS29" s="49" t="n"/>
      <c r="RT29" s="49" t="n"/>
      <c r="RU29" s="49" t="n"/>
      <c r="RV29" s="49" t="n"/>
      <c r="RW29" s="49" t="n"/>
    </row>
    <row r="30" ht="13.05" customHeight="1">
      <c r="E30" s="29" t="n"/>
      <c r="F30" s="29" t="n"/>
      <c r="G30" s="29" t="n"/>
      <c r="H30" s="29" t="n"/>
      <c r="I30" s="29" t="n"/>
      <c r="J30" s="48" t="n"/>
      <c r="K30" s="2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  <c r="AZ30" s="49" t="n"/>
      <c r="BA30" s="49" t="n"/>
      <c r="BB30" s="49" t="n"/>
      <c r="BC30" s="49" t="n"/>
      <c r="BD30" s="49" t="n"/>
      <c r="BE30" s="49" t="n"/>
      <c r="BF30" s="49" t="n"/>
      <c r="BG30" s="49" t="n"/>
      <c r="BH30" s="49" t="n"/>
      <c r="BI30" s="49" t="n"/>
      <c r="BJ30" s="49" t="n"/>
      <c r="BK30" s="49" t="n"/>
      <c r="BL30" s="49" t="n"/>
      <c r="BM30" s="49" t="n"/>
      <c r="BN30" s="49" t="n"/>
      <c r="BO30" s="49" t="n"/>
      <c r="BP30" s="49" t="n"/>
      <c r="BQ30" s="49" t="n"/>
      <c r="BR30" s="49" t="n"/>
      <c r="BS30" s="49" t="n"/>
      <c r="BT30" s="49" t="n"/>
      <c r="BU30" s="49" t="n"/>
      <c r="BV30" s="49" t="n"/>
      <c r="BW30" s="49" t="n"/>
      <c r="BX30" s="49" t="n"/>
      <c r="BY30" s="49" t="n"/>
      <c r="BZ30" s="49" t="n"/>
      <c r="CA30" s="49" t="n"/>
      <c r="CB30" s="49" t="n"/>
      <c r="CC30" s="49" t="n"/>
      <c r="CD30" s="49" t="n"/>
      <c r="CE30" s="49" t="n"/>
      <c r="CF30" s="49" t="n"/>
      <c r="CG30" s="49" t="n"/>
      <c r="CH30" s="49" t="n"/>
      <c r="CI30" s="49" t="n"/>
      <c r="CJ30" s="49" t="n"/>
      <c r="CK30" s="49" t="n"/>
      <c r="CL30" s="49" t="n"/>
      <c r="CM30" s="49" t="n"/>
      <c r="CN30" s="49" t="n"/>
      <c r="CO30" s="49" t="n"/>
      <c r="CP30" s="49" t="n"/>
      <c r="CQ30" s="49" t="n"/>
      <c r="CR30" s="49" t="n"/>
      <c r="CS30" s="49" t="n"/>
      <c r="CT30" s="49" t="n"/>
      <c r="CU30" s="49" t="n"/>
      <c r="CV30" s="49" t="n"/>
      <c r="CW30" s="49" t="n"/>
      <c r="CX30" s="49" t="n"/>
      <c r="CY30" s="49" t="n"/>
      <c r="CZ30" s="49" t="n"/>
      <c r="DA30" s="49" t="n"/>
      <c r="DB30" s="49" t="n"/>
      <c r="DC30" s="49" t="n"/>
      <c r="DD30" s="49" t="n"/>
      <c r="DE30" s="49" t="n"/>
      <c r="DF30" s="49" t="n"/>
      <c r="DG30" s="49" t="n"/>
      <c r="DH30" s="49" t="n"/>
      <c r="DI30" s="49" t="n"/>
      <c r="DJ30" s="49" t="n"/>
      <c r="DK30" s="49" t="n"/>
      <c r="DL30" s="49" t="n"/>
      <c r="DM30" s="49" t="n"/>
      <c r="DN30" s="49" t="n"/>
      <c r="DO30" s="49" t="n"/>
      <c r="DP30" s="49" t="n"/>
      <c r="DQ30" s="49" t="n"/>
      <c r="DR30" s="49" t="n"/>
      <c r="DS30" s="49" t="n"/>
      <c r="DT30" s="49" t="n"/>
      <c r="DU30" s="49" t="n"/>
      <c r="DV30" s="49" t="n"/>
      <c r="DW30" s="49" t="n"/>
      <c r="DX30" s="49" t="n"/>
      <c r="DY30" s="49" t="n"/>
      <c r="DZ30" s="49" t="n"/>
      <c r="EA30" s="49" t="n"/>
      <c r="EB30" s="49" t="n"/>
      <c r="EC30" s="49" t="n"/>
      <c r="ED30" s="49" t="n"/>
      <c r="EE30" s="49" t="n"/>
      <c r="EF30" s="49" t="n"/>
      <c r="EG30" s="49" t="n"/>
      <c r="EH30" s="49" t="n"/>
      <c r="EI30" s="49" t="n"/>
      <c r="EJ30" s="49" t="n"/>
      <c r="EK30" s="49" t="n"/>
      <c r="EL30" s="49" t="n"/>
      <c r="EM30" s="49" t="n"/>
      <c r="EN30" s="49" t="n"/>
      <c r="EO30" s="49" t="n"/>
      <c r="EP30" s="49" t="n"/>
      <c r="EQ30" s="49" t="n"/>
      <c r="ER30" s="49" t="n"/>
      <c r="ES30" s="49" t="n"/>
      <c r="ET30" s="49" t="n"/>
      <c r="EU30" s="49" t="n"/>
      <c r="EV30" s="49" t="n"/>
      <c r="EW30" s="49" t="n"/>
      <c r="EX30" s="49" t="n"/>
      <c r="EY30" s="49" t="n"/>
      <c r="EZ30" s="49" t="n"/>
      <c r="FA30" s="49" t="n"/>
      <c r="FB30" s="49" t="n"/>
      <c r="FC30" s="49" t="n"/>
      <c r="FD30" s="49" t="n"/>
      <c r="FE30" s="49" t="n"/>
      <c r="FF30" s="49" t="n"/>
      <c r="FG30" s="49" t="n"/>
      <c r="FH30" s="49" t="n"/>
      <c r="FI30" s="49" t="n"/>
      <c r="FJ30" s="49" t="n"/>
      <c r="FK30" s="49" t="n"/>
      <c r="FL30" s="49" t="n"/>
      <c r="FM30" s="49" t="n"/>
      <c r="FN30" s="49" t="n"/>
      <c r="FO30" s="49" t="n"/>
      <c r="FP30" s="49" t="n"/>
      <c r="FQ30" s="49" t="n"/>
      <c r="FR30" s="49" t="n"/>
      <c r="FS30" s="49" t="n"/>
      <c r="FT30" s="49" t="n"/>
      <c r="FU30" s="49" t="n"/>
      <c r="FV30" s="49" t="n"/>
      <c r="FW30" s="49" t="n"/>
      <c r="FX30" s="49" t="n"/>
      <c r="FY30" s="49" t="n"/>
      <c r="FZ30" s="49" t="n"/>
      <c r="GA30" s="49" t="n"/>
      <c r="GB30" s="49" t="n"/>
      <c r="GC30" s="49" t="n"/>
      <c r="GD30" s="49" t="n"/>
      <c r="GE30" s="49" t="n"/>
      <c r="GF30" s="49" t="n"/>
      <c r="GG30" s="49" t="n"/>
      <c r="GH30" s="49" t="n"/>
      <c r="GI30" s="49" t="n"/>
      <c r="GJ30" s="49" t="n"/>
      <c r="GK30" s="49" t="n"/>
      <c r="GL30" s="49" t="n"/>
      <c r="GM30" s="49" t="n"/>
      <c r="GN30" s="49" t="n"/>
      <c r="GO30" s="49" t="n"/>
      <c r="GP30" s="49" t="n"/>
      <c r="GQ30" s="49" t="n"/>
      <c r="GR30" s="49" t="n"/>
      <c r="GS30" s="49" t="n"/>
      <c r="GT30" s="49" t="n"/>
      <c r="GU30" s="49" t="n"/>
      <c r="GV30" s="49" t="n"/>
      <c r="GW30" s="49" t="n"/>
      <c r="GX30" s="49" t="n"/>
      <c r="GY30" s="49" t="n"/>
      <c r="GZ30" s="49" t="n"/>
      <c r="HA30" s="49" t="n"/>
      <c r="HB30" s="49" t="n"/>
      <c r="HC30" s="49" t="n"/>
      <c r="HD30" s="49" t="n"/>
      <c r="HE30" s="49" t="n"/>
      <c r="HF30" s="49" t="n"/>
      <c r="HG30" s="49" t="n"/>
      <c r="HH30" s="49" t="n"/>
      <c r="HI30" s="49" t="n"/>
      <c r="HJ30" s="49" t="n"/>
      <c r="HK30" s="49" t="n"/>
      <c r="HL30" s="49" t="n"/>
      <c r="HM30" s="49" t="n"/>
      <c r="HN30" s="49" t="n"/>
      <c r="HO30" s="49" t="n"/>
      <c r="HP30" s="49" t="n"/>
      <c r="HQ30" s="49" t="n"/>
      <c r="HR30" s="49" t="n"/>
      <c r="HS30" s="49" t="n"/>
      <c r="HT30" s="49" t="n"/>
      <c r="HU30" s="49" t="n"/>
      <c r="HV30" s="49" t="n"/>
      <c r="HW30" s="49" t="n"/>
      <c r="HX30" s="49" t="n"/>
      <c r="HY30" s="49" t="n"/>
      <c r="HZ30" s="49" t="n"/>
      <c r="IA30" s="49" t="n"/>
      <c r="IB30" s="49" t="n"/>
      <c r="IC30" s="49" t="n"/>
      <c r="ID30" s="49" t="n"/>
      <c r="IE30" s="49" t="n"/>
      <c r="IF30" s="49" t="n"/>
      <c r="IG30" s="49" t="n"/>
      <c r="IH30" s="49" t="n"/>
      <c r="II30" s="49" t="n"/>
      <c r="IJ30" s="49" t="n"/>
      <c r="IK30" s="49" t="n"/>
      <c r="IL30" s="49" t="n"/>
      <c r="IM30" s="49" t="n"/>
      <c r="IN30" s="49" t="n"/>
      <c r="IO30" s="49" t="n"/>
      <c r="IP30" s="49" t="n"/>
      <c r="IQ30" s="49" t="n"/>
      <c r="IR30" s="49" t="n"/>
      <c r="IS30" s="49" t="n"/>
      <c r="IT30" s="49" t="n"/>
      <c r="IU30" s="49" t="n"/>
      <c r="IV30" s="49" t="n"/>
      <c r="IW30" s="49" t="n"/>
      <c r="IX30" s="49" t="n"/>
      <c r="IY30" s="49" t="n"/>
      <c r="IZ30" s="49" t="n"/>
      <c r="JA30" s="49" t="n"/>
      <c r="JB30" s="49" t="n"/>
      <c r="JC30" s="49" t="n"/>
      <c r="JD30" s="49" t="n"/>
      <c r="JE30" s="49" t="n"/>
      <c r="JF30" s="49" t="n"/>
      <c r="JG30" s="49" t="n"/>
      <c r="JH30" s="49" t="n"/>
      <c r="JI30" s="49" t="n"/>
      <c r="JJ30" s="49" t="n"/>
      <c r="JK30" s="49" t="n"/>
      <c r="JL30" s="49" t="n"/>
      <c r="JM30" s="49" t="n"/>
      <c r="JN30" s="49" t="n"/>
      <c r="JO30" s="49" t="n"/>
      <c r="JP30" s="49" t="n"/>
      <c r="JQ30" s="49" t="n"/>
      <c r="JR30" s="49" t="n"/>
      <c r="JS30" s="49" t="n"/>
      <c r="JT30" s="49" t="n"/>
      <c r="JU30" s="49" t="n"/>
      <c r="JV30" s="49" t="n"/>
      <c r="JW30" s="49" t="n"/>
      <c r="JX30" s="49" t="n"/>
      <c r="JY30" s="49" t="n"/>
      <c r="JZ30" s="49" t="n"/>
      <c r="KA30" s="49" t="n"/>
      <c r="KB30" s="49" t="n"/>
      <c r="KC30" s="49" t="n"/>
      <c r="KD30" s="49" t="n"/>
      <c r="KE30" s="49" t="n"/>
      <c r="KF30" s="49" t="n"/>
      <c r="KG30" s="49" t="n"/>
      <c r="KH30" s="49" t="n"/>
      <c r="KI30" s="49" t="n"/>
      <c r="KJ30" s="49" t="n"/>
      <c r="KK30" s="49" t="n"/>
      <c r="KL30" s="49" t="n"/>
      <c r="KM30" s="49" t="n"/>
      <c r="KN30" s="49" t="n"/>
      <c r="KO30" s="49" t="n"/>
      <c r="KP30" s="49" t="n"/>
      <c r="KQ30" s="49" t="n"/>
      <c r="KR30" s="49" t="n"/>
      <c r="KS30" s="49" t="n"/>
      <c r="KT30" s="49" t="n"/>
      <c r="KU30" s="49" t="n"/>
      <c r="KV30" s="49" t="n"/>
      <c r="KW30" s="49" t="n"/>
      <c r="KX30" s="49" t="n"/>
      <c r="KY30" s="49" t="n"/>
      <c r="KZ30" s="49" t="n"/>
      <c r="LA30" s="49" t="n"/>
      <c r="LB30" s="49" t="n"/>
      <c r="LC30" s="49" t="n"/>
      <c r="LD30" s="49" t="n"/>
      <c r="LE30" s="49" t="n"/>
      <c r="LF30" s="49" t="n"/>
      <c r="LG30" s="49" t="n"/>
      <c r="LH30" s="49" t="n"/>
      <c r="LI30" s="49" t="n"/>
      <c r="LJ30" s="49" t="n"/>
      <c r="LK30" s="49" t="n"/>
      <c r="LL30" s="49" t="n"/>
      <c r="LM30" s="49" t="n"/>
      <c r="LN30" s="49" t="n"/>
      <c r="LO30" s="49" t="n"/>
      <c r="LP30" s="49" t="n"/>
      <c r="LQ30" s="49" t="n"/>
      <c r="LR30" s="49" t="n"/>
      <c r="LS30" s="49" t="n"/>
      <c r="LT30" s="49" t="n"/>
      <c r="LU30" s="49" t="n"/>
      <c r="LV30" s="49" t="n"/>
      <c r="LW30" s="49" t="n"/>
      <c r="LX30" s="49" t="n"/>
      <c r="LY30" s="49" t="n"/>
      <c r="LZ30" s="49" t="n"/>
      <c r="MA30" s="49" t="n"/>
      <c r="MB30" s="49" t="n"/>
      <c r="MC30" s="49" t="n"/>
      <c r="MD30" s="49" t="n"/>
      <c r="ME30" s="49" t="n"/>
      <c r="MF30" s="49" t="n"/>
      <c r="MG30" s="49" t="n"/>
      <c r="MH30" s="49" t="n"/>
      <c r="MI30" s="49" t="n"/>
      <c r="MJ30" s="49" t="n"/>
      <c r="MK30" s="49" t="n"/>
      <c r="ML30" s="49" t="n"/>
      <c r="MM30" s="49" t="n"/>
      <c r="MN30" s="49" t="n"/>
      <c r="MO30" s="49" t="n"/>
      <c r="MP30" s="49" t="n"/>
      <c r="MQ30" s="49" t="n"/>
      <c r="MR30" s="49" t="n"/>
      <c r="MS30" s="49" t="n"/>
      <c r="MT30" s="49" t="n"/>
      <c r="MU30" s="49" t="n"/>
      <c r="MV30" s="49" t="n"/>
      <c r="MW30" s="49" t="n"/>
      <c r="MX30" s="49" t="n"/>
      <c r="MY30" s="49" t="n"/>
      <c r="MZ30" s="49" t="n"/>
      <c r="NA30" s="49" t="n"/>
      <c r="NB30" s="49" t="n"/>
      <c r="NC30" s="49" t="n"/>
      <c r="ND30" s="49" t="n"/>
      <c r="NE30" s="49" t="n"/>
      <c r="NF30" s="49" t="n"/>
      <c r="NG30" s="49" t="n"/>
      <c r="NH30" s="49" t="n"/>
      <c r="NI30" s="49" t="n"/>
      <c r="NJ30" s="49" t="n"/>
      <c r="NK30" s="49" t="n"/>
      <c r="NL30" s="49" t="n"/>
      <c r="NM30" s="49" t="n"/>
      <c r="NN30" s="49" t="n"/>
      <c r="NO30" s="49" t="n"/>
      <c r="NP30" s="49" t="n"/>
      <c r="NQ30" s="49" t="n"/>
      <c r="NR30" s="49" t="n"/>
      <c r="NS30" s="49" t="n"/>
      <c r="NT30" s="49" t="n"/>
      <c r="NU30" s="49" t="n"/>
      <c r="NV30" s="49" t="n"/>
      <c r="NW30" s="49" t="n"/>
      <c r="NX30" s="49" t="n"/>
      <c r="NY30" s="49" t="n"/>
      <c r="NZ30" s="49" t="n"/>
      <c r="OA30" s="49" t="n"/>
      <c r="OB30" s="49" t="n"/>
      <c r="OC30" s="49" t="n"/>
      <c r="OD30" s="49" t="n"/>
      <c r="OE30" s="49" t="n"/>
      <c r="OF30" s="49" t="n"/>
      <c r="OG30" s="49" t="n"/>
      <c r="OH30" s="49" t="n"/>
      <c r="OI30" s="49" t="n"/>
      <c r="OJ30" s="49" t="n"/>
      <c r="OK30" s="49" t="n"/>
      <c r="OL30" s="49" t="n"/>
      <c r="OM30" s="49" t="n"/>
      <c r="ON30" s="49" t="n"/>
      <c r="OO30" s="49" t="n"/>
      <c r="OP30" s="49" t="n"/>
      <c r="OQ30" s="49" t="n"/>
      <c r="OR30" s="49" t="n"/>
      <c r="OS30" s="49" t="n"/>
      <c r="OT30" s="49" t="n"/>
      <c r="OU30" s="49" t="n"/>
      <c r="OV30" s="49" t="n"/>
      <c r="OW30" s="49" t="n"/>
      <c r="OX30" s="49" t="n"/>
      <c r="OY30" s="49" t="n"/>
      <c r="OZ30" s="49" t="n"/>
      <c r="PA30" s="49" t="n"/>
      <c r="PB30" s="49" t="n"/>
      <c r="PC30" s="49" t="n"/>
      <c r="PD30" s="49" t="n"/>
      <c r="PE30" s="49" t="n"/>
      <c r="PF30" s="49" t="n"/>
      <c r="PG30" s="49" t="n"/>
      <c r="PH30" s="49" t="n"/>
      <c r="PI30" s="49" t="n"/>
      <c r="PJ30" s="49" t="n"/>
      <c r="PK30" s="49" t="n"/>
      <c r="PL30" s="49" t="n"/>
      <c r="PM30" s="49" t="n"/>
      <c r="PN30" s="49" t="n"/>
      <c r="PO30" s="49" t="n"/>
      <c r="PP30" s="49" t="n"/>
      <c r="PQ30" s="49" t="n"/>
      <c r="PR30" s="49" t="n"/>
      <c r="PS30" s="49" t="n"/>
      <c r="PT30" s="49" t="n"/>
      <c r="PU30" s="49" t="n"/>
      <c r="PV30" s="49" t="n"/>
      <c r="PW30" s="49" t="n"/>
      <c r="PX30" s="49" t="n"/>
      <c r="PY30" s="49" t="n"/>
      <c r="PZ30" s="49" t="n"/>
      <c r="QA30" s="49" t="n"/>
      <c r="QB30" s="49" t="n"/>
      <c r="QC30" s="49" t="n"/>
      <c r="QD30" s="49" t="n"/>
      <c r="QE30" s="49" t="n"/>
      <c r="QF30" s="49" t="n"/>
      <c r="QG30" s="49" t="n"/>
      <c r="QH30" s="49" t="n"/>
      <c r="QI30" s="49" t="n"/>
      <c r="QJ30" s="49" t="n"/>
      <c r="QK30" s="49" t="n"/>
      <c r="QL30" s="49" t="n"/>
      <c r="QM30" s="49" t="n"/>
      <c r="QN30" s="49" t="n"/>
      <c r="QO30" s="49" t="n"/>
      <c r="QP30" s="49" t="n"/>
      <c r="QQ30" s="49" t="n"/>
      <c r="QR30" s="49" t="n"/>
      <c r="QS30" s="49" t="n"/>
      <c r="QT30" s="49" t="n"/>
      <c r="QU30" s="49" t="n"/>
      <c r="QV30" s="49" t="n"/>
      <c r="QW30" s="49" t="n"/>
      <c r="QX30" s="49" t="n"/>
      <c r="QY30" s="49" t="n"/>
      <c r="QZ30" s="49" t="n"/>
      <c r="RA30" s="49" t="n"/>
      <c r="RB30" s="49" t="n"/>
      <c r="RC30" s="49" t="n"/>
      <c r="RD30" s="49" t="n"/>
      <c r="RE30" s="49" t="n"/>
      <c r="RF30" s="49" t="n"/>
      <c r="RG30" s="49" t="n"/>
      <c r="RH30" s="49" t="n"/>
      <c r="RI30" s="49" t="n"/>
      <c r="RJ30" s="49" t="n"/>
      <c r="RK30" s="49" t="n"/>
      <c r="RL30" s="49" t="n"/>
      <c r="RM30" s="49" t="n"/>
      <c r="RN30" s="49" t="n"/>
      <c r="RO30" s="49" t="n"/>
      <c r="RP30" s="49" t="n"/>
      <c r="RQ30" s="49" t="n"/>
      <c r="RR30" s="49" t="n"/>
      <c r="RS30" s="49" t="n"/>
      <c r="RT30" s="49" t="n"/>
      <c r="RU30" s="49" t="n"/>
      <c r="RV30" s="49" t="n"/>
      <c r="RW30" s="49" t="n"/>
    </row>
    <row r="31" ht="5.25" customHeight="1"/>
    <row r="32" ht="13.05" customHeight="1">
      <c r="E32" s="39" t="inlineStr">
        <is>
          <t>Shareholder Loan</t>
        </is>
      </c>
      <c r="F32" s="39" t="n"/>
      <c r="G32" s="39" t="n"/>
    </row>
    <row r="33" ht="13.05" customHeight="1">
      <c r="E33" s="21" t="inlineStr">
        <is>
          <t>Opening Balance</t>
        </is>
      </c>
      <c r="F33" s="29" t="n"/>
      <c r="G33" s="29" t="inlineStr">
        <is>
          <t>kEUR</t>
        </is>
      </c>
      <c r="H33" s="29" t="n"/>
      <c r="I33" s="29" t="n"/>
      <c r="J33" s="32" t="n"/>
      <c r="K33" s="29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3" t="n"/>
      <c r="AY33" s="33" t="n"/>
      <c r="AZ33" s="33" t="n"/>
      <c r="BA33" s="33" t="n"/>
      <c r="BB33" s="33" t="n"/>
      <c r="BC33" s="33" t="n"/>
      <c r="BD33" s="33" t="n"/>
      <c r="BE33" s="33" t="n"/>
      <c r="BF33" s="33" t="n"/>
      <c r="BG33" s="33" t="n"/>
      <c r="BH33" s="33" t="n"/>
      <c r="BI33" s="33" t="n"/>
      <c r="BJ33" s="33" t="n"/>
      <c r="BK33" s="33" t="n"/>
      <c r="BL33" s="33" t="n"/>
      <c r="BM33" s="33" t="n"/>
      <c r="BN33" s="33" t="n"/>
      <c r="BO33" s="33" t="n"/>
      <c r="BP33" s="33" t="n"/>
      <c r="BQ33" s="33" t="n"/>
      <c r="BR33" s="33" t="n"/>
      <c r="BS33" s="33" t="n"/>
      <c r="BT33" s="33" t="n"/>
      <c r="BU33" s="33" t="n"/>
      <c r="BV33" s="33" t="n"/>
      <c r="BW33" s="33" t="n"/>
      <c r="BX33" s="33" t="n"/>
      <c r="BY33" s="33" t="n"/>
      <c r="BZ33" s="33" t="n"/>
      <c r="CA33" s="33" t="n"/>
      <c r="CB33" s="33" t="n"/>
      <c r="CC33" s="33" t="n"/>
      <c r="CD33" s="33" t="n"/>
      <c r="CE33" s="33" t="n"/>
      <c r="CF33" s="33" t="n"/>
      <c r="CG33" s="33" t="n"/>
      <c r="CH33" s="33" t="n"/>
      <c r="CI33" s="33" t="n"/>
      <c r="CJ33" s="33" t="n"/>
      <c r="CK33" s="33" t="n"/>
      <c r="CL33" s="33" t="n"/>
      <c r="CM33" s="33" t="n"/>
      <c r="CN33" s="33" t="n"/>
      <c r="CO33" s="33" t="n"/>
      <c r="CP33" s="33" t="n"/>
      <c r="CQ33" s="33" t="n"/>
      <c r="CR33" s="33" t="n"/>
      <c r="CS33" s="33" t="n"/>
      <c r="CT33" s="33" t="n"/>
      <c r="CU33" s="33" t="n"/>
      <c r="CV33" s="33" t="n"/>
      <c r="CW33" s="33" t="n"/>
      <c r="CX33" s="33" t="n"/>
      <c r="CY33" s="33" t="n"/>
      <c r="CZ33" s="33" t="n"/>
      <c r="DA33" s="33" t="n"/>
      <c r="DB33" s="33" t="n"/>
      <c r="DC33" s="33" t="n"/>
      <c r="DD33" s="33" t="n"/>
      <c r="DE33" s="33" t="n"/>
      <c r="DF33" s="33" t="n"/>
      <c r="DG33" s="33" t="n"/>
      <c r="DH33" s="33" t="n"/>
      <c r="DI33" s="33" t="n"/>
      <c r="DJ33" s="33" t="n"/>
      <c r="DK33" s="33" t="n"/>
      <c r="DL33" s="33" t="n"/>
      <c r="DM33" s="33" t="n"/>
      <c r="DN33" s="33" t="n"/>
      <c r="DO33" s="33" t="n"/>
      <c r="DP33" s="33" t="n"/>
      <c r="DQ33" s="33" t="n"/>
      <c r="DR33" s="33" t="n"/>
      <c r="DS33" s="33" t="n"/>
      <c r="DT33" s="33" t="n"/>
      <c r="DU33" s="33" t="n"/>
      <c r="DV33" s="33" t="n"/>
      <c r="DW33" s="33" t="n"/>
      <c r="DX33" s="33" t="n"/>
      <c r="DY33" s="33" t="n"/>
      <c r="DZ33" s="33" t="n"/>
      <c r="EA33" s="33" t="n"/>
      <c r="EB33" s="33" t="n"/>
      <c r="EC33" s="33" t="n"/>
      <c r="ED33" s="33" t="n"/>
      <c r="EE33" s="33" t="n"/>
      <c r="EF33" s="33" t="n"/>
      <c r="EG33" s="33" t="n"/>
      <c r="EH33" s="33" t="n"/>
      <c r="EI33" s="33" t="n"/>
      <c r="EJ33" s="33" t="n"/>
      <c r="EK33" s="33" t="n"/>
      <c r="EL33" s="33" t="n"/>
      <c r="EM33" s="33" t="n"/>
      <c r="EN33" s="33" t="n"/>
      <c r="EO33" s="33" t="n"/>
      <c r="EP33" s="33" t="n"/>
      <c r="EQ33" s="33" t="n"/>
      <c r="ER33" s="33" t="n"/>
      <c r="ES33" s="33" t="n"/>
      <c r="ET33" s="33" t="n"/>
      <c r="EU33" s="33" t="n"/>
      <c r="EV33" s="33" t="n"/>
      <c r="EW33" s="33" t="n"/>
      <c r="EX33" s="33" t="n"/>
      <c r="EY33" s="33" t="n"/>
      <c r="EZ33" s="33" t="n"/>
      <c r="FA33" s="33" t="n"/>
      <c r="FB33" s="33" t="n"/>
      <c r="FC33" s="33" t="n"/>
      <c r="FD33" s="33" t="n"/>
      <c r="FE33" s="33" t="n"/>
      <c r="FF33" s="33" t="n"/>
      <c r="FG33" s="33" t="n"/>
      <c r="FH33" s="33" t="n"/>
      <c r="FI33" s="33" t="n"/>
      <c r="FJ33" s="33" t="n"/>
      <c r="FK33" s="33" t="n"/>
      <c r="FL33" s="33" t="n"/>
      <c r="FM33" s="33" t="n"/>
      <c r="FN33" s="33" t="n"/>
      <c r="FO33" s="33" t="n"/>
      <c r="FP33" s="33" t="n"/>
      <c r="FQ33" s="33" t="n"/>
      <c r="FR33" s="33" t="n"/>
      <c r="FS33" s="33" t="n"/>
      <c r="FT33" s="33" t="n"/>
      <c r="FU33" s="33" t="n"/>
      <c r="FV33" s="33" t="n"/>
      <c r="FW33" s="33" t="n"/>
      <c r="FX33" s="33" t="n"/>
      <c r="FY33" s="33" t="n"/>
      <c r="FZ33" s="33" t="n"/>
      <c r="GA33" s="33" t="n"/>
      <c r="GB33" s="33" t="n"/>
      <c r="GC33" s="33" t="n"/>
      <c r="GD33" s="33" t="n"/>
      <c r="GE33" s="33" t="n"/>
      <c r="GF33" s="33" t="n"/>
      <c r="GG33" s="33" t="n"/>
      <c r="GH33" s="33" t="n"/>
      <c r="GI33" s="33" t="n"/>
      <c r="GJ33" s="33" t="n"/>
      <c r="GK33" s="33" t="n"/>
      <c r="GL33" s="33" t="n"/>
      <c r="GM33" s="33" t="n"/>
      <c r="GN33" s="33" t="n"/>
      <c r="GO33" s="33" t="n"/>
      <c r="GP33" s="33" t="n"/>
      <c r="GQ33" s="33" t="n"/>
      <c r="GR33" s="33" t="n"/>
      <c r="GS33" s="33" t="n"/>
      <c r="GT33" s="33" t="n"/>
      <c r="GU33" s="33" t="n"/>
      <c r="GV33" s="33" t="n"/>
      <c r="GW33" s="33" t="n"/>
      <c r="GX33" s="33" t="n"/>
      <c r="GY33" s="33" t="n"/>
      <c r="GZ33" s="33" t="n"/>
      <c r="HA33" s="33" t="n"/>
      <c r="HB33" s="33" t="n"/>
      <c r="HC33" s="33" t="n"/>
      <c r="HD33" s="33" t="n"/>
      <c r="HE33" s="33" t="n"/>
      <c r="HF33" s="33" t="n"/>
      <c r="HG33" s="33" t="n"/>
      <c r="HH33" s="33" t="n"/>
      <c r="HI33" s="33" t="n"/>
      <c r="HJ33" s="33" t="n"/>
      <c r="HK33" s="33" t="n"/>
      <c r="HL33" s="33" t="n"/>
      <c r="HM33" s="33" t="n"/>
      <c r="HN33" s="33" t="n"/>
      <c r="HO33" s="33" t="n"/>
      <c r="HP33" s="33" t="n"/>
      <c r="HQ33" s="33" t="n"/>
      <c r="HR33" s="33" t="n"/>
      <c r="HS33" s="33" t="n"/>
      <c r="HT33" s="33" t="n"/>
      <c r="HU33" s="33" t="n"/>
      <c r="HV33" s="33" t="n"/>
      <c r="HW33" s="33" t="n"/>
      <c r="HX33" s="33" t="n"/>
      <c r="HY33" s="33" t="n"/>
      <c r="HZ33" s="33" t="n"/>
      <c r="IA33" s="33" t="n"/>
      <c r="IB33" s="33" t="n"/>
      <c r="IC33" s="33" t="n"/>
      <c r="ID33" s="33" t="n"/>
      <c r="IE33" s="33" t="n"/>
      <c r="IF33" s="33" t="n"/>
      <c r="IG33" s="33" t="n"/>
      <c r="IH33" s="33" t="n"/>
      <c r="II33" s="33" t="n"/>
      <c r="IJ33" s="33" t="n"/>
      <c r="IK33" s="33" t="n"/>
      <c r="IL33" s="33" t="n"/>
      <c r="IM33" s="33" t="n"/>
      <c r="IN33" s="33" t="n"/>
      <c r="IO33" s="33" t="n"/>
      <c r="IP33" s="33" t="n"/>
      <c r="IQ33" s="33" t="n"/>
      <c r="IR33" s="33" t="n"/>
      <c r="IS33" s="33" t="n"/>
      <c r="IT33" s="33" t="n"/>
      <c r="IU33" s="33" t="n"/>
      <c r="IV33" s="33" t="n"/>
      <c r="IW33" s="33" t="n"/>
      <c r="IX33" s="33" t="n"/>
      <c r="IY33" s="33" t="n"/>
      <c r="IZ33" s="33" t="n"/>
      <c r="JA33" s="33" t="n"/>
      <c r="JB33" s="33" t="n"/>
      <c r="JC33" s="33" t="n"/>
      <c r="JD33" s="33" t="n"/>
      <c r="JE33" s="33" t="n"/>
      <c r="JF33" s="33" t="n"/>
      <c r="JG33" s="33" t="n"/>
      <c r="JH33" s="33" t="n"/>
      <c r="JI33" s="33" t="n"/>
      <c r="JJ33" s="33" t="n"/>
      <c r="JK33" s="33" t="n"/>
      <c r="JL33" s="33" t="n"/>
      <c r="JM33" s="33" t="n"/>
      <c r="JN33" s="33" t="n"/>
      <c r="JO33" s="33" t="n"/>
      <c r="JP33" s="33" t="n"/>
      <c r="JQ33" s="33" t="n"/>
      <c r="JR33" s="33" t="n"/>
      <c r="JS33" s="33" t="n"/>
      <c r="JT33" s="33" t="n"/>
      <c r="JU33" s="33" t="n"/>
      <c r="JV33" s="33" t="n"/>
      <c r="JW33" s="33" t="n"/>
      <c r="JX33" s="33" t="n"/>
      <c r="JY33" s="33" t="n"/>
      <c r="JZ33" s="33" t="n"/>
      <c r="KA33" s="33" t="n"/>
      <c r="KB33" s="33" t="n"/>
      <c r="KC33" s="33" t="n"/>
      <c r="KD33" s="33" t="n"/>
      <c r="KE33" s="33" t="n"/>
      <c r="KF33" s="33" t="n"/>
      <c r="KG33" s="33" t="n"/>
      <c r="KH33" s="33" t="n"/>
      <c r="KI33" s="33" t="n"/>
      <c r="KJ33" s="33" t="n"/>
      <c r="KK33" s="33" t="n"/>
      <c r="KL33" s="33" t="n"/>
      <c r="KM33" s="33" t="n"/>
      <c r="KN33" s="33" t="n"/>
      <c r="KO33" s="33" t="n"/>
      <c r="KP33" s="33" t="n"/>
      <c r="KQ33" s="33" t="n"/>
      <c r="KR33" s="33" t="n"/>
      <c r="KS33" s="33" t="n"/>
      <c r="KT33" s="33" t="n"/>
      <c r="KU33" s="33" t="n"/>
      <c r="KV33" s="33" t="n"/>
      <c r="KW33" s="33" t="n"/>
      <c r="KX33" s="33" t="n"/>
      <c r="KY33" s="33" t="n"/>
      <c r="KZ33" s="33" t="n"/>
      <c r="LA33" s="33" t="n"/>
      <c r="LB33" s="33" t="n"/>
      <c r="LC33" s="33" t="n"/>
      <c r="LD33" s="33" t="n"/>
      <c r="LE33" s="33" t="n"/>
      <c r="LF33" s="33" t="n"/>
      <c r="LG33" s="33" t="n"/>
      <c r="LH33" s="33" t="n"/>
      <c r="LI33" s="33" t="n"/>
      <c r="LJ33" s="33" t="n"/>
      <c r="LK33" s="33" t="n"/>
      <c r="LL33" s="33" t="n"/>
      <c r="LM33" s="33" t="n"/>
      <c r="LN33" s="33" t="n"/>
      <c r="LO33" s="33" t="n"/>
      <c r="LP33" s="33" t="n"/>
      <c r="LQ33" s="33" t="n"/>
      <c r="LR33" s="33" t="n"/>
      <c r="LS33" s="33" t="n"/>
      <c r="LT33" s="33" t="n"/>
      <c r="LU33" s="33" t="n"/>
      <c r="LV33" s="33" t="n"/>
      <c r="LW33" s="33" t="n"/>
      <c r="LX33" s="33" t="n"/>
      <c r="LY33" s="33" t="n"/>
      <c r="LZ33" s="33" t="n"/>
      <c r="MA33" s="33" t="n"/>
      <c r="MB33" s="33" t="n"/>
      <c r="MC33" s="33" t="n"/>
      <c r="MD33" s="33" t="n"/>
      <c r="ME33" s="33" t="n"/>
      <c r="MF33" s="33" t="n"/>
      <c r="MG33" s="33" t="n"/>
      <c r="MH33" s="33" t="n"/>
      <c r="MI33" s="33" t="n"/>
      <c r="MJ33" s="33" t="n"/>
      <c r="MK33" s="33" t="n"/>
      <c r="ML33" s="33" t="n"/>
      <c r="MM33" s="33" t="n"/>
      <c r="MN33" s="33" t="n"/>
      <c r="MO33" s="33" t="n"/>
      <c r="MP33" s="33" t="n"/>
      <c r="MQ33" s="33" t="n"/>
      <c r="MR33" s="33" t="n"/>
      <c r="MS33" s="33" t="n"/>
      <c r="MT33" s="33" t="n"/>
      <c r="MU33" s="33" t="n"/>
      <c r="MV33" s="33" t="n"/>
      <c r="MW33" s="33" t="n"/>
      <c r="MX33" s="33" t="n"/>
      <c r="MY33" s="33" t="n"/>
      <c r="MZ33" s="33" t="n"/>
      <c r="NA33" s="33" t="n"/>
      <c r="NB33" s="33" t="n"/>
      <c r="NC33" s="33" t="n"/>
      <c r="ND33" s="33" t="n"/>
      <c r="NE33" s="33" t="n"/>
      <c r="NF33" s="33" t="n"/>
      <c r="NG33" s="33" t="n"/>
      <c r="NH33" s="33" t="n"/>
      <c r="NI33" s="33" t="n"/>
      <c r="NJ33" s="33" t="n"/>
      <c r="NK33" s="33" t="n"/>
      <c r="NL33" s="33" t="n"/>
      <c r="NM33" s="33" t="n"/>
      <c r="NN33" s="33" t="n"/>
      <c r="NO33" s="33" t="n"/>
      <c r="NP33" s="33" t="n"/>
      <c r="NQ33" s="33" t="n"/>
      <c r="NR33" s="33" t="n"/>
      <c r="NS33" s="33" t="n"/>
      <c r="NT33" s="33" t="n"/>
      <c r="NU33" s="33" t="n"/>
      <c r="NV33" s="33" t="n"/>
      <c r="NW33" s="33" t="n"/>
      <c r="NX33" s="33" t="n"/>
      <c r="NY33" s="33" t="n"/>
      <c r="NZ33" s="33" t="n"/>
      <c r="OA33" s="33" t="n"/>
      <c r="OB33" s="33" t="n"/>
      <c r="OC33" s="33" t="n"/>
      <c r="OD33" s="33" t="n"/>
      <c r="OE33" s="33" t="n"/>
      <c r="OF33" s="33" t="n"/>
      <c r="OG33" s="33" t="n"/>
      <c r="OH33" s="33" t="n"/>
      <c r="OI33" s="33" t="n"/>
      <c r="OJ33" s="33" t="n"/>
      <c r="OK33" s="33" t="n"/>
      <c r="OL33" s="33" t="n"/>
      <c r="OM33" s="33" t="n"/>
      <c r="ON33" s="33" t="n"/>
      <c r="OO33" s="33" t="n"/>
      <c r="OP33" s="33" t="n"/>
      <c r="OQ33" s="33" t="n"/>
      <c r="OR33" s="33" t="n"/>
      <c r="OS33" s="33" t="n"/>
      <c r="OT33" s="33" t="n"/>
      <c r="OU33" s="33" t="n"/>
      <c r="OV33" s="33" t="n"/>
      <c r="OW33" s="33" t="n"/>
      <c r="OX33" s="33" t="n"/>
      <c r="OY33" s="33" t="n"/>
      <c r="OZ33" s="33" t="n"/>
      <c r="PA33" s="33" t="n"/>
      <c r="PB33" s="33" t="n"/>
      <c r="PC33" s="33" t="n"/>
      <c r="PD33" s="33" t="n"/>
      <c r="PE33" s="33" t="n"/>
      <c r="PF33" s="33" t="n"/>
      <c r="PG33" s="33" t="n"/>
      <c r="PH33" s="33" t="n"/>
      <c r="PI33" s="33" t="n"/>
      <c r="PJ33" s="33" t="n"/>
      <c r="PK33" s="33" t="n"/>
      <c r="PL33" s="33" t="n"/>
      <c r="PM33" s="33" t="n"/>
      <c r="PN33" s="33" t="n"/>
      <c r="PO33" s="33" t="n"/>
      <c r="PP33" s="33" t="n"/>
      <c r="PQ33" s="33" t="n"/>
      <c r="PR33" s="33" t="n"/>
      <c r="PS33" s="33" t="n"/>
      <c r="PT33" s="33" t="n"/>
      <c r="PU33" s="33" t="n"/>
      <c r="PV33" s="33" t="n"/>
      <c r="PW33" s="33" t="n"/>
      <c r="PX33" s="33" t="n"/>
      <c r="PY33" s="33" t="n"/>
      <c r="PZ33" s="33" t="n"/>
      <c r="QA33" s="33" t="n"/>
      <c r="QB33" s="33" t="n"/>
      <c r="QC33" s="33" t="n"/>
      <c r="QD33" s="33" t="n"/>
      <c r="QE33" s="33" t="n"/>
      <c r="QF33" s="33" t="n"/>
      <c r="QG33" s="33" t="n"/>
      <c r="QH33" s="33" t="n"/>
      <c r="QI33" s="33" t="n"/>
      <c r="QJ33" s="33" t="n"/>
      <c r="QK33" s="33" t="n"/>
      <c r="QL33" s="33" t="n"/>
      <c r="QM33" s="33" t="n"/>
      <c r="QN33" s="33" t="n"/>
      <c r="QO33" s="33" t="n"/>
      <c r="QP33" s="33" t="n"/>
      <c r="QQ33" s="33" t="n"/>
      <c r="QR33" s="33" t="n"/>
      <c r="QS33" s="33" t="n"/>
      <c r="QT33" s="33" t="n"/>
      <c r="QU33" s="33" t="n"/>
      <c r="QV33" s="33" t="n"/>
      <c r="QW33" s="33" t="n"/>
      <c r="QX33" s="33" t="n"/>
      <c r="QY33" s="33" t="n"/>
      <c r="QZ33" s="33" t="n"/>
      <c r="RA33" s="33" t="n"/>
      <c r="RB33" s="33" t="n"/>
      <c r="RC33" s="33" t="n"/>
      <c r="RD33" s="33" t="n"/>
      <c r="RE33" s="33" t="n"/>
      <c r="RF33" s="33" t="n"/>
      <c r="RG33" s="33" t="n"/>
      <c r="RH33" s="33" t="n"/>
      <c r="RI33" s="33" t="n"/>
      <c r="RJ33" s="33" t="n"/>
      <c r="RK33" s="33" t="n"/>
      <c r="RL33" s="33" t="n"/>
      <c r="RM33" s="33" t="n"/>
      <c r="RN33" s="33" t="n"/>
      <c r="RO33" s="33" t="n"/>
      <c r="RP33" s="33" t="n"/>
      <c r="RQ33" s="33" t="n"/>
      <c r="RR33" s="33" t="n"/>
      <c r="RS33" s="33" t="n"/>
      <c r="RT33" s="33" t="n"/>
      <c r="RU33" s="33" t="n"/>
      <c r="RV33" s="33" t="n"/>
      <c r="RW33" s="33" t="n"/>
    </row>
    <row r="34" hidden="1" outlineLevel="1" ht="13.05" customHeight="1">
      <c r="E34" s="25" t="inlineStr">
        <is>
          <t>Interest</t>
        </is>
      </c>
      <c r="F34" s="26" t="n"/>
      <c r="G34" s="26" t="inlineStr">
        <is>
          <t>kEUR</t>
        </is>
      </c>
      <c r="H34" s="26" t="n"/>
      <c r="I34" s="26" t="n"/>
      <c r="J34" s="27" t="n"/>
      <c r="K34" s="26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  <c r="AP34" s="28" t="n"/>
      <c r="AQ34" s="28" t="n"/>
      <c r="AR34" s="28" t="n"/>
      <c r="AS34" s="28" t="n"/>
      <c r="AT34" s="28" t="n"/>
      <c r="AU34" s="28" t="n"/>
      <c r="AV34" s="28" t="n"/>
      <c r="AW34" s="28" t="n"/>
      <c r="AX34" s="28" t="n"/>
      <c r="AY34" s="28" t="n"/>
      <c r="AZ34" s="28" t="n"/>
      <c r="BA34" s="28" t="n"/>
      <c r="BB34" s="28" t="n"/>
      <c r="BC34" s="28" t="n"/>
      <c r="BD34" s="28" t="n"/>
      <c r="BE34" s="28" t="n"/>
      <c r="BF34" s="28" t="n"/>
      <c r="BG34" s="28" t="n"/>
      <c r="BH34" s="28" t="n"/>
      <c r="BI34" s="28" t="n"/>
      <c r="BJ34" s="28" t="n"/>
      <c r="BK34" s="28" t="n"/>
      <c r="BL34" s="28" t="n"/>
      <c r="BM34" s="28" t="n"/>
      <c r="BN34" s="28" t="n"/>
      <c r="BO34" s="28" t="n"/>
      <c r="BP34" s="28" t="n"/>
      <c r="BQ34" s="28" t="n"/>
      <c r="BR34" s="28" t="n"/>
      <c r="BS34" s="28" t="n"/>
      <c r="BT34" s="28" t="n"/>
      <c r="BU34" s="28" t="n"/>
      <c r="BV34" s="28" t="n"/>
      <c r="BW34" s="28" t="n"/>
      <c r="BX34" s="28" t="n"/>
      <c r="BY34" s="28" t="n"/>
      <c r="BZ34" s="28" t="n"/>
      <c r="CA34" s="28" t="n"/>
      <c r="CB34" s="28" t="n"/>
      <c r="CC34" s="28" t="n"/>
      <c r="CD34" s="28" t="n"/>
      <c r="CE34" s="28" t="n"/>
      <c r="CF34" s="28" t="n"/>
      <c r="CG34" s="28" t="n"/>
      <c r="CH34" s="28" t="n"/>
      <c r="CI34" s="28" t="n"/>
      <c r="CJ34" s="28" t="n"/>
      <c r="CK34" s="28" t="n"/>
      <c r="CL34" s="28" t="n"/>
      <c r="CM34" s="28" t="n"/>
      <c r="CN34" s="28" t="n"/>
      <c r="CO34" s="28" t="n"/>
      <c r="CP34" s="28" t="n"/>
      <c r="CQ34" s="28" t="n"/>
      <c r="CR34" s="28" t="n"/>
      <c r="CS34" s="28" t="n"/>
      <c r="CT34" s="28" t="n"/>
      <c r="CU34" s="28" t="n"/>
      <c r="CV34" s="28" t="n"/>
      <c r="CW34" s="28" t="n"/>
      <c r="CX34" s="28" t="n"/>
      <c r="CY34" s="28" t="n"/>
      <c r="CZ34" s="28" t="n"/>
      <c r="DA34" s="28" t="n"/>
      <c r="DB34" s="28" t="n"/>
      <c r="DC34" s="28" t="n"/>
      <c r="DD34" s="28" t="n"/>
      <c r="DE34" s="28" t="n"/>
      <c r="DF34" s="28" t="n"/>
      <c r="DG34" s="28" t="n"/>
      <c r="DH34" s="28" t="n"/>
      <c r="DI34" s="28" t="n"/>
      <c r="DJ34" s="28" t="n"/>
      <c r="DK34" s="28" t="n"/>
      <c r="DL34" s="28" t="n"/>
      <c r="DM34" s="28" t="n"/>
      <c r="DN34" s="28" t="n"/>
      <c r="DO34" s="28" t="n"/>
      <c r="DP34" s="28" t="n"/>
      <c r="DQ34" s="28" t="n"/>
      <c r="DR34" s="28" t="n"/>
      <c r="DS34" s="28" t="n"/>
      <c r="DT34" s="28" t="n"/>
      <c r="DU34" s="28" t="n"/>
      <c r="DV34" s="28" t="n"/>
      <c r="DW34" s="28" t="n"/>
      <c r="DX34" s="28" t="n"/>
      <c r="DY34" s="28" t="n"/>
      <c r="DZ34" s="28" t="n"/>
      <c r="EA34" s="28" t="n"/>
      <c r="EB34" s="28" t="n"/>
      <c r="EC34" s="28" t="n"/>
      <c r="ED34" s="28" t="n"/>
      <c r="EE34" s="28" t="n"/>
      <c r="EF34" s="28" t="n"/>
      <c r="EG34" s="28" t="n"/>
      <c r="EH34" s="28" t="n"/>
      <c r="EI34" s="28" t="n"/>
      <c r="EJ34" s="28" t="n"/>
      <c r="EK34" s="28" t="n"/>
      <c r="EL34" s="28" t="n"/>
      <c r="EM34" s="28" t="n"/>
      <c r="EN34" s="28" t="n"/>
      <c r="EO34" s="28" t="n"/>
      <c r="EP34" s="28" t="n"/>
      <c r="EQ34" s="28" t="n"/>
      <c r="ER34" s="28" t="n"/>
      <c r="ES34" s="28" t="n"/>
      <c r="ET34" s="28" t="n"/>
      <c r="EU34" s="28" t="n"/>
      <c r="EV34" s="28" t="n"/>
      <c r="EW34" s="28" t="n"/>
      <c r="EX34" s="28" t="n"/>
      <c r="EY34" s="28" t="n"/>
      <c r="EZ34" s="28" t="n"/>
      <c r="FA34" s="28" t="n"/>
      <c r="FB34" s="28" t="n"/>
      <c r="FC34" s="28" t="n"/>
      <c r="FD34" s="28" t="n"/>
      <c r="FE34" s="28" t="n"/>
      <c r="FF34" s="28" t="n"/>
      <c r="FG34" s="28" t="n"/>
      <c r="FH34" s="28" t="n"/>
      <c r="FI34" s="28" t="n"/>
      <c r="FJ34" s="28" t="n"/>
      <c r="FK34" s="28" t="n"/>
      <c r="FL34" s="28" t="n"/>
      <c r="FM34" s="28" t="n"/>
      <c r="FN34" s="28" t="n"/>
      <c r="FO34" s="28" t="n"/>
      <c r="FP34" s="28" t="n"/>
      <c r="FQ34" s="28" t="n"/>
      <c r="FR34" s="28" t="n"/>
      <c r="FS34" s="28" t="n"/>
      <c r="FT34" s="28" t="n"/>
      <c r="FU34" s="28" t="n"/>
      <c r="FV34" s="28" t="n"/>
      <c r="FW34" s="28" t="n"/>
      <c r="FX34" s="28" t="n"/>
      <c r="FY34" s="28" t="n"/>
      <c r="FZ34" s="28" t="n"/>
      <c r="GA34" s="28" t="n"/>
      <c r="GB34" s="28" t="n"/>
      <c r="GC34" s="28" t="n"/>
      <c r="GD34" s="28" t="n"/>
      <c r="GE34" s="28" t="n"/>
      <c r="GF34" s="28" t="n"/>
      <c r="GG34" s="28" t="n"/>
      <c r="GH34" s="28" t="n"/>
      <c r="GI34" s="28" t="n"/>
      <c r="GJ34" s="28" t="n"/>
      <c r="GK34" s="28" t="n"/>
      <c r="GL34" s="28" t="n"/>
      <c r="GM34" s="28" t="n"/>
      <c r="GN34" s="28" t="n"/>
      <c r="GO34" s="28" t="n"/>
      <c r="GP34" s="28" t="n"/>
      <c r="GQ34" s="28" t="n"/>
      <c r="GR34" s="28" t="n"/>
      <c r="GS34" s="28" t="n"/>
      <c r="GT34" s="28" t="n"/>
      <c r="GU34" s="28" t="n"/>
      <c r="GV34" s="28" t="n"/>
      <c r="GW34" s="28" t="n"/>
      <c r="GX34" s="28" t="n"/>
      <c r="GY34" s="28" t="n"/>
      <c r="GZ34" s="28" t="n"/>
      <c r="HA34" s="28" t="n"/>
      <c r="HB34" s="28" t="n"/>
      <c r="HC34" s="28" t="n"/>
      <c r="HD34" s="28" t="n"/>
      <c r="HE34" s="28" t="n"/>
      <c r="HF34" s="28" t="n"/>
      <c r="HG34" s="28" t="n"/>
      <c r="HH34" s="28" t="n"/>
      <c r="HI34" s="28" t="n"/>
      <c r="HJ34" s="28" t="n"/>
      <c r="HK34" s="28" t="n"/>
      <c r="HL34" s="28" t="n"/>
      <c r="HM34" s="28" t="n"/>
      <c r="HN34" s="28" t="n"/>
      <c r="HO34" s="28" t="n"/>
      <c r="HP34" s="28" t="n"/>
      <c r="HQ34" s="28" t="n"/>
      <c r="HR34" s="28" t="n"/>
      <c r="HS34" s="28" t="n"/>
      <c r="HT34" s="28" t="n"/>
      <c r="HU34" s="28" t="n"/>
      <c r="HV34" s="28" t="n"/>
      <c r="HW34" s="28" t="n"/>
      <c r="HX34" s="28" t="n"/>
      <c r="HY34" s="28" t="n"/>
      <c r="HZ34" s="28" t="n"/>
      <c r="IA34" s="28" t="n"/>
      <c r="IB34" s="28" t="n"/>
      <c r="IC34" s="28" t="n"/>
      <c r="ID34" s="28" t="n"/>
      <c r="IE34" s="28" t="n"/>
      <c r="IF34" s="28" t="n"/>
      <c r="IG34" s="28" t="n"/>
      <c r="IH34" s="28" t="n"/>
      <c r="II34" s="28" t="n"/>
      <c r="IJ34" s="28" t="n"/>
      <c r="IK34" s="28" t="n"/>
      <c r="IL34" s="28" t="n"/>
      <c r="IM34" s="28" t="n"/>
      <c r="IN34" s="28" t="n"/>
      <c r="IO34" s="28" t="n"/>
      <c r="IP34" s="28" t="n"/>
      <c r="IQ34" s="28" t="n"/>
      <c r="IR34" s="28" t="n"/>
      <c r="IS34" s="28" t="n"/>
      <c r="IT34" s="28" t="n"/>
      <c r="IU34" s="28" t="n"/>
      <c r="IV34" s="28" t="n"/>
      <c r="IW34" s="28" t="n"/>
      <c r="IX34" s="28" t="n"/>
      <c r="IY34" s="28" t="n"/>
      <c r="IZ34" s="28" t="n"/>
      <c r="JA34" s="28" t="n"/>
      <c r="JB34" s="28" t="n"/>
      <c r="JC34" s="28" t="n"/>
      <c r="JD34" s="28" t="n"/>
      <c r="JE34" s="28" t="n"/>
      <c r="JF34" s="28" t="n"/>
      <c r="JG34" s="28" t="n"/>
      <c r="JH34" s="28" t="n"/>
      <c r="JI34" s="28" t="n"/>
      <c r="JJ34" s="28" t="n"/>
      <c r="JK34" s="28" t="n"/>
      <c r="JL34" s="28" t="n"/>
      <c r="JM34" s="28" t="n"/>
      <c r="JN34" s="28" t="n"/>
      <c r="JO34" s="28" t="n"/>
      <c r="JP34" s="28" t="n"/>
      <c r="JQ34" s="28" t="n"/>
      <c r="JR34" s="28" t="n"/>
      <c r="JS34" s="28" t="n"/>
      <c r="JT34" s="28" t="n"/>
      <c r="JU34" s="28" t="n"/>
      <c r="JV34" s="28" t="n"/>
      <c r="JW34" s="28" t="n"/>
      <c r="JX34" s="28" t="n"/>
      <c r="JY34" s="28" t="n"/>
      <c r="JZ34" s="28" t="n"/>
      <c r="KA34" s="28" t="n"/>
      <c r="KB34" s="28" t="n"/>
      <c r="KC34" s="28" t="n"/>
      <c r="KD34" s="28" t="n"/>
      <c r="KE34" s="28" t="n"/>
      <c r="KF34" s="28" t="n"/>
      <c r="KG34" s="28" t="n"/>
      <c r="KH34" s="28" t="n"/>
      <c r="KI34" s="28" t="n"/>
      <c r="KJ34" s="28" t="n"/>
      <c r="KK34" s="28" t="n"/>
      <c r="KL34" s="28" t="n"/>
      <c r="KM34" s="28" t="n"/>
      <c r="KN34" s="28" t="n"/>
      <c r="KO34" s="28" t="n"/>
      <c r="KP34" s="28" t="n"/>
      <c r="KQ34" s="28" t="n"/>
      <c r="KR34" s="28" t="n"/>
      <c r="KS34" s="28" t="n"/>
      <c r="KT34" s="28" t="n"/>
      <c r="KU34" s="28" t="n"/>
      <c r="KV34" s="28" t="n"/>
      <c r="KW34" s="28" t="n"/>
      <c r="KX34" s="28" t="n"/>
      <c r="KY34" s="28" t="n"/>
      <c r="KZ34" s="28" t="n"/>
      <c r="LA34" s="28" t="n"/>
      <c r="LB34" s="28" t="n"/>
      <c r="LC34" s="28" t="n"/>
      <c r="LD34" s="28" t="n"/>
      <c r="LE34" s="28" t="n"/>
      <c r="LF34" s="28" t="n"/>
      <c r="LG34" s="28" t="n"/>
      <c r="LH34" s="28" t="n"/>
      <c r="LI34" s="28" t="n"/>
      <c r="LJ34" s="28" t="n"/>
      <c r="LK34" s="28" t="n"/>
      <c r="LL34" s="28" t="n"/>
      <c r="LM34" s="28" t="n"/>
      <c r="LN34" s="28" t="n"/>
      <c r="LO34" s="28" t="n"/>
      <c r="LP34" s="28" t="n"/>
      <c r="LQ34" s="28" t="n"/>
      <c r="LR34" s="28" t="n"/>
      <c r="LS34" s="28" t="n"/>
      <c r="LT34" s="28" t="n"/>
      <c r="LU34" s="28" t="n"/>
      <c r="LV34" s="28" t="n"/>
      <c r="LW34" s="28" t="n"/>
      <c r="LX34" s="28" t="n"/>
      <c r="LY34" s="28" t="n"/>
      <c r="LZ34" s="28" t="n"/>
      <c r="MA34" s="28" t="n"/>
      <c r="MB34" s="28" t="n"/>
      <c r="MC34" s="28" t="n"/>
      <c r="MD34" s="28" t="n"/>
      <c r="ME34" s="28" t="n"/>
      <c r="MF34" s="28" t="n"/>
      <c r="MG34" s="28" t="n"/>
      <c r="MH34" s="28" t="n"/>
      <c r="MI34" s="28" t="n"/>
      <c r="MJ34" s="28" t="n"/>
      <c r="MK34" s="28" t="n"/>
      <c r="ML34" s="28" t="n"/>
      <c r="MM34" s="28" t="n"/>
      <c r="MN34" s="28" t="n"/>
      <c r="MO34" s="28" t="n"/>
      <c r="MP34" s="28" t="n"/>
      <c r="MQ34" s="28" t="n"/>
      <c r="MR34" s="28" t="n"/>
      <c r="MS34" s="28" t="n"/>
      <c r="MT34" s="28" t="n"/>
      <c r="MU34" s="28" t="n"/>
      <c r="MV34" s="28" t="n"/>
      <c r="MW34" s="28" t="n"/>
      <c r="MX34" s="28" t="n"/>
      <c r="MY34" s="28" t="n"/>
      <c r="MZ34" s="28" t="n"/>
      <c r="NA34" s="28" t="n"/>
      <c r="NB34" s="28" t="n"/>
      <c r="NC34" s="28" t="n"/>
      <c r="ND34" s="28" t="n"/>
      <c r="NE34" s="28" t="n"/>
      <c r="NF34" s="28" t="n"/>
      <c r="NG34" s="28" t="n"/>
      <c r="NH34" s="28" t="n"/>
      <c r="NI34" s="28" t="n"/>
      <c r="NJ34" s="28" t="n"/>
      <c r="NK34" s="28" t="n"/>
      <c r="NL34" s="28" t="n"/>
      <c r="NM34" s="28" t="n"/>
      <c r="NN34" s="28" t="n"/>
      <c r="NO34" s="28" t="n"/>
      <c r="NP34" s="28" t="n"/>
      <c r="NQ34" s="28" t="n"/>
      <c r="NR34" s="28" t="n"/>
      <c r="NS34" s="28" t="n"/>
      <c r="NT34" s="28" t="n"/>
      <c r="NU34" s="28" t="n"/>
      <c r="NV34" s="28" t="n"/>
      <c r="NW34" s="28" t="n"/>
      <c r="NX34" s="28" t="n"/>
      <c r="NY34" s="28" t="n"/>
      <c r="NZ34" s="28" t="n"/>
      <c r="OA34" s="28" t="n"/>
      <c r="OB34" s="28" t="n"/>
      <c r="OC34" s="28" t="n"/>
      <c r="OD34" s="28" t="n"/>
      <c r="OE34" s="28" t="n"/>
      <c r="OF34" s="28" t="n"/>
      <c r="OG34" s="28" t="n"/>
      <c r="OH34" s="28" t="n"/>
      <c r="OI34" s="28" t="n"/>
      <c r="OJ34" s="28" t="n"/>
      <c r="OK34" s="28" t="n"/>
      <c r="OL34" s="28" t="n"/>
      <c r="OM34" s="28" t="n"/>
      <c r="ON34" s="28" t="n"/>
      <c r="OO34" s="28" t="n"/>
      <c r="OP34" s="28" t="n"/>
      <c r="OQ34" s="28" t="n"/>
      <c r="OR34" s="28" t="n"/>
      <c r="OS34" s="28" t="n"/>
      <c r="OT34" s="28" t="n"/>
      <c r="OU34" s="28" t="n"/>
      <c r="OV34" s="28" t="n"/>
      <c r="OW34" s="28" t="n"/>
      <c r="OX34" s="28" t="n"/>
      <c r="OY34" s="28" t="n"/>
      <c r="OZ34" s="28" t="n"/>
      <c r="PA34" s="28" t="n"/>
      <c r="PB34" s="28" t="n"/>
      <c r="PC34" s="28" t="n"/>
      <c r="PD34" s="28" t="n"/>
      <c r="PE34" s="28" t="n"/>
      <c r="PF34" s="28" t="n"/>
      <c r="PG34" s="28" t="n"/>
      <c r="PH34" s="28" t="n"/>
      <c r="PI34" s="28" t="n"/>
      <c r="PJ34" s="28" t="n"/>
      <c r="PK34" s="28" t="n"/>
      <c r="PL34" s="28" t="n"/>
      <c r="PM34" s="28" t="n"/>
      <c r="PN34" s="28" t="n"/>
      <c r="PO34" s="28" t="n"/>
      <c r="PP34" s="28" t="n"/>
      <c r="PQ34" s="28" t="n"/>
      <c r="PR34" s="28" t="n"/>
      <c r="PS34" s="28" t="n"/>
      <c r="PT34" s="28" t="n"/>
      <c r="PU34" s="28" t="n"/>
      <c r="PV34" s="28" t="n"/>
      <c r="PW34" s="28" t="n"/>
      <c r="PX34" s="28" t="n"/>
      <c r="PY34" s="28" t="n"/>
      <c r="PZ34" s="28" t="n"/>
      <c r="QA34" s="28" t="n"/>
      <c r="QB34" s="28" t="n"/>
      <c r="QC34" s="28" t="n"/>
      <c r="QD34" s="28" t="n"/>
      <c r="QE34" s="28" t="n"/>
      <c r="QF34" s="28" t="n"/>
      <c r="QG34" s="28" t="n"/>
      <c r="QH34" s="28" t="n"/>
      <c r="QI34" s="28" t="n"/>
      <c r="QJ34" s="28" t="n"/>
      <c r="QK34" s="28" t="n"/>
      <c r="QL34" s="28" t="n"/>
      <c r="QM34" s="28" t="n"/>
      <c r="QN34" s="28" t="n"/>
      <c r="QO34" s="28" t="n"/>
      <c r="QP34" s="28" t="n"/>
      <c r="QQ34" s="28" t="n"/>
      <c r="QR34" s="28" t="n"/>
      <c r="QS34" s="28" t="n"/>
      <c r="QT34" s="28" t="n"/>
      <c r="QU34" s="28" t="n"/>
      <c r="QV34" s="28" t="n"/>
      <c r="QW34" s="28" t="n"/>
      <c r="QX34" s="28" t="n"/>
      <c r="QY34" s="28" t="n"/>
      <c r="QZ34" s="28" t="n"/>
      <c r="RA34" s="28" t="n"/>
      <c r="RB34" s="28" t="n"/>
      <c r="RC34" s="28" t="n"/>
      <c r="RD34" s="28" t="n"/>
      <c r="RE34" s="28" t="n"/>
      <c r="RF34" s="28" t="n"/>
      <c r="RG34" s="28" t="n"/>
      <c r="RH34" s="28" t="n"/>
      <c r="RI34" s="28" t="n"/>
      <c r="RJ34" s="28" t="n"/>
      <c r="RK34" s="28" t="n"/>
      <c r="RL34" s="28" t="n"/>
      <c r="RM34" s="28" t="n"/>
      <c r="RN34" s="28" t="n"/>
      <c r="RO34" s="28" t="n"/>
      <c r="RP34" s="28" t="n"/>
      <c r="RQ34" s="28" t="n"/>
      <c r="RR34" s="28" t="n"/>
      <c r="RS34" s="28" t="n"/>
      <c r="RT34" s="28" t="n"/>
      <c r="RU34" s="28" t="n"/>
      <c r="RV34" s="28" t="n"/>
      <c r="RW34" s="28" t="n"/>
    </row>
    <row r="35" hidden="1" outlineLevel="1" ht="13.05" customHeight="1">
      <c r="E35" s="21" t="inlineStr">
        <is>
          <t>SHL Repayment</t>
        </is>
      </c>
      <c r="F35" s="29" t="n"/>
      <c r="G35" s="29" t="inlineStr">
        <is>
          <t>kEUR</t>
        </is>
      </c>
      <c r="H35" s="29" t="n"/>
      <c r="I35" s="29" t="n"/>
      <c r="J35" s="32" t="n"/>
      <c r="K35" s="29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3" t="n"/>
      <c r="AY35" s="33" t="n"/>
      <c r="AZ35" s="33" t="n"/>
      <c r="BA35" s="33" t="n"/>
      <c r="BB35" s="33" t="n"/>
      <c r="BC35" s="33" t="n"/>
      <c r="BD35" s="33" t="n"/>
      <c r="BE35" s="33" t="n"/>
      <c r="BF35" s="33" t="n"/>
      <c r="BG35" s="33" t="n"/>
      <c r="BH35" s="33" t="n"/>
      <c r="BI35" s="33" t="n"/>
      <c r="BJ35" s="33" t="n"/>
      <c r="BK35" s="33" t="n"/>
      <c r="BL35" s="33" t="n"/>
      <c r="BM35" s="33" t="n"/>
      <c r="BN35" s="33" t="n"/>
      <c r="BO35" s="33" t="n"/>
      <c r="BP35" s="33" t="n"/>
      <c r="BQ35" s="33" t="n"/>
      <c r="BR35" s="33" t="n"/>
      <c r="BS35" s="33" t="n"/>
      <c r="BT35" s="33" t="n"/>
      <c r="BU35" s="33" t="n"/>
      <c r="BV35" s="33" t="n"/>
      <c r="BW35" s="33" t="n"/>
      <c r="BX35" s="33" t="n"/>
      <c r="BY35" s="33" t="n"/>
      <c r="BZ35" s="33" t="n"/>
      <c r="CA35" s="33" t="n"/>
      <c r="CB35" s="33" t="n"/>
      <c r="CC35" s="33" t="n"/>
      <c r="CD35" s="33" t="n"/>
      <c r="CE35" s="33" t="n"/>
      <c r="CF35" s="33" t="n"/>
      <c r="CG35" s="33" t="n"/>
      <c r="CH35" s="33" t="n"/>
      <c r="CI35" s="33" t="n"/>
      <c r="CJ35" s="33" t="n"/>
      <c r="CK35" s="33" t="n"/>
      <c r="CL35" s="33" t="n"/>
      <c r="CM35" s="33" t="n"/>
      <c r="CN35" s="33" t="n"/>
      <c r="CO35" s="33" t="n"/>
      <c r="CP35" s="33" t="n"/>
      <c r="CQ35" s="33" t="n"/>
      <c r="CR35" s="33" t="n"/>
      <c r="CS35" s="33" t="n"/>
      <c r="CT35" s="33" t="n"/>
      <c r="CU35" s="33" t="n"/>
      <c r="CV35" s="33" t="n"/>
      <c r="CW35" s="33" t="n"/>
      <c r="CX35" s="33" t="n"/>
      <c r="CY35" s="33" t="n"/>
      <c r="CZ35" s="33" t="n"/>
      <c r="DA35" s="33" t="n"/>
      <c r="DB35" s="33" t="n"/>
      <c r="DC35" s="33" t="n"/>
      <c r="DD35" s="33" t="n"/>
      <c r="DE35" s="33" t="n"/>
      <c r="DF35" s="33" t="n"/>
      <c r="DG35" s="33" t="n"/>
      <c r="DH35" s="33" t="n"/>
      <c r="DI35" s="33" t="n"/>
      <c r="DJ35" s="33" t="n"/>
      <c r="DK35" s="33" t="n"/>
      <c r="DL35" s="33" t="n"/>
      <c r="DM35" s="33" t="n"/>
      <c r="DN35" s="33" t="n"/>
      <c r="DO35" s="33" t="n"/>
      <c r="DP35" s="33" t="n"/>
      <c r="DQ35" s="33" t="n"/>
      <c r="DR35" s="33" t="n"/>
      <c r="DS35" s="33" t="n"/>
      <c r="DT35" s="33" t="n"/>
      <c r="DU35" s="33" t="n"/>
      <c r="DV35" s="33" t="n"/>
      <c r="DW35" s="33" t="n"/>
      <c r="DX35" s="33" t="n"/>
      <c r="DY35" s="33" t="n"/>
      <c r="DZ35" s="33" t="n"/>
      <c r="EA35" s="33" t="n"/>
      <c r="EB35" s="33" t="n"/>
      <c r="EC35" s="33" t="n"/>
      <c r="ED35" s="33" t="n"/>
      <c r="EE35" s="33" t="n"/>
      <c r="EF35" s="33" t="n"/>
      <c r="EG35" s="33" t="n"/>
      <c r="EH35" s="33" t="n"/>
      <c r="EI35" s="33" t="n"/>
      <c r="EJ35" s="33" t="n"/>
      <c r="EK35" s="33" t="n"/>
      <c r="EL35" s="33" t="n"/>
      <c r="EM35" s="33" t="n"/>
      <c r="EN35" s="33" t="n"/>
      <c r="EO35" s="33" t="n"/>
      <c r="EP35" s="33" t="n"/>
      <c r="EQ35" s="33" t="n"/>
      <c r="ER35" s="33" t="n"/>
      <c r="ES35" s="33" t="n"/>
      <c r="ET35" s="33" t="n"/>
      <c r="EU35" s="33" t="n"/>
      <c r="EV35" s="33" t="n"/>
      <c r="EW35" s="33" t="n"/>
      <c r="EX35" s="33" t="n"/>
      <c r="EY35" s="33" t="n"/>
      <c r="EZ35" s="33" t="n"/>
      <c r="FA35" s="33" t="n"/>
      <c r="FB35" s="33" t="n"/>
      <c r="FC35" s="33" t="n"/>
      <c r="FD35" s="33" t="n"/>
      <c r="FE35" s="33" t="n"/>
      <c r="FF35" s="33" t="n"/>
      <c r="FG35" s="33" t="n"/>
      <c r="FH35" s="33" t="n"/>
      <c r="FI35" s="33" t="n"/>
      <c r="FJ35" s="33" t="n"/>
      <c r="FK35" s="33" t="n"/>
      <c r="FL35" s="33" t="n"/>
      <c r="FM35" s="33" t="n"/>
      <c r="FN35" s="33" t="n"/>
      <c r="FO35" s="33" t="n"/>
      <c r="FP35" s="33" t="n"/>
      <c r="FQ35" s="33" t="n"/>
      <c r="FR35" s="33" t="n"/>
      <c r="FS35" s="33" t="n"/>
      <c r="FT35" s="33" t="n"/>
      <c r="FU35" s="33" t="n"/>
      <c r="FV35" s="33" t="n"/>
      <c r="FW35" s="33" t="n"/>
      <c r="FX35" s="33" t="n"/>
      <c r="FY35" s="33" t="n"/>
      <c r="FZ35" s="33" t="n"/>
      <c r="GA35" s="33" t="n"/>
      <c r="GB35" s="33" t="n"/>
      <c r="GC35" s="33" t="n"/>
      <c r="GD35" s="33" t="n"/>
      <c r="GE35" s="33" t="n"/>
      <c r="GF35" s="33" t="n"/>
      <c r="GG35" s="33" t="n"/>
      <c r="GH35" s="33" t="n"/>
      <c r="GI35" s="33" t="n"/>
      <c r="GJ35" s="33" t="n"/>
      <c r="GK35" s="33" t="n"/>
      <c r="GL35" s="33" t="n"/>
      <c r="GM35" s="33" t="n"/>
      <c r="GN35" s="33" t="n"/>
      <c r="GO35" s="33" t="n"/>
      <c r="GP35" s="33" t="n"/>
      <c r="GQ35" s="33" t="n"/>
      <c r="GR35" s="33" t="n"/>
      <c r="GS35" s="33" t="n"/>
      <c r="GT35" s="33" t="n"/>
      <c r="GU35" s="33" t="n"/>
      <c r="GV35" s="33" t="n"/>
      <c r="GW35" s="33" t="n"/>
      <c r="GX35" s="33" t="n"/>
      <c r="GY35" s="33" t="n"/>
      <c r="GZ35" s="33" t="n"/>
      <c r="HA35" s="33" t="n"/>
      <c r="HB35" s="33" t="n"/>
      <c r="HC35" s="33" t="n"/>
      <c r="HD35" s="33" t="n"/>
      <c r="HE35" s="33" t="n"/>
      <c r="HF35" s="33" t="n"/>
      <c r="HG35" s="33" t="n"/>
      <c r="HH35" s="33" t="n"/>
      <c r="HI35" s="33" t="n"/>
      <c r="HJ35" s="33" t="n"/>
      <c r="HK35" s="33" t="n"/>
      <c r="HL35" s="33" t="n"/>
      <c r="HM35" s="33" t="n"/>
      <c r="HN35" s="33" t="n"/>
      <c r="HO35" s="33" t="n"/>
      <c r="HP35" s="33" t="n"/>
      <c r="HQ35" s="33" t="n"/>
      <c r="HR35" s="33" t="n"/>
      <c r="HS35" s="33" t="n"/>
      <c r="HT35" s="33" t="n"/>
      <c r="HU35" s="33" t="n"/>
      <c r="HV35" s="33" t="n"/>
      <c r="HW35" s="33" t="n"/>
      <c r="HX35" s="33" t="n"/>
      <c r="HY35" s="33" t="n"/>
      <c r="HZ35" s="33" t="n"/>
      <c r="IA35" s="33" t="n"/>
      <c r="IB35" s="33" t="n"/>
      <c r="IC35" s="33" t="n"/>
      <c r="ID35" s="33" t="n"/>
      <c r="IE35" s="33" t="n"/>
      <c r="IF35" s="33" t="n"/>
      <c r="IG35" s="33" t="n"/>
      <c r="IH35" s="33" t="n"/>
      <c r="II35" s="33" t="n"/>
      <c r="IJ35" s="33" t="n"/>
      <c r="IK35" s="33" t="n"/>
      <c r="IL35" s="33" t="n"/>
      <c r="IM35" s="33" t="n"/>
      <c r="IN35" s="33" t="n"/>
      <c r="IO35" s="33" t="n"/>
      <c r="IP35" s="33" t="n"/>
      <c r="IQ35" s="33" t="n"/>
      <c r="IR35" s="33" t="n"/>
      <c r="IS35" s="33" t="n"/>
      <c r="IT35" s="33" t="n"/>
      <c r="IU35" s="33" t="n"/>
      <c r="IV35" s="33" t="n"/>
      <c r="IW35" s="33" t="n"/>
      <c r="IX35" s="33" t="n"/>
      <c r="IY35" s="33" t="n"/>
      <c r="IZ35" s="33" t="n"/>
      <c r="JA35" s="33" t="n"/>
      <c r="JB35" s="33" t="n"/>
      <c r="JC35" s="33" t="n"/>
      <c r="JD35" s="33" t="n"/>
      <c r="JE35" s="33" t="n"/>
      <c r="JF35" s="33" t="n"/>
      <c r="JG35" s="33" t="n"/>
      <c r="JH35" s="33" t="n"/>
      <c r="JI35" s="33" t="n"/>
      <c r="JJ35" s="33" t="n"/>
      <c r="JK35" s="33" t="n"/>
      <c r="JL35" s="33" t="n"/>
      <c r="JM35" s="33" t="n"/>
      <c r="JN35" s="33" t="n"/>
      <c r="JO35" s="33" t="n"/>
      <c r="JP35" s="33" t="n"/>
      <c r="JQ35" s="33" t="n"/>
      <c r="JR35" s="33" t="n"/>
      <c r="JS35" s="33" t="n"/>
      <c r="JT35" s="33" t="n"/>
      <c r="JU35" s="33" t="n"/>
      <c r="JV35" s="33" t="n"/>
      <c r="JW35" s="33" t="n"/>
      <c r="JX35" s="33" t="n"/>
      <c r="JY35" s="33" t="n"/>
      <c r="JZ35" s="33" t="n"/>
      <c r="KA35" s="33" t="n"/>
      <c r="KB35" s="33" t="n"/>
      <c r="KC35" s="33" t="n"/>
      <c r="KD35" s="33" t="n"/>
      <c r="KE35" s="33" t="n"/>
      <c r="KF35" s="33" t="n"/>
      <c r="KG35" s="33" t="n"/>
      <c r="KH35" s="33" t="n"/>
      <c r="KI35" s="33" t="n"/>
      <c r="KJ35" s="33" t="n"/>
      <c r="KK35" s="33" t="n"/>
      <c r="KL35" s="33" t="n"/>
      <c r="KM35" s="33" t="n"/>
      <c r="KN35" s="33" t="n"/>
      <c r="KO35" s="33" t="n"/>
      <c r="KP35" s="33" t="n"/>
      <c r="KQ35" s="33" t="n"/>
      <c r="KR35" s="33" t="n"/>
      <c r="KS35" s="33" t="n"/>
      <c r="KT35" s="33" t="n"/>
      <c r="KU35" s="33" t="n"/>
      <c r="KV35" s="33" t="n"/>
      <c r="KW35" s="33" t="n"/>
      <c r="KX35" s="33" t="n"/>
      <c r="KY35" s="33" t="n"/>
      <c r="KZ35" s="33" t="n"/>
      <c r="LA35" s="33" t="n"/>
      <c r="LB35" s="33" t="n"/>
      <c r="LC35" s="33" t="n"/>
      <c r="LD35" s="33" t="n"/>
      <c r="LE35" s="33" t="n"/>
      <c r="LF35" s="33" t="n"/>
      <c r="LG35" s="33" t="n"/>
      <c r="LH35" s="33" t="n"/>
      <c r="LI35" s="33" t="n"/>
      <c r="LJ35" s="33" t="n"/>
      <c r="LK35" s="33" t="n"/>
      <c r="LL35" s="33" t="n"/>
      <c r="LM35" s="33" t="n"/>
      <c r="LN35" s="33" t="n"/>
      <c r="LO35" s="33" t="n"/>
      <c r="LP35" s="33" t="n"/>
      <c r="LQ35" s="33" t="n"/>
      <c r="LR35" s="33" t="n"/>
      <c r="LS35" s="33" t="n"/>
      <c r="LT35" s="33" t="n"/>
      <c r="LU35" s="33" t="n"/>
      <c r="LV35" s="33" t="n"/>
      <c r="LW35" s="33" t="n"/>
      <c r="LX35" s="33" t="n"/>
      <c r="LY35" s="33" t="n"/>
      <c r="LZ35" s="33" t="n"/>
      <c r="MA35" s="33" t="n"/>
      <c r="MB35" s="33" t="n"/>
      <c r="MC35" s="33" t="n"/>
      <c r="MD35" s="33" t="n"/>
      <c r="ME35" s="33" t="n"/>
      <c r="MF35" s="33" t="n"/>
      <c r="MG35" s="33" t="n"/>
      <c r="MH35" s="33" t="n"/>
      <c r="MI35" s="33" t="n"/>
      <c r="MJ35" s="33" t="n"/>
      <c r="MK35" s="33" t="n"/>
      <c r="ML35" s="33" t="n"/>
      <c r="MM35" s="33" t="n"/>
      <c r="MN35" s="33" t="n"/>
      <c r="MO35" s="33" t="n"/>
      <c r="MP35" s="33" t="n"/>
      <c r="MQ35" s="33" t="n"/>
      <c r="MR35" s="33" t="n"/>
      <c r="MS35" s="33" t="n"/>
      <c r="MT35" s="33" t="n"/>
      <c r="MU35" s="33" t="n"/>
      <c r="MV35" s="33" t="n"/>
      <c r="MW35" s="33" t="n"/>
      <c r="MX35" s="33" t="n"/>
      <c r="MY35" s="33" t="n"/>
      <c r="MZ35" s="33" t="n"/>
      <c r="NA35" s="33" t="n"/>
      <c r="NB35" s="33" t="n"/>
      <c r="NC35" s="33" t="n"/>
      <c r="ND35" s="33" t="n"/>
      <c r="NE35" s="33" t="n"/>
      <c r="NF35" s="33" t="n"/>
      <c r="NG35" s="33" t="n"/>
      <c r="NH35" s="33" t="n"/>
      <c r="NI35" s="33" t="n"/>
      <c r="NJ35" s="33" t="n"/>
      <c r="NK35" s="33" t="n"/>
      <c r="NL35" s="33" t="n"/>
      <c r="NM35" s="33" t="n"/>
      <c r="NN35" s="33" t="n"/>
      <c r="NO35" s="33" t="n"/>
      <c r="NP35" s="33" t="n"/>
      <c r="NQ35" s="33" t="n"/>
      <c r="NR35" s="33" t="n"/>
      <c r="NS35" s="33" t="n"/>
      <c r="NT35" s="33" t="n"/>
      <c r="NU35" s="33" t="n"/>
      <c r="NV35" s="33" t="n"/>
      <c r="NW35" s="33" t="n"/>
      <c r="NX35" s="33" t="n"/>
      <c r="NY35" s="33" t="n"/>
      <c r="NZ35" s="33" t="n"/>
      <c r="OA35" s="33" t="n"/>
      <c r="OB35" s="33" t="n"/>
      <c r="OC35" s="33" t="n"/>
      <c r="OD35" s="33" t="n"/>
      <c r="OE35" s="33" t="n"/>
      <c r="OF35" s="33" t="n"/>
      <c r="OG35" s="33" t="n"/>
      <c r="OH35" s="33" t="n"/>
      <c r="OI35" s="33" t="n"/>
      <c r="OJ35" s="33" t="n"/>
      <c r="OK35" s="33" t="n"/>
      <c r="OL35" s="33" t="n"/>
      <c r="OM35" s="33" t="n"/>
      <c r="ON35" s="33" t="n"/>
      <c r="OO35" s="33" t="n"/>
      <c r="OP35" s="33" t="n"/>
      <c r="OQ35" s="33" t="n"/>
      <c r="OR35" s="33" t="n"/>
      <c r="OS35" s="33" t="n"/>
      <c r="OT35" s="33" t="n"/>
      <c r="OU35" s="33" t="n"/>
      <c r="OV35" s="33" t="n"/>
      <c r="OW35" s="33" t="n"/>
      <c r="OX35" s="33" t="n"/>
      <c r="OY35" s="33" t="n"/>
      <c r="OZ35" s="33" t="n"/>
      <c r="PA35" s="33" t="n"/>
      <c r="PB35" s="33" t="n"/>
      <c r="PC35" s="33" t="n"/>
      <c r="PD35" s="33" t="n"/>
      <c r="PE35" s="33" t="n"/>
      <c r="PF35" s="33" t="n"/>
      <c r="PG35" s="33" t="n"/>
      <c r="PH35" s="33" t="n"/>
      <c r="PI35" s="33" t="n"/>
      <c r="PJ35" s="33" t="n"/>
      <c r="PK35" s="33" t="n"/>
      <c r="PL35" s="33" t="n"/>
      <c r="PM35" s="33" t="n"/>
      <c r="PN35" s="33" t="n"/>
      <c r="PO35" s="33" t="n"/>
      <c r="PP35" s="33" t="n"/>
      <c r="PQ35" s="33" t="n"/>
      <c r="PR35" s="33" t="n"/>
      <c r="PS35" s="33" t="n"/>
      <c r="PT35" s="33" t="n"/>
      <c r="PU35" s="33" t="n"/>
      <c r="PV35" s="33" t="n"/>
      <c r="PW35" s="33" t="n"/>
      <c r="PX35" s="33" t="n"/>
      <c r="PY35" s="33" t="n"/>
      <c r="PZ35" s="33" t="n"/>
      <c r="QA35" s="33" t="n"/>
      <c r="QB35" s="33" t="n"/>
      <c r="QC35" s="33" t="n"/>
      <c r="QD35" s="33" t="n"/>
      <c r="QE35" s="33" t="n"/>
      <c r="QF35" s="33" t="n"/>
      <c r="QG35" s="33" t="n"/>
      <c r="QH35" s="33" t="n"/>
      <c r="QI35" s="33" t="n"/>
      <c r="QJ35" s="33" t="n"/>
      <c r="QK35" s="33" t="n"/>
      <c r="QL35" s="33" t="n"/>
      <c r="QM35" s="33" t="n"/>
      <c r="QN35" s="33" t="n"/>
      <c r="QO35" s="33" t="n"/>
      <c r="QP35" s="33" t="n"/>
      <c r="QQ35" s="33" t="n"/>
      <c r="QR35" s="33" t="n"/>
      <c r="QS35" s="33" t="n"/>
      <c r="QT35" s="33" t="n"/>
      <c r="QU35" s="33" t="n"/>
      <c r="QV35" s="33" t="n"/>
      <c r="QW35" s="33" t="n"/>
      <c r="QX35" s="33" t="n"/>
      <c r="QY35" s="33" t="n"/>
      <c r="QZ35" s="33" t="n"/>
      <c r="RA35" s="33" t="n"/>
      <c r="RB35" s="33" t="n"/>
      <c r="RC35" s="33" t="n"/>
      <c r="RD35" s="33" t="n"/>
      <c r="RE35" s="33" t="n"/>
      <c r="RF35" s="33" t="n"/>
      <c r="RG35" s="33" t="n"/>
      <c r="RH35" s="33" t="n"/>
      <c r="RI35" s="33" t="n"/>
      <c r="RJ35" s="33" t="n"/>
      <c r="RK35" s="33" t="n"/>
      <c r="RL35" s="33" t="n"/>
      <c r="RM35" s="33" t="n"/>
      <c r="RN35" s="33" t="n"/>
      <c r="RO35" s="33" t="n"/>
      <c r="RP35" s="33" t="n"/>
      <c r="RQ35" s="33" t="n"/>
      <c r="RR35" s="33" t="n"/>
      <c r="RS35" s="33" t="n"/>
      <c r="RT35" s="33" t="n"/>
      <c r="RU35" s="33" t="n"/>
      <c r="RV35" s="33" t="n"/>
      <c r="RW35" s="33" t="n"/>
    </row>
    <row r="36" ht="13.05" customHeight="1">
      <c r="E36" s="25" t="inlineStr">
        <is>
          <t>Closing Balance</t>
        </is>
      </c>
      <c r="F36" s="26" t="n"/>
      <c r="G36" s="26" t="inlineStr">
        <is>
          <t>kEUR</t>
        </is>
      </c>
      <c r="H36" s="26" t="n"/>
      <c r="I36" s="26" t="n"/>
      <c r="J36" s="27" t="n"/>
      <c r="K36" s="26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  <c r="AP36" s="28" t="n"/>
      <c r="AQ36" s="28" t="n"/>
      <c r="AR36" s="28" t="n"/>
      <c r="AS36" s="28" t="n"/>
      <c r="AT36" s="28" t="n"/>
      <c r="AU36" s="28" t="n"/>
      <c r="AV36" s="28" t="n"/>
      <c r="AW36" s="28" t="n"/>
      <c r="AX36" s="28" t="n"/>
      <c r="AY36" s="28" t="n"/>
      <c r="AZ36" s="28" t="n"/>
      <c r="BA36" s="28" t="n"/>
      <c r="BB36" s="28" t="n"/>
      <c r="BC36" s="28" t="n"/>
      <c r="BD36" s="28" t="n"/>
      <c r="BE36" s="28" t="n"/>
      <c r="BF36" s="28" t="n"/>
      <c r="BG36" s="28" t="n"/>
      <c r="BH36" s="28" t="n"/>
      <c r="BI36" s="28" t="n"/>
      <c r="BJ36" s="28" t="n"/>
      <c r="BK36" s="28" t="n"/>
      <c r="BL36" s="28" t="n"/>
      <c r="BM36" s="28" t="n"/>
      <c r="BN36" s="28" t="n"/>
      <c r="BO36" s="28" t="n"/>
      <c r="BP36" s="28" t="n"/>
      <c r="BQ36" s="28" t="n"/>
      <c r="BR36" s="28" t="n"/>
      <c r="BS36" s="28" t="n"/>
      <c r="BT36" s="28" t="n"/>
      <c r="BU36" s="28" t="n"/>
      <c r="BV36" s="28" t="n"/>
      <c r="BW36" s="28" t="n"/>
      <c r="BX36" s="28" t="n"/>
      <c r="BY36" s="28" t="n"/>
      <c r="BZ36" s="28" t="n"/>
      <c r="CA36" s="28" t="n"/>
      <c r="CB36" s="28" t="n"/>
      <c r="CC36" s="28" t="n"/>
      <c r="CD36" s="28" t="n"/>
      <c r="CE36" s="28" t="n"/>
      <c r="CF36" s="28" t="n"/>
      <c r="CG36" s="28" t="n"/>
      <c r="CH36" s="28" t="n"/>
      <c r="CI36" s="28" t="n"/>
      <c r="CJ36" s="28" t="n"/>
      <c r="CK36" s="28" t="n"/>
      <c r="CL36" s="28" t="n"/>
      <c r="CM36" s="28" t="n"/>
      <c r="CN36" s="28" t="n"/>
      <c r="CO36" s="28" t="n"/>
      <c r="CP36" s="28" t="n"/>
      <c r="CQ36" s="28" t="n"/>
      <c r="CR36" s="28" t="n"/>
      <c r="CS36" s="28" t="n"/>
      <c r="CT36" s="28" t="n"/>
      <c r="CU36" s="28" t="n"/>
      <c r="CV36" s="28" t="n"/>
      <c r="CW36" s="28" t="n"/>
      <c r="CX36" s="28" t="n"/>
      <c r="CY36" s="28" t="n"/>
      <c r="CZ36" s="28" t="n"/>
      <c r="DA36" s="28" t="n"/>
      <c r="DB36" s="28" t="n"/>
      <c r="DC36" s="28" t="n"/>
      <c r="DD36" s="28" t="n"/>
      <c r="DE36" s="28" t="n"/>
      <c r="DF36" s="28" t="n"/>
      <c r="DG36" s="28" t="n"/>
      <c r="DH36" s="28" t="n"/>
      <c r="DI36" s="28" t="n"/>
      <c r="DJ36" s="28" t="n"/>
      <c r="DK36" s="28" t="n"/>
      <c r="DL36" s="28" t="n"/>
      <c r="DM36" s="28" t="n"/>
      <c r="DN36" s="28" t="n"/>
      <c r="DO36" s="28" t="n"/>
      <c r="DP36" s="28" t="n"/>
      <c r="DQ36" s="28" t="n"/>
      <c r="DR36" s="28" t="n"/>
      <c r="DS36" s="28" t="n"/>
      <c r="DT36" s="28" t="n"/>
      <c r="DU36" s="28" t="n"/>
      <c r="DV36" s="28" t="n"/>
      <c r="DW36" s="28" t="n"/>
      <c r="DX36" s="28" t="n"/>
      <c r="DY36" s="28" t="n"/>
      <c r="DZ36" s="28" t="n"/>
      <c r="EA36" s="28" t="n"/>
      <c r="EB36" s="28" t="n"/>
      <c r="EC36" s="28" t="n"/>
      <c r="ED36" s="28" t="n"/>
      <c r="EE36" s="28" t="n"/>
      <c r="EF36" s="28" t="n"/>
      <c r="EG36" s="28" t="n"/>
      <c r="EH36" s="28" t="n"/>
      <c r="EI36" s="28" t="n"/>
      <c r="EJ36" s="28" t="n"/>
      <c r="EK36" s="28" t="n"/>
      <c r="EL36" s="28" t="n"/>
      <c r="EM36" s="28" t="n"/>
      <c r="EN36" s="28" t="n"/>
      <c r="EO36" s="28" t="n"/>
      <c r="EP36" s="28" t="n"/>
      <c r="EQ36" s="28" t="n"/>
      <c r="ER36" s="28" t="n"/>
      <c r="ES36" s="28" t="n"/>
      <c r="ET36" s="28" t="n"/>
      <c r="EU36" s="28" t="n"/>
      <c r="EV36" s="28" t="n"/>
      <c r="EW36" s="28" t="n"/>
      <c r="EX36" s="28" t="n"/>
      <c r="EY36" s="28" t="n"/>
      <c r="EZ36" s="28" t="n"/>
      <c r="FA36" s="28" t="n"/>
      <c r="FB36" s="28" t="n"/>
      <c r="FC36" s="28" t="n"/>
      <c r="FD36" s="28" t="n"/>
      <c r="FE36" s="28" t="n"/>
      <c r="FF36" s="28" t="n"/>
      <c r="FG36" s="28" t="n"/>
      <c r="FH36" s="28" t="n"/>
      <c r="FI36" s="28" t="n"/>
      <c r="FJ36" s="28" t="n"/>
      <c r="FK36" s="28" t="n"/>
      <c r="FL36" s="28" t="n"/>
      <c r="FM36" s="28" t="n"/>
      <c r="FN36" s="28" t="n"/>
      <c r="FO36" s="28" t="n"/>
      <c r="FP36" s="28" t="n"/>
      <c r="FQ36" s="28" t="n"/>
      <c r="FR36" s="28" t="n"/>
      <c r="FS36" s="28" t="n"/>
      <c r="FT36" s="28" t="n"/>
      <c r="FU36" s="28" t="n"/>
      <c r="FV36" s="28" t="n"/>
      <c r="FW36" s="28" t="n"/>
      <c r="FX36" s="28" t="n"/>
      <c r="FY36" s="28" t="n"/>
      <c r="FZ36" s="28" t="n"/>
      <c r="GA36" s="28" t="n"/>
      <c r="GB36" s="28" t="n"/>
      <c r="GC36" s="28" t="n"/>
      <c r="GD36" s="28" t="n"/>
      <c r="GE36" s="28" t="n"/>
      <c r="GF36" s="28" t="n"/>
      <c r="GG36" s="28" t="n"/>
      <c r="GH36" s="28" t="n"/>
      <c r="GI36" s="28" t="n"/>
      <c r="GJ36" s="28" t="n"/>
      <c r="GK36" s="28" t="n"/>
      <c r="GL36" s="28" t="n"/>
      <c r="GM36" s="28" t="n"/>
      <c r="GN36" s="28" t="n"/>
      <c r="GO36" s="28" t="n"/>
      <c r="GP36" s="28" t="n"/>
      <c r="GQ36" s="28" t="n"/>
      <c r="GR36" s="28" t="n"/>
      <c r="GS36" s="28" t="n"/>
      <c r="GT36" s="28" t="n"/>
      <c r="GU36" s="28" t="n"/>
      <c r="GV36" s="28" t="n"/>
      <c r="GW36" s="28" t="n"/>
      <c r="GX36" s="28" t="n"/>
      <c r="GY36" s="28" t="n"/>
      <c r="GZ36" s="28" t="n"/>
      <c r="HA36" s="28" t="n"/>
      <c r="HB36" s="28" t="n"/>
      <c r="HC36" s="28" t="n"/>
      <c r="HD36" s="28" t="n"/>
      <c r="HE36" s="28" t="n"/>
      <c r="HF36" s="28" t="n"/>
      <c r="HG36" s="28" t="n"/>
      <c r="HH36" s="28" t="n"/>
      <c r="HI36" s="28" t="n"/>
      <c r="HJ36" s="28" t="n"/>
      <c r="HK36" s="28" t="n"/>
      <c r="HL36" s="28" t="n"/>
      <c r="HM36" s="28" t="n"/>
      <c r="HN36" s="28" t="n"/>
      <c r="HO36" s="28" t="n"/>
      <c r="HP36" s="28" t="n"/>
      <c r="HQ36" s="28" t="n"/>
      <c r="HR36" s="28" t="n"/>
      <c r="HS36" s="28" t="n"/>
      <c r="HT36" s="28" t="n"/>
      <c r="HU36" s="28" t="n"/>
      <c r="HV36" s="28" t="n"/>
      <c r="HW36" s="28" t="n"/>
      <c r="HX36" s="28" t="n"/>
      <c r="HY36" s="28" t="n"/>
      <c r="HZ36" s="28" t="n"/>
      <c r="IA36" s="28" t="n"/>
      <c r="IB36" s="28" t="n"/>
      <c r="IC36" s="28" t="n"/>
      <c r="ID36" s="28" t="n"/>
      <c r="IE36" s="28" t="n"/>
      <c r="IF36" s="28" t="n"/>
      <c r="IG36" s="28" t="n"/>
      <c r="IH36" s="28" t="n"/>
      <c r="II36" s="28" t="n"/>
      <c r="IJ36" s="28" t="n"/>
      <c r="IK36" s="28" t="n"/>
      <c r="IL36" s="28" t="n"/>
      <c r="IM36" s="28" t="n"/>
      <c r="IN36" s="28" t="n"/>
      <c r="IO36" s="28" t="n"/>
      <c r="IP36" s="28" t="n"/>
      <c r="IQ36" s="28" t="n"/>
      <c r="IR36" s="28" t="n"/>
      <c r="IS36" s="28" t="n"/>
      <c r="IT36" s="28" t="n"/>
      <c r="IU36" s="28" t="n"/>
      <c r="IV36" s="28" t="n"/>
      <c r="IW36" s="28" t="n"/>
      <c r="IX36" s="28" t="n"/>
      <c r="IY36" s="28" t="n"/>
      <c r="IZ36" s="28" t="n"/>
      <c r="JA36" s="28" t="n"/>
      <c r="JB36" s="28" t="n"/>
      <c r="JC36" s="28" t="n"/>
      <c r="JD36" s="28" t="n"/>
      <c r="JE36" s="28" t="n"/>
      <c r="JF36" s="28" t="n"/>
      <c r="JG36" s="28" t="n"/>
      <c r="JH36" s="28" t="n"/>
      <c r="JI36" s="28" t="n"/>
      <c r="JJ36" s="28" t="n"/>
      <c r="JK36" s="28" t="n"/>
      <c r="JL36" s="28" t="n"/>
      <c r="JM36" s="28" t="n"/>
      <c r="JN36" s="28" t="n"/>
      <c r="JO36" s="28" t="n"/>
      <c r="JP36" s="28" t="n"/>
      <c r="JQ36" s="28" t="n"/>
      <c r="JR36" s="28" t="n"/>
      <c r="JS36" s="28" t="n"/>
      <c r="JT36" s="28" t="n"/>
      <c r="JU36" s="28" t="n"/>
      <c r="JV36" s="28" t="n"/>
      <c r="JW36" s="28" t="n"/>
      <c r="JX36" s="28" t="n"/>
      <c r="JY36" s="28" t="n"/>
      <c r="JZ36" s="28" t="n"/>
      <c r="KA36" s="28" t="n"/>
      <c r="KB36" s="28" t="n"/>
      <c r="KC36" s="28" t="n"/>
      <c r="KD36" s="28" t="n"/>
      <c r="KE36" s="28" t="n"/>
      <c r="KF36" s="28" t="n"/>
      <c r="KG36" s="28" t="n"/>
      <c r="KH36" s="28" t="n"/>
      <c r="KI36" s="28" t="n"/>
      <c r="KJ36" s="28" t="n"/>
      <c r="KK36" s="28" t="n"/>
      <c r="KL36" s="28" t="n"/>
      <c r="KM36" s="28" t="n"/>
      <c r="KN36" s="28" t="n"/>
      <c r="KO36" s="28" t="n"/>
      <c r="KP36" s="28" t="n"/>
      <c r="KQ36" s="28" t="n"/>
      <c r="KR36" s="28" t="n"/>
      <c r="KS36" s="28" t="n"/>
      <c r="KT36" s="28" t="n"/>
      <c r="KU36" s="28" t="n"/>
      <c r="KV36" s="28" t="n"/>
      <c r="KW36" s="28" t="n"/>
      <c r="KX36" s="28" t="n"/>
      <c r="KY36" s="28" t="n"/>
      <c r="KZ36" s="28" t="n"/>
      <c r="LA36" s="28" t="n"/>
      <c r="LB36" s="28" t="n"/>
      <c r="LC36" s="28" t="n"/>
      <c r="LD36" s="28" t="n"/>
      <c r="LE36" s="28" t="n"/>
      <c r="LF36" s="28" t="n"/>
      <c r="LG36" s="28" t="n"/>
      <c r="LH36" s="28" t="n"/>
      <c r="LI36" s="28" t="n"/>
      <c r="LJ36" s="28" t="n"/>
      <c r="LK36" s="28" t="n"/>
      <c r="LL36" s="28" t="n"/>
      <c r="LM36" s="28" t="n"/>
      <c r="LN36" s="28" t="n"/>
      <c r="LO36" s="28" t="n"/>
      <c r="LP36" s="28" t="n"/>
      <c r="LQ36" s="28" t="n"/>
      <c r="LR36" s="28" t="n"/>
      <c r="LS36" s="28" t="n"/>
      <c r="LT36" s="28" t="n"/>
      <c r="LU36" s="28" t="n"/>
      <c r="LV36" s="28" t="n"/>
      <c r="LW36" s="28" t="n"/>
      <c r="LX36" s="28" t="n"/>
      <c r="LY36" s="28" t="n"/>
      <c r="LZ36" s="28" t="n"/>
      <c r="MA36" s="28" t="n"/>
      <c r="MB36" s="28" t="n"/>
      <c r="MC36" s="28" t="n"/>
      <c r="MD36" s="28" t="n"/>
      <c r="ME36" s="28" t="n"/>
      <c r="MF36" s="28" t="n"/>
      <c r="MG36" s="28" t="n"/>
      <c r="MH36" s="28" t="n"/>
      <c r="MI36" s="28" t="n"/>
      <c r="MJ36" s="28" t="n"/>
      <c r="MK36" s="28" t="n"/>
      <c r="ML36" s="28" t="n"/>
      <c r="MM36" s="28" t="n"/>
      <c r="MN36" s="28" t="n"/>
      <c r="MO36" s="28" t="n"/>
      <c r="MP36" s="28" t="n"/>
      <c r="MQ36" s="28" t="n"/>
      <c r="MR36" s="28" t="n"/>
      <c r="MS36" s="28" t="n"/>
      <c r="MT36" s="28" t="n"/>
      <c r="MU36" s="28" t="n"/>
      <c r="MV36" s="28" t="n"/>
      <c r="MW36" s="28" t="n"/>
      <c r="MX36" s="28" t="n"/>
      <c r="MY36" s="28" t="n"/>
      <c r="MZ36" s="28" t="n"/>
      <c r="NA36" s="28" t="n"/>
      <c r="NB36" s="28" t="n"/>
      <c r="NC36" s="28" t="n"/>
      <c r="ND36" s="28" t="n"/>
      <c r="NE36" s="28" t="n"/>
      <c r="NF36" s="28" t="n"/>
      <c r="NG36" s="28" t="n"/>
      <c r="NH36" s="28" t="n"/>
      <c r="NI36" s="28" t="n"/>
      <c r="NJ36" s="28" t="n"/>
      <c r="NK36" s="28" t="n"/>
      <c r="NL36" s="28" t="n"/>
      <c r="NM36" s="28" t="n"/>
      <c r="NN36" s="28" t="n"/>
      <c r="NO36" s="28" t="n"/>
      <c r="NP36" s="28" t="n"/>
      <c r="NQ36" s="28" t="n"/>
      <c r="NR36" s="28" t="n"/>
      <c r="NS36" s="28" t="n"/>
      <c r="NT36" s="28" t="n"/>
      <c r="NU36" s="28" t="n"/>
      <c r="NV36" s="28" t="n"/>
      <c r="NW36" s="28" t="n"/>
      <c r="NX36" s="28" t="n"/>
      <c r="NY36" s="28" t="n"/>
      <c r="NZ36" s="28" t="n"/>
      <c r="OA36" s="28" t="n"/>
      <c r="OB36" s="28" t="n"/>
      <c r="OC36" s="28" t="n"/>
      <c r="OD36" s="28" t="n"/>
      <c r="OE36" s="28" t="n"/>
      <c r="OF36" s="28" t="n"/>
      <c r="OG36" s="28" t="n"/>
      <c r="OH36" s="28" t="n"/>
      <c r="OI36" s="28" t="n"/>
      <c r="OJ36" s="28" t="n"/>
      <c r="OK36" s="28" t="n"/>
      <c r="OL36" s="28" t="n"/>
      <c r="OM36" s="28" t="n"/>
      <c r="ON36" s="28" t="n"/>
      <c r="OO36" s="28" t="n"/>
      <c r="OP36" s="28" t="n"/>
      <c r="OQ36" s="28" t="n"/>
      <c r="OR36" s="28" t="n"/>
      <c r="OS36" s="28" t="n"/>
      <c r="OT36" s="28" t="n"/>
      <c r="OU36" s="28" t="n"/>
      <c r="OV36" s="28" t="n"/>
      <c r="OW36" s="28" t="n"/>
      <c r="OX36" s="28" t="n"/>
      <c r="OY36" s="28" t="n"/>
      <c r="OZ36" s="28" t="n"/>
      <c r="PA36" s="28" t="n"/>
      <c r="PB36" s="28" t="n"/>
      <c r="PC36" s="28" t="n"/>
      <c r="PD36" s="28" t="n"/>
      <c r="PE36" s="28" t="n"/>
      <c r="PF36" s="28" t="n"/>
      <c r="PG36" s="28" t="n"/>
      <c r="PH36" s="28" t="n"/>
      <c r="PI36" s="28" t="n"/>
      <c r="PJ36" s="28" t="n"/>
      <c r="PK36" s="28" t="n"/>
      <c r="PL36" s="28" t="n"/>
      <c r="PM36" s="28" t="n"/>
      <c r="PN36" s="28" t="n"/>
      <c r="PO36" s="28" t="n"/>
      <c r="PP36" s="28" t="n"/>
      <c r="PQ36" s="28" t="n"/>
      <c r="PR36" s="28" t="n"/>
      <c r="PS36" s="28" t="n"/>
      <c r="PT36" s="28" t="n"/>
      <c r="PU36" s="28" t="n"/>
      <c r="PV36" s="28" t="n"/>
      <c r="PW36" s="28" t="n"/>
      <c r="PX36" s="28" t="n"/>
      <c r="PY36" s="28" t="n"/>
      <c r="PZ36" s="28" t="n"/>
      <c r="QA36" s="28" t="n"/>
      <c r="QB36" s="28" t="n"/>
      <c r="QC36" s="28" t="n"/>
      <c r="QD36" s="28" t="n"/>
      <c r="QE36" s="28" t="n"/>
      <c r="QF36" s="28" t="n"/>
      <c r="QG36" s="28" t="n"/>
      <c r="QH36" s="28" t="n"/>
      <c r="QI36" s="28" t="n"/>
      <c r="QJ36" s="28" t="n"/>
      <c r="QK36" s="28" t="n"/>
      <c r="QL36" s="28" t="n"/>
      <c r="QM36" s="28" t="n"/>
      <c r="QN36" s="28" t="n"/>
      <c r="QO36" s="28" t="n"/>
      <c r="QP36" s="28" t="n"/>
      <c r="QQ36" s="28" t="n"/>
      <c r="QR36" s="28" t="n"/>
      <c r="QS36" s="28" t="n"/>
      <c r="QT36" s="28" t="n"/>
      <c r="QU36" s="28" t="n"/>
      <c r="QV36" s="28" t="n"/>
      <c r="QW36" s="28" t="n"/>
      <c r="QX36" s="28" t="n"/>
      <c r="QY36" s="28" t="n"/>
      <c r="QZ36" s="28" t="n"/>
      <c r="RA36" s="28" t="n"/>
      <c r="RB36" s="28" t="n"/>
      <c r="RC36" s="28" t="n"/>
      <c r="RD36" s="28" t="n"/>
      <c r="RE36" s="28" t="n"/>
      <c r="RF36" s="28" t="n"/>
      <c r="RG36" s="28" t="n"/>
      <c r="RH36" s="28" t="n"/>
      <c r="RI36" s="28" t="n"/>
      <c r="RJ36" s="28" t="n"/>
      <c r="RK36" s="28" t="n"/>
      <c r="RL36" s="28" t="n"/>
      <c r="RM36" s="28" t="n"/>
      <c r="RN36" s="28" t="n"/>
      <c r="RO36" s="28" t="n"/>
      <c r="RP36" s="28" t="n"/>
      <c r="RQ36" s="28" t="n"/>
      <c r="RR36" s="28" t="n"/>
      <c r="RS36" s="28" t="n"/>
      <c r="RT36" s="28" t="n"/>
      <c r="RU36" s="28" t="n"/>
      <c r="RV36" s="28" t="n"/>
      <c r="RW36" s="28" t="n"/>
    </row>
    <row r="37" ht="5.25" customHeight="1"/>
    <row r="38" ht="13.05" customHeight="1">
      <c r="E38" s="39" t="inlineStr">
        <is>
          <t>VAT Facility</t>
        </is>
      </c>
      <c r="F38" s="39" t="n"/>
      <c r="G38" s="39" t="n"/>
    </row>
    <row r="39" ht="13.05" customHeight="1">
      <c r="E39" s="21" t="inlineStr">
        <is>
          <t>VAT Paid</t>
        </is>
      </c>
      <c r="F39" s="29" t="n"/>
      <c r="G39" s="29" t="inlineStr">
        <is>
          <t>kEUR</t>
        </is>
      </c>
      <c r="H39" s="29" t="n"/>
      <c r="I39" s="29" t="n"/>
      <c r="J39" s="32" t="n"/>
      <c r="K39" s="29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3" t="n"/>
      <c r="AY39" s="33" t="n"/>
      <c r="AZ39" s="33" t="n"/>
      <c r="BA39" s="33" t="n"/>
      <c r="BB39" s="33" t="n"/>
      <c r="BC39" s="33" t="n"/>
      <c r="BD39" s="33" t="n"/>
      <c r="BE39" s="33" t="n"/>
      <c r="BF39" s="33" t="n"/>
      <c r="BG39" s="33" t="n"/>
      <c r="BH39" s="33" t="n"/>
      <c r="BI39" s="33" t="n"/>
      <c r="BJ39" s="33" t="n"/>
      <c r="BK39" s="33" t="n"/>
      <c r="BL39" s="33" t="n"/>
      <c r="BM39" s="33" t="n"/>
      <c r="BN39" s="33" t="n"/>
      <c r="BO39" s="33" t="n"/>
      <c r="BP39" s="33" t="n"/>
      <c r="BQ39" s="33" t="n"/>
      <c r="BR39" s="33" t="n"/>
      <c r="BS39" s="33" t="n"/>
      <c r="BT39" s="33" t="n"/>
      <c r="BU39" s="33" t="n"/>
      <c r="BV39" s="33" t="n"/>
      <c r="BW39" s="33" t="n"/>
      <c r="BX39" s="33" t="n"/>
      <c r="BY39" s="33" t="n"/>
      <c r="BZ39" s="33" t="n"/>
      <c r="CA39" s="33" t="n"/>
      <c r="CB39" s="33" t="n"/>
      <c r="CC39" s="33" t="n"/>
      <c r="CD39" s="33" t="n"/>
      <c r="CE39" s="33" t="n"/>
      <c r="CF39" s="33" t="n"/>
      <c r="CG39" s="33" t="n"/>
      <c r="CH39" s="33" t="n"/>
      <c r="CI39" s="33" t="n"/>
      <c r="CJ39" s="33" t="n"/>
      <c r="CK39" s="33" t="n"/>
      <c r="CL39" s="33" t="n"/>
      <c r="CM39" s="33" t="n"/>
      <c r="CN39" s="33" t="n"/>
      <c r="CO39" s="33" t="n"/>
      <c r="CP39" s="33" t="n"/>
      <c r="CQ39" s="33" t="n"/>
      <c r="CR39" s="33" t="n"/>
      <c r="CS39" s="33" t="n"/>
      <c r="CT39" s="33" t="n"/>
      <c r="CU39" s="33" t="n"/>
      <c r="CV39" s="33" t="n"/>
      <c r="CW39" s="33" t="n"/>
      <c r="CX39" s="33" t="n"/>
      <c r="CY39" s="33" t="n"/>
      <c r="CZ39" s="33" t="n"/>
      <c r="DA39" s="33" t="n"/>
      <c r="DB39" s="33" t="n"/>
      <c r="DC39" s="33" t="n"/>
      <c r="DD39" s="33" t="n"/>
      <c r="DE39" s="33" t="n"/>
      <c r="DF39" s="33" t="n"/>
      <c r="DG39" s="33" t="n"/>
      <c r="DH39" s="33" t="n"/>
      <c r="DI39" s="33" t="n"/>
      <c r="DJ39" s="33" t="n"/>
      <c r="DK39" s="33" t="n"/>
      <c r="DL39" s="33" t="n"/>
      <c r="DM39" s="33" t="n"/>
      <c r="DN39" s="33" t="n"/>
      <c r="DO39" s="33" t="n"/>
      <c r="DP39" s="33" t="n"/>
      <c r="DQ39" s="33" t="n"/>
      <c r="DR39" s="33" t="n"/>
      <c r="DS39" s="33" t="n"/>
      <c r="DT39" s="33" t="n"/>
      <c r="DU39" s="33" t="n"/>
      <c r="DV39" s="33" t="n"/>
      <c r="DW39" s="33" t="n"/>
      <c r="DX39" s="33" t="n"/>
      <c r="DY39" s="33" t="n"/>
      <c r="DZ39" s="33" t="n"/>
      <c r="EA39" s="33" t="n"/>
      <c r="EB39" s="33" t="n"/>
      <c r="EC39" s="33" t="n"/>
      <c r="ED39" s="33" t="n"/>
      <c r="EE39" s="33" t="n"/>
      <c r="EF39" s="33" t="n"/>
      <c r="EG39" s="33" t="n"/>
      <c r="EH39" s="33" t="n"/>
      <c r="EI39" s="33" t="n"/>
      <c r="EJ39" s="33" t="n"/>
      <c r="EK39" s="33" t="n"/>
      <c r="EL39" s="33" t="n"/>
      <c r="EM39" s="33" t="n"/>
      <c r="EN39" s="33" t="n"/>
      <c r="EO39" s="33" t="n"/>
      <c r="EP39" s="33" t="n"/>
      <c r="EQ39" s="33" t="n"/>
      <c r="ER39" s="33" t="n"/>
      <c r="ES39" s="33" t="n"/>
      <c r="ET39" s="33" t="n"/>
      <c r="EU39" s="33" t="n"/>
      <c r="EV39" s="33" t="n"/>
      <c r="EW39" s="33" t="n"/>
      <c r="EX39" s="33" t="n"/>
      <c r="EY39" s="33" t="n"/>
      <c r="EZ39" s="33" t="n"/>
      <c r="FA39" s="33" t="n"/>
      <c r="FB39" s="33" t="n"/>
      <c r="FC39" s="33" t="n"/>
      <c r="FD39" s="33" t="n"/>
      <c r="FE39" s="33" t="n"/>
      <c r="FF39" s="33" t="n"/>
      <c r="FG39" s="33" t="n"/>
      <c r="FH39" s="33" t="n"/>
      <c r="FI39" s="33" t="n"/>
      <c r="FJ39" s="33" t="n"/>
      <c r="FK39" s="33" t="n"/>
      <c r="FL39" s="33" t="n"/>
      <c r="FM39" s="33" t="n"/>
      <c r="FN39" s="33" t="n"/>
      <c r="FO39" s="33" t="n"/>
      <c r="FP39" s="33" t="n"/>
      <c r="FQ39" s="33" t="n"/>
      <c r="FR39" s="33" t="n"/>
      <c r="FS39" s="33" t="n"/>
      <c r="FT39" s="33" t="n"/>
      <c r="FU39" s="33" t="n"/>
      <c r="FV39" s="33" t="n"/>
      <c r="FW39" s="33" t="n"/>
      <c r="FX39" s="33" t="n"/>
      <c r="FY39" s="33" t="n"/>
      <c r="FZ39" s="33" t="n"/>
      <c r="GA39" s="33" t="n"/>
      <c r="GB39" s="33" t="n"/>
      <c r="GC39" s="33" t="n"/>
      <c r="GD39" s="33" t="n"/>
      <c r="GE39" s="33" t="n"/>
      <c r="GF39" s="33" t="n"/>
      <c r="GG39" s="33" t="n"/>
      <c r="GH39" s="33" t="n"/>
      <c r="GI39" s="33" t="n"/>
      <c r="GJ39" s="33" t="n"/>
      <c r="GK39" s="33" t="n"/>
      <c r="GL39" s="33" t="n"/>
      <c r="GM39" s="33" t="n"/>
      <c r="GN39" s="33" t="n"/>
      <c r="GO39" s="33" t="n"/>
      <c r="GP39" s="33" t="n"/>
      <c r="GQ39" s="33" t="n"/>
      <c r="GR39" s="33" t="n"/>
      <c r="GS39" s="33" t="n"/>
      <c r="GT39" s="33" t="n"/>
      <c r="GU39" s="33" t="n"/>
      <c r="GV39" s="33" t="n"/>
      <c r="GW39" s="33" t="n"/>
      <c r="GX39" s="33" t="n"/>
      <c r="GY39" s="33" t="n"/>
      <c r="GZ39" s="33" t="n"/>
      <c r="HA39" s="33" t="n"/>
      <c r="HB39" s="33" t="n"/>
      <c r="HC39" s="33" t="n"/>
      <c r="HD39" s="33" t="n"/>
      <c r="HE39" s="33" t="n"/>
      <c r="HF39" s="33" t="n"/>
      <c r="HG39" s="33" t="n"/>
      <c r="HH39" s="33" t="n"/>
      <c r="HI39" s="33" t="n"/>
      <c r="HJ39" s="33" t="n"/>
      <c r="HK39" s="33" t="n"/>
      <c r="HL39" s="33" t="n"/>
      <c r="HM39" s="33" t="n"/>
      <c r="HN39" s="33" t="n"/>
      <c r="HO39" s="33" t="n"/>
      <c r="HP39" s="33" t="n"/>
      <c r="HQ39" s="33" t="n"/>
      <c r="HR39" s="33" t="n"/>
      <c r="HS39" s="33" t="n"/>
      <c r="HT39" s="33" t="n"/>
      <c r="HU39" s="33" t="n"/>
      <c r="HV39" s="33" t="n"/>
      <c r="HW39" s="33" t="n"/>
      <c r="HX39" s="33" t="n"/>
      <c r="HY39" s="33" t="n"/>
      <c r="HZ39" s="33" t="n"/>
      <c r="IA39" s="33" t="n"/>
      <c r="IB39" s="33" t="n"/>
      <c r="IC39" s="33" t="n"/>
      <c r="ID39" s="33" t="n"/>
      <c r="IE39" s="33" t="n"/>
      <c r="IF39" s="33" t="n"/>
      <c r="IG39" s="33" t="n"/>
      <c r="IH39" s="33" t="n"/>
      <c r="II39" s="33" t="n"/>
      <c r="IJ39" s="33" t="n"/>
      <c r="IK39" s="33" t="n"/>
      <c r="IL39" s="33" t="n"/>
      <c r="IM39" s="33" t="n"/>
      <c r="IN39" s="33" t="n"/>
      <c r="IO39" s="33" t="n"/>
      <c r="IP39" s="33" t="n"/>
      <c r="IQ39" s="33" t="n"/>
      <c r="IR39" s="33" t="n"/>
      <c r="IS39" s="33" t="n"/>
      <c r="IT39" s="33" t="n"/>
      <c r="IU39" s="33" t="n"/>
      <c r="IV39" s="33" t="n"/>
      <c r="IW39" s="33" t="n"/>
      <c r="IX39" s="33" t="n"/>
      <c r="IY39" s="33" t="n"/>
      <c r="IZ39" s="33" t="n"/>
      <c r="JA39" s="33" t="n"/>
      <c r="JB39" s="33" t="n"/>
      <c r="JC39" s="33" t="n"/>
      <c r="JD39" s="33" t="n"/>
      <c r="JE39" s="33" t="n"/>
      <c r="JF39" s="33" t="n"/>
      <c r="JG39" s="33" t="n"/>
      <c r="JH39" s="33" t="n"/>
      <c r="JI39" s="33" t="n"/>
      <c r="JJ39" s="33" t="n"/>
      <c r="JK39" s="33" t="n"/>
      <c r="JL39" s="33" t="n"/>
      <c r="JM39" s="33" t="n"/>
      <c r="JN39" s="33" t="n"/>
      <c r="JO39" s="33" t="n"/>
      <c r="JP39" s="33" t="n"/>
      <c r="JQ39" s="33" t="n"/>
      <c r="JR39" s="33" t="n"/>
      <c r="JS39" s="33" t="n"/>
      <c r="JT39" s="33" t="n"/>
      <c r="JU39" s="33" t="n"/>
      <c r="JV39" s="33" t="n"/>
      <c r="JW39" s="33" t="n"/>
      <c r="JX39" s="33" t="n"/>
      <c r="JY39" s="33" t="n"/>
      <c r="JZ39" s="33" t="n"/>
      <c r="KA39" s="33" t="n"/>
      <c r="KB39" s="33" t="n"/>
      <c r="KC39" s="33" t="n"/>
      <c r="KD39" s="33" t="n"/>
      <c r="KE39" s="33" t="n"/>
      <c r="KF39" s="33" t="n"/>
      <c r="KG39" s="33" t="n"/>
      <c r="KH39" s="33" t="n"/>
      <c r="KI39" s="33" t="n"/>
      <c r="KJ39" s="33" t="n"/>
      <c r="KK39" s="33" t="n"/>
      <c r="KL39" s="33" t="n"/>
      <c r="KM39" s="33" t="n"/>
      <c r="KN39" s="33" t="n"/>
      <c r="KO39" s="33" t="n"/>
      <c r="KP39" s="33" t="n"/>
      <c r="KQ39" s="33" t="n"/>
      <c r="KR39" s="33" t="n"/>
      <c r="KS39" s="33" t="n"/>
      <c r="KT39" s="33" t="n"/>
      <c r="KU39" s="33" t="n"/>
      <c r="KV39" s="33" t="n"/>
      <c r="KW39" s="33" t="n"/>
      <c r="KX39" s="33" t="n"/>
      <c r="KY39" s="33" t="n"/>
      <c r="KZ39" s="33" t="n"/>
      <c r="LA39" s="33" t="n"/>
      <c r="LB39" s="33" t="n"/>
      <c r="LC39" s="33" t="n"/>
      <c r="LD39" s="33" t="n"/>
      <c r="LE39" s="33" t="n"/>
      <c r="LF39" s="33" t="n"/>
      <c r="LG39" s="33" t="n"/>
      <c r="LH39" s="33" t="n"/>
      <c r="LI39" s="33" t="n"/>
      <c r="LJ39" s="33" t="n"/>
      <c r="LK39" s="33" t="n"/>
      <c r="LL39" s="33" t="n"/>
      <c r="LM39" s="33" t="n"/>
      <c r="LN39" s="33" t="n"/>
      <c r="LO39" s="33" t="n"/>
      <c r="LP39" s="33" t="n"/>
      <c r="LQ39" s="33" t="n"/>
      <c r="LR39" s="33" t="n"/>
      <c r="LS39" s="33" t="n"/>
      <c r="LT39" s="33" t="n"/>
      <c r="LU39" s="33" t="n"/>
      <c r="LV39" s="33" t="n"/>
      <c r="LW39" s="33" t="n"/>
      <c r="LX39" s="33" t="n"/>
      <c r="LY39" s="33" t="n"/>
      <c r="LZ39" s="33" t="n"/>
      <c r="MA39" s="33" t="n"/>
      <c r="MB39" s="33" t="n"/>
      <c r="MC39" s="33" t="n"/>
      <c r="MD39" s="33" t="n"/>
      <c r="ME39" s="33" t="n"/>
      <c r="MF39" s="33" t="n"/>
      <c r="MG39" s="33" t="n"/>
      <c r="MH39" s="33" t="n"/>
      <c r="MI39" s="33" t="n"/>
      <c r="MJ39" s="33" t="n"/>
      <c r="MK39" s="33" t="n"/>
      <c r="ML39" s="33" t="n"/>
      <c r="MM39" s="33" t="n"/>
      <c r="MN39" s="33" t="n"/>
      <c r="MO39" s="33" t="n"/>
      <c r="MP39" s="33" t="n"/>
      <c r="MQ39" s="33" t="n"/>
      <c r="MR39" s="33" t="n"/>
      <c r="MS39" s="33" t="n"/>
      <c r="MT39" s="33" t="n"/>
      <c r="MU39" s="33" t="n"/>
      <c r="MV39" s="33" t="n"/>
      <c r="MW39" s="33" t="n"/>
      <c r="MX39" s="33" t="n"/>
      <c r="MY39" s="33" t="n"/>
      <c r="MZ39" s="33" t="n"/>
      <c r="NA39" s="33" t="n"/>
      <c r="NB39" s="33" t="n"/>
      <c r="NC39" s="33" t="n"/>
      <c r="ND39" s="33" t="n"/>
      <c r="NE39" s="33" t="n"/>
      <c r="NF39" s="33" t="n"/>
      <c r="NG39" s="33" t="n"/>
      <c r="NH39" s="33" t="n"/>
      <c r="NI39" s="33" t="n"/>
      <c r="NJ39" s="33" t="n"/>
      <c r="NK39" s="33" t="n"/>
      <c r="NL39" s="33" t="n"/>
      <c r="NM39" s="33" t="n"/>
      <c r="NN39" s="33" t="n"/>
      <c r="NO39" s="33" t="n"/>
      <c r="NP39" s="33" t="n"/>
      <c r="NQ39" s="33" t="n"/>
      <c r="NR39" s="33" t="n"/>
      <c r="NS39" s="33" t="n"/>
      <c r="NT39" s="33" t="n"/>
      <c r="NU39" s="33" t="n"/>
      <c r="NV39" s="33" t="n"/>
      <c r="NW39" s="33" t="n"/>
      <c r="NX39" s="33" t="n"/>
      <c r="NY39" s="33" t="n"/>
      <c r="NZ39" s="33" t="n"/>
      <c r="OA39" s="33" t="n"/>
      <c r="OB39" s="33" t="n"/>
      <c r="OC39" s="33" t="n"/>
      <c r="OD39" s="33" t="n"/>
      <c r="OE39" s="33" t="n"/>
      <c r="OF39" s="33" t="n"/>
      <c r="OG39" s="33" t="n"/>
      <c r="OH39" s="33" t="n"/>
      <c r="OI39" s="33" t="n"/>
      <c r="OJ39" s="33" t="n"/>
      <c r="OK39" s="33" t="n"/>
      <c r="OL39" s="33" t="n"/>
      <c r="OM39" s="33" t="n"/>
      <c r="ON39" s="33" t="n"/>
      <c r="OO39" s="33" t="n"/>
      <c r="OP39" s="33" t="n"/>
      <c r="OQ39" s="33" t="n"/>
      <c r="OR39" s="33" t="n"/>
      <c r="OS39" s="33" t="n"/>
      <c r="OT39" s="33" t="n"/>
      <c r="OU39" s="33" t="n"/>
      <c r="OV39" s="33" t="n"/>
      <c r="OW39" s="33" t="n"/>
      <c r="OX39" s="33" t="n"/>
      <c r="OY39" s="33" t="n"/>
      <c r="OZ39" s="33" t="n"/>
      <c r="PA39" s="33" t="n"/>
      <c r="PB39" s="33" t="n"/>
      <c r="PC39" s="33" t="n"/>
      <c r="PD39" s="33" t="n"/>
      <c r="PE39" s="33" t="n"/>
      <c r="PF39" s="33" t="n"/>
      <c r="PG39" s="33" t="n"/>
      <c r="PH39" s="33" t="n"/>
      <c r="PI39" s="33" t="n"/>
      <c r="PJ39" s="33" t="n"/>
      <c r="PK39" s="33" t="n"/>
      <c r="PL39" s="33" t="n"/>
      <c r="PM39" s="33" t="n"/>
      <c r="PN39" s="33" t="n"/>
      <c r="PO39" s="33" t="n"/>
      <c r="PP39" s="33" t="n"/>
      <c r="PQ39" s="33" t="n"/>
      <c r="PR39" s="33" t="n"/>
      <c r="PS39" s="33" t="n"/>
      <c r="PT39" s="33" t="n"/>
      <c r="PU39" s="33" t="n"/>
      <c r="PV39" s="33" t="n"/>
      <c r="PW39" s="33" t="n"/>
      <c r="PX39" s="33" t="n"/>
      <c r="PY39" s="33" t="n"/>
      <c r="PZ39" s="33" t="n"/>
      <c r="QA39" s="33" t="n"/>
      <c r="QB39" s="33" t="n"/>
      <c r="QC39" s="33" t="n"/>
      <c r="QD39" s="33" t="n"/>
      <c r="QE39" s="33" t="n"/>
      <c r="QF39" s="33" t="n"/>
      <c r="QG39" s="33" t="n"/>
      <c r="QH39" s="33" t="n"/>
      <c r="QI39" s="33" t="n"/>
      <c r="QJ39" s="33" t="n"/>
      <c r="QK39" s="33" t="n"/>
      <c r="QL39" s="33" t="n"/>
      <c r="QM39" s="33" t="n"/>
      <c r="QN39" s="33" t="n"/>
      <c r="QO39" s="33" t="n"/>
      <c r="QP39" s="33" t="n"/>
      <c r="QQ39" s="33" t="n"/>
      <c r="QR39" s="33" t="n"/>
      <c r="QS39" s="33" t="n"/>
      <c r="QT39" s="33" t="n"/>
      <c r="QU39" s="33" t="n"/>
      <c r="QV39" s="33" t="n"/>
      <c r="QW39" s="33" t="n"/>
      <c r="QX39" s="33" t="n"/>
      <c r="QY39" s="33" t="n"/>
      <c r="QZ39" s="33" t="n"/>
      <c r="RA39" s="33" t="n"/>
      <c r="RB39" s="33" t="n"/>
      <c r="RC39" s="33" t="n"/>
      <c r="RD39" s="33" t="n"/>
      <c r="RE39" s="33" t="n"/>
      <c r="RF39" s="33" t="n"/>
      <c r="RG39" s="33" t="n"/>
      <c r="RH39" s="33" t="n"/>
      <c r="RI39" s="33" t="n"/>
      <c r="RJ39" s="33" t="n"/>
      <c r="RK39" s="33" t="n"/>
      <c r="RL39" s="33" t="n"/>
      <c r="RM39" s="33" t="n"/>
      <c r="RN39" s="33" t="n"/>
      <c r="RO39" s="33" t="n"/>
      <c r="RP39" s="33" t="n"/>
      <c r="RQ39" s="33" t="n"/>
      <c r="RR39" s="33" t="n"/>
      <c r="RS39" s="33" t="n"/>
      <c r="RT39" s="33" t="n"/>
      <c r="RU39" s="33" t="n"/>
      <c r="RV39" s="33" t="n"/>
      <c r="RW39" s="33" t="n"/>
    </row>
    <row r="40" hidden="1" outlineLevel="1" ht="13.05" customHeight="1">
      <c r="E40" s="21" t="inlineStr">
        <is>
          <t>VAT Refund</t>
        </is>
      </c>
      <c r="F40" s="29" t="n"/>
      <c r="G40" s="29" t="inlineStr">
        <is>
          <t>kEUR</t>
        </is>
      </c>
      <c r="H40" s="29" t="n"/>
      <c r="I40" s="29" t="n"/>
      <c r="J40" s="32" t="n"/>
      <c r="K40" s="29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3" t="n"/>
      <c r="AY40" s="33" t="n"/>
      <c r="AZ40" s="33" t="n"/>
      <c r="BA40" s="33" t="n"/>
      <c r="BB40" s="33" t="n"/>
      <c r="BC40" s="33" t="n"/>
      <c r="BD40" s="33" t="n"/>
      <c r="BE40" s="33" t="n"/>
      <c r="BF40" s="33" t="n"/>
      <c r="BG40" s="33" t="n"/>
      <c r="BH40" s="33" t="n"/>
      <c r="BI40" s="33" t="n"/>
      <c r="BJ40" s="33" t="n"/>
      <c r="BK40" s="33" t="n"/>
      <c r="BL40" s="33" t="n"/>
      <c r="BM40" s="33" t="n"/>
      <c r="BN40" s="33" t="n"/>
      <c r="BO40" s="33" t="n"/>
      <c r="BP40" s="33" t="n"/>
      <c r="BQ40" s="33" t="n"/>
      <c r="BR40" s="33" t="n"/>
      <c r="BS40" s="33" t="n"/>
      <c r="BT40" s="33" t="n"/>
      <c r="BU40" s="33" t="n"/>
      <c r="BV40" s="33" t="n"/>
      <c r="BW40" s="33" t="n"/>
      <c r="BX40" s="33" t="n"/>
      <c r="BY40" s="33" t="n"/>
      <c r="BZ40" s="33" t="n"/>
      <c r="CA40" s="33" t="n"/>
      <c r="CB40" s="33" t="n"/>
      <c r="CC40" s="33" t="n"/>
      <c r="CD40" s="33" t="n"/>
      <c r="CE40" s="33" t="n"/>
      <c r="CF40" s="33" t="n"/>
      <c r="CG40" s="33" t="n"/>
      <c r="CH40" s="33" t="n"/>
      <c r="CI40" s="33" t="n"/>
      <c r="CJ40" s="33" t="n"/>
      <c r="CK40" s="33" t="n"/>
      <c r="CL40" s="33" t="n"/>
      <c r="CM40" s="33" t="n"/>
      <c r="CN40" s="33" t="n"/>
      <c r="CO40" s="33" t="n"/>
      <c r="CP40" s="33" t="n"/>
      <c r="CQ40" s="33" t="n"/>
      <c r="CR40" s="33" t="n"/>
      <c r="CS40" s="33" t="n"/>
      <c r="CT40" s="33" t="n"/>
      <c r="CU40" s="33" t="n"/>
      <c r="CV40" s="33" t="n"/>
      <c r="CW40" s="33" t="n"/>
      <c r="CX40" s="33" t="n"/>
      <c r="CY40" s="33" t="n"/>
      <c r="CZ40" s="33" t="n"/>
      <c r="DA40" s="33" t="n"/>
      <c r="DB40" s="33" t="n"/>
      <c r="DC40" s="33" t="n"/>
      <c r="DD40" s="33" t="n"/>
      <c r="DE40" s="33" t="n"/>
      <c r="DF40" s="33" t="n"/>
      <c r="DG40" s="33" t="n"/>
      <c r="DH40" s="33" t="n"/>
      <c r="DI40" s="33" t="n"/>
      <c r="DJ40" s="33" t="n"/>
      <c r="DK40" s="33" t="n"/>
      <c r="DL40" s="33" t="n"/>
      <c r="DM40" s="33" t="n"/>
      <c r="DN40" s="33" t="n"/>
      <c r="DO40" s="33" t="n"/>
      <c r="DP40" s="33" t="n"/>
      <c r="DQ40" s="33" t="n"/>
      <c r="DR40" s="33" t="n"/>
      <c r="DS40" s="33" t="n"/>
      <c r="DT40" s="33" t="n"/>
      <c r="DU40" s="33" t="n"/>
      <c r="DV40" s="33" t="n"/>
      <c r="DW40" s="33" t="n"/>
      <c r="DX40" s="33" t="n"/>
      <c r="DY40" s="33" t="n"/>
      <c r="DZ40" s="33" t="n"/>
      <c r="EA40" s="33" t="n"/>
      <c r="EB40" s="33" t="n"/>
      <c r="EC40" s="33" t="n"/>
      <c r="ED40" s="33" t="n"/>
      <c r="EE40" s="33" t="n"/>
      <c r="EF40" s="33" t="n"/>
      <c r="EG40" s="33" t="n"/>
      <c r="EH40" s="33" t="n"/>
      <c r="EI40" s="33" t="n"/>
      <c r="EJ40" s="33" t="n"/>
      <c r="EK40" s="33" t="n"/>
      <c r="EL40" s="33" t="n"/>
      <c r="EM40" s="33" t="n"/>
      <c r="EN40" s="33" t="n"/>
      <c r="EO40" s="33" t="n"/>
      <c r="EP40" s="33" t="n"/>
      <c r="EQ40" s="33" t="n"/>
      <c r="ER40" s="33" t="n"/>
      <c r="ES40" s="33" t="n"/>
      <c r="ET40" s="33" t="n"/>
      <c r="EU40" s="33" t="n"/>
      <c r="EV40" s="33" t="n"/>
      <c r="EW40" s="33" t="n"/>
      <c r="EX40" s="33" t="n"/>
      <c r="EY40" s="33" t="n"/>
      <c r="EZ40" s="33" t="n"/>
      <c r="FA40" s="33" t="n"/>
      <c r="FB40" s="33" t="n"/>
      <c r="FC40" s="33" t="n"/>
      <c r="FD40" s="33" t="n"/>
      <c r="FE40" s="33" t="n"/>
      <c r="FF40" s="33" t="n"/>
      <c r="FG40" s="33" t="n"/>
      <c r="FH40" s="33" t="n"/>
      <c r="FI40" s="33" t="n"/>
      <c r="FJ40" s="33" t="n"/>
      <c r="FK40" s="33" t="n"/>
      <c r="FL40" s="33" t="n"/>
      <c r="FM40" s="33" t="n"/>
      <c r="FN40" s="33" t="n"/>
      <c r="FO40" s="33" t="n"/>
      <c r="FP40" s="33" t="n"/>
      <c r="FQ40" s="33" t="n"/>
      <c r="FR40" s="33" t="n"/>
      <c r="FS40" s="33" t="n"/>
      <c r="FT40" s="33" t="n"/>
      <c r="FU40" s="33" t="n"/>
      <c r="FV40" s="33" t="n"/>
      <c r="FW40" s="33" t="n"/>
      <c r="FX40" s="33" t="n"/>
      <c r="FY40" s="33" t="n"/>
      <c r="FZ40" s="33" t="n"/>
      <c r="GA40" s="33" t="n"/>
      <c r="GB40" s="33" t="n"/>
      <c r="GC40" s="33" t="n"/>
      <c r="GD40" s="33" t="n"/>
      <c r="GE40" s="33" t="n"/>
      <c r="GF40" s="33" t="n"/>
      <c r="GG40" s="33" t="n"/>
      <c r="GH40" s="33" t="n"/>
      <c r="GI40" s="33" t="n"/>
      <c r="GJ40" s="33" t="n"/>
      <c r="GK40" s="33" t="n"/>
      <c r="GL40" s="33" t="n"/>
      <c r="GM40" s="33" t="n"/>
      <c r="GN40" s="33" t="n"/>
      <c r="GO40" s="33" t="n"/>
      <c r="GP40" s="33" t="n"/>
      <c r="GQ40" s="33" t="n"/>
      <c r="GR40" s="33" t="n"/>
      <c r="GS40" s="33" t="n"/>
      <c r="GT40" s="33" t="n"/>
      <c r="GU40" s="33" t="n"/>
      <c r="GV40" s="33" t="n"/>
      <c r="GW40" s="33" t="n"/>
      <c r="GX40" s="33" t="n"/>
      <c r="GY40" s="33" t="n"/>
      <c r="GZ40" s="33" t="n"/>
      <c r="HA40" s="33" t="n"/>
      <c r="HB40" s="33" t="n"/>
      <c r="HC40" s="33" t="n"/>
      <c r="HD40" s="33" t="n"/>
      <c r="HE40" s="33" t="n"/>
      <c r="HF40" s="33" t="n"/>
      <c r="HG40" s="33" t="n"/>
      <c r="HH40" s="33" t="n"/>
      <c r="HI40" s="33" t="n"/>
      <c r="HJ40" s="33" t="n"/>
      <c r="HK40" s="33" t="n"/>
      <c r="HL40" s="33" t="n"/>
      <c r="HM40" s="33" t="n"/>
      <c r="HN40" s="33" t="n"/>
      <c r="HO40" s="33" t="n"/>
      <c r="HP40" s="33" t="n"/>
      <c r="HQ40" s="33" t="n"/>
      <c r="HR40" s="33" t="n"/>
      <c r="HS40" s="33" t="n"/>
      <c r="HT40" s="33" t="n"/>
      <c r="HU40" s="33" t="n"/>
      <c r="HV40" s="33" t="n"/>
      <c r="HW40" s="33" t="n"/>
      <c r="HX40" s="33" t="n"/>
      <c r="HY40" s="33" t="n"/>
      <c r="HZ40" s="33" t="n"/>
      <c r="IA40" s="33" t="n"/>
      <c r="IB40" s="33" t="n"/>
      <c r="IC40" s="33" t="n"/>
      <c r="ID40" s="33" t="n"/>
      <c r="IE40" s="33" t="n"/>
      <c r="IF40" s="33" t="n"/>
      <c r="IG40" s="33" t="n"/>
      <c r="IH40" s="33" t="n"/>
      <c r="II40" s="33" t="n"/>
      <c r="IJ40" s="33" t="n"/>
      <c r="IK40" s="33" t="n"/>
      <c r="IL40" s="33" t="n"/>
      <c r="IM40" s="33" t="n"/>
      <c r="IN40" s="33" t="n"/>
      <c r="IO40" s="33" t="n"/>
      <c r="IP40" s="33" t="n"/>
      <c r="IQ40" s="33" t="n"/>
      <c r="IR40" s="33" t="n"/>
      <c r="IS40" s="33" t="n"/>
      <c r="IT40" s="33" t="n"/>
      <c r="IU40" s="33" t="n"/>
      <c r="IV40" s="33" t="n"/>
      <c r="IW40" s="33" t="n"/>
      <c r="IX40" s="33" t="n"/>
      <c r="IY40" s="33" t="n"/>
      <c r="IZ40" s="33" t="n"/>
      <c r="JA40" s="33" t="n"/>
      <c r="JB40" s="33" t="n"/>
      <c r="JC40" s="33" t="n"/>
      <c r="JD40" s="33" t="n"/>
      <c r="JE40" s="33" t="n"/>
      <c r="JF40" s="33" t="n"/>
      <c r="JG40" s="33" t="n"/>
      <c r="JH40" s="33" t="n"/>
      <c r="JI40" s="33" t="n"/>
      <c r="JJ40" s="33" t="n"/>
      <c r="JK40" s="33" t="n"/>
      <c r="JL40" s="33" t="n"/>
      <c r="JM40" s="33" t="n"/>
      <c r="JN40" s="33" t="n"/>
      <c r="JO40" s="33" t="n"/>
      <c r="JP40" s="33" t="n"/>
      <c r="JQ40" s="33" t="n"/>
      <c r="JR40" s="33" t="n"/>
      <c r="JS40" s="33" t="n"/>
      <c r="JT40" s="33" t="n"/>
      <c r="JU40" s="33" t="n"/>
      <c r="JV40" s="33" t="n"/>
      <c r="JW40" s="33" t="n"/>
      <c r="JX40" s="33" t="n"/>
      <c r="JY40" s="33" t="n"/>
      <c r="JZ40" s="33" t="n"/>
      <c r="KA40" s="33" t="n"/>
      <c r="KB40" s="33" t="n"/>
      <c r="KC40" s="33" t="n"/>
      <c r="KD40" s="33" t="n"/>
      <c r="KE40" s="33" t="n"/>
      <c r="KF40" s="33" t="n"/>
      <c r="KG40" s="33" t="n"/>
      <c r="KH40" s="33" t="n"/>
      <c r="KI40" s="33" t="n"/>
      <c r="KJ40" s="33" t="n"/>
      <c r="KK40" s="33" t="n"/>
      <c r="KL40" s="33" t="n"/>
      <c r="KM40" s="33" t="n"/>
      <c r="KN40" s="33" t="n"/>
      <c r="KO40" s="33" t="n"/>
      <c r="KP40" s="33" t="n"/>
      <c r="KQ40" s="33" t="n"/>
      <c r="KR40" s="33" t="n"/>
      <c r="KS40" s="33" t="n"/>
      <c r="KT40" s="33" t="n"/>
      <c r="KU40" s="33" t="n"/>
      <c r="KV40" s="33" t="n"/>
      <c r="KW40" s="33" t="n"/>
      <c r="KX40" s="33" t="n"/>
      <c r="KY40" s="33" t="n"/>
      <c r="KZ40" s="33" t="n"/>
      <c r="LA40" s="33" t="n"/>
      <c r="LB40" s="33" t="n"/>
      <c r="LC40" s="33" t="n"/>
      <c r="LD40" s="33" t="n"/>
      <c r="LE40" s="33" t="n"/>
      <c r="LF40" s="33" t="n"/>
      <c r="LG40" s="33" t="n"/>
      <c r="LH40" s="33" t="n"/>
      <c r="LI40" s="33" t="n"/>
      <c r="LJ40" s="33" t="n"/>
      <c r="LK40" s="33" t="n"/>
      <c r="LL40" s="33" t="n"/>
      <c r="LM40" s="33" t="n"/>
      <c r="LN40" s="33" t="n"/>
      <c r="LO40" s="33" t="n"/>
      <c r="LP40" s="33" t="n"/>
      <c r="LQ40" s="33" t="n"/>
      <c r="LR40" s="33" t="n"/>
      <c r="LS40" s="33" t="n"/>
      <c r="LT40" s="33" t="n"/>
      <c r="LU40" s="33" t="n"/>
      <c r="LV40" s="33" t="n"/>
      <c r="LW40" s="33" t="n"/>
      <c r="LX40" s="33" t="n"/>
      <c r="LY40" s="33" t="n"/>
      <c r="LZ40" s="33" t="n"/>
      <c r="MA40" s="33" t="n"/>
      <c r="MB40" s="33" t="n"/>
      <c r="MC40" s="33" t="n"/>
      <c r="MD40" s="33" t="n"/>
      <c r="ME40" s="33" t="n"/>
      <c r="MF40" s="33" t="n"/>
      <c r="MG40" s="33" t="n"/>
      <c r="MH40" s="33" t="n"/>
      <c r="MI40" s="33" t="n"/>
      <c r="MJ40" s="33" t="n"/>
      <c r="MK40" s="33" t="n"/>
      <c r="ML40" s="33" t="n"/>
      <c r="MM40" s="33" t="n"/>
      <c r="MN40" s="33" t="n"/>
      <c r="MO40" s="33" t="n"/>
      <c r="MP40" s="33" t="n"/>
      <c r="MQ40" s="33" t="n"/>
      <c r="MR40" s="33" t="n"/>
      <c r="MS40" s="33" t="n"/>
      <c r="MT40" s="33" t="n"/>
      <c r="MU40" s="33" t="n"/>
      <c r="MV40" s="33" t="n"/>
      <c r="MW40" s="33" t="n"/>
      <c r="MX40" s="33" t="n"/>
      <c r="MY40" s="33" t="n"/>
      <c r="MZ40" s="33" t="n"/>
      <c r="NA40" s="33" t="n"/>
      <c r="NB40" s="33" t="n"/>
      <c r="NC40" s="33" t="n"/>
      <c r="ND40" s="33" t="n"/>
      <c r="NE40" s="33" t="n"/>
      <c r="NF40" s="33" t="n"/>
      <c r="NG40" s="33" t="n"/>
      <c r="NH40" s="33" t="n"/>
      <c r="NI40" s="33" t="n"/>
      <c r="NJ40" s="33" t="n"/>
      <c r="NK40" s="33" t="n"/>
      <c r="NL40" s="33" t="n"/>
      <c r="NM40" s="33" t="n"/>
      <c r="NN40" s="33" t="n"/>
      <c r="NO40" s="33" t="n"/>
      <c r="NP40" s="33" t="n"/>
      <c r="NQ40" s="33" t="n"/>
      <c r="NR40" s="33" t="n"/>
      <c r="NS40" s="33" t="n"/>
      <c r="NT40" s="33" t="n"/>
      <c r="NU40" s="33" t="n"/>
      <c r="NV40" s="33" t="n"/>
      <c r="NW40" s="33" t="n"/>
      <c r="NX40" s="33" t="n"/>
      <c r="NY40" s="33" t="n"/>
      <c r="NZ40" s="33" t="n"/>
      <c r="OA40" s="33" t="n"/>
      <c r="OB40" s="33" t="n"/>
      <c r="OC40" s="33" t="n"/>
      <c r="OD40" s="33" t="n"/>
      <c r="OE40" s="33" t="n"/>
      <c r="OF40" s="33" t="n"/>
      <c r="OG40" s="33" t="n"/>
      <c r="OH40" s="33" t="n"/>
      <c r="OI40" s="33" t="n"/>
      <c r="OJ40" s="33" t="n"/>
      <c r="OK40" s="33" t="n"/>
      <c r="OL40" s="33" t="n"/>
      <c r="OM40" s="33" t="n"/>
      <c r="ON40" s="33" t="n"/>
      <c r="OO40" s="33" t="n"/>
      <c r="OP40" s="33" t="n"/>
      <c r="OQ40" s="33" t="n"/>
      <c r="OR40" s="33" t="n"/>
      <c r="OS40" s="33" t="n"/>
      <c r="OT40" s="33" t="n"/>
      <c r="OU40" s="33" t="n"/>
      <c r="OV40" s="33" t="n"/>
      <c r="OW40" s="33" t="n"/>
      <c r="OX40" s="33" t="n"/>
      <c r="OY40" s="33" t="n"/>
      <c r="OZ40" s="33" t="n"/>
      <c r="PA40" s="33" t="n"/>
      <c r="PB40" s="33" t="n"/>
      <c r="PC40" s="33" t="n"/>
      <c r="PD40" s="33" t="n"/>
      <c r="PE40" s="33" t="n"/>
      <c r="PF40" s="33" t="n"/>
      <c r="PG40" s="33" t="n"/>
      <c r="PH40" s="33" t="n"/>
      <c r="PI40" s="33" t="n"/>
      <c r="PJ40" s="33" t="n"/>
      <c r="PK40" s="33" t="n"/>
      <c r="PL40" s="33" t="n"/>
      <c r="PM40" s="33" t="n"/>
      <c r="PN40" s="33" t="n"/>
      <c r="PO40" s="33" t="n"/>
      <c r="PP40" s="33" t="n"/>
      <c r="PQ40" s="33" t="n"/>
      <c r="PR40" s="33" t="n"/>
      <c r="PS40" s="33" t="n"/>
      <c r="PT40" s="33" t="n"/>
      <c r="PU40" s="33" t="n"/>
      <c r="PV40" s="33" t="n"/>
      <c r="PW40" s="33" t="n"/>
      <c r="PX40" s="33" t="n"/>
      <c r="PY40" s="33" t="n"/>
      <c r="PZ40" s="33" t="n"/>
      <c r="QA40" s="33" t="n"/>
      <c r="QB40" s="33" t="n"/>
      <c r="QC40" s="33" t="n"/>
      <c r="QD40" s="33" t="n"/>
      <c r="QE40" s="33" t="n"/>
      <c r="QF40" s="33" t="n"/>
      <c r="QG40" s="33" t="n"/>
      <c r="QH40" s="33" t="n"/>
      <c r="QI40" s="33" t="n"/>
      <c r="QJ40" s="33" t="n"/>
      <c r="QK40" s="33" t="n"/>
      <c r="QL40" s="33" t="n"/>
      <c r="QM40" s="33" t="n"/>
      <c r="QN40" s="33" t="n"/>
      <c r="QO40" s="33" t="n"/>
      <c r="QP40" s="33" t="n"/>
      <c r="QQ40" s="33" t="n"/>
      <c r="QR40" s="33" t="n"/>
      <c r="QS40" s="33" t="n"/>
      <c r="QT40" s="33" t="n"/>
      <c r="QU40" s="33" t="n"/>
      <c r="QV40" s="33" t="n"/>
      <c r="QW40" s="33" t="n"/>
      <c r="QX40" s="33" t="n"/>
      <c r="QY40" s="33" t="n"/>
      <c r="QZ40" s="33" t="n"/>
      <c r="RA40" s="33" t="n"/>
      <c r="RB40" s="33" t="n"/>
      <c r="RC40" s="33" t="n"/>
      <c r="RD40" s="33" t="n"/>
      <c r="RE40" s="33" t="n"/>
      <c r="RF40" s="33" t="n"/>
      <c r="RG40" s="33" t="n"/>
      <c r="RH40" s="33" t="n"/>
      <c r="RI40" s="33" t="n"/>
      <c r="RJ40" s="33" t="n"/>
      <c r="RK40" s="33" t="n"/>
      <c r="RL40" s="33" t="n"/>
      <c r="RM40" s="33" t="n"/>
      <c r="RN40" s="33" t="n"/>
      <c r="RO40" s="33" t="n"/>
      <c r="RP40" s="33" t="n"/>
      <c r="RQ40" s="33" t="n"/>
      <c r="RR40" s="33" t="n"/>
      <c r="RS40" s="33" t="n"/>
      <c r="RT40" s="33" t="n"/>
      <c r="RU40" s="33" t="n"/>
      <c r="RV40" s="33" t="n"/>
      <c r="RW40" s="33" t="n"/>
    </row>
    <row r="41" hidden="1" outlineLevel="1" ht="13.05" customHeight="1">
      <c r="E41" s="21" t="inlineStr">
        <is>
          <t>VAT Facility Balance</t>
        </is>
      </c>
      <c r="F41" s="29" t="n"/>
      <c r="G41" s="29" t="inlineStr">
        <is>
          <t>kEUR</t>
        </is>
      </c>
      <c r="H41" s="29" t="n"/>
      <c r="I41" s="29" t="n"/>
      <c r="J41" s="32" t="n"/>
      <c r="K41" s="29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3" t="n"/>
      <c r="AY41" s="33" t="n"/>
      <c r="AZ41" s="33" t="n"/>
      <c r="BA41" s="33" t="n"/>
      <c r="BB41" s="33" t="n"/>
      <c r="BC41" s="33" t="n"/>
      <c r="BD41" s="33" t="n"/>
      <c r="BE41" s="33" t="n"/>
      <c r="BF41" s="33" t="n"/>
      <c r="BG41" s="33" t="n"/>
      <c r="BH41" s="33" t="n"/>
      <c r="BI41" s="33" t="n"/>
      <c r="BJ41" s="33" t="n"/>
      <c r="BK41" s="33" t="n"/>
      <c r="BL41" s="33" t="n"/>
      <c r="BM41" s="33" t="n"/>
      <c r="BN41" s="33" t="n"/>
      <c r="BO41" s="33" t="n"/>
      <c r="BP41" s="33" t="n"/>
      <c r="BQ41" s="33" t="n"/>
      <c r="BR41" s="33" t="n"/>
      <c r="BS41" s="33" t="n"/>
      <c r="BT41" s="33" t="n"/>
      <c r="BU41" s="33" t="n"/>
      <c r="BV41" s="33" t="n"/>
      <c r="BW41" s="33" t="n"/>
      <c r="BX41" s="33" t="n"/>
      <c r="BY41" s="33" t="n"/>
      <c r="BZ41" s="33" t="n"/>
      <c r="CA41" s="33" t="n"/>
      <c r="CB41" s="33" t="n"/>
      <c r="CC41" s="33" t="n"/>
      <c r="CD41" s="33" t="n"/>
      <c r="CE41" s="33" t="n"/>
      <c r="CF41" s="33" t="n"/>
      <c r="CG41" s="33" t="n"/>
      <c r="CH41" s="33" t="n"/>
      <c r="CI41" s="33" t="n"/>
      <c r="CJ41" s="33" t="n"/>
      <c r="CK41" s="33" t="n"/>
      <c r="CL41" s="33" t="n"/>
      <c r="CM41" s="33" t="n"/>
      <c r="CN41" s="33" t="n"/>
      <c r="CO41" s="33" t="n"/>
      <c r="CP41" s="33" t="n"/>
      <c r="CQ41" s="33" t="n"/>
      <c r="CR41" s="33" t="n"/>
      <c r="CS41" s="33" t="n"/>
      <c r="CT41" s="33" t="n"/>
      <c r="CU41" s="33" t="n"/>
      <c r="CV41" s="33" t="n"/>
      <c r="CW41" s="33" t="n"/>
      <c r="CX41" s="33" t="n"/>
      <c r="CY41" s="33" t="n"/>
      <c r="CZ41" s="33" t="n"/>
      <c r="DA41" s="33" t="n"/>
      <c r="DB41" s="33" t="n"/>
      <c r="DC41" s="33" t="n"/>
      <c r="DD41" s="33" t="n"/>
      <c r="DE41" s="33" t="n"/>
      <c r="DF41" s="33" t="n"/>
      <c r="DG41" s="33" t="n"/>
      <c r="DH41" s="33" t="n"/>
      <c r="DI41" s="33" t="n"/>
      <c r="DJ41" s="33" t="n"/>
      <c r="DK41" s="33" t="n"/>
      <c r="DL41" s="33" t="n"/>
      <c r="DM41" s="33" t="n"/>
      <c r="DN41" s="33" t="n"/>
      <c r="DO41" s="33" t="n"/>
      <c r="DP41" s="33" t="n"/>
      <c r="DQ41" s="33" t="n"/>
      <c r="DR41" s="33" t="n"/>
      <c r="DS41" s="33" t="n"/>
      <c r="DT41" s="33" t="n"/>
      <c r="DU41" s="33" t="n"/>
      <c r="DV41" s="33" t="n"/>
      <c r="DW41" s="33" t="n"/>
      <c r="DX41" s="33" t="n"/>
      <c r="DY41" s="33" t="n"/>
      <c r="DZ41" s="33" t="n"/>
      <c r="EA41" s="33" t="n"/>
      <c r="EB41" s="33" t="n"/>
      <c r="EC41" s="33" t="n"/>
      <c r="ED41" s="33" t="n"/>
      <c r="EE41" s="33" t="n"/>
      <c r="EF41" s="33" t="n"/>
      <c r="EG41" s="33" t="n"/>
      <c r="EH41" s="33" t="n"/>
      <c r="EI41" s="33" t="n"/>
      <c r="EJ41" s="33" t="n"/>
      <c r="EK41" s="33" t="n"/>
      <c r="EL41" s="33" t="n"/>
      <c r="EM41" s="33" t="n"/>
      <c r="EN41" s="33" t="n"/>
      <c r="EO41" s="33" t="n"/>
      <c r="EP41" s="33" t="n"/>
      <c r="EQ41" s="33" t="n"/>
      <c r="ER41" s="33" t="n"/>
      <c r="ES41" s="33" t="n"/>
      <c r="ET41" s="33" t="n"/>
      <c r="EU41" s="33" t="n"/>
      <c r="EV41" s="33" t="n"/>
      <c r="EW41" s="33" t="n"/>
      <c r="EX41" s="33" t="n"/>
      <c r="EY41" s="33" t="n"/>
      <c r="EZ41" s="33" t="n"/>
      <c r="FA41" s="33" t="n"/>
      <c r="FB41" s="33" t="n"/>
      <c r="FC41" s="33" t="n"/>
      <c r="FD41" s="33" t="n"/>
      <c r="FE41" s="33" t="n"/>
      <c r="FF41" s="33" t="n"/>
      <c r="FG41" s="33" t="n"/>
      <c r="FH41" s="33" t="n"/>
      <c r="FI41" s="33" t="n"/>
      <c r="FJ41" s="33" t="n"/>
      <c r="FK41" s="33" t="n"/>
      <c r="FL41" s="33" t="n"/>
      <c r="FM41" s="33" t="n"/>
      <c r="FN41" s="33" t="n"/>
      <c r="FO41" s="33" t="n"/>
      <c r="FP41" s="33" t="n"/>
      <c r="FQ41" s="33" t="n"/>
      <c r="FR41" s="33" t="n"/>
      <c r="FS41" s="33" t="n"/>
      <c r="FT41" s="33" t="n"/>
      <c r="FU41" s="33" t="n"/>
      <c r="FV41" s="33" t="n"/>
      <c r="FW41" s="33" t="n"/>
      <c r="FX41" s="33" t="n"/>
      <c r="FY41" s="33" t="n"/>
      <c r="FZ41" s="33" t="n"/>
      <c r="GA41" s="33" t="n"/>
      <c r="GB41" s="33" t="n"/>
      <c r="GC41" s="33" t="n"/>
      <c r="GD41" s="33" t="n"/>
      <c r="GE41" s="33" t="n"/>
      <c r="GF41" s="33" t="n"/>
      <c r="GG41" s="33" t="n"/>
      <c r="GH41" s="33" t="n"/>
      <c r="GI41" s="33" t="n"/>
      <c r="GJ41" s="33" t="n"/>
      <c r="GK41" s="33" t="n"/>
      <c r="GL41" s="33" t="n"/>
      <c r="GM41" s="33" t="n"/>
      <c r="GN41" s="33" t="n"/>
      <c r="GO41" s="33" t="n"/>
      <c r="GP41" s="33" t="n"/>
      <c r="GQ41" s="33" t="n"/>
      <c r="GR41" s="33" t="n"/>
      <c r="GS41" s="33" t="n"/>
      <c r="GT41" s="33" t="n"/>
      <c r="GU41" s="33" t="n"/>
      <c r="GV41" s="33" t="n"/>
      <c r="GW41" s="33" t="n"/>
      <c r="GX41" s="33" t="n"/>
      <c r="GY41" s="33" t="n"/>
      <c r="GZ41" s="33" t="n"/>
      <c r="HA41" s="33" t="n"/>
      <c r="HB41" s="33" t="n"/>
      <c r="HC41" s="33" t="n"/>
      <c r="HD41" s="33" t="n"/>
      <c r="HE41" s="33" t="n"/>
      <c r="HF41" s="33" t="n"/>
      <c r="HG41" s="33" t="n"/>
      <c r="HH41" s="33" t="n"/>
      <c r="HI41" s="33" t="n"/>
      <c r="HJ41" s="33" t="n"/>
      <c r="HK41" s="33" t="n"/>
      <c r="HL41" s="33" t="n"/>
      <c r="HM41" s="33" t="n"/>
      <c r="HN41" s="33" t="n"/>
      <c r="HO41" s="33" t="n"/>
      <c r="HP41" s="33" t="n"/>
      <c r="HQ41" s="33" t="n"/>
      <c r="HR41" s="33" t="n"/>
      <c r="HS41" s="33" t="n"/>
      <c r="HT41" s="33" t="n"/>
      <c r="HU41" s="33" t="n"/>
      <c r="HV41" s="33" t="n"/>
      <c r="HW41" s="33" t="n"/>
      <c r="HX41" s="33" t="n"/>
      <c r="HY41" s="33" t="n"/>
      <c r="HZ41" s="33" t="n"/>
      <c r="IA41" s="33" t="n"/>
      <c r="IB41" s="33" t="n"/>
      <c r="IC41" s="33" t="n"/>
      <c r="ID41" s="33" t="n"/>
      <c r="IE41" s="33" t="n"/>
      <c r="IF41" s="33" t="n"/>
      <c r="IG41" s="33" t="n"/>
      <c r="IH41" s="33" t="n"/>
      <c r="II41" s="33" t="n"/>
      <c r="IJ41" s="33" t="n"/>
      <c r="IK41" s="33" t="n"/>
      <c r="IL41" s="33" t="n"/>
      <c r="IM41" s="33" t="n"/>
      <c r="IN41" s="33" t="n"/>
      <c r="IO41" s="33" t="n"/>
      <c r="IP41" s="33" t="n"/>
      <c r="IQ41" s="33" t="n"/>
      <c r="IR41" s="33" t="n"/>
      <c r="IS41" s="33" t="n"/>
      <c r="IT41" s="33" t="n"/>
      <c r="IU41" s="33" t="n"/>
      <c r="IV41" s="33" t="n"/>
      <c r="IW41" s="33" t="n"/>
      <c r="IX41" s="33" t="n"/>
      <c r="IY41" s="33" t="n"/>
      <c r="IZ41" s="33" t="n"/>
      <c r="JA41" s="33" t="n"/>
      <c r="JB41" s="33" t="n"/>
      <c r="JC41" s="33" t="n"/>
      <c r="JD41" s="33" t="n"/>
      <c r="JE41" s="33" t="n"/>
      <c r="JF41" s="33" t="n"/>
      <c r="JG41" s="33" t="n"/>
      <c r="JH41" s="33" t="n"/>
      <c r="JI41" s="33" t="n"/>
      <c r="JJ41" s="33" t="n"/>
      <c r="JK41" s="33" t="n"/>
      <c r="JL41" s="33" t="n"/>
      <c r="JM41" s="33" t="n"/>
      <c r="JN41" s="33" t="n"/>
      <c r="JO41" s="33" t="n"/>
      <c r="JP41" s="33" t="n"/>
      <c r="JQ41" s="33" t="n"/>
      <c r="JR41" s="33" t="n"/>
      <c r="JS41" s="33" t="n"/>
      <c r="JT41" s="33" t="n"/>
      <c r="JU41" s="33" t="n"/>
      <c r="JV41" s="33" t="n"/>
      <c r="JW41" s="33" t="n"/>
      <c r="JX41" s="33" t="n"/>
      <c r="JY41" s="33" t="n"/>
      <c r="JZ41" s="33" t="n"/>
      <c r="KA41" s="33" t="n"/>
      <c r="KB41" s="33" t="n"/>
      <c r="KC41" s="33" t="n"/>
      <c r="KD41" s="33" t="n"/>
      <c r="KE41" s="33" t="n"/>
      <c r="KF41" s="33" t="n"/>
      <c r="KG41" s="33" t="n"/>
      <c r="KH41" s="33" t="n"/>
      <c r="KI41" s="33" t="n"/>
      <c r="KJ41" s="33" t="n"/>
      <c r="KK41" s="33" t="n"/>
      <c r="KL41" s="33" t="n"/>
      <c r="KM41" s="33" t="n"/>
      <c r="KN41" s="33" t="n"/>
      <c r="KO41" s="33" t="n"/>
      <c r="KP41" s="33" t="n"/>
      <c r="KQ41" s="33" t="n"/>
      <c r="KR41" s="33" t="n"/>
      <c r="KS41" s="33" t="n"/>
      <c r="KT41" s="33" t="n"/>
      <c r="KU41" s="33" t="n"/>
      <c r="KV41" s="33" t="n"/>
      <c r="KW41" s="33" t="n"/>
      <c r="KX41" s="33" t="n"/>
      <c r="KY41" s="33" t="n"/>
      <c r="KZ41" s="33" t="n"/>
      <c r="LA41" s="33" t="n"/>
      <c r="LB41" s="33" t="n"/>
      <c r="LC41" s="33" t="n"/>
      <c r="LD41" s="33" t="n"/>
      <c r="LE41" s="33" t="n"/>
      <c r="LF41" s="33" t="n"/>
      <c r="LG41" s="33" t="n"/>
      <c r="LH41" s="33" t="n"/>
      <c r="LI41" s="33" t="n"/>
      <c r="LJ41" s="33" t="n"/>
      <c r="LK41" s="33" t="n"/>
      <c r="LL41" s="33" t="n"/>
      <c r="LM41" s="33" t="n"/>
      <c r="LN41" s="33" t="n"/>
      <c r="LO41" s="33" t="n"/>
      <c r="LP41" s="33" t="n"/>
      <c r="LQ41" s="33" t="n"/>
      <c r="LR41" s="33" t="n"/>
      <c r="LS41" s="33" t="n"/>
      <c r="LT41" s="33" t="n"/>
      <c r="LU41" s="33" t="n"/>
      <c r="LV41" s="33" t="n"/>
      <c r="LW41" s="33" t="n"/>
      <c r="LX41" s="33" t="n"/>
      <c r="LY41" s="33" t="n"/>
      <c r="LZ41" s="33" t="n"/>
      <c r="MA41" s="33" t="n"/>
      <c r="MB41" s="33" t="n"/>
      <c r="MC41" s="33" t="n"/>
      <c r="MD41" s="33" t="n"/>
      <c r="ME41" s="33" t="n"/>
      <c r="MF41" s="33" t="n"/>
      <c r="MG41" s="33" t="n"/>
      <c r="MH41" s="33" t="n"/>
      <c r="MI41" s="33" t="n"/>
      <c r="MJ41" s="33" t="n"/>
      <c r="MK41" s="33" t="n"/>
      <c r="ML41" s="33" t="n"/>
      <c r="MM41" s="33" t="n"/>
      <c r="MN41" s="33" t="n"/>
      <c r="MO41" s="33" t="n"/>
      <c r="MP41" s="33" t="n"/>
      <c r="MQ41" s="33" t="n"/>
      <c r="MR41" s="33" t="n"/>
      <c r="MS41" s="33" t="n"/>
      <c r="MT41" s="33" t="n"/>
      <c r="MU41" s="33" t="n"/>
      <c r="MV41" s="33" t="n"/>
      <c r="MW41" s="33" t="n"/>
      <c r="MX41" s="33" t="n"/>
      <c r="MY41" s="33" t="n"/>
      <c r="MZ41" s="33" t="n"/>
      <c r="NA41" s="33" t="n"/>
      <c r="NB41" s="33" t="n"/>
      <c r="NC41" s="33" t="n"/>
      <c r="ND41" s="33" t="n"/>
      <c r="NE41" s="33" t="n"/>
      <c r="NF41" s="33" t="n"/>
      <c r="NG41" s="33" t="n"/>
      <c r="NH41" s="33" t="n"/>
      <c r="NI41" s="33" t="n"/>
      <c r="NJ41" s="33" t="n"/>
      <c r="NK41" s="33" t="n"/>
      <c r="NL41" s="33" t="n"/>
      <c r="NM41" s="33" t="n"/>
      <c r="NN41" s="33" t="n"/>
      <c r="NO41" s="33" t="n"/>
      <c r="NP41" s="33" t="n"/>
      <c r="NQ41" s="33" t="n"/>
      <c r="NR41" s="33" t="n"/>
      <c r="NS41" s="33" t="n"/>
      <c r="NT41" s="33" t="n"/>
      <c r="NU41" s="33" t="n"/>
      <c r="NV41" s="33" t="n"/>
      <c r="NW41" s="33" t="n"/>
      <c r="NX41" s="33" t="n"/>
      <c r="NY41" s="33" t="n"/>
      <c r="NZ41" s="33" t="n"/>
      <c r="OA41" s="33" t="n"/>
      <c r="OB41" s="33" t="n"/>
      <c r="OC41" s="33" t="n"/>
      <c r="OD41" s="33" t="n"/>
      <c r="OE41" s="33" t="n"/>
      <c r="OF41" s="33" t="n"/>
      <c r="OG41" s="33" t="n"/>
      <c r="OH41" s="33" t="n"/>
      <c r="OI41" s="33" t="n"/>
      <c r="OJ41" s="33" t="n"/>
      <c r="OK41" s="33" t="n"/>
      <c r="OL41" s="33" t="n"/>
      <c r="OM41" s="33" t="n"/>
      <c r="ON41" s="33" t="n"/>
      <c r="OO41" s="33" t="n"/>
      <c r="OP41" s="33" t="n"/>
      <c r="OQ41" s="33" t="n"/>
      <c r="OR41" s="33" t="n"/>
      <c r="OS41" s="33" t="n"/>
      <c r="OT41" s="33" t="n"/>
      <c r="OU41" s="33" t="n"/>
      <c r="OV41" s="33" t="n"/>
      <c r="OW41" s="33" t="n"/>
      <c r="OX41" s="33" t="n"/>
      <c r="OY41" s="33" t="n"/>
      <c r="OZ41" s="33" t="n"/>
      <c r="PA41" s="33" t="n"/>
      <c r="PB41" s="33" t="n"/>
      <c r="PC41" s="33" t="n"/>
      <c r="PD41" s="33" t="n"/>
      <c r="PE41" s="33" t="n"/>
      <c r="PF41" s="33" t="n"/>
      <c r="PG41" s="33" t="n"/>
      <c r="PH41" s="33" t="n"/>
      <c r="PI41" s="33" t="n"/>
      <c r="PJ41" s="33" t="n"/>
      <c r="PK41" s="33" t="n"/>
      <c r="PL41" s="33" t="n"/>
      <c r="PM41" s="33" t="n"/>
      <c r="PN41" s="33" t="n"/>
      <c r="PO41" s="33" t="n"/>
      <c r="PP41" s="33" t="n"/>
      <c r="PQ41" s="33" t="n"/>
      <c r="PR41" s="33" t="n"/>
      <c r="PS41" s="33" t="n"/>
      <c r="PT41" s="33" t="n"/>
      <c r="PU41" s="33" t="n"/>
      <c r="PV41" s="33" t="n"/>
      <c r="PW41" s="33" t="n"/>
      <c r="PX41" s="33" t="n"/>
      <c r="PY41" s="33" t="n"/>
      <c r="PZ41" s="33" t="n"/>
      <c r="QA41" s="33" t="n"/>
      <c r="QB41" s="33" t="n"/>
      <c r="QC41" s="33" t="n"/>
      <c r="QD41" s="33" t="n"/>
      <c r="QE41" s="33" t="n"/>
      <c r="QF41" s="33" t="n"/>
      <c r="QG41" s="33" t="n"/>
      <c r="QH41" s="33" t="n"/>
      <c r="QI41" s="33" t="n"/>
      <c r="QJ41" s="33" t="n"/>
      <c r="QK41" s="33" t="n"/>
      <c r="QL41" s="33" t="n"/>
      <c r="QM41" s="33" t="n"/>
      <c r="QN41" s="33" t="n"/>
      <c r="QO41" s="33" t="n"/>
      <c r="QP41" s="33" t="n"/>
      <c r="QQ41" s="33" t="n"/>
      <c r="QR41" s="33" t="n"/>
      <c r="QS41" s="33" t="n"/>
      <c r="QT41" s="33" t="n"/>
      <c r="QU41" s="33" t="n"/>
      <c r="QV41" s="33" t="n"/>
      <c r="QW41" s="33" t="n"/>
      <c r="QX41" s="33" t="n"/>
      <c r="QY41" s="33" t="n"/>
      <c r="QZ41" s="33" t="n"/>
      <c r="RA41" s="33" t="n"/>
      <c r="RB41" s="33" t="n"/>
      <c r="RC41" s="33" t="n"/>
      <c r="RD41" s="33" t="n"/>
      <c r="RE41" s="33" t="n"/>
      <c r="RF41" s="33" t="n"/>
      <c r="RG41" s="33" t="n"/>
      <c r="RH41" s="33" t="n"/>
      <c r="RI41" s="33" t="n"/>
      <c r="RJ41" s="33" t="n"/>
      <c r="RK41" s="33" t="n"/>
      <c r="RL41" s="33" t="n"/>
      <c r="RM41" s="33" t="n"/>
      <c r="RN41" s="33" t="n"/>
      <c r="RO41" s="33" t="n"/>
      <c r="RP41" s="33" t="n"/>
      <c r="RQ41" s="33" t="n"/>
      <c r="RR41" s="33" t="n"/>
      <c r="RS41" s="33" t="n"/>
      <c r="RT41" s="33" t="n"/>
      <c r="RU41" s="33" t="n"/>
      <c r="RV41" s="33" t="n"/>
      <c r="RW41" s="33" t="n"/>
    </row>
    <row r="42" hidden="1" outlineLevel="1" ht="13.05" customHeight="1">
      <c r="E42" s="25" t="inlineStr">
        <is>
          <t>Interest</t>
        </is>
      </c>
      <c r="F42" s="26" t="n"/>
      <c r="G42" s="26" t="inlineStr">
        <is>
          <t>kEUR</t>
        </is>
      </c>
      <c r="H42" s="26" t="n"/>
      <c r="I42" s="26" t="n"/>
      <c r="J42" s="27" t="n"/>
      <c r="K42" s="26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  <c r="AS42" s="28" t="n"/>
      <c r="AT42" s="28" t="n"/>
      <c r="AU42" s="28" t="n"/>
      <c r="AV42" s="28" t="n"/>
      <c r="AW42" s="28" t="n"/>
      <c r="AX42" s="28" t="n"/>
      <c r="AY42" s="28" t="n"/>
      <c r="AZ42" s="28" t="n"/>
      <c r="BA42" s="28" t="n"/>
      <c r="BB42" s="28" t="n"/>
      <c r="BC42" s="28" t="n"/>
      <c r="BD42" s="28" t="n"/>
      <c r="BE42" s="28" t="n"/>
      <c r="BF42" s="28" t="n"/>
      <c r="BG42" s="28" t="n"/>
      <c r="BH42" s="28" t="n"/>
      <c r="BI42" s="28" t="n"/>
      <c r="BJ42" s="28" t="n"/>
      <c r="BK42" s="28" t="n"/>
      <c r="BL42" s="28" t="n"/>
      <c r="BM42" s="28" t="n"/>
      <c r="BN42" s="28" t="n"/>
      <c r="BO42" s="28" t="n"/>
      <c r="BP42" s="28" t="n"/>
      <c r="BQ42" s="28" t="n"/>
      <c r="BR42" s="28" t="n"/>
      <c r="BS42" s="28" t="n"/>
      <c r="BT42" s="28" t="n"/>
      <c r="BU42" s="28" t="n"/>
      <c r="BV42" s="28" t="n"/>
      <c r="BW42" s="28" t="n"/>
      <c r="BX42" s="28" t="n"/>
      <c r="BY42" s="28" t="n"/>
      <c r="BZ42" s="28" t="n"/>
      <c r="CA42" s="28" t="n"/>
      <c r="CB42" s="28" t="n"/>
      <c r="CC42" s="28" t="n"/>
      <c r="CD42" s="28" t="n"/>
      <c r="CE42" s="28" t="n"/>
      <c r="CF42" s="28" t="n"/>
      <c r="CG42" s="28" t="n"/>
      <c r="CH42" s="28" t="n"/>
      <c r="CI42" s="28" t="n"/>
      <c r="CJ42" s="28" t="n"/>
      <c r="CK42" s="28" t="n"/>
      <c r="CL42" s="28" t="n"/>
      <c r="CM42" s="28" t="n"/>
      <c r="CN42" s="28" t="n"/>
      <c r="CO42" s="28" t="n"/>
      <c r="CP42" s="28" t="n"/>
      <c r="CQ42" s="28" t="n"/>
      <c r="CR42" s="28" t="n"/>
      <c r="CS42" s="28" t="n"/>
      <c r="CT42" s="28" t="n"/>
      <c r="CU42" s="28" t="n"/>
      <c r="CV42" s="28" t="n"/>
      <c r="CW42" s="28" t="n"/>
      <c r="CX42" s="28" t="n"/>
      <c r="CY42" s="28" t="n"/>
      <c r="CZ42" s="28" t="n"/>
      <c r="DA42" s="28" t="n"/>
      <c r="DB42" s="28" t="n"/>
      <c r="DC42" s="28" t="n"/>
      <c r="DD42" s="28" t="n"/>
      <c r="DE42" s="28" t="n"/>
      <c r="DF42" s="28" t="n"/>
      <c r="DG42" s="28" t="n"/>
      <c r="DH42" s="28" t="n"/>
      <c r="DI42" s="28" t="n"/>
      <c r="DJ42" s="28" t="n"/>
      <c r="DK42" s="28" t="n"/>
      <c r="DL42" s="28" t="n"/>
      <c r="DM42" s="28" t="n"/>
      <c r="DN42" s="28" t="n"/>
      <c r="DO42" s="28" t="n"/>
      <c r="DP42" s="28" t="n"/>
      <c r="DQ42" s="28" t="n"/>
      <c r="DR42" s="28" t="n"/>
      <c r="DS42" s="28" t="n"/>
      <c r="DT42" s="28" t="n"/>
      <c r="DU42" s="28" t="n"/>
      <c r="DV42" s="28" t="n"/>
      <c r="DW42" s="28" t="n"/>
      <c r="DX42" s="28" t="n"/>
      <c r="DY42" s="28" t="n"/>
      <c r="DZ42" s="28" t="n"/>
      <c r="EA42" s="28" t="n"/>
      <c r="EB42" s="28" t="n"/>
      <c r="EC42" s="28" t="n"/>
      <c r="ED42" s="28" t="n"/>
      <c r="EE42" s="28" t="n"/>
      <c r="EF42" s="28" t="n"/>
      <c r="EG42" s="28" t="n"/>
      <c r="EH42" s="28" t="n"/>
      <c r="EI42" s="28" t="n"/>
      <c r="EJ42" s="28" t="n"/>
      <c r="EK42" s="28" t="n"/>
      <c r="EL42" s="28" t="n"/>
      <c r="EM42" s="28" t="n"/>
      <c r="EN42" s="28" t="n"/>
      <c r="EO42" s="28" t="n"/>
      <c r="EP42" s="28" t="n"/>
      <c r="EQ42" s="28" t="n"/>
      <c r="ER42" s="28" t="n"/>
      <c r="ES42" s="28" t="n"/>
      <c r="ET42" s="28" t="n"/>
      <c r="EU42" s="28" t="n"/>
      <c r="EV42" s="28" t="n"/>
      <c r="EW42" s="28" t="n"/>
      <c r="EX42" s="28" t="n"/>
      <c r="EY42" s="28" t="n"/>
      <c r="EZ42" s="28" t="n"/>
      <c r="FA42" s="28" t="n"/>
      <c r="FB42" s="28" t="n"/>
      <c r="FC42" s="28" t="n"/>
      <c r="FD42" s="28" t="n"/>
      <c r="FE42" s="28" t="n"/>
      <c r="FF42" s="28" t="n"/>
      <c r="FG42" s="28" t="n"/>
      <c r="FH42" s="28" t="n"/>
      <c r="FI42" s="28" t="n"/>
      <c r="FJ42" s="28" t="n"/>
      <c r="FK42" s="28" t="n"/>
      <c r="FL42" s="28" t="n"/>
      <c r="FM42" s="28" t="n"/>
      <c r="FN42" s="28" t="n"/>
      <c r="FO42" s="28" t="n"/>
      <c r="FP42" s="28" t="n"/>
      <c r="FQ42" s="28" t="n"/>
      <c r="FR42" s="28" t="n"/>
      <c r="FS42" s="28" t="n"/>
      <c r="FT42" s="28" t="n"/>
      <c r="FU42" s="28" t="n"/>
      <c r="FV42" s="28" t="n"/>
      <c r="FW42" s="28" t="n"/>
      <c r="FX42" s="28" t="n"/>
      <c r="FY42" s="28" t="n"/>
      <c r="FZ42" s="28" t="n"/>
      <c r="GA42" s="28" t="n"/>
      <c r="GB42" s="28" t="n"/>
      <c r="GC42" s="28" t="n"/>
      <c r="GD42" s="28" t="n"/>
      <c r="GE42" s="28" t="n"/>
      <c r="GF42" s="28" t="n"/>
      <c r="GG42" s="28" t="n"/>
      <c r="GH42" s="28" t="n"/>
      <c r="GI42" s="28" t="n"/>
      <c r="GJ42" s="28" t="n"/>
      <c r="GK42" s="28" t="n"/>
      <c r="GL42" s="28" t="n"/>
      <c r="GM42" s="28" t="n"/>
      <c r="GN42" s="28" t="n"/>
      <c r="GO42" s="28" t="n"/>
      <c r="GP42" s="28" t="n"/>
      <c r="GQ42" s="28" t="n"/>
      <c r="GR42" s="28" t="n"/>
      <c r="GS42" s="28" t="n"/>
      <c r="GT42" s="28" t="n"/>
      <c r="GU42" s="28" t="n"/>
      <c r="GV42" s="28" t="n"/>
      <c r="GW42" s="28" t="n"/>
      <c r="GX42" s="28" t="n"/>
      <c r="GY42" s="28" t="n"/>
      <c r="GZ42" s="28" t="n"/>
      <c r="HA42" s="28" t="n"/>
      <c r="HB42" s="28" t="n"/>
      <c r="HC42" s="28" t="n"/>
      <c r="HD42" s="28" t="n"/>
      <c r="HE42" s="28" t="n"/>
      <c r="HF42" s="28" t="n"/>
      <c r="HG42" s="28" t="n"/>
      <c r="HH42" s="28" t="n"/>
      <c r="HI42" s="28" t="n"/>
      <c r="HJ42" s="28" t="n"/>
      <c r="HK42" s="28" t="n"/>
      <c r="HL42" s="28" t="n"/>
      <c r="HM42" s="28" t="n"/>
      <c r="HN42" s="28" t="n"/>
      <c r="HO42" s="28" t="n"/>
      <c r="HP42" s="28" t="n"/>
      <c r="HQ42" s="28" t="n"/>
      <c r="HR42" s="28" t="n"/>
      <c r="HS42" s="28" t="n"/>
      <c r="HT42" s="28" t="n"/>
      <c r="HU42" s="28" t="n"/>
      <c r="HV42" s="28" t="n"/>
      <c r="HW42" s="28" t="n"/>
      <c r="HX42" s="28" t="n"/>
      <c r="HY42" s="28" t="n"/>
      <c r="HZ42" s="28" t="n"/>
      <c r="IA42" s="28" t="n"/>
      <c r="IB42" s="28" t="n"/>
      <c r="IC42" s="28" t="n"/>
      <c r="ID42" s="28" t="n"/>
      <c r="IE42" s="28" t="n"/>
      <c r="IF42" s="28" t="n"/>
      <c r="IG42" s="28" t="n"/>
      <c r="IH42" s="28" t="n"/>
      <c r="II42" s="28" t="n"/>
      <c r="IJ42" s="28" t="n"/>
      <c r="IK42" s="28" t="n"/>
      <c r="IL42" s="28" t="n"/>
      <c r="IM42" s="28" t="n"/>
      <c r="IN42" s="28" t="n"/>
      <c r="IO42" s="28" t="n"/>
      <c r="IP42" s="28" t="n"/>
      <c r="IQ42" s="28" t="n"/>
      <c r="IR42" s="28" t="n"/>
      <c r="IS42" s="28" t="n"/>
      <c r="IT42" s="28" t="n"/>
      <c r="IU42" s="28" t="n"/>
      <c r="IV42" s="28" t="n"/>
      <c r="IW42" s="28" t="n"/>
      <c r="IX42" s="28" t="n"/>
      <c r="IY42" s="28" t="n"/>
      <c r="IZ42" s="28" t="n"/>
      <c r="JA42" s="28" t="n"/>
      <c r="JB42" s="28" t="n"/>
      <c r="JC42" s="28" t="n"/>
      <c r="JD42" s="28" t="n"/>
      <c r="JE42" s="28" t="n"/>
      <c r="JF42" s="28" t="n"/>
      <c r="JG42" s="28" t="n"/>
      <c r="JH42" s="28" t="n"/>
      <c r="JI42" s="28" t="n"/>
      <c r="JJ42" s="28" t="n"/>
      <c r="JK42" s="28" t="n"/>
      <c r="JL42" s="28" t="n"/>
      <c r="JM42" s="28" t="n"/>
      <c r="JN42" s="28" t="n"/>
      <c r="JO42" s="28" t="n"/>
      <c r="JP42" s="28" t="n"/>
      <c r="JQ42" s="28" t="n"/>
      <c r="JR42" s="28" t="n"/>
      <c r="JS42" s="28" t="n"/>
      <c r="JT42" s="28" t="n"/>
      <c r="JU42" s="28" t="n"/>
      <c r="JV42" s="28" t="n"/>
      <c r="JW42" s="28" t="n"/>
      <c r="JX42" s="28" t="n"/>
      <c r="JY42" s="28" t="n"/>
      <c r="JZ42" s="28" t="n"/>
      <c r="KA42" s="28" t="n"/>
      <c r="KB42" s="28" t="n"/>
      <c r="KC42" s="28" t="n"/>
      <c r="KD42" s="28" t="n"/>
      <c r="KE42" s="28" t="n"/>
      <c r="KF42" s="28" t="n"/>
      <c r="KG42" s="28" t="n"/>
      <c r="KH42" s="28" t="n"/>
      <c r="KI42" s="28" t="n"/>
      <c r="KJ42" s="28" t="n"/>
      <c r="KK42" s="28" t="n"/>
      <c r="KL42" s="28" t="n"/>
      <c r="KM42" s="28" t="n"/>
      <c r="KN42" s="28" t="n"/>
      <c r="KO42" s="28" t="n"/>
      <c r="KP42" s="28" t="n"/>
      <c r="KQ42" s="28" t="n"/>
      <c r="KR42" s="28" t="n"/>
      <c r="KS42" s="28" t="n"/>
      <c r="KT42" s="28" t="n"/>
      <c r="KU42" s="28" t="n"/>
      <c r="KV42" s="28" t="n"/>
      <c r="KW42" s="28" t="n"/>
      <c r="KX42" s="28" t="n"/>
      <c r="KY42" s="28" t="n"/>
      <c r="KZ42" s="28" t="n"/>
      <c r="LA42" s="28" t="n"/>
      <c r="LB42" s="28" t="n"/>
      <c r="LC42" s="28" t="n"/>
      <c r="LD42" s="28" t="n"/>
      <c r="LE42" s="28" t="n"/>
      <c r="LF42" s="28" t="n"/>
      <c r="LG42" s="28" t="n"/>
      <c r="LH42" s="28" t="n"/>
      <c r="LI42" s="28" t="n"/>
      <c r="LJ42" s="28" t="n"/>
      <c r="LK42" s="28" t="n"/>
      <c r="LL42" s="28" t="n"/>
      <c r="LM42" s="28" t="n"/>
      <c r="LN42" s="28" t="n"/>
      <c r="LO42" s="28" t="n"/>
      <c r="LP42" s="28" t="n"/>
      <c r="LQ42" s="28" t="n"/>
      <c r="LR42" s="28" t="n"/>
      <c r="LS42" s="28" t="n"/>
      <c r="LT42" s="28" t="n"/>
      <c r="LU42" s="28" t="n"/>
      <c r="LV42" s="28" t="n"/>
      <c r="LW42" s="28" t="n"/>
      <c r="LX42" s="28" t="n"/>
      <c r="LY42" s="28" t="n"/>
      <c r="LZ42" s="28" t="n"/>
      <c r="MA42" s="28" t="n"/>
      <c r="MB42" s="28" t="n"/>
      <c r="MC42" s="28" t="n"/>
      <c r="MD42" s="28" t="n"/>
      <c r="ME42" s="28" t="n"/>
      <c r="MF42" s="28" t="n"/>
      <c r="MG42" s="28" t="n"/>
      <c r="MH42" s="28" t="n"/>
      <c r="MI42" s="28" t="n"/>
      <c r="MJ42" s="28" t="n"/>
      <c r="MK42" s="28" t="n"/>
      <c r="ML42" s="28" t="n"/>
      <c r="MM42" s="28" t="n"/>
      <c r="MN42" s="28" t="n"/>
      <c r="MO42" s="28" t="n"/>
      <c r="MP42" s="28" t="n"/>
      <c r="MQ42" s="28" t="n"/>
      <c r="MR42" s="28" t="n"/>
      <c r="MS42" s="28" t="n"/>
      <c r="MT42" s="28" t="n"/>
      <c r="MU42" s="28" t="n"/>
      <c r="MV42" s="28" t="n"/>
      <c r="MW42" s="28" t="n"/>
      <c r="MX42" s="28" t="n"/>
      <c r="MY42" s="28" t="n"/>
      <c r="MZ42" s="28" t="n"/>
      <c r="NA42" s="28" t="n"/>
      <c r="NB42" s="28" t="n"/>
      <c r="NC42" s="28" t="n"/>
      <c r="ND42" s="28" t="n"/>
      <c r="NE42" s="28" t="n"/>
      <c r="NF42" s="28" t="n"/>
      <c r="NG42" s="28" t="n"/>
      <c r="NH42" s="28" t="n"/>
      <c r="NI42" s="28" t="n"/>
      <c r="NJ42" s="28" t="n"/>
      <c r="NK42" s="28" t="n"/>
      <c r="NL42" s="28" t="n"/>
      <c r="NM42" s="28" t="n"/>
      <c r="NN42" s="28" t="n"/>
      <c r="NO42" s="28" t="n"/>
      <c r="NP42" s="28" t="n"/>
      <c r="NQ42" s="28" t="n"/>
      <c r="NR42" s="28" t="n"/>
      <c r="NS42" s="28" t="n"/>
      <c r="NT42" s="28" t="n"/>
      <c r="NU42" s="28" t="n"/>
      <c r="NV42" s="28" t="n"/>
      <c r="NW42" s="28" t="n"/>
      <c r="NX42" s="28" t="n"/>
      <c r="NY42" s="28" t="n"/>
      <c r="NZ42" s="28" t="n"/>
      <c r="OA42" s="28" t="n"/>
      <c r="OB42" s="28" t="n"/>
      <c r="OC42" s="28" t="n"/>
      <c r="OD42" s="28" t="n"/>
      <c r="OE42" s="28" t="n"/>
      <c r="OF42" s="28" t="n"/>
      <c r="OG42" s="28" t="n"/>
      <c r="OH42" s="28" t="n"/>
      <c r="OI42" s="28" t="n"/>
      <c r="OJ42" s="28" t="n"/>
      <c r="OK42" s="28" t="n"/>
      <c r="OL42" s="28" t="n"/>
      <c r="OM42" s="28" t="n"/>
      <c r="ON42" s="28" t="n"/>
      <c r="OO42" s="28" t="n"/>
      <c r="OP42" s="28" t="n"/>
      <c r="OQ42" s="28" t="n"/>
      <c r="OR42" s="28" t="n"/>
      <c r="OS42" s="28" t="n"/>
      <c r="OT42" s="28" t="n"/>
      <c r="OU42" s="28" t="n"/>
      <c r="OV42" s="28" t="n"/>
      <c r="OW42" s="28" t="n"/>
      <c r="OX42" s="28" t="n"/>
      <c r="OY42" s="28" t="n"/>
      <c r="OZ42" s="28" t="n"/>
      <c r="PA42" s="28" t="n"/>
      <c r="PB42" s="28" t="n"/>
      <c r="PC42" s="28" t="n"/>
      <c r="PD42" s="28" t="n"/>
      <c r="PE42" s="28" t="n"/>
      <c r="PF42" s="28" t="n"/>
      <c r="PG42" s="28" t="n"/>
      <c r="PH42" s="28" t="n"/>
      <c r="PI42" s="28" t="n"/>
      <c r="PJ42" s="28" t="n"/>
      <c r="PK42" s="28" t="n"/>
      <c r="PL42" s="28" t="n"/>
      <c r="PM42" s="28" t="n"/>
      <c r="PN42" s="28" t="n"/>
      <c r="PO42" s="28" t="n"/>
      <c r="PP42" s="28" t="n"/>
      <c r="PQ42" s="28" t="n"/>
      <c r="PR42" s="28" t="n"/>
      <c r="PS42" s="28" t="n"/>
      <c r="PT42" s="28" t="n"/>
      <c r="PU42" s="28" t="n"/>
      <c r="PV42" s="28" t="n"/>
      <c r="PW42" s="28" t="n"/>
      <c r="PX42" s="28" t="n"/>
      <c r="PY42" s="28" t="n"/>
      <c r="PZ42" s="28" t="n"/>
      <c r="QA42" s="28" t="n"/>
      <c r="QB42" s="28" t="n"/>
      <c r="QC42" s="28" t="n"/>
      <c r="QD42" s="28" t="n"/>
      <c r="QE42" s="28" t="n"/>
      <c r="QF42" s="28" t="n"/>
      <c r="QG42" s="28" t="n"/>
      <c r="QH42" s="28" t="n"/>
      <c r="QI42" s="28" t="n"/>
      <c r="QJ42" s="28" t="n"/>
      <c r="QK42" s="28" t="n"/>
      <c r="QL42" s="28" t="n"/>
      <c r="QM42" s="28" t="n"/>
      <c r="QN42" s="28" t="n"/>
      <c r="QO42" s="28" t="n"/>
      <c r="QP42" s="28" t="n"/>
      <c r="QQ42" s="28" t="n"/>
      <c r="QR42" s="28" t="n"/>
      <c r="QS42" s="28" t="n"/>
      <c r="QT42" s="28" t="n"/>
      <c r="QU42" s="28" t="n"/>
      <c r="QV42" s="28" t="n"/>
      <c r="QW42" s="28" t="n"/>
      <c r="QX42" s="28" t="n"/>
      <c r="QY42" s="28" t="n"/>
      <c r="QZ42" s="28" t="n"/>
      <c r="RA42" s="28" t="n"/>
      <c r="RB42" s="28" t="n"/>
      <c r="RC42" s="28" t="n"/>
      <c r="RD42" s="28" t="n"/>
      <c r="RE42" s="28" t="n"/>
      <c r="RF42" s="28" t="n"/>
      <c r="RG42" s="28" t="n"/>
      <c r="RH42" s="28" t="n"/>
      <c r="RI42" s="28" t="n"/>
      <c r="RJ42" s="28" t="n"/>
      <c r="RK42" s="28" t="n"/>
      <c r="RL42" s="28" t="n"/>
      <c r="RM42" s="28" t="n"/>
      <c r="RN42" s="28" t="n"/>
      <c r="RO42" s="28" t="n"/>
      <c r="RP42" s="28" t="n"/>
      <c r="RQ42" s="28" t="n"/>
      <c r="RR42" s="28" t="n"/>
      <c r="RS42" s="28" t="n"/>
      <c r="RT42" s="28" t="n"/>
      <c r="RU42" s="28" t="n"/>
      <c r="RV42" s="28" t="n"/>
      <c r="RW42" s="28" t="n"/>
    </row>
    <row r="43" ht="13.05" customHeight="1">
      <c r="E43" s="21" t="inlineStr">
        <is>
          <t>Commitment Fee</t>
        </is>
      </c>
      <c r="F43" s="29" t="n"/>
      <c r="G43" s="29" t="inlineStr">
        <is>
          <t>kEUR</t>
        </is>
      </c>
      <c r="H43" s="29" t="n"/>
      <c r="I43" s="29" t="n"/>
      <c r="J43" s="32" t="n"/>
      <c r="K43" s="29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3" t="n"/>
      <c r="AY43" s="33" t="n"/>
      <c r="AZ43" s="33" t="n"/>
      <c r="BA43" s="33" t="n"/>
      <c r="BB43" s="33" t="n"/>
      <c r="BC43" s="33" t="n"/>
      <c r="BD43" s="33" t="n"/>
      <c r="BE43" s="33" t="n"/>
      <c r="BF43" s="33" t="n"/>
      <c r="BG43" s="33" t="n"/>
      <c r="BH43" s="33" t="n"/>
      <c r="BI43" s="33" t="n"/>
      <c r="BJ43" s="33" t="n"/>
      <c r="BK43" s="33" t="n"/>
      <c r="BL43" s="33" t="n"/>
      <c r="BM43" s="33" t="n"/>
      <c r="BN43" s="33" t="n"/>
      <c r="BO43" s="33" t="n"/>
      <c r="BP43" s="33" t="n"/>
      <c r="BQ43" s="33" t="n"/>
      <c r="BR43" s="33" t="n"/>
      <c r="BS43" s="33" t="n"/>
      <c r="BT43" s="33" t="n"/>
      <c r="BU43" s="33" t="n"/>
      <c r="BV43" s="33" t="n"/>
      <c r="BW43" s="33" t="n"/>
      <c r="BX43" s="33" t="n"/>
      <c r="BY43" s="33" t="n"/>
      <c r="BZ43" s="33" t="n"/>
      <c r="CA43" s="33" t="n"/>
      <c r="CB43" s="33" t="n"/>
      <c r="CC43" s="33" t="n"/>
      <c r="CD43" s="33" t="n"/>
      <c r="CE43" s="33" t="n"/>
      <c r="CF43" s="33" t="n"/>
      <c r="CG43" s="33" t="n"/>
      <c r="CH43" s="33" t="n"/>
      <c r="CI43" s="33" t="n"/>
      <c r="CJ43" s="33" t="n"/>
      <c r="CK43" s="33" t="n"/>
      <c r="CL43" s="33" t="n"/>
      <c r="CM43" s="33" t="n"/>
      <c r="CN43" s="33" t="n"/>
      <c r="CO43" s="33" t="n"/>
      <c r="CP43" s="33" t="n"/>
      <c r="CQ43" s="33" t="n"/>
      <c r="CR43" s="33" t="n"/>
      <c r="CS43" s="33" t="n"/>
      <c r="CT43" s="33" t="n"/>
      <c r="CU43" s="33" t="n"/>
      <c r="CV43" s="33" t="n"/>
      <c r="CW43" s="33" t="n"/>
      <c r="CX43" s="33" t="n"/>
      <c r="CY43" s="33" t="n"/>
      <c r="CZ43" s="33" t="n"/>
      <c r="DA43" s="33" t="n"/>
      <c r="DB43" s="33" t="n"/>
      <c r="DC43" s="33" t="n"/>
      <c r="DD43" s="33" t="n"/>
      <c r="DE43" s="33" t="n"/>
      <c r="DF43" s="33" t="n"/>
      <c r="DG43" s="33" t="n"/>
      <c r="DH43" s="33" t="n"/>
      <c r="DI43" s="33" t="n"/>
      <c r="DJ43" s="33" t="n"/>
      <c r="DK43" s="33" t="n"/>
      <c r="DL43" s="33" t="n"/>
      <c r="DM43" s="33" t="n"/>
      <c r="DN43" s="33" t="n"/>
      <c r="DO43" s="33" t="n"/>
      <c r="DP43" s="33" t="n"/>
      <c r="DQ43" s="33" t="n"/>
      <c r="DR43" s="33" t="n"/>
      <c r="DS43" s="33" t="n"/>
      <c r="DT43" s="33" t="n"/>
      <c r="DU43" s="33" t="n"/>
      <c r="DV43" s="33" t="n"/>
      <c r="DW43" s="33" t="n"/>
      <c r="DX43" s="33" t="n"/>
      <c r="DY43" s="33" t="n"/>
      <c r="DZ43" s="33" t="n"/>
      <c r="EA43" s="33" t="n"/>
      <c r="EB43" s="33" t="n"/>
      <c r="EC43" s="33" t="n"/>
      <c r="ED43" s="33" t="n"/>
      <c r="EE43" s="33" t="n"/>
      <c r="EF43" s="33" t="n"/>
      <c r="EG43" s="33" t="n"/>
      <c r="EH43" s="33" t="n"/>
      <c r="EI43" s="33" t="n"/>
      <c r="EJ43" s="33" t="n"/>
      <c r="EK43" s="33" t="n"/>
      <c r="EL43" s="33" t="n"/>
      <c r="EM43" s="33" t="n"/>
      <c r="EN43" s="33" t="n"/>
      <c r="EO43" s="33" t="n"/>
      <c r="EP43" s="33" t="n"/>
      <c r="EQ43" s="33" t="n"/>
      <c r="ER43" s="33" t="n"/>
      <c r="ES43" s="33" t="n"/>
      <c r="ET43" s="33" t="n"/>
      <c r="EU43" s="33" t="n"/>
      <c r="EV43" s="33" t="n"/>
      <c r="EW43" s="33" t="n"/>
      <c r="EX43" s="33" t="n"/>
      <c r="EY43" s="33" t="n"/>
      <c r="EZ43" s="33" t="n"/>
      <c r="FA43" s="33" t="n"/>
      <c r="FB43" s="33" t="n"/>
      <c r="FC43" s="33" t="n"/>
      <c r="FD43" s="33" t="n"/>
      <c r="FE43" s="33" t="n"/>
      <c r="FF43" s="33" t="n"/>
      <c r="FG43" s="33" t="n"/>
      <c r="FH43" s="33" t="n"/>
      <c r="FI43" s="33" t="n"/>
      <c r="FJ43" s="33" t="n"/>
      <c r="FK43" s="33" t="n"/>
      <c r="FL43" s="33" t="n"/>
      <c r="FM43" s="33" t="n"/>
      <c r="FN43" s="33" t="n"/>
      <c r="FO43" s="33" t="n"/>
      <c r="FP43" s="33" t="n"/>
      <c r="FQ43" s="33" t="n"/>
      <c r="FR43" s="33" t="n"/>
      <c r="FS43" s="33" t="n"/>
      <c r="FT43" s="33" t="n"/>
      <c r="FU43" s="33" t="n"/>
      <c r="FV43" s="33" t="n"/>
      <c r="FW43" s="33" t="n"/>
      <c r="FX43" s="33" t="n"/>
      <c r="FY43" s="33" t="n"/>
      <c r="FZ43" s="33" t="n"/>
      <c r="GA43" s="33" t="n"/>
      <c r="GB43" s="33" t="n"/>
      <c r="GC43" s="33" t="n"/>
      <c r="GD43" s="33" t="n"/>
      <c r="GE43" s="33" t="n"/>
      <c r="GF43" s="33" t="n"/>
      <c r="GG43" s="33" t="n"/>
      <c r="GH43" s="33" t="n"/>
      <c r="GI43" s="33" t="n"/>
      <c r="GJ43" s="33" t="n"/>
      <c r="GK43" s="33" t="n"/>
      <c r="GL43" s="33" t="n"/>
      <c r="GM43" s="33" t="n"/>
      <c r="GN43" s="33" t="n"/>
      <c r="GO43" s="33" t="n"/>
      <c r="GP43" s="33" t="n"/>
      <c r="GQ43" s="33" t="n"/>
      <c r="GR43" s="33" t="n"/>
      <c r="GS43" s="33" t="n"/>
      <c r="GT43" s="33" t="n"/>
      <c r="GU43" s="33" t="n"/>
      <c r="GV43" s="33" t="n"/>
      <c r="GW43" s="33" t="n"/>
      <c r="GX43" s="33" t="n"/>
      <c r="GY43" s="33" t="n"/>
      <c r="GZ43" s="33" t="n"/>
      <c r="HA43" s="33" t="n"/>
      <c r="HB43" s="33" t="n"/>
      <c r="HC43" s="33" t="n"/>
      <c r="HD43" s="33" t="n"/>
      <c r="HE43" s="33" t="n"/>
      <c r="HF43" s="33" t="n"/>
      <c r="HG43" s="33" t="n"/>
      <c r="HH43" s="33" t="n"/>
      <c r="HI43" s="33" t="n"/>
      <c r="HJ43" s="33" t="n"/>
      <c r="HK43" s="33" t="n"/>
      <c r="HL43" s="33" t="n"/>
      <c r="HM43" s="33" t="n"/>
      <c r="HN43" s="33" t="n"/>
      <c r="HO43" s="33" t="n"/>
      <c r="HP43" s="33" t="n"/>
      <c r="HQ43" s="33" t="n"/>
      <c r="HR43" s="33" t="n"/>
      <c r="HS43" s="33" t="n"/>
      <c r="HT43" s="33" t="n"/>
      <c r="HU43" s="33" t="n"/>
      <c r="HV43" s="33" t="n"/>
      <c r="HW43" s="33" t="n"/>
      <c r="HX43" s="33" t="n"/>
      <c r="HY43" s="33" t="n"/>
      <c r="HZ43" s="33" t="n"/>
      <c r="IA43" s="33" t="n"/>
      <c r="IB43" s="33" t="n"/>
      <c r="IC43" s="33" t="n"/>
      <c r="ID43" s="33" t="n"/>
      <c r="IE43" s="33" t="n"/>
      <c r="IF43" s="33" t="n"/>
      <c r="IG43" s="33" t="n"/>
      <c r="IH43" s="33" t="n"/>
      <c r="II43" s="33" t="n"/>
      <c r="IJ43" s="33" t="n"/>
      <c r="IK43" s="33" t="n"/>
      <c r="IL43" s="33" t="n"/>
      <c r="IM43" s="33" t="n"/>
      <c r="IN43" s="33" t="n"/>
      <c r="IO43" s="33" t="n"/>
      <c r="IP43" s="33" t="n"/>
      <c r="IQ43" s="33" t="n"/>
      <c r="IR43" s="33" t="n"/>
      <c r="IS43" s="33" t="n"/>
      <c r="IT43" s="33" t="n"/>
      <c r="IU43" s="33" t="n"/>
      <c r="IV43" s="33" t="n"/>
      <c r="IW43" s="33" t="n"/>
      <c r="IX43" s="33" t="n"/>
      <c r="IY43" s="33" t="n"/>
      <c r="IZ43" s="33" t="n"/>
      <c r="JA43" s="33" t="n"/>
      <c r="JB43" s="33" t="n"/>
      <c r="JC43" s="33" t="n"/>
      <c r="JD43" s="33" t="n"/>
      <c r="JE43" s="33" t="n"/>
      <c r="JF43" s="33" t="n"/>
      <c r="JG43" s="33" t="n"/>
      <c r="JH43" s="33" t="n"/>
      <c r="JI43" s="33" t="n"/>
      <c r="JJ43" s="33" t="n"/>
      <c r="JK43" s="33" t="n"/>
      <c r="JL43" s="33" t="n"/>
      <c r="JM43" s="33" t="n"/>
      <c r="JN43" s="33" t="n"/>
      <c r="JO43" s="33" t="n"/>
      <c r="JP43" s="33" t="n"/>
      <c r="JQ43" s="33" t="n"/>
      <c r="JR43" s="33" t="n"/>
      <c r="JS43" s="33" t="n"/>
      <c r="JT43" s="33" t="n"/>
      <c r="JU43" s="33" t="n"/>
      <c r="JV43" s="33" t="n"/>
      <c r="JW43" s="33" t="n"/>
      <c r="JX43" s="33" t="n"/>
      <c r="JY43" s="33" t="n"/>
      <c r="JZ43" s="33" t="n"/>
      <c r="KA43" s="33" t="n"/>
      <c r="KB43" s="33" t="n"/>
      <c r="KC43" s="33" t="n"/>
      <c r="KD43" s="33" t="n"/>
      <c r="KE43" s="33" t="n"/>
      <c r="KF43" s="33" t="n"/>
      <c r="KG43" s="33" t="n"/>
      <c r="KH43" s="33" t="n"/>
      <c r="KI43" s="33" t="n"/>
      <c r="KJ43" s="33" t="n"/>
      <c r="KK43" s="33" t="n"/>
      <c r="KL43" s="33" t="n"/>
      <c r="KM43" s="33" t="n"/>
      <c r="KN43" s="33" t="n"/>
      <c r="KO43" s="33" t="n"/>
      <c r="KP43" s="33" t="n"/>
      <c r="KQ43" s="33" t="n"/>
      <c r="KR43" s="33" t="n"/>
      <c r="KS43" s="33" t="n"/>
      <c r="KT43" s="33" t="n"/>
      <c r="KU43" s="33" t="n"/>
      <c r="KV43" s="33" t="n"/>
      <c r="KW43" s="33" t="n"/>
      <c r="KX43" s="33" t="n"/>
      <c r="KY43" s="33" t="n"/>
      <c r="KZ43" s="33" t="n"/>
      <c r="LA43" s="33" t="n"/>
      <c r="LB43" s="33" t="n"/>
      <c r="LC43" s="33" t="n"/>
      <c r="LD43" s="33" t="n"/>
      <c r="LE43" s="33" t="n"/>
      <c r="LF43" s="33" t="n"/>
      <c r="LG43" s="33" t="n"/>
      <c r="LH43" s="33" t="n"/>
      <c r="LI43" s="33" t="n"/>
      <c r="LJ43" s="33" t="n"/>
      <c r="LK43" s="33" t="n"/>
      <c r="LL43" s="33" t="n"/>
      <c r="LM43" s="33" t="n"/>
      <c r="LN43" s="33" t="n"/>
      <c r="LO43" s="33" t="n"/>
      <c r="LP43" s="33" t="n"/>
      <c r="LQ43" s="33" t="n"/>
      <c r="LR43" s="33" t="n"/>
      <c r="LS43" s="33" t="n"/>
      <c r="LT43" s="33" t="n"/>
      <c r="LU43" s="33" t="n"/>
      <c r="LV43" s="33" t="n"/>
      <c r="LW43" s="33" t="n"/>
      <c r="LX43" s="33" t="n"/>
      <c r="LY43" s="33" t="n"/>
      <c r="LZ43" s="33" t="n"/>
      <c r="MA43" s="33" t="n"/>
      <c r="MB43" s="33" t="n"/>
      <c r="MC43" s="33" t="n"/>
      <c r="MD43" s="33" t="n"/>
      <c r="ME43" s="33" t="n"/>
      <c r="MF43" s="33" t="n"/>
      <c r="MG43" s="33" t="n"/>
      <c r="MH43" s="33" t="n"/>
      <c r="MI43" s="33" t="n"/>
      <c r="MJ43" s="33" t="n"/>
      <c r="MK43" s="33" t="n"/>
      <c r="ML43" s="33" t="n"/>
      <c r="MM43" s="33" t="n"/>
      <c r="MN43" s="33" t="n"/>
      <c r="MO43" s="33" t="n"/>
      <c r="MP43" s="33" t="n"/>
      <c r="MQ43" s="33" t="n"/>
      <c r="MR43" s="33" t="n"/>
      <c r="MS43" s="33" t="n"/>
      <c r="MT43" s="33" t="n"/>
      <c r="MU43" s="33" t="n"/>
      <c r="MV43" s="33" t="n"/>
      <c r="MW43" s="33" t="n"/>
      <c r="MX43" s="33" t="n"/>
      <c r="MY43" s="33" t="n"/>
      <c r="MZ43" s="33" t="n"/>
      <c r="NA43" s="33" t="n"/>
      <c r="NB43" s="33" t="n"/>
      <c r="NC43" s="33" t="n"/>
      <c r="ND43" s="33" t="n"/>
      <c r="NE43" s="33" t="n"/>
      <c r="NF43" s="33" t="n"/>
      <c r="NG43" s="33" t="n"/>
      <c r="NH43" s="33" t="n"/>
      <c r="NI43" s="33" t="n"/>
      <c r="NJ43" s="33" t="n"/>
      <c r="NK43" s="33" t="n"/>
      <c r="NL43" s="33" t="n"/>
      <c r="NM43" s="33" t="n"/>
      <c r="NN43" s="33" t="n"/>
      <c r="NO43" s="33" t="n"/>
      <c r="NP43" s="33" t="n"/>
      <c r="NQ43" s="33" t="n"/>
      <c r="NR43" s="33" t="n"/>
      <c r="NS43" s="33" t="n"/>
      <c r="NT43" s="33" t="n"/>
      <c r="NU43" s="33" t="n"/>
      <c r="NV43" s="33" t="n"/>
      <c r="NW43" s="33" t="n"/>
      <c r="NX43" s="33" t="n"/>
      <c r="NY43" s="33" t="n"/>
      <c r="NZ43" s="33" t="n"/>
      <c r="OA43" s="33" t="n"/>
      <c r="OB43" s="33" t="n"/>
      <c r="OC43" s="33" t="n"/>
      <c r="OD43" s="33" t="n"/>
      <c r="OE43" s="33" t="n"/>
      <c r="OF43" s="33" t="n"/>
      <c r="OG43" s="33" t="n"/>
      <c r="OH43" s="33" t="n"/>
      <c r="OI43" s="33" t="n"/>
      <c r="OJ43" s="33" t="n"/>
      <c r="OK43" s="33" t="n"/>
      <c r="OL43" s="33" t="n"/>
      <c r="OM43" s="33" t="n"/>
      <c r="ON43" s="33" t="n"/>
      <c r="OO43" s="33" t="n"/>
      <c r="OP43" s="33" t="n"/>
      <c r="OQ43" s="33" t="n"/>
      <c r="OR43" s="33" t="n"/>
      <c r="OS43" s="33" t="n"/>
      <c r="OT43" s="33" t="n"/>
      <c r="OU43" s="33" t="n"/>
      <c r="OV43" s="33" t="n"/>
      <c r="OW43" s="33" t="n"/>
      <c r="OX43" s="33" t="n"/>
      <c r="OY43" s="33" t="n"/>
      <c r="OZ43" s="33" t="n"/>
      <c r="PA43" s="33" t="n"/>
      <c r="PB43" s="33" t="n"/>
      <c r="PC43" s="33" t="n"/>
      <c r="PD43" s="33" t="n"/>
      <c r="PE43" s="33" t="n"/>
      <c r="PF43" s="33" t="n"/>
      <c r="PG43" s="33" t="n"/>
      <c r="PH43" s="33" t="n"/>
      <c r="PI43" s="33" t="n"/>
      <c r="PJ43" s="33" t="n"/>
      <c r="PK43" s="33" t="n"/>
      <c r="PL43" s="33" t="n"/>
      <c r="PM43" s="33" t="n"/>
      <c r="PN43" s="33" t="n"/>
      <c r="PO43" s="33" t="n"/>
      <c r="PP43" s="33" t="n"/>
      <c r="PQ43" s="33" t="n"/>
      <c r="PR43" s="33" t="n"/>
      <c r="PS43" s="33" t="n"/>
      <c r="PT43" s="33" t="n"/>
      <c r="PU43" s="33" t="n"/>
      <c r="PV43" s="33" t="n"/>
      <c r="PW43" s="33" t="n"/>
      <c r="PX43" s="33" t="n"/>
      <c r="PY43" s="33" t="n"/>
      <c r="PZ43" s="33" t="n"/>
      <c r="QA43" s="33" t="n"/>
      <c r="QB43" s="33" t="n"/>
      <c r="QC43" s="33" t="n"/>
      <c r="QD43" s="33" t="n"/>
      <c r="QE43" s="33" t="n"/>
      <c r="QF43" s="33" t="n"/>
      <c r="QG43" s="33" t="n"/>
      <c r="QH43" s="33" t="n"/>
      <c r="QI43" s="33" t="n"/>
      <c r="QJ43" s="33" t="n"/>
      <c r="QK43" s="33" t="n"/>
      <c r="QL43" s="33" t="n"/>
      <c r="QM43" s="33" t="n"/>
      <c r="QN43" s="33" t="n"/>
      <c r="QO43" s="33" t="n"/>
      <c r="QP43" s="33" t="n"/>
      <c r="QQ43" s="33" t="n"/>
      <c r="QR43" s="33" t="n"/>
      <c r="QS43" s="33" t="n"/>
      <c r="QT43" s="33" t="n"/>
      <c r="QU43" s="33" t="n"/>
      <c r="QV43" s="33" t="n"/>
      <c r="QW43" s="33" t="n"/>
      <c r="QX43" s="33" t="n"/>
      <c r="QY43" s="33" t="n"/>
      <c r="QZ43" s="33" t="n"/>
      <c r="RA43" s="33" t="n"/>
      <c r="RB43" s="33" t="n"/>
      <c r="RC43" s="33" t="n"/>
      <c r="RD43" s="33" t="n"/>
      <c r="RE43" s="33" t="n"/>
      <c r="RF43" s="33" t="n"/>
      <c r="RG43" s="33" t="n"/>
      <c r="RH43" s="33" t="n"/>
      <c r="RI43" s="33" t="n"/>
      <c r="RJ43" s="33" t="n"/>
      <c r="RK43" s="33" t="n"/>
      <c r="RL43" s="33" t="n"/>
      <c r="RM43" s="33" t="n"/>
      <c r="RN43" s="33" t="n"/>
      <c r="RO43" s="33" t="n"/>
      <c r="RP43" s="33" t="n"/>
      <c r="RQ43" s="33" t="n"/>
      <c r="RR43" s="33" t="n"/>
      <c r="RS43" s="33" t="n"/>
      <c r="RT43" s="33" t="n"/>
      <c r="RU43" s="33" t="n"/>
      <c r="RV43" s="33" t="n"/>
      <c r="RW43" s="33" t="n"/>
    </row>
    <row r="44" ht="5.25" customHeight="1"/>
    <row r="45" ht="13.05" customHeight="1">
      <c r="E45" s="39" t="inlineStr">
        <is>
          <t>Sculpted Debt</t>
        </is>
      </c>
      <c r="F45" s="39" t="n"/>
      <c r="G45" s="39" t="n"/>
    </row>
    <row r="46" ht="13.05" customHeight="1">
      <c r="E46" s="21" t="inlineStr">
        <is>
          <t>Opening Balance</t>
        </is>
      </c>
      <c r="F46" s="29" t="n"/>
      <c r="G46" s="29" t="inlineStr">
        <is>
          <t>kEUR</t>
        </is>
      </c>
      <c r="H46" s="29" t="n"/>
      <c r="I46" s="29" t="n"/>
      <c r="J46" s="32" t="n"/>
      <c r="K46" s="29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3" t="n"/>
      <c r="AY46" s="33" t="n"/>
      <c r="AZ46" s="33" t="n"/>
      <c r="BA46" s="33" t="n"/>
      <c r="BB46" s="33" t="n"/>
      <c r="BC46" s="33" t="n"/>
      <c r="BD46" s="33" t="n"/>
      <c r="BE46" s="33" t="n"/>
      <c r="BF46" s="33" t="n"/>
      <c r="BG46" s="33" t="n"/>
      <c r="BH46" s="33" t="n"/>
      <c r="BI46" s="33" t="n"/>
      <c r="BJ46" s="33" t="n"/>
      <c r="BK46" s="33" t="n"/>
      <c r="BL46" s="33" t="n"/>
      <c r="BM46" s="33" t="n"/>
      <c r="BN46" s="33" t="n"/>
      <c r="BO46" s="33" t="n"/>
      <c r="BP46" s="33" t="n"/>
      <c r="BQ46" s="33" t="n"/>
      <c r="BR46" s="33" t="n"/>
      <c r="BS46" s="33" t="n"/>
      <c r="BT46" s="33" t="n"/>
      <c r="BU46" s="33" t="n"/>
      <c r="BV46" s="33" t="n"/>
      <c r="BW46" s="33" t="n"/>
      <c r="BX46" s="33" t="n"/>
      <c r="BY46" s="33" t="n"/>
      <c r="BZ46" s="33" t="n"/>
      <c r="CA46" s="33" t="n"/>
      <c r="CB46" s="33" t="n"/>
      <c r="CC46" s="33" t="n"/>
      <c r="CD46" s="33" t="n"/>
      <c r="CE46" s="33" t="n"/>
      <c r="CF46" s="33" t="n"/>
      <c r="CG46" s="33" t="n"/>
      <c r="CH46" s="33" t="n"/>
      <c r="CI46" s="33" t="n"/>
      <c r="CJ46" s="33" t="n"/>
      <c r="CK46" s="33" t="n"/>
      <c r="CL46" s="33" t="n"/>
      <c r="CM46" s="33" t="n"/>
      <c r="CN46" s="33" t="n"/>
      <c r="CO46" s="33" t="n"/>
      <c r="CP46" s="33" t="n"/>
      <c r="CQ46" s="33" t="n"/>
      <c r="CR46" s="33" t="n"/>
      <c r="CS46" s="33" t="n"/>
      <c r="CT46" s="33" t="n"/>
      <c r="CU46" s="33" t="n"/>
      <c r="CV46" s="33" t="n"/>
      <c r="CW46" s="33" t="n"/>
      <c r="CX46" s="33" t="n"/>
      <c r="CY46" s="33" t="n"/>
      <c r="CZ46" s="33" t="n"/>
      <c r="DA46" s="33" t="n"/>
      <c r="DB46" s="33" t="n"/>
      <c r="DC46" s="33" t="n"/>
      <c r="DD46" s="33" t="n"/>
      <c r="DE46" s="33" t="n"/>
      <c r="DF46" s="33" t="n"/>
      <c r="DG46" s="33" t="n"/>
      <c r="DH46" s="33" t="n"/>
      <c r="DI46" s="33" t="n"/>
      <c r="DJ46" s="33" t="n"/>
      <c r="DK46" s="33" t="n"/>
      <c r="DL46" s="33" t="n"/>
      <c r="DM46" s="33" t="n"/>
      <c r="DN46" s="33" t="n"/>
      <c r="DO46" s="33" t="n"/>
      <c r="DP46" s="33" t="n"/>
      <c r="DQ46" s="33" t="n"/>
      <c r="DR46" s="33" t="n"/>
      <c r="DS46" s="33" t="n"/>
      <c r="DT46" s="33" t="n"/>
      <c r="DU46" s="33" t="n"/>
      <c r="DV46" s="33" t="n"/>
      <c r="DW46" s="33" t="n"/>
      <c r="DX46" s="33" t="n"/>
      <c r="DY46" s="33" t="n"/>
      <c r="DZ46" s="33" t="n"/>
      <c r="EA46" s="33" t="n"/>
      <c r="EB46" s="33" t="n"/>
      <c r="EC46" s="33" t="n"/>
      <c r="ED46" s="33" t="n"/>
      <c r="EE46" s="33" t="n"/>
      <c r="EF46" s="33" t="n"/>
      <c r="EG46" s="33" t="n"/>
      <c r="EH46" s="33" t="n"/>
      <c r="EI46" s="33" t="n"/>
      <c r="EJ46" s="33" t="n"/>
      <c r="EK46" s="33" t="n"/>
      <c r="EL46" s="33" t="n"/>
      <c r="EM46" s="33" t="n"/>
      <c r="EN46" s="33" t="n"/>
      <c r="EO46" s="33" t="n"/>
      <c r="EP46" s="33" t="n"/>
      <c r="EQ46" s="33" t="n"/>
      <c r="ER46" s="33" t="n"/>
      <c r="ES46" s="33" t="n"/>
      <c r="ET46" s="33" t="n"/>
      <c r="EU46" s="33" t="n"/>
      <c r="EV46" s="33" t="n"/>
      <c r="EW46" s="33" t="n"/>
      <c r="EX46" s="33" t="n"/>
      <c r="EY46" s="33" t="n"/>
      <c r="EZ46" s="33" t="n"/>
      <c r="FA46" s="33" t="n"/>
      <c r="FB46" s="33" t="n"/>
      <c r="FC46" s="33" t="n"/>
      <c r="FD46" s="33" t="n"/>
      <c r="FE46" s="33" t="n"/>
      <c r="FF46" s="33" t="n"/>
      <c r="FG46" s="33" t="n"/>
      <c r="FH46" s="33" t="n"/>
      <c r="FI46" s="33" t="n"/>
      <c r="FJ46" s="33" t="n"/>
      <c r="FK46" s="33" t="n"/>
      <c r="FL46" s="33" t="n"/>
      <c r="FM46" s="33" t="n"/>
      <c r="FN46" s="33" t="n"/>
      <c r="FO46" s="33" t="n"/>
      <c r="FP46" s="33" t="n"/>
      <c r="FQ46" s="33" t="n"/>
      <c r="FR46" s="33" t="n"/>
      <c r="FS46" s="33" t="n"/>
      <c r="FT46" s="33" t="n"/>
      <c r="FU46" s="33" t="n"/>
      <c r="FV46" s="33" t="n"/>
      <c r="FW46" s="33" t="n"/>
      <c r="FX46" s="33" t="n"/>
      <c r="FY46" s="33" t="n"/>
      <c r="FZ46" s="33" t="n"/>
      <c r="GA46" s="33" t="n"/>
      <c r="GB46" s="33" t="n"/>
      <c r="GC46" s="33" t="n"/>
      <c r="GD46" s="33" t="n"/>
      <c r="GE46" s="33" t="n"/>
      <c r="GF46" s="33" t="n"/>
      <c r="GG46" s="33" t="n"/>
      <c r="GH46" s="33" t="n"/>
      <c r="GI46" s="33" t="n"/>
      <c r="GJ46" s="33" t="n"/>
      <c r="GK46" s="33" t="n"/>
      <c r="GL46" s="33" t="n"/>
      <c r="GM46" s="33" t="n"/>
      <c r="GN46" s="33" t="n"/>
      <c r="GO46" s="33" t="n"/>
      <c r="GP46" s="33" t="n"/>
      <c r="GQ46" s="33" t="n"/>
      <c r="GR46" s="33" t="n"/>
      <c r="GS46" s="33" t="n"/>
      <c r="GT46" s="33" t="n"/>
      <c r="GU46" s="33" t="n"/>
      <c r="GV46" s="33" t="n"/>
      <c r="GW46" s="33" t="n"/>
      <c r="GX46" s="33" t="n"/>
      <c r="GY46" s="33" t="n"/>
      <c r="GZ46" s="33" t="n"/>
      <c r="HA46" s="33" t="n"/>
      <c r="HB46" s="33" t="n"/>
      <c r="HC46" s="33" t="n"/>
      <c r="HD46" s="33" t="n"/>
      <c r="HE46" s="33" t="n"/>
      <c r="HF46" s="33" t="n"/>
      <c r="HG46" s="33" t="n"/>
      <c r="HH46" s="33" t="n"/>
      <c r="HI46" s="33" t="n"/>
      <c r="HJ46" s="33" t="n"/>
      <c r="HK46" s="33" t="n"/>
      <c r="HL46" s="33" t="n"/>
      <c r="HM46" s="33" t="n"/>
      <c r="HN46" s="33" t="n"/>
      <c r="HO46" s="33" t="n"/>
      <c r="HP46" s="33" t="n"/>
      <c r="HQ46" s="33" t="n"/>
      <c r="HR46" s="33" t="n"/>
      <c r="HS46" s="33" t="n"/>
      <c r="HT46" s="33" t="n"/>
      <c r="HU46" s="33" t="n"/>
      <c r="HV46" s="33" t="n"/>
      <c r="HW46" s="33" t="n"/>
      <c r="HX46" s="33" t="n"/>
      <c r="HY46" s="33" t="n"/>
      <c r="HZ46" s="33" t="n"/>
      <c r="IA46" s="33" t="n"/>
      <c r="IB46" s="33" t="n"/>
      <c r="IC46" s="33" t="n"/>
      <c r="ID46" s="33" t="n"/>
      <c r="IE46" s="33" t="n"/>
      <c r="IF46" s="33" t="n"/>
      <c r="IG46" s="33" t="n"/>
      <c r="IH46" s="33" t="n"/>
      <c r="II46" s="33" t="n"/>
      <c r="IJ46" s="33" t="n"/>
      <c r="IK46" s="33" t="n"/>
      <c r="IL46" s="33" t="n"/>
      <c r="IM46" s="33" t="n"/>
      <c r="IN46" s="33" t="n"/>
      <c r="IO46" s="33" t="n"/>
      <c r="IP46" s="33" t="n"/>
      <c r="IQ46" s="33" t="n"/>
      <c r="IR46" s="33" t="n"/>
      <c r="IS46" s="33" t="n"/>
      <c r="IT46" s="33" t="n"/>
      <c r="IU46" s="33" t="n"/>
      <c r="IV46" s="33" t="n"/>
      <c r="IW46" s="33" t="n"/>
      <c r="IX46" s="33" t="n"/>
      <c r="IY46" s="33" t="n"/>
      <c r="IZ46" s="33" t="n"/>
      <c r="JA46" s="33" t="n"/>
      <c r="JB46" s="33" t="n"/>
      <c r="JC46" s="33" t="n"/>
      <c r="JD46" s="33" t="n"/>
      <c r="JE46" s="33" t="n"/>
      <c r="JF46" s="33" t="n"/>
      <c r="JG46" s="33" t="n"/>
      <c r="JH46" s="33" t="n"/>
      <c r="JI46" s="33" t="n"/>
      <c r="JJ46" s="33" t="n"/>
      <c r="JK46" s="33" t="n"/>
      <c r="JL46" s="33" t="n"/>
      <c r="JM46" s="33" t="n"/>
      <c r="JN46" s="33" t="n"/>
      <c r="JO46" s="33" t="n"/>
      <c r="JP46" s="33" t="n"/>
      <c r="JQ46" s="33" t="n"/>
      <c r="JR46" s="33" t="n"/>
      <c r="JS46" s="33" t="n"/>
      <c r="JT46" s="33" t="n"/>
      <c r="JU46" s="33" t="n"/>
      <c r="JV46" s="33" t="n"/>
      <c r="JW46" s="33" t="n"/>
      <c r="JX46" s="33" t="n"/>
      <c r="JY46" s="33" t="n"/>
      <c r="JZ46" s="33" t="n"/>
      <c r="KA46" s="33" t="n"/>
      <c r="KB46" s="33" t="n"/>
      <c r="KC46" s="33" t="n"/>
      <c r="KD46" s="33" t="n"/>
      <c r="KE46" s="33" t="n"/>
      <c r="KF46" s="33" t="n"/>
      <c r="KG46" s="33" t="n"/>
      <c r="KH46" s="33" t="n"/>
      <c r="KI46" s="33" t="n"/>
      <c r="KJ46" s="33" t="n"/>
      <c r="KK46" s="33" t="n"/>
      <c r="KL46" s="33" t="n"/>
      <c r="KM46" s="33" t="n"/>
      <c r="KN46" s="33" t="n"/>
      <c r="KO46" s="33" t="n"/>
      <c r="KP46" s="33" t="n"/>
      <c r="KQ46" s="33" t="n"/>
      <c r="KR46" s="33" t="n"/>
      <c r="KS46" s="33" t="n"/>
      <c r="KT46" s="33" t="n"/>
      <c r="KU46" s="33" t="n"/>
      <c r="KV46" s="33" t="n"/>
      <c r="KW46" s="33" t="n"/>
      <c r="KX46" s="33" t="n"/>
      <c r="KY46" s="33" t="n"/>
      <c r="KZ46" s="33" t="n"/>
      <c r="LA46" s="33" t="n"/>
      <c r="LB46" s="33" t="n"/>
      <c r="LC46" s="33" t="n"/>
      <c r="LD46" s="33" t="n"/>
      <c r="LE46" s="33" t="n"/>
      <c r="LF46" s="33" t="n"/>
      <c r="LG46" s="33" t="n"/>
      <c r="LH46" s="33" t="n"/>
      <c r="LI46" s="33" t="n"/>
      <c r="LJ46" s="33" t="n"/>
      <c r="LK46" s="33" t="n"/>
      <c r="LL46" s="33" t="n"/>
      <c r="LM46" s="33" t="n"/>
      <c r="LN46" s="33" t="n"/>
      <c r="LO46" s="33" t="n"/>
      <c r="LP46" s="33" t="n"/>
      <c r="LQ46" s="33" t="n"/>
      <c r="LR46" s="33" t="n"/>
      <c r="LS46" s="33" t="n"/>
      <c r="LT46" s="33" t="n"/>
      <c r="LU46" s="33" t="n"/>
      <c r="LV46" s="33" t="n"/>
      <c r="LW46" s="33" t="n"/>
      <c r="LX46" s="33" t="n"/>
      <c r="LY46" s="33" t="n"/>
      <c r="LZ46" s="33" t="n"/>
      <c r="MA46" s="33" t="n"/>
      <c r="MB46" s="33" t="n"/>
      <c r="MC46" s="33" t="n"/>
      <c r="MD46" s="33" t="n"/>
      <c r="ME46" s="33" t="n"/>
      <c r="MF46" s="33" t="n"/>
      <c r="MG46" s="33" t="n"/>
      <c r="MH46" s="33" t="n"/>
      <c r="MI46" s="33" t="n"/>
      <c r="MJ46" s="33" t="n"/>
      <c r="MK46" s="33" t="n"/>
      <c r="ML46" s="33" t="n"/>
      <c r="MM46" s="33" t="n"/>
      <c r="MN46" s="33" t="n"/>
      <c r="MO46" s="33" t="n"/>
      <c r="MP46" s="33" t="n"/>
      <c r="MQ46" s="33" t="n"/>
      <c r="MR46" s="33" t="n"/>
      <c r="MS46" s="33" t="n"/>
      <c r="MT46" s="33" t="n"/>
      <c r="MU46" s="33" t="n"/>
      <c r="MV46" s="33" t="n"/>
      <c r="MW46" s="33" t="n"/>
      <c r="MX46" s="33" t="n"/>
      <c r="MY46" s="33" t="n"/>
      <c r="MZ46" s="33" t="n"/>
      <c r="NA46" s="33" t="n"/>
      <c r="NB46" s="33" t="n"/>
      <c r="NC46" s="33" t="n"/>
      <c r="ND46" s="33" t="n"/>
      <c r="NE46" s="33" t="n"/>
      <c r="NF46" s="33" t="n"/>
      <c r="NG46" s="33" t="n"/>
      <c r="NH46" s="33" t="n"/>
      <c r="NI46" s="33" t="n"/>
      <c r="NJ46" s="33" t="n"/>
      <c r="NK46" s="33" t="n"/>
      <c r="NL46" s="33" t="n"/>
      <c r="NM46" s="33" t="n"/>
      <c r="NN46" s="33" t="n"/>
      <c r="NO46" s="33" t="n"/>
      <c r="NP46" s="33" t="n"/>
      <c r="NQ46" s="33" t="n"/>
      <c r="NR46" s="33" t="n"/>
      <c r="NS46" s="33" t="n"/>
      <c r="NT46" s="33" t="n"/>
      <c r="NU46" s="33" t="n"/>
      <c r="NV46" s="33" t="n"/>
      <c r="NW46" s="33" t="n"/>
      <c r="NX46" s="33" t="n"/>
      <c r="NY46" s="33" t="n"/>
      <c r="NZ46" s="33" t="n"/>
      <c r="OA46" s="33" t="n"/>
      <c r="OB46" s="33" t="n"/>
      <c r="OC46" s="33" t="n"/>
      <c r="OD46" s="33" t="n"/>
      <c r="OE46" s="33" t="n"/>
      <c r="OF46" s="33" t="n"/>
      <c r="OG46" s="33" t="n"/>
      <c r="OH46" s="33" t="n"/>
      <c r="OI46" s="33" t="n"/>
      <c r="OJ46" s="33" t="n"/>
      <c r="OK46" s="33" t="n"/>
      <c r="OL46" s="33" t="n"/>
      <c r="OM46" s="33" t="n"/>
      <c r="ON46" s="33" t="n"/>
      <c r="OO46" s="33" t="n"/>
      <c r="OP46" s="33" t="n"/>
      <c r="OQ46" s="33" t="n"/>
      <c r="OR46" s="33" t="n"/>
      <c r="OS46" s="33" t="n"/>
      <c r="OT46" s="33" t="n"/>
      <c r="OU46" s="33" t="n"/>
      <c r="OV46" s="33" t="n"/>
      <c r="OW46" s="33" t="n"/>
      <c r="OX46" s="33" t="n"/>
      <c r="OY46" s="33" t="n"/>
      <c r="OZ46" s="33" t="n"/>
      <c r="PA46" s="33" t="n"/>
      <c r="PB46" s="33" t="n"/>
      <c r="PC46" s="33" t="n"/>
      <c r="PD46" s="33" t="n"/>
      <c r="PE46" s="33" t="n"/>
      <c r="PF46" s="33" t="n"/>
      <c r="PG46" s="33" t="n"/>
      <c r="PH46" s="33" t="n"/>
      <c r="PI46" s="33" t="n"/>
      <c r="PJ46" s="33" t="n"/>
      <c r="PK46" s="33" t="n"/>
      <c r="PL46" s="33" t="n"/>
      <c r="PM46" s="33" t="n"/>
      <c r="PN46" s="33" t="n"/>
      <c r="PO46" s="33" t="n"/>
      <c r="PP46" s="33" t="n"/>
      <c r="PQ46" s="33" t="n"/>
      <c r="PR46" s="33" t="n"/>
      <c r="PS46" s="33" t="n"/>
      <c r="PT46" s="33" t="n"/>
      <c r="PU46" s="33" t="n"/>
      <c r="PV46" s="33" t="n"/>
      <c r="PW46" s="33" t="n"/>
      <c r="PX46" s="33" t="n"/>
      <c r="PY46" s="33" t="n"/>
      <c r="PZ46" s="33" t="n"/>
      <c r="QA46" s="33" t="n"/>
      <c r="QB46" s="33" t="n"/>
      <c r="QC46" s="33" t="n"/>
      <c r="QD46" s="33" t="n"/>
      <c r="QE46" s="33" t="n"/>
      <c r="QF46" s="33" t="n"/>
      <c r="QG46" s="33" t="n"/>
      <c r="QH46" s="33" t="n"/>
      <c r="QI46" s="33" t="n"/>
      <c r="QJ46" s="33" t="n"/>
      <c r="QK46" s="33" t="n"/>
      <c r="QL46" s="33" t="n"/>
      <c r="QM46" s="33" t="n"/>
      <c r="QN46" s="33" t="n"/>
      <c r="QO46" s="33" t="n"/>
      <c r="QP46" s="33" t="n"/>
      <c r="QQ46" s="33" t="n"/>
      <c r="QR46" s="33" t="n"/>
      <c r="QS46" s="33" t="n"/>
      <c r="QT46" s="33" t="n"/>
      <c r="QU46" s="33" t="n"/>
      <c r="QV46" s="33" t="n"/>
      <c r="QW46" s="33" t="n"/>
      <c r="QX46" s="33" t="n"/>
      <c r="QY46" s="33" t="n"/>
      <c r="QZ46" s="33" t="n"/>
      <c r="RA46" s="33" t="n"/>
      <c r="RB46" s="33" t="n"/>
      <c r="RC46" s="33" t="n"/>
      <c r="RD46" s="33" t="n"/>
      <c r="RE46" s="33" t="n"/>
      <c r="RF46" s="33" t="n"/>
      <c r="RG46" s="33" t="n"/>
      <c r="RH46" s="33" t="n"/>
      <c r="RI46" s="33" t="n"/>
      <c r="RJ46" s="33" t="n"/>
      <c r="RK46" s="33" t="n"/>
      <c r="RL46" s="33" t="n"/>
      <c r="RM46" s="33" t="n"/>
      <c r="RN46" s="33" t="n"/>
      <c r="RO46" s="33" t="n"/>
      <c r="RP46" s="33" t="n"/>
      <c r="RQ46" s="33" t="n"/>
      <c r="RR46" s="33" t="n"/>
      <c r="RS46" s="33" t="n"/>
      <c r="RT46" s="33" t="n"/>
      <c r="RU46" s="33" t="n"/>
      <c r="RV46" s="33" t="n"/>
      <c r="RW46" s="33" t="n"/>
    </row>
    <row r="47" hidden="1" outlineLevel="1" ht="13.05" customHeight="1">
      <c r="E47" s="21" t="inlineStr">
        <is>
          <t>Drawdown</t>
        </is>
      </c>
      <c r="F47" s="29" t="n"/>
      <c r="G47" s="29" t="inlineStr">
        <is>
          <t>kEUR</t>
        </is>
      </c>
      <c r="H47" s="29" t="n"/>
      <c r="I47" s="29" t="n"/>
      <c r="J47" s="32" t="n"/>
      <c r="K47" s="29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3" t="n"/>
      <c r="AY47" s="33" t="n"/>
      <c r="AZ47" s="33" t="n"/>
      <c r="BA47" s="33" t="n"/>
      <c r="BB47" s="33" t="n"/>
      <c r="BC47" s="33" t="n"/>
      <c r="BD47" s="33" t="n"/>
      <c r="BE47" s="33" t="n"/>
      <c r="BF47" s="33" t="n"/>
      <c r="BG47" s="33" t="n"/>
      <c r="BH47" s="33" t="n"/>
      <c r="BI47" s="33" t="n"/>
      <c r="BJ47" s="33" t="n"/>
      <c r="BK47" s="33" t="n"/>
      <c r="BL47" s="33" t="n"/>
      <c r="BM47" s="33" t="n"/>
      <c r="BN47" s="33" t="n"/>
      <c r="BO47" s="33" t="n"/>
      <c r="BP47" s="33" t="n"/>
      <c r="BQ47" s="33" t="n"/>
      <c r="BR47" s="33" t="n"/>
      <c r="BS47" s="33" t="n"/>
      <c r="BT47" s="33" t="n"/>
      <c r="BU47" s="33" t="n"/>
      <c r="BV47" s="33" t="n"/>
      <c r="BW47" s="33" t="n"/>
      <c r="BX47" s="33" t="n"/>
      <c r="BY47" s="33" t="n"/>
      <c r="BZ47" s="33" t="n"/>
      <c r="CA47" s="33" t="n"/>
      <c r="CB47" s="33" t="n"/>
      <c r="CC47" s="33" t="n"/>
      <c r="CD47" s="33" t="n"/>
      <c r="CE47" s="33" t="n"/>
      <c r="CF47" s="33" t="n"/>
      <c r="CG47" s="33" t="n"/>
      <c r="CH47" s="33" t="n"/>
      <c r="CI47" s="33" t="n"/>
      <c r="CJ47" s="33" t="n"/>
      <c r="CK47" s="33" t="n"/>
      <c r="CL47" s="33" t="n"/>
      <c r="CM47" s="33" t="n"/>
      <c r="CN47" s="33" t="n"/>
      <c r="CO47" s="33" t="n"/>
      <c r="CP47" s="33" t="n"/>
      <c r="CQ47" s="33" t="n"/>
      <c r="CR47" s="33" t="n"/>
      <c r="CS47" s="33" t="n"/>
      <c r="CT47" s="33" t="n"/>
      <c r="CU47" s="33" t="n"/>
      <c r="CV47" s="33" t="n"/>
      <c r="CW47" s="33" t="n"/>
      <c r="CX47" s="33" t="n"/>
      <c r="CY47" s="33" t="n"/>
      <c r="CZ47" s="33" t="n"/>
      <c r="DA47" s="33" t="n"/>
      <c r="DB47" s="33" t="n"/>
      <c r="DC47" s="33" t="n"/>
      <c r="DD47" s="33" t="n"/>
      <c r="DE47" s="33" t="n"/>
      <c r="DF47" s="33" t="n"/>
      <c r="DG47" s="33" t="n"/>
      <c r="DH47" s="33" t="n"/>
      <c r="DI47" s="33" t="n"/>
      <c r="DJ47" s="33" t="n"/>
      <c r="DK47" s="33" t="n"/>
      <c r="DL47" s="33" t="n"/>
      <c r="DM47" s="33" t="n"/>
      <c r="DN47" s="33" t="n"/>
      <c r="DO47" s="33" t="n"/>
      <c r="DP47" s="33" t="n"/>
      <c r="DQ47" s="33" t="n"/>
      <c r="DR47" s="33" t="n"/>
      <c r="DS47" s="33" t="n"/>
      <c r="DT47" s="33" t="n"/>
      <c r="DU47" s="33" t="n"/>
      <c r="DV47" s="33" t="n"/>
      <c r="DW47" s="33" t="n"/>
      <c r="DX47" s="33" t="n"/>
      <c r="DY47" s="33" t="n"/>
      <c r="DZ47" s="33" t="n"/>
      <c r="EA47" s="33" t="n"/>
      <c r="EB47" s="33" t="n"/>
      <c r="EC47" s="33" t="n"/>
      <c r="ED47" s="33" t="n"/>
      <c r="EE47" s="33" t="n"/>
      <c r="EF47" s="33" t="n"/>
      <c r="EG47" s="33" t="n"/>
      <c r="EH47" s="33" t="n"/>
      <c r="EI47" s="33" t="n"/>
      <c r="EJ47" s="33" t="n"/>
      <c r="EK47" s="33" t="n"/>
      <c r="EL47" s="33" t="n"/>
      <c r="EM47" s="33" t="n"/>
      <c r="EN47" s="33" t="n"/>
      <c r="EO47" s="33" t="n"/>
      <c r="EP47" s="33" t="n"/>
      <c r="EQ47" s="33" t="n"/>
      <c r="ER47" s="33" t="n"/>
      <c r="ES47" s="33" t="n"/>
      <c r="ET47" s="33" t="n"/>
      <c r="EU47" s="33" t="n"/>
      <c r="EV47" s="33" t="n"/>
      <c r="EW47" s="33" t="n"/>
      <c r="EX47" s="33" t="n"/>
      <c r="EY47" s="33" t="n"/>
      <c r="EZ47" s="33" t="n"/>
      <c r="FA47" s="33" t="n"/>
      <c r="FB47" s="33" t="n"/>
      <c r="FC47" s="33" t="n"/>
      <c r="FD47" s="33" t="n"/>
      <c r="FE47" s="33" t="n"/>
      <c r="FF47" s="33" t="n"/>
      <c r="FG47" s="33" t="n"/>
      <c r="FH47" s="33" t="n"/>
      <c r="FI47" s="33" t="n"/>
      <c r="FJ47" s="33" t="n"/>
      <c r="FK47" s="33" t="n"/>
      <c r="FL47" s="33" t="n"/>
      <c r="FM47" s="33" t="n"/>
      <c r="FN47" s="33" t="n"/>
      <c r="FO47" s="33" t="n"/>
      <c r="FP47" s="33" t="n"/>
      <c r="FQ47" s="33" t="n"/>
      <c r="FR47" s="33" t="n"/>
      <c r="FS47" s="33" t="n"/>
      <c r="FT47" s="33" t="n"/>
      <c r="FU47" s="33" t="n"/>
      <c r="FV47" s="33" t="n"/>
      <c r="FW47" s="33" t="n"/>
      <c r="FX47" s="33" t="n"/>
      <c r="FY47" s="33" t="n"/>
      <c r="FZ47" s="33" t="n"/>
      <c r="GA47" s="33" t="n"/>
      <c r="GB47" s="33" t="n"/>
      <c r="GC47" s="33" t="n"/>
      <c r="GD47" s="33" t="n"/>
      <c r="GE47" s="33" t="n"/>
      <c r="GF47" s="33" t="n"/>
      <c r="GG47" s="33" t="n"/>
      <c r="GH47" s="33" t="n"/>
      <c r="GI47" s="33" t="n"/>
      <c r="GJ47" s="33" t="n"/>
      <c r="GK47" s="33" t="n"/>
      <c r="GL47" s="33" t="n"/>
      <c r="GM47" s="33" t="n"/>
      <c r="GN47" s="33" t="n"/>
      <c r="GO47" s="33" t="n"/>
      <c r="GP47" s="33" t="n"/>
      <c r="GQ47" s="33" t="n"/>
      <c r="GR47" s="33" t="n"/>
      <c r="GS47" s="33" t="n"/>
      <c r="GT47" s="33" t="n"/>
      <c r="GU47" s="33" t="n"/>
      <c r="GV47" s="33" t="n"/>
      <c r="GW47" s="33" t="n"/>
      <c r="GX47" s="33" t="n"/>
      <c r="GY47" s="33" t="n"/>
      <c r="GZ47" s="33" t="n"/>
      <c r="HA47" s="33" t="n"/>
      <c r="HB47" s="33" t="n"/>
      <c r="HC47" s="33" t="n"/>
      <c r="HD47" s="33" t="n"/>
      <c r="HE47" s="33" t="n"/>
      <c r="HF47" s="33" t="n"/>
      <c r="HG47" s="33" t="n"/>
      <c r="HH47" s="33" t="n"/>
      <c r="HI47" s="33" t="n"/>
      <c r="HJ47" s="33" t="n"/>
      <c r="HK47" s="33" t="n"/>
      <c r="HL47" s="33" t="n"/>
      <c r="HM47" s="33" t="n"/>
      <c r="HN47" s="33" t="n"/>
      <c r="HO47" s="33" t="n"/>
      <c r="HP47" s="33" t="n"/>
      <c r="HQ47" s="33" t="n"/>
      <c r="HR47" s="33" t="n"/>
      <c r="HS47" s="33" t="n"/>
      <c r="HT47" s="33" t="n"/>
      <c r="HU47" s="33" t="n"/>
      <c r="HV47" s="33" t="n"/>
      <c r="HW47" s="33" t="n"/>
      <c r="HX47" s="33" t="n"/>
      <c r="HY47" s="33" t="n"/>
      <c r="HZ47" s="33" t="n"/>
      <c r="IA47" s="33" t="n"/>
      <c r="IB47" s="33" t="n"/>
      <c r="IC47" s="33" t="n"/>
      <c r="ID47" s="33" t="n"/>
      <c r="IE47" s="33" t="n"/>
      <c r="IF47" s="33" t="n"/>
      <c r="IG47" s="33" t="n"/>
      <c r="IH47" s="33" t="n"/>
      <c r="II47" s="33" t="n"/>
      <c r="IJ47" s="33" t="n"/>
      <c r="IK47" s="33" t="n"/>
      <c r="IL47" s="33" t="n"/>
      <c r="IM47" s="33" t="n"/>
      <c r="IN47" s="33" t="n"/>
      <c r="IO47" s="33" t="n"/>
      <c r="IP47" s="33" t="n"/>
      <c r="IQ47" s="33" t="n"/>
      <c r="IR47" s="33" t="n"/>
      <c r="IS47" s="33" t="n"/>
      <c r="IT47" s="33" t="n"/>
      <c r="IU47" s="33" t="n"/>
      <c r="IV47" s="33" t="n"/>
      <c r="IW47" s="33" t="n"/>
      <c r="IX47" s="33" t="n"/>
      <c r="IY47" s="33" t="n"/>
      <c r="IZ47" s="33" t="n"/>
      <c r="JA47" s="33" t="n"/>
      <c r="JB47" s="33" t="n"/>
      <c r="JC47" s="33" t="n"/>
      <c r="JD47" s="33" t="n"/>
      <c r="JE47" s="33" t="n"/>
      <c r="JF47" s="33" t="n"/>
      <c r="JG47" s="33" t="n"/>
      <c r="JH47" s="33" t="n"/>
      <c r="JI47" s="33" t="n"/>
      <c r="JJ47" s="33" t="n"/>
      <c r="JK47" s="33" t="n"/>
      <c r="JL47" s="33" t="n"/>
      <c r="JM47" s="33" t="n"/>
      <c r="JN47" s="33" t="n"/>
      <c r="JO47" s="33" t="n"/>
      <c r="JP47" s="33" t="n"/>
      <c r="JQ47" s="33" t="n"/>
      <c r="JR47" s="33" t="n"/>
      <c r="JS47" s="33" t="n"/>
      <c r="JT47" s="33" t="n"/>
      <c r="JU47" s="33" t="n"/>
      <c r="JV47" s="33" t="n"/>
      <c r="JW47" s="33" t="n"/>
      <c r="JX47" s="33" t="n"/>
      <c r="JY47" s="33" t="n"/>
      <c r="JZ47" s="33" t="n"/>
      <c r="KA47" s="33" t="n"/>
      <c r="KB47" s="33" t="n"/>
      <c r="KC47" s="33" t="n"/>
      <c r="KD47" s="33" t="n"/>
      <c r="KE47" s="33" t="n"/>
      <c r="KF47" s="33" t="n"/>
      <c r="KG47" s="33" t="n"/>
      <c r="KH47" s="33" t="n"/>
      <c r="KI47" s="33" t="n"/>
      <c r="KJ47" s="33" t="n"/>
      <c r="KK47" s="33" t="n"/>
      <c r="KL47" s="33" t="n"/>
      <c r="KM47" s="33" t="n"/>
      <c r="KN47" s="33" t="n"/>
      <c r="KO47" s="33" t="n"/>
      <c r="KP47" s="33" t="n"/>
      <c r="KQ47" s="33" t="n"/>
      <c r="KR47" s="33" t="n"/>
      <c r="KS47" s="33" t="n"/>
      <c r="KT47" s="33" t="n"/>
      <c r="KU47" s="33" t="n"/>
      <c r="KV47" s="33" t="n"/>
      <c r="KW47" s="33" t="n"/>
      <c r="KX47" s="33" t="n"/>
      <c r="KY47" s="33" t="n"/>
      <c r="KZ47" s="33" t="n"/>
      <c r="LA47" s="33" t="n"/>
      <c r="LB47" s="33" t="n"/>
      <c r="LC47" s="33" t="n"/>
      <c r="LD47" s="33" t="n"/>
      <c r="LE47" s="33" t="n"/>
      <c r="LF47" s="33" t="n"/>
      <c r="LG47" s="33" t="n"/>
      <c r="LH47" s="33" t="n"/>
      <c r="LI47" s="33" t="n"/>
      <c r="LJ47" s="33" t="n"/>
      <c r="LK47" s="33" t="n"/>
      <c r="LL47" s="33" t="n"/>
      <c r="LM47" s="33" t="n"/>
      <c r="LN47" s="33" t="n"/>
      <c r="LO47" s="33" t="n"/>
      <c r="LP47" s="33" t="n"/>
      <c r="LQ47" s="33" t="n"/>
      <c r="LR47" s="33" t="n"/>
      <c r="LS47" s="33" t="n"/>
      <c r="LT47" s="33" t="n"/>
      <c r="LU47" s="33" t="n"/>
      <c r="LV47" s="33" t="n"/>
      <c r="LW47" s="33" t="n"/>
      <c r="LX47" s="33" t="n"/>
      <c r="LY47" s="33" t="n"/>
      <c r="LZ47" s="33" t="n"/>
      <c r="MA47" s="33" t="n"/>
      <c r="MB47" s="33" t="n"/>
      <c r="MC47" s="33" t="n"/>
      <c r="MD47" s="33" t="n"/>
      <c r="ME47" s="33" t="n"/>
      <c r="MF47" s="33" t="n"/>
      <c r="MG47" s="33" t="n"/>
      <c r="MH47" s="33" t="n"/>
      <c r="MI47" s="33" t="n"/>
      <c r="MJ47" s="33" t="n"/>
      <c r="MK47" s="33" t="n"/>
      <c r="ML47" s="33" t="n"/>
      <c r="MM47" s="33" t="n"/>
      <c r="MN47" s="33" t="n"/>
      <c r="MO47" s="33" t="n"/>
      <c r="MP47" s="33" t="n"/>
      <c r="MQ47" s="33" t="n"/>
      <c r="MR47" s="33" t="n"/>
      <c r="MS47" s="33" t="n"/>
      <c r="MT47" s="33" t="n"/>
      <c r="MU47" s="33" t="n"/>
      <c r="MV47" s="33" t="n"/>
      <c r="MW47" s="33" t="n"/>
      <c r="MX47" s="33" t="n"/>
      <c r="MY47" s="33" t="n"/>
      <c r="MZ47" s="33" t="n"/>
      <c r="NA47" s="33" t="n"/>
      <c r="NB47" s="33" t="n"/>
      <c r="NC47" s="33" t="n"/>
      <c r="ND47" s="33" t="n"/>
      <c r="NE47" s="33" t="n"/>
      <c r="NF47" s="33" t="n"/>
      <c r="NG47" s="33" t="n"/>
      <c r="NH47" s="33" t="n"/>
      <c r="NI47" s="33" t="n"/>
      <c r="NJ47" s="33" t="n"/>
      <c r="NK47" s="33" t="n"/>
      <c r="NL47" s="33" t="n"/>
      <c r="NM47" s="33" t="n"/>
      <c r="NN47" s="33" t="n"/>
      <c r="NO47" s="33" t="n"/>
      <c r="NP47" s="33" t="n"/>
      <c r="NQ47" s="33" t="n"/>
      <c r="NR47" s="33" t="n"/>
      <c r="NS47" s="33" t="n"/>
      <c r="NT47" s="33" t="n"/>
      <c r="NU47" s="33" t="n"/>
      <c r="NV47" s="33" t="n"/>
      <c r="NW47" s="33" t="n"/>
      <c r="NX47" s="33" t="n"/>
      <c r="NY47" s="33" t="n"/>
      <c r="NZ47" s="33" t="n"/>
      <c r="OA47" s="33" t="n"/>
      <c r="OB47" s="33" t="n"/>
      <c r="OC47" s="33" t="n"/>
      <c r="OD47" s="33" t="n"/>
      <c r="OE47" s="33" t="n"/>
      <c r="OF47" s="33" t="n"/>
      <c r="OG47" s="33" t="n"/>
      <c r="OH47" s="33" t="n"/>
      <c r="OI47" s="33" t="n"/>
      <c r="OJ47" s="33" t="n"/>
      <c r="OK47" s="33" t="n"/>
      <c r="OL47" s="33" t="n"/>
      <c r="OM47" s="33" t="n"/>
      <c r="ON47" s="33" t="n"/>
      <c r="OO47" s="33" t="n"/>
      <c r="OP47" s="33" t="n"/>
      <c r="OQ47" s="33" t="n"/>
      <c r="OR47" s="33" t="n"/>
      <c r="OS47" s="33" t="n"/>
      <c r="OT47" s="33" t="n"/>
      <c r="OU47" s="33" t="n"/>
      <c r="OV47" s="33" t="n"/>
      <c r="OW47" s="33" t="n"/>
      <c r="OX47" s="33" t="n"/>
      <c r="OY47" s="33" t="n"/>
      <c r="OZ47" s="33" t="n"/>
      <c r="PA47" s="33" t="n"/>
      <c r="PB47" s="33" t="n"/>
      <c r="PC47" s="33" t="n"/>
      <c r="PD47" s="33" t="n"/>
      <c r="PE47" s="33" t="n"/>
      <c r="PF47" s="33" t="n"/>
      <c r="PG47" s="33" t="n"/>
      <c r="PH47" s="33" t="n"/>
      <c r="PI47" s="33" t="n"/>
      <c r="PJ47" s="33" t="n"/>
      <c r="PK47" s="33" t="n"/>
      <c r="PL47" s="33" t="n"/>
      <c r="PM47" s="33" t="n"/>
      <c r="PN47" s="33" t="n"/>
      <c r="PO47" s="33" t="n"/>
      <c r="PP47" s="33" t="n"/>
      <c r="PQ47" s="33" t="n"/>
      <c r="PR47" s="33" t="n"/>
      <c r="PS47" s="33" t="n"/>
      <c r="PT47" s="33" t="n"/>
      <c r="PU47" s="33" t="n"/>
      <c r="PV47" s="33" t="n"/>
      <c r="PW47" s="33" t="n"/>
      <c r="PX47" s="33" t="n"/>
      <c r="PY47" s="33" t="n"/>
      <c r="PZ47" s="33" t="n"/>
      <c r="QA47" s="33" t="n"/>
      <c r="QB47" s="33" t="n"/>
      <c r="QC47" s="33" t="n"/>
      <c r="QD47" s="33" t="n"/>
      <c r="QE47" s="33" t="n"/>
      <c r="QF47" s="33" t="n"/>
      <c r="QG47" s="33" t="n"/>
      <c r="QH47" s="33" t="n"/>
      <c r="QI47" s="33" t="n"/>
      <c r="QJ47" s="33" t="n"/>
      <c r="QK47" s="33" t="n"/>
      <c r="QL47" s="33" t="n"/>
      <c r="QM47" s="33" t="n"/>
      <c r="QN47" s="33" t="n"/>
      <c r="QO47" s="33" t="n"/>
      <c r="QP47" s="33" t="n"/>
      <c r="QQ47" s="33" t="n"/>
      <c r="QR47" s="33" t="n"/>
      <c r="QS47" s="33" t="n"/>
      <c r="QT47" s="33" t="n"/>
      <c r="QU47" s="33" t="n"/>
      <c r="QV47" s="33" t="n"/>
      <c r="QW47" s="33" t="n"/>
      <c r="QX47" s="33" t="n"/>
      <c r="QY47" s="33" t="n"/>
      <c r="QZ47" s="33" t="n"/>
      <c r="RA47" s="33" t="n"/>
      <c r="RB47" s="33" t="n"/>
      <c r="RC47" s="33" t="n"/>
      <c r="RD47" s="33" t="n"/>
      <c r="RE47" s="33" t="n"/>
      <c r="RF47" s="33" t="n"/>
      <c r="RG47" s="33" t="n"/>
      <c r="RH47" s="33" t="n"/>
      <c r="RI47" s="33" t="n"/>
      <c r="RJ47" s="33" t="n"/>
      <c r="RK47" s="33" t="n"/>
      <c r="RL47" s="33" t="n"/>
      <c r="RM47" s="33" t="n"/>
      <c r="RN47" s="33" t="n"/>
      <c r="RO47" s="33" t="n"/>
      <c r="RP47" s="33" t="n"/>
      <c r="RQ47" s="33" t="n"/>
      <c r="RR47" s="33" t="n"/>
      <c r="RS47" s="33" t="n"/>
      <c r="RT47" s="33" t="n"/>
      <c r="RU47" s="33" t="n"/>
      <c r="RV47" s="33" t="n"/>
      <c r="RW47" s="33" t="n"/>
    </row>
    <row r="48" hidden="1" outlineLevel="1" ht="13.05" customHeight="1">
      <c r="E48" s="21" t="inlineStr">
        <is>
          <t>Interest Paid</t>
        </is>
      </c>
      <c r="F48" s="29" t="n"/>
      <c r="G48" s="29" t="inlineStr">
        <is>
          <t>kEUR</t>
        </is>
      </c>
      <c r="H48" s="29" t="n"/>
      <c r="I48" s="29" t="n"/>
      <c r="J48" s="32" t="n"/>
      <c r="K48" s="29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3" t="n"/>
      <c r="AY48" s="33" t="n"/>
      <c r="AZ48" s="33" t="n"/>
      <c r="BA48" s="33" t="n"/>
      <c r="BB48" s="33" t="n"/>
      <c r="BC48" s="33" t="n"/>
      <c r="BD48" s="33" t="n"/>
      <c r="BE48" s="33" t="n"/>
      <c r="BF48" s="33" t="n"/>
      <c r="BG48" s="33" t="n"/>
      <c r="BH48" s="33" t="n"/>
      <c r="BI48" s="33" t="n"/>
      <c r="BJ48" s="33" t="n"/>
      <c r="BK48" s="33" t="n"/>
      <c r="BL48" s="33" t="n"/>
      <c r="BM48" s="33" t="n"/>
      <c r="BN48" s="33" t="n"/>
      <c r="BO48" s="33" t="n"/>
      <c r="BP48" s="33" t="n"/>
      <c r="BQ48" s="33" t="n"/>
      <c r="BR48" s="33" t="n"/>
      <c r="BS48" s="33" t="n"/>
      <c r="BT48" s="33" t="n"/>
      <c r="BU48" s="33" t="n"/>
      <c r="BV48" s="33" t="n"/>
      <c r="BW48" s="33" t="n"/>
      <c r="BX48" s="33" t="n"/>
      <c r="BY48" s="33" t="n"/>
      <c r="BZ48" s="33" t="n"/>
      <c r="CA48" s="33" t="n"/>
      <c r="CB48" s="33" t="n"/>
      <c r="CC48" s="33" t="n"/>
      <c r="CD48" s="33" t="n"/>
      <c r="CE48" s="33" t="n"/>
      <c r="CF48" s="33" t="n"/>
      <c r="CG48" s="33" t="n"/>
      <c r="CH48" s="33" t="n"/>
      <c r="CI48" s="33" t="n"/>
      <c r="CJ48" s="33" t="n"/>
      <c r="CK48" s="33" t="n"/>
      <c r="CL48" s="33" t="n"/>
      <c r="CM48" s="33" t="n"/>
      <c r="CN48" s="33" t="n"/>
      <c r="CO48" s="33" t="n"/>
      <c r="CP48" s="33" t="n"/>
      <c r="CQ48" s="33" t="n"/>
      <c r="CR48" s="33" t="n"/>
      <c r="CS48" s="33" t="n"/>
      <c r="CT48" s="33" t="n"/>
      <c r="CU48" s="33" t="n"/>
      <c r="CV48" s="33" t="n"/>
      <c r="CW48" s="33" t="n"/>
      <c r="CX48" s="33" t="n"/>
      <c r="CY48" s="33" t="n"/>
      <c r="CZ48" s="33" t="n"/>
      <c r="DA48" s="33" t="n"/>
      <c r="DB48" s="33" t="n"/>
      <c r="DC48" s="33" t="n"/>
      <c r="DD48" s="33" t="n"/>
      <c r="DE48" s="33" t="n"/>
      <c r="DF48" s="33" t="n"/>
      <c r="DG48" s="33" t="n"/>
      <c r="DH48" s="33" t="n"/>
      <c r="DI48" s="33" t="n"/>
      <c r="DJ48" s="33" t="n"/>
      <c r="DK48" s="33" t="n"/>
      <c r="DL48" s="33" t="n"/>
      <c r="DM48" s="33" t="n"/>
      <c r="DN48" s="33" t="n"/>
      <c r="DO48" s="33" t="n"/>
      <c r="DP48" s="33" t="n"/>
      <c r="DQ48" s="33" t="n"/>
      <c r="DR48" s="33" t="n"/>
      <c r="DS48" s="33" t="n"/>
      <c r="DT48" s="33" t="n"/>
      <c r="DU48" s="33" t="n"/>
      <c r="DV48" s="33" t="n"/>
      <c r="DW48" s="33" t="n"/>
      <c r="DX48" s="33" t="n"/>
      <c r="DY48" s="33" t="n"/>
      <c r="DZ48" s="33" t="n"/>
      <c r="EA48" s="33" t="n"/>
      <c r="EB48" s="33" t="n"/>
      <c r="EC48" s="33" t="n"/>
      <c r="ED48" s="33" t="n"/>
      <c r="EE48" s="33" t="n"/>
      <c r="EF48" s="33" t="n"/>
      <c r="EG48" s="33" t="n"/>
      <c r="EH48" s="33" t="n"/>
      <c r="EI48" s="33" t="n"/>
      <c r="EJ48" s="33" t="n"/>
      <c r="EK48" s="33" t="n"/>
      <c r="EL48" s="33" t="n"/>
      <c r="EM48" s="33" t="n"/>
      <c r="EN48" s="33" t="n"/>
      <c r="EO48" s="33" t="n"/>
      <c r="EP48" s="33" t="n"/>
      <c r="EQ48" s="33" t="n"/>
      <c r="ER48" s="33" t="n"/>
      <c r="ES48" s="33" t="n"/>
      <c r="ET48" s="33" t="n"/>
      <c r="EU48" s="33" t="n"/>
      <c r="EV48" s="33" t="n"/>
      <c r="EW48" s="33" t="n"/>
      <c r="EX48" s="33" t="n"/>
      <c r="EY48" s="33" t="n"/>
      <c r="EZ48" s="33" t="n"/>
      <c r="FA48" s="33" t="n"/>
      <c r="FB48" s="33" t="n"/>
      <c r="FC48" s="33" t="n"/>
      <c r="FD48" s="33" t="n"/>
      <c r="FE48" s="33" t="n"/>
      <c r="FF48" s="33" t="n"/>
      <c r="FG48" s="33" t="n"/>
      <c r="FH48" s="33" t="n"/>
      <c r="FI48" s="33" t="n"/>
      <c r="FJ48" s="33" t="n"/>
      <c r="FK48" s="33" t="n"/>
      <c r="FL48" s="33" t="n"/>
      <c r="FM48" s="33" t="n"/>
      <c r="FN48" s="33" t="n"/>
      <c r="FO48" s="33" t="n"/>
      <c r="FP48" s="33" t="n"/>
      <c r="FQ48" s="33" t="n"/>
      <c r="FR48" s="33" t="n"/>
      <c r="FS48" s="33" t="n"/>
      <c r="FT48" s="33" t="n"/>
      <c r="FU48" s="33" t="n"/>
      <c r="FV48" s="33" t="n"/>
      <c r="FW48" s="33" t="n"/>
      <c r="FX48" s="33" t="n"/>
      <c r="FY48" s="33" t="n"/>
      <c r="FZ48" s="33" t="n"/>
      <c r="GA48" s="33" t="n"/>
      <c r="GB48" s="33" t="n"/>
      <c r="GC48" s="33" t="n"/>
      <c r="GD48" s="33" t="n"/>
      <c r="GE48" s="33" t="n"/>
      <c r="GF48" s="33" t="n"/>
      <c r="GG48" s="33" t="n"/>
      <c r="GH48" s="33" t="n"/>
      <c r="GI48" s="33" t="n"/>
      <c r="GJ48" s="33" t="n"/>
      <c r="GK48" s="33" t="n"/>
      <c r="GL48" s="33" t="n"/>
      <c r="GM48" s="33" t="n"/>
      <c r="GN48" s="33" t="n"/>
      <c r="GO48" s="33" t="n"/>
      <c r="GP48" s="33" t="n"/>
      <c r="GQ48" s="33" t="n"/>
      <c r="GR48" s="33" t="n"/>
      <c r="GS48" s="33" t="n"/>
      <c r="GT48" s="33" t="n"/>
      <c r="GU48" s="33" t="n"/>
      <c r="GV48" s="33" t="n"/>
      <c r="GW48" s="33" t="n"/>
      <c r="GX48" s="33" t="n"/>
      <c r="GY48" s="33" t="n"/>
      <c r="GZ48" s="33" t="n"/>
      <c r="HA48" s="33" t="n"/>
      <c r="HB48" s="33" t="n"/>
      <c r="HC48" s="33" t="n"/>
      <c r="HD48" s="33" t="n"/>
      <c r="HE48" s="33" t="n"/>
      <c r="HF48" s="33" t="n"/>
      <c r="HG48" s="33" t="n"/>
      <c r="HH48" s="33" t="n"/>
      <c r="HI48" s="33" t="n"/>
      <c r="HJ48" s="33" t="n"/>
      <c r="HK48" s="33" t="n"/>
      <c r="HL48" s="33" t="n"/>
      <c r="HM48" s="33" t="n"/>
      <c r="HN48" s="33" t="n"/>
      <c r="HO48" s="33" t="n"/>
      <c r="HP48" s="33" t="n"/>
      <c r="HQ48" s="33" t="n"/>
      <c r="HR48" s="33" t="n"/>
      <c r="HS48" s="33" t="n"/>
      <c r="HT48" s="33" t="n"/>
      <c r="HU48" s="33" t="n"/>
      <c r="HV48" s="33" t="n"/>
      <c r="HW48" s="33" t="n"/>
      <c r="HX48" s="33" t="n"/>
      <c r="HY48" s="33" t="n"/>
      <c r="HZ48" s="33" t="n"/>
      <c r="IA48" s="33" t="n"/>
      <c r="IB48" s="33" t="n"/>
      <c r="IC48" s="33" t="n"/>
      <c r="ID48" s="33" t="n"/>
      <c r="IE48" s="33" t="n"/>
      <c r="IF48" s="33" t="n"/>
      <c r="IG48" s="33" t="n"/>
      <c r="IH48" s="33" t="n"/>
      <c r="II48" s="33" t="n"/>
      <c r="IJ48" s="33" t="n"/>
      <c r="IK48" s="33" t="n"/>
      <c r="IL48" s="33" t="n"/>
      <c r="IM48" s="33" t="n"/>
      <c r="IN48" s="33" t="n"/>
      <c r="IO48" s="33" t="n"/>
      <c r="IP48" s="33" t="n"/>
      <c r="IQ48" s="33" t="n"/>
      <c r="IR48" s="33" t="n"/>
      <c r="IS48" s="33" t="n"/>
      <c r="IT48" s="33" t="n"/>
      <c r="IU48" s="33" t="n"/>
      <c r="IV48" s="33" t="n"/>
      <c r="IW48" s="33" t="n"/>
      <c r="IX48" s="33" t="n"/>
      <c r="IY48" s="33" t="n"/>
      <c r="IZ48" s="33" t="n"/>
      <c r="JA48" s="33" t="n"/>
      <c r="JB48" s="33" t="n"/>
      <c r="JC48" s="33" t="n"/>
      <c r="JD48" s="33" t="n"/>
      <c r="JE48" s="33" t="n"/>
      <c r="JF48" s="33" t="n"/>
      <c r="JG48" s="33" t="n"/>
      <c r="JH48" s="33" t="n"/>
      <c r="JI48" s="33" t="n"/>
      <c r="JJ48" s="33" t="n"/>
      <c r="JK48" s="33" t="n"/>
      <c r="JL48" s="33" t="n"/>
      <c r="JM48" s="33" t="n"/>
      <c r="JN48" s="33" t="n"/>
      <c r="JO48" s="33" t="n"/>
      <c r="JP48" s="33" t="n"/>
      <c r="JQ48" s="33" t="n"/>
      <c r="JR48" s="33" t="n"/>
      <c r="JS48" s="33" t="n"/>
      <c r="JT48" s="33" t="n"/>
      <c r="JU48" s="33" t="n"/>
      <c r="JV48" s="33" t="n"/>
      <c r="JW48" s="33" t="n"/>
      <c r="JX48" s="33" t="n"/>
      <c r="JY48" s="33" t="n"/>
      <c r="JZ48" s="33" t="n"/>
      <c r="KA48" s="33" t="n"/>
      <c r="KB48" s="33" t="n"/>
      <c r="KC48" s="33" t="n"/>
      <c r="KD48" s="33" t="n"/>
      <c r="KE48" s="33" t="n"/>
      <c r="KF48" s="33" t="n"/>
      <c r="KG48" s="33" t="n"/>
      <c r="KH48" s="33" t="n"/>
      <c r="KI48" s="33" t="n"/>
      <c r="KJ48" s="33" t="n"/>
      <c r="KK48" s="33" t="n"/>
      <c r="KL48" s="33" t="n"/>
      <c r="KM48" s="33" t="n"/>
      <c r="KN48" s="33" t="n"/>
      <c r="KO48" s="33" t="n"/>
      <c r="KP48" s="33" t="n"/>
      <c r="KQ48" s="33" t="n"/>
      <c r="KR48" s="33" t="n"/>
      <c r="KS48" s="33" t="n"/>
      <c r="KT48" s="33" t="n"/>
      <c r="KU48" s="33" t="n"/>
      <c r="KV48" s="33" t="n"/>
      <c r="KW48" s="33" t="n"/>
      <c r="KX48" s="33" t="n"/>
      <c r="KY48" s="33" t="n"/>
      <c r="KZ48" s="33" t="n"/>
      <c r="LA48" s="33" t="n"/>
      <c r="LB48" s="33" t="n"/>
      <c r="LC48" s="33" t="n"/>
      <c r="LD48" s="33" t="n"/>
      <c r="LE48" s="33" t="n"/>
      <c r="LF48" s="33" t="n"/>
      <c r="LG48" s="33" t="n"/>
      <c r="LH48" s="33" t="n"/>
      <c r="LI48" s="33" t="n"/>
      <c r="LJ48" s="33" t="n"/>
      <c r="LK48" s="33" t="n"/>
      <c r="LL48" s="33" t="n"/>
      <c r="LM48" s="33" t="n"/>
      <c r="LN48" s="33" t="n"/>
      <c r="LO48" s="33" t="n"/>
      <c r="LP48" s="33" t="n"/>
      <c r="LQ48" s="33" t="n"/>
      <c r="LR48" s="33" t="n"/>
      <c r="LS48" s="33" t="n"/>
      <c r="LT48" s="33" t="n"/>
      <c r="LU48" s="33" t="n"/>
      <c r="LV48" s="33" t="n"/>
      <c r="LW48" s="33" t="n"/>
      <c r="LX48" s="33" t="n"/>
      <c r="LY48" s="33" t="n"/>
      <c r="LZ48" s="33" t="n"/>
      <c r="MA48" s="33" t="n"/>
      <c r="MB48" s="33" t="n"/>
      <c r="MC48" s="33" t="n"/>
      <c r="MD48" s="33" t="n"/>
      <c r="ME48" s="33" t="n"/>
      <c r="MF48" s="33" t="n"/>
      <c r="MG48" s="33" t="n"/>
      <c r="MH48" s="33" t="n"/>
      <c r="MI48" s="33" t="n"/>
      <c r="MJ48" s="33" t="n"/>
      <c r="MK48" s="33" t="n"/>
      <c r="ML48" s="33" t="n"/>
      <c r="MM48" s="33" t="n"/>
      <c r="MN48" s="33" t="n"/>
      <c r="MO48" s="33" t="n"/>
      <c r="MP48" s="33" t="n"/>
      <c r="MQ48" s="33" t="n"/>
      <c r="MR48" s="33" t="n"/>
      <c r="MS48" s="33" t="n"/>
      <c r="MT48" s="33" t="n"/>
      <c r="MU48" s="33" t="n"/>
      <c r="MV48" s="33" t="n"/>
      <c r="MW48" s="33" t="n"/>
      <c r="MX48" s="33" t="n"/>
      <c r="MY48" s="33" t="n"/>
      <c r="MZ48" s="33" t="n"/>
      <c r="NA48" s="33" t="n"/>
      <c r="NB48" s="33" t="n"/>
      <c r="NC48" s="33" t="n"/>
      <c r="ND48" s="33" t="n"/>
      <c r="NE48" s="33" t="n"/>
      <c r="NF48" s="33" t="n"/>
      <c r="NG48" s="33" t="n"/>
      <c r="NH48" s="33" t="n"/>
      <c r="NI48" s="33" t="n"/>
      <c r="NJ48" s="33" t="n"/>
      <c r="NK48" s="33" t="n"/>
      <c r="NL48" s="33" t="n"/>
      <c r="NM48" s="33" t="n"/>
      <c r="NN48" s="33" t="n"/>
      <c r="NO48" s="33" t="n"/>
      <c r="NP48" s="33" t="n"/>
      <c r="NQ48" s="33" t="n"/>
      <c r="NR48" s="33" t="n"/>
      <c r="NS48" s="33" t="n"/>
      <c r="NT48" s="33" t="n"/>
      <c r="NU48" s="33" t="n"/>
      <c r="NV48" s="33" t="n"/>
      <c r="NW48" s="33" t="n"/>
      <c r="NX48" s="33" t="n"/>
      <c r="NY48" s="33" t="n"/>
      <c r="NZ48" s="33" t="n"/>
      <c r="OA48" s="33" t="n"/>
      <c r="OB48" s="33" t="n"/>
      <c r="OC48" s="33" t="n"/>
      <c r="OD48" s="33" t="n"/>
      <c r="OE48" s="33" t="n"/>
      <c r="OF48" s="33" t="n"/>
      <c r="OG48" s="33" t="n"/>
      <c r="OH48" s="33" t="n"/>
      <c r="OI48" s="33" t="n"/>
      <c r="OJ48" s="33" t="n"/>
      <c r="OK48" s="33" t="n"/>
      <c r="OL48" s="33" t="n"/>
      <c r="OM48" s="33" t="n"/>
      <c r="ON48" s="33" t="n"/>
      <c r="OO48" s="33" t="n"/>
      <c r="OP48" s="33" t="n"/>
      <c r="OQ48" s="33" t="n"/>
      <c r="OR48" s="33" t="n"/>
      <c r="OS48" s="33" t="n"/>
      <c r="OT48" s="33" t="n"/>
      <c r="OU48" s="33" t="n"/>
      <c r="OV48" s="33" t="n"/>
      <c r="OW48" s="33" t="n"/>
      <c r="OX48" s="33" t="n"/>
      <c r="OY48" s="33" t="n"/>
      <c r="OZ48" s="33" t="n"/>
      <c r="PA48" s="33" t="n"/>
      <c r="PB48" s="33" t="n"/>
      <c r="PC48" s="33" t="n"/>
      <c r="PD48" s="33" t="n"/>
      <c r="PE48" s="33" t="n"/>
      <c r="PF48" s="33" t="n"/>
      <c r="PG48" s="33" t="n"/>
      <c r="PH48" s="33" t="n"/>
      <c r="PI48" s="33" t="n"/>
      <c r="PJ48" s="33" t="n"/>
      <c r="PK48" s="33" t="n"/>
      <c r="PL48" s="33" t="n"/>
      <c r="PM48" s="33" t="n"/>
      <c r="PN48" s="33" t="n"/>
      <c r="PO48" s="33" t="n"/>
      <c r="PP48" s="33" t="n"/>
      <c r="PQ48" s="33" t="n"/>
      <c r="PR48" s="33" t="n"/>
      <c r="PS48" s="33" t="n"/>
      <c r="PT48" s="33" t="n"/>
      <c r="PU48" s="33" t="n"/>
      <c r="PV48" s="33" t="n"/>
      <c r="PW48" s="33" t="n"/>
      <c r="PX48" s="33" t="n"/>
      <c r="PY48" s="33" t="n"/>
      <c r="PZ48" s="33" t="n"/>
      <c r="QA48" s="33" t="n"/>
      <c r="QB48" s="33" t="n"/>
      <c r="QC48" s="33" t="n"/>
      <c r="QD48" s="33" t="n"/>
      <c r="QE48" s="33" t="n"/>
      <c r="QF48" s="33" t="n"/>
      <c r="QG48" s="33" t="n"/>
      <c r="QH48" s="33" t="n"/>
      <c r="QI48" s="33" t="n"/>
      <c r="QJ48" s="33" t="n"/>
      <c r="QK48" s="33" t="n"/>
      <c r="QL48" s="33" t="n"/>
      <c r="QM48" s="33" t="n"/>
      <c r="QN48" s="33" t="n"/>
      <c r="QO48" s="33" t="n"/>
      <c r="QP48" s="33" t="n"/>
      <c r="QQ48" s="33" t="n"/>
      <c r="QR48" s="33" t="n"/>
      <c r="QS48" s="33" t="n"/>
      <c r="QT48" s="33" t="n"/>
      <c r="QU48" s="33" t="n"/>
      <c r="QV48" s="33" t="n"/>
      <c r="QW48" s="33" t="n"/>
      <c r="QX48" s="33" t="n"/>
      <c r="QY48" s="33" t="n"/>
      <c r="QZ48" s="33" t="n"/>
      <c r="RA48" s="33" t="n"/>
      <c r="RB48" s="33" t="n"/>
      <c r="RC48" s="33" t="n"/>
      <c r="RD48" s="33" t="n"/>
      <c r="RE48" s="33" t="n"/>
      <c r="RF48" s="33" t="n"/>
      <c r="RG48" s="33" t="n"/>
      <c r="RH48" s="33" t="n"/>
      <c r="RI48" s="33" t="n"/>
      <c r="RJ48" s="33" t="n"/>
      <c r="RK48" s="33" t="n"/>
      <c r="RL48" s="33" t="n"/>
      <c r="RM48" s="33" t="n"/>
      <c r="RN48" s="33" t="n"/>
      <c r="RO48" s="33" t="n"/>
      <c r="RP48" s="33" t="n"/>
      <c r="RQ48" s="33" t="n"/>
      <c r="RR48" s="33" t="n"/>
      <c r="RS48" s="33" t="n"/>
      <c r="RT48" s="33" t="n"/>
      <c r="RU48" s="33" t="n"/>
      <c r="RV48" s="33" t="n"/>
      <c r="RW48" s="33" t="n"/>
    </row>
    <row r="49" hidden="1" outlineLevel="1" ht="13.05" customHeight="1">
      <c r="E49" s="21" t="inlineStr">
        <is>
          <t>Principal Repayment</t>
        </is>
      </c>
      <c r="F49" s="29" t="n"/>
      <c r="G49" s="29" t="inlineStr">
        <is>
          <t>kEUR</t>
        </is>
      </c>
      <c r="H49" s="29" t="n"/>
      <c r="I49" s="29" t="n"/>
      <c r="J49" s="32" t="n"/>
      <c r="K49" s="29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3" t="n"/>
      <c r="AY49" s="33" t="n"/>
      <c r="AZ49" s="33" t="n"/>
      <c r="BA49" s="33" t="n"/>
      <c r="BB49" s="33" t="n"/>
      <c r="BC49" s="33" t="n"/>
      <c r="BD49" s="33" t="n"/>
      <c r="BE49" s="33" t="n"/>
      <c r="BF49" s="33" t="n"/>
      <c r="BG49" s="33" t="n"/>
      <c r="BH49" s="33" t="n"/>
      <c r="BI49" s="33" t="n"/>
      <c r="BJ49" s="33" t="n"/>
      <c r="BK49" s="33" t="n"/>
      <c r="BL49" s="33" t="n"/>
      <c r="BM49" s="33" t="n"/>
      <c r="BN49" s="33" t="n"/>
      <c r="BO49" s="33" t="n"/>
      <c r="BP49" s="33" t="n"/>
      <c r="BQ49" s="33" t="n"/>
      <c r="BR49" s="33" t="n"/>
      <c r="BS49" s="33" t="n"/>
      <c r="BT49" s="33" t="n"/>
      <c r="BU49" s="33" t="n"/>
      <c r="BV49" s="33" t="n"/>
      <c r="BW49" s="33" t="n"/>
      <c r="BX49" s="33" t="n"/>
      <c r="BY49" s="33" t="n"/>
      <c r="BZ49" s="33" t="n"/>
      <c r="CA49" s="33" t="n"/>
      <c r="CB49" s="33" t="n"/>
      <c r="CC49" s="33" t="n"/>
      <c r="CD49" s="33" t="n"/>
      <c r="CE49" s="33" t="n"/>
      <c r="CF49" s="33" t="n"/>
      <c r="CG49" s="33" t="n"/>
      <c r="CH49" s="33" t="n"/>
      <c r="CI49" s="33" t="n"/>
      <c r="CJ49" s="33" t="n"/>
      <c r="CK49" s="33" t="n"/>
      <c r="CL49" s="33" t="n"/>
      <c r="CM49" s="33" t="n"/>
      <c r="CN49" s="33" t="n"/>
      <c r="CO49" s="33" t="n"/>
      <c r="CP49" s="33" t="n"/>
      <c r="CQ49" s="33" t="n"/>
      <c r="CR49" s="33" t="n"/>
      <c r="CS49" s="33" t="n"/>
      <c r="CT49" s="33" t="n"/>
      <c r="CU49" s="33" t="n"/>
      <c r="CV49" s="33" t="n"/>
      <c r="CW49" s="33" t="n"/>
      <c r="CX49" s="33" t="n"/>
      <c r="CY49" s="33" t="n"/>
      <c r="CZ49" s="33" t="n"/>
      <c r="DA49" s="33" t="n"/>
      <c r="DB49" s="33" t="n"/>
      <c r="DC49" s="33" t="n"/>
      <c r="DD49" s="33" t="n"/>
      <c r="DE49" s="33" t="n"/>
      <c r="DF49" s="33" t="n"/>
      <c r="DG49" s="33" t="n"/>
      <c r="DH49" s="33" t="n"/>
      <c r="DI49" s="33" t="n"/>
      <c r="DJ49" s="33" t="n"/>
      <c r="DK49" s="33" t="n"/>
      <c r="DL49" s="33" t="n"/>
      <c r="DM49" s="33" t="n"/>
      <c r="DN49" s="33" t="n"/>
      <c r="DO49" s="33" t="n"/>
      <c r="DP49" s="33" t="n"/>
      <c r="DQ49" s="33" t="n"/>
      <c r="DR49" s="33" t="n"/>
      <c r="DS49" s="33" t="n"/>
      <c r="DT49" s="33" t="n"/>
      <c r="DU49" s="33" t="n"/>
      <c r="DV49" s="33" t="n"/>
      <c r="DW49" s="33" t="n"/>
      <c r="DX49" s="33" t="n"/>
      <c r="DY49" s="33" t="n"/>
      <c r="DZ49" s="33" t="n"/>
      <c r="EA49" s="33" t="n"/>
      <c r="EB49" s="33" t="n"/>
      <c r="EC49" s="33" t="n"/>
      <c r="ED49" s="33" t="n"/>
      <c r="EE49" s="33" t="n"/>
      <c r="EF49" s="33" t="n"/>
      <c r="EG49" s="33" t="n"/>
      <c r="EH49" s="33" t="n"/>
      <c r="EI49" s="33" t="n"/>
      <c r="EJ49" s="33" t="n"/>
      <c r="EK49" s="33" t="n"/>
      <c r="EL49" s="33" t="n"/>
      <c r="EM49" s="33" t="n"/>
      <c r="EN49" s="33" t="n"/>
      <c r="EO49" s="33" t="n"/>
      <c r="EP49" s="33" t="n"/>
      <c r="EQ49" s="33" t="n"/>
      <c r="ER49" s="33" t="n"/>
      <c r="ES49" s="33" t="n"/>
      <c r="ET49" s="33" t="n"/>
      <c r="EU49" s="33" t="n"/>
      <c r="EV49" s="33" t="n"/>
      <c r="EW49" s="33" t="n"/>
      <c r="EX49" s="33" t="n"/>
      <c r="EY49" s="33" t="n"/>
      <c r="EZ49" s="33" t="n"/>
      <c r="FA49" s="33" t="n"/>
      <c r="FB49" s="33" t="n"/>
      <c r="FC49" s="33" t="n"/>
      <c r="FD49" s="33" t="n"/>
      <c r="FE49" s="33" t="n"/>
      <c r="FF49" s="33" t="n"/>
      <c r="FG49" s="33" t="n"/>
      <c r="FH49" s="33" t="n"/>
      <c r="FI49" s="33" t="n"/>
      <c r="FJ49" s="33" t="n"/>
      <c r="FK49" s="33" t="n"/>
      <c r="FL49" s="33" t="n"/>
      <c r="FM49" s="33" t="n"/>
      <c r="FN49" s="33" t="n"/>
      <c r="FO49" s="33" t="n"/>
      <c r="FP49" s="33" t="n"/>
      <c r="FQ49" s="33" t="n"/>
      <c r="FR49" s="33" t="n"/>
      <c r="FS49" s="33" t="n"/>
      <c r="FT49" s="33" t="n"/>
      <c r="FU49" s="33" t="n"/>
      <c r="FV49" s="33" t="n"/>
      <c r="FW49" s="33" t="n"/>
      <c r="FX49" s="33" t="n"/>
      <c r="FY49" s="33" t="n"/>
      <c r="FZ49" s="33" t="n"/>
      <c r="GA49" s="33" t="n"/>
      <c r="GB49" s="33" t="n"/>
      <c r="GC49" s="33" t="n"/>
      <c r="GD49" s="33" t="n"/>
      <c r="GE49" s="33" t="n"/>
      <c r="GF49" s="33" t="n"/>
      <c r="GG49" s="33" t="n"/>
      <c r="GH49" s="33" t="n"/>
      <c r="GI49" s="33" t="n"/>
      <c r="GJ49" s="33" t="n"/>
      <c r="GK49" s="33" t="n"/>
      <c r="GL49" s="33" t="n"/>
      <c r="GM49" s="33" t="n"/>
      <c r="GN49" s="33" t="n"/>
      <c r="GO49" s="33" t="n"/>
      <c r="GP49" s="33" t="n"/>
      <c r="GQ49" s="33" t="n"/>
      <c r="GR49" s="33" t="n"/>
      <c r="GS49" s="33" t="n"/>
      <c r="GT49" s="33" t="n"/>
      <c r="GU49" s="33" t="n"/>
      <c r="GV49" s="33" t="n"/>
      <c r="GW49" s="33" t="n"/>
      <c r="GX49" s="33" t="n"/>
      <c r="GY49" s="33" t="n"/>
      <c r="GZ49" s="33" t="n"/>
      <c r="HA49" s="33" t="n"/>
      <c r="HB49" s="33" t="n"/>
      <c r="HC49" s="33" t="n"/>
      <c r="HD49" s="33" t="n"/>
      <c r="HE49" s="33" t="n"/>
      <c r="HF49" s="33" t="n"/>
      <c r="HG49" s="33" t="n"/>
      <c r="HH49" s="33" t="n"/>
      <c r="HI49" s="33" t="n"/>
      <c r="HJ49" s="33" t="n"/>
      <c r="HK49" s="33" t="n"/>
      <c r="HL49" s="33" t="n"/>
      <c r="HM49" s="33" t="n"/>
      <c r="HN49" s="33" t="n"/>
      <c r="HO49" s="33" t="n"/>
      <c r="HP49" s="33" t="n"/>
      <c r="HQ49" s="33" t="n"/>
      <c r="HR49" s="33" t="n"/>
      <c r="HS49" s="33" t="n"/>
      <c r="HT49" s="33" t="n"/>
      <c r="HU49" s="33" t="n"/>
      <c r="HV49" s="33" t="n"/>
      <c r="HW49" s="33" t="n"/>
      <c r="HX49" s="33" t="n"/>
      <c r="HY49" s="33" t="n"/>
      <c r="HZ49" s="33" t="n"/>
      <c r="IA49" s="33" t="n"/>
      <c r="IB49" s="33" t="n"/>
      <c r="IC49" s="33" t="n"/>
      <c r="ID49" s="33" t="n"/>
      <c r="IE49" s="33" t="n"/>
      <c r="IF49" s="33" t="n"/>
      <c r="IG49" s="33" t="n"/>
      <c r="IH49" s="33" t="n"/>
      <c r="II49" s="33" t="n"/>
      <c r="IJ49" s="33" t="n"/>
      <c r="IK49" s="33" t="n"/>
      <c r="IL49" s="33" t="n"/>
      <c r="IM49" s="33" t="n"/>
      <c r="IN49" s="33" t="n"/>
      <c r="IO49" s="33" t="n"/>
      <c r="IP49" s="33" t="n"/>
      <c r="IQ49" s="33" t="n"/>
      <c r="IR49" s="33" t="n"/>
      <c r="IS49" s="33" t="n"/>
      <c r="IT49" s="33" t="n"/>
      <c r="IU49" s="33" t="n"/>
      <c r="IV49" s="33" t="n"/>
      <c r="IW49" s="33" t="n"/>
      <c r="IX49" s="33" t="n"/>
      <c r="IY49" s="33" t="n"/>
      <c r="IZ49" s="33" t="n"/>
      <c r="JA49" s="33" t="n"/>
      <c r="JB49" s="33" t="n"/>
      <c r="JC49" s="33" t="n"/>
      <c r="JD49" s="33" t="n"/>
      <c r="JE49" s="33" t="n"/>
      <c r="JF49" s="33" t="n"/>
      <c r="JG49" s="33" t="n"/>
      <c r="JH49" s="33" t="n"/>
      <c r="JI49" s="33" t="n"/>
      <c r="JJ49" s="33" t="n"/>
      <c r="JK49" s="33" t="n"/>
      <c r="JL49" s="33" t="n"/>
      <c r="JM49" s="33" t="n"/>
      <c r="JN49" s="33" t="n"/>
      <c r="JO49" s="33" t="n"/>
      <c r="JP49" s="33" t="n"/>
      <c r="JQ49" s="33" t="n"/>
      <c r="JR49" s="33" t="n"/>
      <c r="JS49" s="33" t="n"/>
      <c r="JT49" s="33" t="n"/>
      <c r="JU49" s="33" t="n"/>
      <c r="JV49" s="33" t="n"/>
      <c r="JW49" s="33" t="n"/>
      <c r="JX49" s="33" t="n"/>
      <c r="JY49" s="33" t="n"/>
      <c r="JZ49" s="33" t="n"/>
      <c r="KA49" s="33" t="n"/>
      <c r="KB49" s="33" t="n"/>
      <c r="KC49" s="33" t="n"/>
      <c r="KD49" s="33" t="n"/>
      <c r="KE49" s="33" t="n"/>
      <c r="KF49" s="33" t="n"/>
      <c r="KG49" s="33" t="n"/>
      <c r="KH49" s="33" t="n"/>
      <c r="KI49" s="33" t="n"/>
      <c r="KJ49" s="33" t="n"/>
      <c r="KK49" s="33" t="n"/>
      <c r="KL49" s="33" t="n"/>
      <c r="KM49" s="33" t="n"/>
      <c r="KN49" s="33" t="n"/>
      <c r="KO49" s="33" t="n"/>
      <c r="KP49" s="33" t="n"/>
      <c r="KQ49" s="33" t="n"/>
      <c r="KR49" s="33" t="n"/>
      <c r="KS49" s="33" t="n"/>
      <c r="KT49" s="33" t="n"/>
      <c r="KU49" s="33" t="n"/>
      <c r="KV49" s="33" t="n"/>
      <c r="KW49" s="33" t="n"/>
      <c r="KX49" s="33" t="n"/>
      <c r="KY49" s="33" t="n"/>
      <c r="KZ49" s="33" t="n"/>
      <c r="LA49" s="33" t="n"/>
      <c r="LB49" s="33" t="n"/>
      <c r="LC49" s="33" t="n"/>
      <c r="LD49" s="33" t="n"/>
      <c r="LE49" s="33" t="n"/>
      <c r="LF49" s="33" t="n"/>
      <c r="LG49" s="33" t="n"/>
      <c r="LH49" s="33" t="n"/>
      <c r="LI49" s="33" t="n"/>
      <c r="LJ49" s="33" t="n"/>
      <c r="LK49" s="33" t="n"/>
      <c r="LL49" s="33" t="n"/>
      <c r="LM49" s="33" t="n"/>
      <c r="LN49" s="33" t="n"/>
      <c r="LO49" s="33" t="n"/>
      <c r="LP49" s="33" t="n"/>
      <c r="LQ49" s="33" t="n"/>
      <c r="LR49" s="33" t="n"/>
      <c r="LS49" s="33" t="n"/>
      <c r="LT49" s="33" t="n"/>
      <c r="LU49" s="33" t="n"/>
      <c r="LV49" s="33" t="n"/>
      <c r="LW49" s="33" t="n"/>
      <c r="LX49" s="33" t="n"/>
      <c r="LY49" s="33" t="n"/>
      <c r="LZ49" s="33" t="n"/>
      <c r="MA49" s="33" t="n"/>
      <c r="MB49" s="33" t="n"/>
      <c r="MC49" s="33" t="n"/>
      <c r="MD49" s="33" t="n"/>
      <c r="ME49" s="33" t="n"/>
      <c r="MF49" s="33" t="n"/>
      <c r="MG49" s="33" t="n"/>
      <c r="MH49" s="33" t="n"/>
      <c r="MI49" s="33" t="n"/>
      <c r="MJ49" s="33" t="n"/>
      <c r="MK49" s="33" t="n"/>
      <c r="ML49" s="33" t="n"/>
      <c r="MM49" s="33" t="n"/>
      <c r="MN49" s="33" t="n"/>
      <c r="MO49" s="33" t="n"/>
      <c r="MP49" s="33" t="n"/>
      <c r="MQ49" s="33" t="n"/>
      <c r="MR49" s="33" t="n"/>
      <c r="MS49" s="33" t="n"/>
      <c r="MT49" s="33" t="n"/>
      <c r="MU49" s="33" t="n"/>
      <c r="MV49" s="33" t="n"/>
      <c r="MW49" s="33" t="n"/>
      <c r="MX49" s="33" t="n"/>
      <c r="MY49" s="33" t="n"/>
      <c r="MZ49" s="33" t="n"/>
      <c r="NA49" s="33" t="n"/>
      <c r="NB49" s="33" t="n"/>
      <c r="NC49" s="33" t="n"/>
      <c r="ND49" s="33" t="n"/>
      <c r="NE49" s="33" t="n"/>
      <c r="NF49" s="33" t="n"/>
      <c r="NG49" s="33" t="n"/>
      <c r="NH49" s="33" t="n"/>
      <c r="NI49" s="33" t="n"/>
      <c r="NJ49" s="33" t="n"/>
      <c r="NK49" s="33" t="n"/>
      <c r="NL49" s="33" t="n"/>
      <c r="NM49" s="33" t="n"/>
      <c r="NN49" s="33" t="n"/>
      <c r="NO49" s="33" t="n"/>
      <c r="NP49" s="33" t="n"/>
      <c r="NQ49" s="33" t="n"/>
      <c r="NR49" s="33" t="n"/>
      <c r="NS49" s="33" t="n"/>
      <c r="NT49" s="33" t="n"/>
      <c r="NU49" s="33" t="n"/>
      <c r="NV49" s="33" t="n"/>
      <c r="NW49" s="33" t="n"/>
      <c r="NX49" s="33" t="n"/>
      <c r="NY49" s="33" t="n"/>
      <c r="NZ49" s="33" t="n"/>
      <c r="OA49" s="33" t="n"/>
      <c r="OB49" s="33" t="n"/>
      <c r="OC49" s="33" t="n"/>
      <c r="OD49" s="33" t="n"/>
      <c r="OE49" s="33" t="n"/>
      <c r="OF49" s="33" t="n"/>
      <c r="OG49" s="33" t="n"/>
      <c r="OH49" s="33" t="n"/>
      <c r="OI49" s="33" t="n"/>
      <c r="OJ49" s="33" t="n"/>
      <c r="OK49" s="33" t="n"/>
      <c r="OL49" s="33" t="n"/>
      <c r="OM49" s="33" t="n"/>
      <c r="ON49" s="33" t="n"/>
      <c r="OO49" s="33" t="n"/>
      <c r="OP49" s="33" t="n"/>
      <c r="OQ49" s="33" t="n"/>
      <c r="OR49" s="33" t="n"/>
      <c r="OS49" s="33" t="n"/>
      <c r="OT49" s="33" t="n"/>
      <c r="OU49" s="33" t="n"/>
      <c r="OV49" s="33" t="n"/>
      <c r="OW49" s="33" t="n"/>
      <c r="OX49" s="33" t="n"/>
      <c r="OY49" s="33" t="n"/>
      <c r="OZ49" s="33" t="n"/>
      <c r="PA49" s="33" t="n"/>
      <c r="PB49" s="33" t="n"/>
      <c r="PC49" s="33" t="n"/>
      <c r="PD49" s="33" t="n"/>
      <c r="PE49" s="33" t="n"/>
      <c r="PF49" s="33" t="n"/>
      <c r="PG49" s="33" t="n"/>
      <c r="PH49" s="33" t="n"/>
      <c r="PI49" s="33" t="n"/>
      <c r="PJ49" s="33" t="n"/>
      <c r="PK49" s="33" t="n"/>
      <c r="PL49" s="33" t="n"/>
      <c r="PM49" s="33" t="n"/>
      <c r="PN49" s="33" t="n"/>
      <c r="PO49" s="33" t="n"/>
      <c r="PP49" s="33" t="n"/>
      <c r="PQ49" s="33" t="n"/>
      <c r="PR49" s="33" t="n"/>
      <c r="PS49" s="33" t="n"/>
      <c r="PT49" s="33" t="n"/>
      <c r="PU49" s="33" t="n"/>
      <c r="PV49" s="33" t="n"/>
      <c r="PW49" s="33" t="n"/>
      <c r="PX49" s="33" t="n"/>
      <c r="PY49" s="33" t="n"/>
      <c r="PZ49" s="33" t="n"/>
      <c r="QA49" s="33" t="n"/>
      <c r="QB49" s="33" t="n"/>
      <c r="QC49" s="33" t="n"/>
      <c r="QD49" s="33" t="n"/>
      <c r="QE49" s="33" t="n"/>
      <c r="QF49" s="33" t="n"/>
      <c r="QG49" s="33" t="n"/>
      <c r="QH49" s="33" t="n"/>
      <c r="QI49" s="33" t="n"/>
      <c r="QJ49" s="33" t="n"/>
      <c r="QK49" s="33" t="n"/>
      <c r="QL49" s="33" t="n"/>
      <c r="QM49" s="33" t="n"/>
      <c r="QN49" s="33" t="n"/>
      <c r="QO49" s="33" t="n"/>
      <c r="QP49" s="33" t="n"/>
      <c r="QQ49" s="33" t="n"/>
      <c r="QR49" s="33" t="n"/>
      <c r="QS49" s="33" t="n"/>
      <c r="QT49" s="33" t="n"/>
      <c r="QU49" s="33" t="n"/>
      <c r="QV49" s="33" t="n"/>
      <c r="QW49" s="33" t="n"/>
      <c r="QX49" s="33" t="n"/>
      <c r="QY49" s="33" t="n"/>
      <c r="QZ49" s="33" t="n"/>
      <c r="RA49" s="33" t="n"/>
      <c r="RB49" s="33" t="n"/>
      <c r="RC49" s="33" t="n"/>
      <c r="RD49" s="33" t="n"/>
      <c r="RE49" s="33" t="n"/>
      <c r="RF49" s="33" t="n"/>
      <c r="RG49" s="33" t="n"/>
      <c r="RH49" s="33" t="n"/>
      <c r="RI49" s="33" t="n"/>
      <c r="RJ49" s="33" t="n"/>
      <c r="RK49" s="33" t="n"/>
      <c r="RL49" s="33" t="n"/>
      <c r="RM49" s="33" t="n"/>
      <c r="RN49" s="33" t="n"/>
      <c r="RO49" s="33" t="n"/>
      <c r="RP49" s="33" t="n"/>
      <c r="RQ49" s="33" t="n"/>
      <c r="RR49" s="33" t="n"/>
      <c r="RS49" s="33" t="n"/>
      <c r="RT49" s="33" t="n"/>
      <c r="RU49" s="33" t="n"/>
      <c r="RV49" s="33" t="n"/>
      <c r="RW49" s="33" t="n"/>
    </row>
    <row r="50" hidden="1" outlineLevel="1" ht="13.05" customHeight="1">
      <c r="E50" s="25" t="inlineStr">
        <is>
          <t>Closing Balance</t>
        </is>
      </c>
      <c r="F50" s="26" t="n"/>
      <c r="G50" s="26" t="inlineStr">
        <is>
          <t>kEUR</t>
        </is>
      </c>
      <c r="H50" s="26" t="n"/>
      <c r="I50" s="26" t="n"/>
      <c r="J50" s="27" t="n"/>
      <c r="K50" s="26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  <c r="AP50" s="28" t="n"/>
      <c r="AQ50" s="28" t="n"/>
      <c r="AR50" s="28" t="n"/>
      <c r="AS50" s="28" t="n"/>
      <c r="AT50" s="28" t="n"/>
      <c r="AU50" s="28" t="n"/>
      <c r="AV50" s="28" t="n"/>
      <c r="AW50" s="28" t="n"/>
      <c r="AX50" s="28" t="n"/>
      <c r="AY50" s="28" t="n"/>
      <c r="AZ50" s="28" t="n"/>
      <c r="BA50" s="28" t="n"/>
      <c r="BB50" s="28" t="n"/>
      <c r="BC50" s="28" t="n"/>
      <c r="BD50" s="28" t="n"/>
      <c r="BE50" s="28" t="n"/>
      <c r="BF50" s="28" t="n"/>
      <c r="BG50" s="28" t="n"/>
      <c r="BH50" s="28" t="n"/>
      <c r="BI50" s="28" t="n"/>
      <c r="BJ50" s="28" t="n"/>
      <c r="BK50" s="28" t="n"/>
      <c r="BL50" s="28" t="n"/>
      <c r="BM50" s="28" t="n"/>
      <c r="BN50" s="28" t="n"/>
      <c r="BO50" s="28" t="n"/>
      <c r="BP50" s="28" t="n"/>
      <c r="BQ50" s="28" t="n"/>
      <c r="BR50" s="28" t="n"/>
      <c r="BS50" s="28" t="n"/>
      <c r="BT50" s="28" t="n"/>
      <c r="BU50" s="28" t="n"/>
      <c r="BV50" s="28" t="n"/>
      <c r="BW50" s="28" t="n"/>
      <c r="BX50" s="28" t="n"/>
      <c r="BY50" s="28" t="n"/>
      <c r="BZ50" s="28" t="n"/>
      <c r="CA50" s="28" t="n"/>
      <c r="CB50" s="28" t="n"/>
      <c r="CC50" s="28" t="n"/>
      <c r="CD50" s="28" t="n"/>
      <c r="CE50" s="28" t="n"/>
      <c r="CF50" s="28" t="n"/>
      <c r="CG50" s="28" t="n"/>
      <c r="CH50" s="28" t="n"/>
      <c r="CI50" s="28" t="n"/>
      <c r="CJ50" s="28" t="n"/>
      <c r="CK50" s="28" t="n"/>
      <c r="CL50" s="28" t="n"/>
      <c r="CM50" s="28" t="n"/>
      <c r="CN50" s="28" t="n"/>
      <c r="CO50" s="28" t="n"/>
      <c r="CP50" s="28" t="n"/>
      <c r="CQ50" s="28" t="n"/>
      <c r="CR50" s="28" t="n"/>
      <c r="CS50" s="28" t="n"/>
      <c r="CT50" s="28" t="n"/>
      <c r="CU50" s="28" t="n"/>
      <c r="CV50" s="28" t="n"/>
      <c r="CW50" s="28" t="n"/>
      <c r="CX50" s="28" t="n"/>
      <c r="CY50" s="28" t="n"/>
      <c r="CZ50" s="28" t="n"/>
      <c r="DA50" s="28" t="n"/>
      <c r="DB50" s="28" t="n"/>
      <c r="DC50" s="28" t="n"/>
      <c r="DD50" s="28" t="n"/>
      <c r="DE50" s="28" t="n"/>
      <c r="DF50" s="28" t="n"/>
      <c r="DG50" s="28" t="n"/>
      <c r="DH50" s="28" t="n"/>
      <c r="DI50" s="28" t="n"/>
      <c r="DJ50" s="28" t="n"/>
      <c r="DK50" s="28" t="n"/>
      <c r="DL50" s="28" t="n"/>
      <c r="DM50" s="28" t="n"/>
      <c r="DN50" s="28" t="n"/>
      <c r="DO50" s="28" t="n"/>
      <c r="DP50" s="28" t="n"/>
      <c r="DQ50" s="28" t="n"/>
      <c r="DR50" s="28" t="n"/>
      <c r="DS50" s="28" t="n"/>
      <c r="DT50" s="28" t="n"/>
      <c r="DU50" s="28" t="n"/>
      <c r="DV50" s="28" t="n"/>
      <c r="DW50" s="28" t="n"/>
      <c r="DX50" s="28" t="n"/>
      <c r="DY50" s="28" t="n"/>
      <c r="DZ50" s="28" t="n"/>
      <c r="EA50" s="28" t="n"/>
      <c r="EB50" s="28" t="n"/>
      <c r="EC50" s="28" t="n"/>
      <c r="ED50" s="28" t="n"/>
      <c r="EE50" s="28" t="n"/>
      <c r="EF50" s="28" t="n"/>
      <c r="EG50" s="28" t="n"/>
      <c r="EH50" s="28" t="n"/>
      <c r="EI50" s="28" t="n"/>
      <c r="EJ50" s="28" t="n"/>
      <c r="EK50" s="28" t="n"/>
      <c r="EL50" s="28" t="n"/>
      <c r="EM50" s="28" t="n"/>
      <c r="EN50" s="28" t="n"/>
      <c r="EO50" s="28" t="n"/>
      <c r="EP50" s="28" t="n"/>
      <c r="EQ50" s="28" t="n"/>
      <c r="ER50" s="28" t="n"/>
      <c r="ES50" s="28" t="n"/>
      <c r="ET50" s="28" t="n"/>
      <c r="EU50" s="28" t="n"/>
      <c r="EV50" s="28" t="n"/>
      <c r="EW50" s="28" t="n"/>
      <c r="EX50" s="28" t="n"/>
      <c r="EY50" s="28" t="n"/>
      <c r="EZ50" s="28" t="n"/>
      <c r="FA50" s="28" t="n"/>
      <c r="FB50" s="28" t="n"/>
      <c r="FC50" s="28" t="n"/>
      <c r="FD50" s="28" t="n"/>
      <c r="FE50" s="28" t="n"/>
      <c r="FF50" s="28" t="n"/>
      <c r="FG50" s="28" t="n"/>
      <c r="FH50" s="28" t="n"/>
      <c r="FI50" s="28" t="n"/>
      <c r="FJ50" s="28" t="n"/>
      <c r="FK50" s="28" t="n"/>
      <c r="FL50" s="28" t="n"/>
      <c r="FM50" s="28" t="n"/>
      <c r="FN50" s="28" t="n"/>
      <c r="FO50" s="28" t="n"/>
      <c r="FP50" s="28" t="n"/>
      <c r="FQ50" s="28" t="n"/>
      <c r="FR50" s="28" t="n"/>
      <c r="FS50" s="28" t="n"/>
      <c r="FT50" s="28" t="n"/>
      <c r="FU50" s="28" t="n"/>
      <c r="FV50" s="28" t="n"/>
      <c r="FW50" s="28" t="n"/>
      <c r="FX50" s="28" t="n"/>
      <c r="FY50" s="28" t="n"/>
      <c r="FZ50" s="28" t="n"/>
      <c r="GA50" s="28" t="n"/>
      <c r="GB50" s="28" t="n"/>
      <c r="GC50" s="28" t="n"/>
      <c r="GD50" s="28" t="n"/>
      <c r="GE50" s="28" t="n"/>
      <c r="GF50" s="28" t="n"/>
      <c r="GG50" s="28" t="n"/>
      <c r="GH50" s="28" t="n"/>
      <c r="GI50" s="28" t="n"/>
      <c r="GJ50" s="28" t="n"/>
      <c r="GK50" s="28" t="n"/>
      <c r="GL50" s="28" t="n"/>
      <c r="GM50" s="28" t="n"/>
      <c r="GN50" s="28" t="n"/>
      <c r="GO50" s="28" t="n"/>
      <c r="GP50" s="28" t="n"/>
      <c r="GQ50" s="28" t="n"/>
      <c r="GR50" s="28" t="n"/>
      <c r="GS50" s="28" t="n"/>
      <c r="GT50" s="28" t="n"/>
      <c r="GU50" s="28" t="n"/>
      <c r="GV50" s="28" t="n"/>
      <c r="GW50" s="28" t="n"/>
      <c r="GX50" s="28" t="n"/>
      <c r="GY50" s="28" t="n"/>
      <c r="GZ50" s="28" t="n"/>
      <c r="HA50" s="28" t="n"/>
      <c r="HB50" s="28" t="n"/>
      <c r="HC50" s="28" t="n"/>
      <c r="HD50" s="28" t="n"/>
      <c r="HE50" s="28" t="n"/>
      <c r="HF50" s="28" t="n"/>
      <c r="HG50" s="28" t="n"/>
      <c r="HH50" s="28" t="n"/>
      <c r="HI50" s="28" t="n"/>
      <c r="HJ50" s="28" t="n"/>
      <c r="HK50" s="28" t="n"/>
      <c r="HL50" s="28" t="n"/>
      <c r="HM50" s="28" t="n"/>
      <c r="HN50" s="28" t="n"/>
      <c r="HO50" s="28" t="n"/>
      <c r="HP50" s="28" t="n"/>
      <c r="HQ50" s="28" t="n"/>
      <c r="HR50" s="28" t="n"/>
      <c r="HS50" s="28" t="n"/>
      <c r="HT50" s="28" t="n"/>
      <c r="HU50" s="28" t="n"/>
      <c r="HV50" s="28" t="n"/>
      <c r="HW50" s="28" t="n"/>
      <c r="HX50" s="28" t="n"/>
      <c r="HY50" s="28" t="n"/>
      <c r="HZ50" s="28" t="n"/>
      <c r="IA50" s="28" t="n"/>
      <c r="IB50" s="28" t="n"/>
      <c r="IC50" s="28" t="n"/>
      <c r="ID50" s="28" t="n"/>
      <c r="IE50" s="28" t="n"/>
      <c r="IF50" s="28" t="n"/>
      <c r="IG50" s="28" t="n"/>
      <c r="IH50" s="28" t="n"/>
      <c r="II50" s="28" t="n"/>
      <c r="IJ50" s="28" t="n"/>
      <c r="IK50" s="28" t="n"/>
      <c r="IL50" s="28" t="n"/>
      <c r="IM50" s="28" t="n"/>
      <c r="IN50" s="28" t="n"/>
      <c r="IO50" s="28" t="n"/>
      <c r="IP50" s="28" t="n"/>
      <c r="IQ50" s="28" t="n"/>
      <c r="IR50" s="28" t="n"/>
      <c r="IS50" s="28" t="n"/>
      <c r="IT50" s="28" t="n"/>
      <c r="IU50" s="28" t="n"/>
      <c r="IV50" s="28" t="n"/>
      <c r="IW50" s="28" t="n"/>
      <c r="IX50" s="28" t="n"/>
      <c r="IY50" s="28" t="n"/>
      <c r="IZ50" s="28" t="n"/>
      <c r="JA50" s="28" t="n"/>
      <c r="JB50" s="28" t="n"/>
      <c r="JC50" s="28" t="n"/>
      <c r="JD50" s="28" t="n"/>
      <c r="JE50" s="28" t="n"/>
      <c r="JF50" s="28" t="n"/>
      <c r="JG50" s="28" t="n"/>
      <c r="JH50" s="28" t="n"/>
      <c r="JI50" s="28" t="n"/>
      <c r="JJ50" s="28" t="n"/>
      <c r="JK50" s="28" t="n"/>
      <c r="JL50" s="28" t="n"/>
      <c r="JM50" s="28" t="n"/>
      <c r="JN50" s="28" t="n"/>
      <c r="JO50" s="28" t="n"/>
      <c r="JP50" s="28" t="n"/>
      <c r="JQ50" s="28" t="n"/>
      <c r="JR50" s="28" t="n"/>
      <c r="JS50" s="28" t="n"/>
      <c r="JT50" s="28" t="n"/>
      <c r="JU50" s="28" t="n"/>
      <c r="JV50" s="28" t="n"/>
      <c r="JW50" s="28" t="n"/>
      <c r="JX50" s="28" t="n"/>
      <c r="JY50" s="28" t="n"/>
      <c r="JZ50" s="28" t="n"/>
      <c r="KA50" s="28" t="n"/>
      <c r="KB50" s="28" t="n"/>
      <c r="KC50" s="28" t="n"/>
      <c r="KD50" s="28" t="n"/>
      <c r="KE50" s="28" t="n"/>
      <c r="KF50" s="28" t="n"/>
      <c r="KG50" s="28" t="n"/>
      <c r="KH50" s="28" t="n"/>
      <c r="KI50" s="28" t="n"/>
      <c r="KJ50" s="28" t="n"/>
      <c r="KK50" s="28" t="n"/>
      <c r="KL50" s="28" t="n"/>
      <c r="KM50" s="28" t="n"/>
      <c r="KN50" s="28" t="n"/>
      <c r="KO50" s="28" t="n"/>
      <c r="KP50" s="28" t="n"/>
      <c r="KQ50" s="28" t="n"/>
      <c r="KR50" s="28" t="n"/>
      <c r="KS50" s="28" t="n"/>
      <c r="KT50" s="28" t="n"/>
      <c r="KU50" s="28" t="n"/>
      <c r="KV50" s="28" t="n"/>
      <c r="KW50" s="28" t="n"/>
      <c r="KX50" s="28" t="n"/>
      <c r="KY50" s="28" t="n"/>
      <c r="KZ50" s="28" t="n"/>
      <c r="LA50" s="28" t="n"/>
      <c r="LB50" s="28" t="n"/>
      <c r="LC50" s="28" t="n"/>
      <c r="LD50" s="28" t="n"/>
      <c r="LE50" s="28" t="n"/>
      <c r="LF50" s="28" t="n"/>
      <c r="LG50" s="28" t="n"/>
      <c r="LH50" s="28" t="n"/>
      <c r="LI50" s="28" t="n"/>
      <c r="LJ50" s="28" t="n"/>
      <c r="LK50" s="28" t="n"/>
      <c r="LL50" s="28" t="n"/>
      <c r="LM50" s="28" t="n"/>
      <c r="LN50" s="28" t="n"/>
      <c r="LO50" s="28" t="n"/>
      <c r="LP50" s="28" t="n"/>
      <c r="LQ50" s="28" t="n"/>
      <c r="LR50" s="28" t="n"/>
      <c r="LS50" s="28" t="n"/>
      <c r="LT50" s="28" t="n"/>
      <c r="LU50" s="28" t="n"/>
      <c r="LV50" s="28" t="n"/>
      <c r="LW50" s="28" t="n"/>
      <c r="LX50" s="28" t="n"/>
      <c r="LY50" s="28" t="n"/>
      <c r="LZ50" s="28" t="n"/>
      <c r="MA50" s="28" t="n"/>
      <c r="MB50" s="28" t="n"/>
      <c r="MC50" s="28" t="n"/>
      <c r="MD50" s="28" t="n"/>
      <c r="ME50" s="28" t="n"/>
      <c r="MF50" s="28" t="n"/>
      <c r="MG50" s="28" t="n"/>
      <c r="MH50" s="28" t="n"/>
      <c r="MI50" s="28" t="n"/>
      <c r="MJ50" s="28" t="n"/>
      <c r="MK50" s="28" t="n"/>
      <c r="ML50" s="28" t="n"/>
      <c r="MM50" s="28" t="n"/>
      <c r="MN50" s="28" t="n"/>
      <c r="MO50" s="28" t="n"/>
      <c r="MP50" s="28" t="n"/>
      <c r="MQ50" s="28" t="n"/>
      <c r="MR50" s="28" t="n"/>
      <c r="MS50" s="28" t="n"/>
      <c r="MT50" s="28" t="n"/>
      <c r="MU50" s="28" t="n"/>
      <c r="MV50" s="28" t="n"/>
      <c r="MW50" s="28" t="n"/>
      <c r="MX50" s="28" t="n"/>
      <c r="MY50" s="28" t="n"/>
      <c r="MZ50" s="28" t="n"/>
      <c r="NA50" s="28" t="n"/>
      <c r="NB50" s="28" t="n"/>
      <c r="NC50" s="28" t="n"/>
      <c r="ND50" s="28" t="n"/>
      <c r="NE50" s="28" t="n"/>
      <c r="NF50" s="28" t="n"/>
      <c r="NG50" s="28" t="n"/>
      <c r="NH50" s="28" t="n"/>
      <c r="NI50" s="28" t="n"/>
      <c r="NJ50" s="28" t="n"/>
      <c r="NK50" s="28" t="n"/>
      <c r="NL50" s="28" t="n"/>
      <c r="NM50" s="28" t="n"/>
      <c r="NN50" s="28" t="n"/>
      <c r="NO50" s="28" t="n"/>
      <c r="NP50" s="28" t="n"/>
      <c r="NQ50" s="28" t="n"/>
      <c r="NR50" s="28" t="n"/>
      <c r="NS50" s="28" t="n"/>
      <c r="NT50" s="28" t="n"/>
      <c r="NU50" s="28" t="n"/>
      <c r="NV50" s="28" t="n"/>
      <c r="NW50" s="28" t="n"/>
      <c r="NX50" s="28" t="n"/>
      <c r="NY50" s="28" t="n"/>
      <c r="NZ50" s="28" t="n"/>
      <c r="OA50" s="28" t="n"/>
      <c r="OB50" s="28" t="n"/>
      <c r="OC50" s="28" t="n"/>
      <c r="OD50" s="28" t="n"/>
      <c r="OE50" s="28" t="n"/>
      <c r="OF50" s="28" t="n"/>
      <c r="OG50" s="28" t="n"/>
      <c r="OH50" s="28" t="n"/>
      <c r="OI50" s="28" t="n"/>
      <c r="OJ50" s="28" t="n"/>
      <c r="OK50" s="28" t="n"/>
      <c r="OL50" s="28" t="n"/>
      <c r="OM50" s="28" t="n"/>
      <c r="ON50" s="28" t="n"/>
      <c r="OO50" s="28" t="n"/>
      <c r="OP50" s="28" t="n"/>
      <c r="OQ50" s="28" t="n"/>
      <c r="OR50" s="28" t="n"/>
      <c r="OS50" s="28" t="n"/>
      <c r="OT50" s="28" t="n"/>
      <c r="OU50" s="28" t="n"/>
      <c r="OV50" s="28" t="n"/>
      <c r="OW50" s="28" t="n"/>
      <c r="OX50" s="28" t="n"/>
      <c r="OY50" s="28" t="n"/>
      <c r="OZ50" s="28" t="n"/>
      <c r="PA50" s="28" t="n"/>
      <c r="PB50" s="28" t="n"/>
      <c r="PC50" s="28" t="n"/>
      <c r="PD50" s="28" t="n"/>
      <c r="PE50" s="28" t="n"/>
      <c r="PF50" s="28" t="n"/>
      <c r="PG50" s="28" t="n"/>
      <c r="PH50" s="28" t="n"/>
      <c r="PI50" s="28" t="n"/>
      <c r="PJ50" s="28" t="n"/>
      <c r="PK50" s="28" t="n"/>
      <c r="PL50" s="28" t="n"/>
      <c r="PM50" s="28" t="n"/>
      <c r="PN50" s="28" t="n"/>
      <c r="PO50" s="28" t="n"/>
      <c r="PP50" s="28" t="n"/>
      <c r="PQ50" s="28" t="n"/>
      <c r="PR50" s="28" t="n"/>
      <c r="PS50" s="28" t="n"/>
      <c r="PT50" s="28" t="n"/>
      <c r="PU50" s="28" t="n"/>
      <c r="PV50" s="28" t="n"/>
      <c r="PW50" s="28" t="n"/>
      <c r="PX50" s="28" t="n"/>
      <c r="PY50" s="28" t="n"/>
      <c r="PZ50" s="28" t="n"/>
      <c r="QA50" s="28" t="n"/>
      <c r="QB50" s="28" t="n"/>
      <c r="QC50" s="28" t="n"/>
      <c r="QD50" s="28" t="n"/>
      <c r="QE50" s="28" t="n"/>
      <c r="QF50" s="28" t="n"/>
      <c r="QG50" s="28" t="n"/>
      <c r="QH50" s="28" t="n"/>
      <c r="QI50" s="28" t="n"/>
      <c r="QJ50" s="28" t="n"/>
      <c r="QK50" s="28" t="n"/>
      <c r="QL50" s="28" t="n"/>
      <c r="QM50" s="28" t="n"/>
      <c r="QN50" s="28" t="n"/>
      <c r="QO50" s="28" t="n"/>
      <c r="QP50" s="28" t="n"/>
      <c r="QQ50" s="28" t="n"/>
      <c r="QR50" s="28" t="n"/>
      <c r="QS50" s="28" t="n"/>
      <c r="QT50" s="28" t="n"/>
      <c r="QU50" s="28" t="n"/>
      <c r="QV50" s="28" t="n"/>
      <c r="QW50" s="28" t="n"/>
      <c r="QX50" s="28" t="n"/>
      <c r="QY50" s="28" t="n"/>
      <c r="QZ50" s="28" t="n"/>
      <c r="RA50" s="28" t="n"/>
      <c r="RB50" s="28" t="n"/>
      <c r="RC50" s="28" t="n"/>
      <c r="RD50" s="28" t="n"/>
      <c r="RE50" s="28" t="n"/>
      <c r="RF50" s="28" t="n"/>
      <c r="RG50" s="28" t="n"/>
      <c r="RH50" s="28" t="n"/>
      <c r="RI50" s="28" t="n"/>
      <c r="RJ50" s="28" t="n"/>
      <c r="RK50" s="28" t="n"/>
      <c r="RL50" s="28" t="n"/>
      <c r="RM50" s="28" t="n"/>
      <c r="RN50" s="28" t="n"/>
      <c r="RO50" s="28" t="n"/>
      <c r="RP50" s="28" t="n"/>
      <c r="RQ50" s="28" t="n"/>
      <c r="RR50" s="28" t="n"/>
      <c r="RS50" s="28" t="n"/>
      <c r="RT50" s="28" t="n"/>
      <c r="RU50" s="28" t="n"/>
      <c r="RV50" s="28" t="n"/>
      <c r="RW50" s="28" t="n"/>
    </row>
    <row r="51" hidden="1" outlineLevel="1" ht="13.05" customHeight="1">
      <c r="E51" s="21" t="inlineStr">
        <is>
          <t>Debt Service</t>
        </is>
      </c>
      <c r="F51" s="29" t="n"/>
      <c r="G51" s="29" t="inlineStr">
        <is>
          <t>kEUR</t>
        </is>
      </c>
      <c r="H51" s="29" t="n"/>
      <c r="I51" s="29" t="n"/>
      <c r="J51" s="32" t="n"/>
      <c r="K51" s="29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3" t="n"/>
      <c r="AY51" s="33" t="n"/>
      <c r="AZ51" s="33" t="n"/>
      <c r="BA51" s="33" t="n"/>
      <c r="BB51" s="33" t="n"/>
      <c r="BC51" s="33" t="n"/>
      <c r="BD51" s="33" t="n"/>
      <c r="BE51" s="33" t="n"/>
      <c r="BF51" s="33" t="n"/>
      <c r="BG51" s="33" t="n"/>
      <c r="BH51" s="33" t="n"/>
      <c r="BI51" s="33" t="n"/>
      <c r="BJ51" s="33" t="n"/>
      <c r="BK51" s="33" t="n"/>
      <c r="BL51" s="33" t="n"/>
      <c r="BM51" s="33" t="n"/>
      <c r="BN51" s="33" t="n"/>
      <c r="BO51" s="33" t="n"/>
      <c r="BP51" s="33" t="n"/>
      <c r="BQ51" s="33" t="n"/>
      <c r="BR51" s="33" t="n"/>
      <c r="BS51" s="33" t="n"/>
      <c r="BT51" s="33" t="n"/>
      <c r="BU51" s="33" t="n"/>
      <c r="BV51" s="33" t="n"/>
      <c r="BW51" s="33" t="n"/>
      <c r="BX51" s="33" t="n"/>
      <c r="BY51" s="33" t="n"/>
      <c r="BZ51" s="33" t="n"/>
      <c r="CA51" s="33" t="n"/>
      <c r="CB51" s="33" t="n"/>
      <c r="CC51" s="33" t="n"/>
      <c r="CD51" s="33" t="n"/>
      <c r="CE51" s="33" t="n"/>
      <c r="CF51" s="33" t="n"/>
      <c r="CG51" s="33" t="n"/>
      <c r="CH51" s="33" t="n"/>
      <c r="CI51" s="33" t="n"/>
      <c r="CJ51" s="33" t="n"/>
      <c r="CK51" s="33" t="n"/>
      <c r="CL51" s="33" t="n"/>
      <c r="CM51" s="33" t="n"/>
      <c r="CN51" s="33" t="n"/>
      <c r="CO51" s="33" t="n"/>
      <c r="CP51" s="33" t="n"/>
      <c r="CQ51" s="33" t="n"/>
      <c r="CR51" s="33" t="n"/>
      <c r="CS51" s="33" t="n"/>
      <c r="CT51" s="33" t="n"/>
      <c r="CU51" s="33" t="n"/>
      <c r="CV51" s="33" t="n"/>
      <c r="CW51" s="33" t="n"/>
      <c r="CX51" s="33" t="n"/>
      <c r="CY51" s="33" t="n"/>
      <c r="CZ51" s="33" t="n"/>
      <c r="DA51" s="33" t="n"/>
      <c r="DB51" s="33" t="n"/>
      <c r="DC51" s="33" t="n"/>
      <c r="DD51" s="33" t="n"/>
      <c r="DE51" s="33" t="n"/>
      <c r="DF51" s="33" t="n"/>
      <c r="DG51" s="33" t="n"/>
      <c r="DH51" s="33" t="n"/>
      <c r="DI51" s="33" t="n"/>
      <c r="DJ51" s="33" t="n"/>
      <c r="DK51" s="33" t="n"/>
      <c r="DL51" s="33" t="n"/>
      <c r="DM51" s="33" t="n"/>
      <c r="DN51" s="33" t="n"/>
      <c r="DO51" s="33" t="n"/>
      <c r="DP51" s="33" t="n"/>
      <c r="DQ51" s="33" t="n"/>
      <c r="DR51" s="33" t="n"/>
      <c r="DS51" s="33" t="n"/>
      <c r="DT51" s="33" t="n"/>
      <c r="DU51" s="33" t="n"/>
      <c r="DV51" s="33" t="n"/>
      <c r="DW51" s="33" t="n"/>
      <c r="DX51" s="33" t="n"/>
      <c r="DY51" s="33" t="n"/>
      <c r="DZ51" s="33" t="n"/>
      <c r="EA51" s="33" t="n"/>
      <c r="EB51" s="33" t="n"/>
      <c r="EC51" s="33" t="n"/>
      <c r="ED51" s="33" t="n"/>
      <c r="EE51" s="33" t="n"/>
      <c r="EF51" s="33" t="n"/>
      <c r="EG51" s="33" t="n"/>
      <c r="EH51" s="33" t="n"/>
      <c r="EI51" s="33" t="n"/>
      <c r="EJ51" s="33" t="n"/>
      <c r="EK51" s="33" t="n"/>
      <c r="EL51" s="33" t="n"/>
      <c r="EM51" s="33" t="n"/>
      <c r="EN51" s="33" t="n"/>
      <c r="EO51" s="33" t="n"/>
      <c r="EP51" s="33" t="n"/>
      <c r="EQ51" s="33" t="n"/>
      <c r="ER51" s="33" t="n"/>
      <c r="ES51" s="33" t="n"/>
      <c r="ET51" s="33" t="n"/>
      <c r="EU51" s="33" t="n"/>
      <c r="EV51" s="33" t="n"/>
      <c r="EW51" s="33" t="n"/>
      <c r="EX51" s="33" t="n"/>
      <c r="EY51" s="33" t="n"/>
      <c r="EZ51" s="33" t="n"/>
      <c r="FA51" s="33" t="n"/>
      <c r="FB51" s="33" t="n"/>
      <c r="FC51" s="33" t="n"/>
      <c r="FD51" s="33" t="n"/>
      <c r="FE51" s="33" t="n"/>
      <c r="FF51" s="33" t="n"/>
      <c r="FG51" s="33" t="n"/>
      <c r="FH51" s="33" t="n"/>
      <c r="FI51" s="33" t="n"/>
      <c r="FJ51" s="33" t="n"/>
      <c r="FK51" s="33" t="n"/>
      <c r="FL51" s="33" t="n"/>
      <c r="FM51" s="33" t="n"/>
      <c r="FN51" s="33" t="n"/>
      <c r="FO51" s="33" t="n"/>
      <c r="FP51" s="33" t="n"/>
      <c r="FQ51" s="33" t="n"/>
      <c r="FR51" s="33" t="n"/>
      <c r="FS51" s="33" t="n"/>
      <c r="FT51" s="33" t="n"/>
      <c r="FU51" s="33" t="n"/>
      <c r="FV51" s="33" t="n"/>
      <c r="FW51" s="33" t="n"/>
      <c r="FX51" s="33" t="n"/>
      <c r="FY51" s="33" t="n"/>
      <c r="FZ51" s="33" t="n"/>
      <c r="GA51" s="33" t="n"/>
      <c r="GB51" s="33" t="n"/>
      <c r="GC51" s="33" t="n"/>
      <c r="GD51" s="33" t="n"/>
      <c r="GE51" s="33" t="n"/>
      <c r="GF51" s="33" t="n"/>
      <c r="GG51" s="33" t="n"/>
      <c r="GH51" s="33" t="n"/>
      <c r="GI51" s="33" t="n"/>
      <c r="GJ51" s="33" t="n"/>
      <c r="GK51" s="33" t="n"/>
      <c r="GL51" s="33" t="n"/>
      <c r="GM51" s="33" t="n"/>
      <c r="GN51" s="33" t="n"/>
      <c r="GO51" s="33" t="n"/>
      <c r="GP51" s="33" t="n"/>
      <c r="GQ51" s="33" t="n"/>
      <c r="GR51" s="33" t="n"/>
      <c r="GS51" s="33" t="n"/>
      <c r="GT51" s="33" t="n"/>
      <c r="GU51" s="33" t="n"/>
      <c r="GV51" s="33" t="n"/>
      <c r="GW51" s="33" t="n"/>
      <c r="GX51" s="33" t="n"/>
      <c r="GY51" s="33" t="n"/>
      <c r="GZ51" s="33" t="n"/>
      <c r="HA51" s="33" t="n"/>
      <c r="HB51" s="33" t="n"/>
      <c r="HC51" s="33" t="n"/>
      <c r="HD51" s="33" t="n"/>
      <c r="HE51" s="33" t="n"/>
      <c r="HF51" s="33" t="n"/>
      <c r="HG51" s="33" t="n"/>
      <c r="HH51" s="33" t="n"/>
      <c r="HI51" s="33" t="n"/>
      <c r="HJ51" s="33" t="n"/>
      <c r="HK51" s="33" t="n"/>
      <c r="HL51" s="33" t="n"/>
      <c r="HM51" s="33" t="n"/>
      <c r="HN51" s="33" t="n"/>
      <c r="HO51" s="33" t="n"/>
      <c r="HP51" s="33" t="n"/>
      <c r="HQ51" s="33" t="n"/>
      <c r="HR51" s="33" t="n"/>
      <c r="HS51" s="33" t="n"/>
      <c r="HT51" s="33" t="n"/>
      <c r="HU51" s="33" t="n"/>
      <c r="HV51" s="33" t="n"/>
      <c r="HW51" s="33" t="n"/>
      <c r="HX51" s="33" t="n"/>
      <c r="HY51" s="33" t="n"/>
      <c r="HZ51" s="33" t="n"/>
      <c r="IA51" s="33" t="n"/>
      <c r="IB51" s="33" t="n"/>
      <c r="IC51" s="33" t="n"/>
      <c r="ID51" s="33" t="n"/>
      <c r="IE51" s="33" t="n"/>
      <c r="IF51" s="33" t="n"/>
      <c r="IG51" s="33" t="n"/>
      <c r="IH51" s="33" t="n"/>
      <c r="II51" s="33" t="n"/>
      <c r="IJ51" s="33" t="n"/>
      <c r="IK51" s="33" t="n"/>
      <c r="IL51" s="33" t="n"/>
      <c r="IM51" s="33" t="n"/>
      <c r="IN51" s="33" t="n"/>
      <c r="IO51" s="33" t="n"/>
      <c r="IP51" s="33" t="n"/>
      <c r="IQ51" s="33" t="n"/>
      <c r="IR51" s="33" t="n"/>
      <c r="IS51" s="33" t="n"/>
      <c r="IT51" s="33" t="n"/>
      <c r="IU51" s="33" t="n"/>
      <c r="IV51" s="33" t="n"/>
      <c r="IW51" s="33" t="n"/>
      <c r="IX51" s="33" t="n"/>
      <c r="IY51" s="33" t="n"/>
      <c r="IZ51" s="33" t="n"/>
      <c r="JA51" s="33" t="n"/>
      <c r="JB51" s="33" t="n"/>
      <c r="JC51" s="33" t="n"/>
      <c r="JD51" s="33" t="n"/>
      <c r="JE51" s="33" t="n"/>
      <c r="JF51" s="33" t="n"/>
      <c r="JG51" s="33" t="n"/>
      <c r="JH51" s="33" t="n"/>
      <c r="JI51" s="33" t="n"/>
      <c r="JJ51" s="33" t="n"/>
      <c r="JK51" s="33" t="n"/>
      <c r="JL51" s="33" t="n"/>
      <c r="JM51" s="33" t="n"/>
      <c r="JN51" s="33" t="n"/>
      <c r="JO51" s="33" t="n"/>
      <c r="JP51" s="33" t="n"/>
      <c r="JQ51" s="33" t="n"/>
      <c r="JR51" s="33" t="n"/>
      <c r="JS51" s="33" t="n"/>
      <c r="JT51" s="33" t="n"/>
      <c r="JU51" s="33" t="n"/>
      <c r="JV51" s="33" t="n"/>
      <c r="JW51" s="33" t="n"/>
      <c r="JX51" s="33" t="n"/>
      <c r="JY51" s="33" t="n"/>
      <c r="JZ51" s="33" t="n"/>
      <c r="KA51" s="33" t="n"/>
      <c r="KB51" s="33" t="n"/>
      <c r="KC51" s="33" t="n"/>
      <c r="KD51" s="33" t="n"/>
      <c r="KE51" s="33" t="n"/>
      <c r="KF51" s="33" t="n"/>
      <c r="KG51" s="33" t="n"/>
      <c r="KH51" s="33" t="n"/>
      <c r="KI51" s="33" t="n"/>
      <c r="KJ51" s="33" t="n"/>
      <c r="KK51" s="33" t="n"/>
      <c r="KL51" s="33" t="n"/>
      <c r="KM51" s="33" t="n"/>
      <c r="KN51" s="33" t="n"/>
      <c r="KO51" s="33" t="n"/>
      <c r="KP51" s="33" t="n"/>
      <c r="KQ51" s="33" t="n"/>
      <c r="KR51" s="33" t="n"/>
      <c r="KS51" s="33" t="n"/>
      <c r="KT51" s="33" t="n"/>
      <c r="KU51" s="33" t="n"/>
      <c r="KV51" s="33" t="n"/>
      <c r="KW51" s="33" t="n"/>
      <c r="KX51" s="33" t="n"/>
      <c r="KY51" s="33" t="n"/>
      <c r="KZ51" s="33" t="n"/>
      <c r="LA51" s="33" t="n"/>
      <c r="LB51" s="33" t="n"/>
      <c r="LC51" s="33" t="n"/>
      <c r="LD51" s="33" t="n"/>
      <c r="LE51" s="33" t="n"/>
      <c r="LF51" s="33" t="n"/>
      <c r="LG51" s="33" t="n"/>
      <c r="LH51" s="33" t="n"/>
      <c r="LI51" s="33" t="n"/>
      <c r="LJ51" s="33" t="n"/>
      <c r="LK51" s="33" t="n"/>
      <c r="LL51" s="33" t="n"/>
      <c r="LM51" s="33" t="n"/>
      <c r="LN51" s="33" t="n"/>
      <c r="LO51" s="33" t="n"/>
      <c r="LP51" s="33" t="n"/>
      <c r="LQ51" s="33" t="n"/>
      <c r="LR51" s="33" t="n"/>
      <c r="LS51" s="33" t="n"/>
      <c r="LT51" s="33" t="n"/>
      <c r="LU51" s="33" t="n"/>
      <c r="LV51" s="33" t="n"/>
      <c r="LW51" s="33" t="n"/>
      <c r="LX51" s="33" t="n"/>
      <c r="LY51" s="33" t="n"/>
      <c r="LZ51" s="33" t="n"/>
      <c r="MA51" s="33" t="n"/>
      <c r="MB51" s="33" t="n"/>
      <c r="MC51" s="33" t="n"/>
      <c r="MD51" s="33" t="n"/>
      <c r="ME51" s="33" t="n"/>
      <c r="MF51" s="33" t="n"/>
      <c r="MG51" s="33" t="n"/>
      <c r="MH51" s="33" t="n"/>
      <c r="MI51" s="33" t="n"/>
      <c r="MJ51" s="33" t="n"/>
      <c r="MK51" s="33" t="n"/>
      <c r="ML51" s="33" t="n"/>
      <c r="MM51" s="33" t="n"/>
      <c r="MN51" s="33" t="n"/>
      <c r="MO51" s="33" t="n"/>
      <c r="MP51" s="33" t="n"/>
      <c r="MQ51" s="33" t="n"/>
      <c r="MR51" s="33" t="n"/>
      <c r="MS51" s="33" t="n"/>
      <c r="MT51" s="33" t="n"/>
      <c r="MU51" s="33" t="n"/>
      <c r="MV51" s="33" t="n"/>
      <c r="MW51" s="33" t="n"/>
      <c r="MX51" s="33" t="n"/>
      <c r="MY51" s="33" t="n"/>
      <c r="MZ51" s="33" t="n"/>
      <c r="NA51" s="33" t="n"/>
      <c r="NB51" s="33" t="n"/>
      <c r="NC51" s="33" t="n"/>
      <c r="ND51" s="33" t="n"/>
      <c r="NE51" s="33" t="n"/>
      <c r="NF51" s="33" t="n"/>
      <c r="NG51" s="33" t="n"/>
      <c r="NH51" s="33" t="n"/>
      <c r="NI51" s="33" t="n"/>
      <c r="NJ51" s="33" t="n"/>
      <c r="NK51" s="33" t="n"/>
      <c r="NL51" s="33" t="n"/>
      <c r="NM51" s="33" t="n"/>
      <c r="NN51" s="33" t="n"/>
      <c r="NO51" s="33" t="n"/>
      <c r="NP51" s="33" t="n"/>
      <c r="NQ51" s="33" t="n"/>
      <c r="NR51" s="33" t="n"/>
      <c r="NS51" s="33" t="n"/>
      <c r="NT51" s="33" t="n"/>
      <c r="NU51" s="33" t="n"/>
      <c r="NV51" s="33" t="n"/>
      <c r="NW51" s="33" t="n"/>
      <c r="NX51" s="33" t="n"/>
      <c r="NY51" s="33" t="n"/>
      <c r="NZ51" s="33" t="n"/>
      <c r="OA51" s="33" t="n"/>
      <c r="OB51" s="33" t="n"/>
      <c r="OC51" s="33" t="n"/>
      <c r="OD51" s="33" t="n"/>
      <c r="OE51" s="33" t="n"/>
      <c r="OF51" s="33" t="n"/>
      <c r="OG51" s="33" t="n"/>
      <c r="OH51" s="33" t="n"/>
      <c r="OI51" s="33" t="n"/>
      <c r="OJ51" s="33" t="n"/>
      <c r="OK51" s="33" t="n"/>
      <c r="OL51" s="33" t="n"/>
      <c r="OM51" s="33" t="n"/>
      <c r="ON51" s="33" t="n"/>
      <c r="OO51" s="33" t="n"/>
      <c r="OP51" s="33" t="n"/>
      <c r="OQ51" s="33" t="n"/>
      <c r="OR51" s="33" t="n"/>
      <c r="OS51" s="33" t="n"/>
      <c r="OT51" s="33" t="n"/>
      <c r="OU51" s="33" t="n"/>
      <c r="OV51" s="33" t="n"/>
      <c r="OW51" s="33" t="n"/>
      <c r="OX51" s="33" t="n"/>
      <c r="OY51" s="33" t="n"/>
      <c r="OZ51" s="33" t="n"/>
      <c r="PA51" s="33" t="n"/>
      <c r="PB51" s="33" t="n"/>
      <c r="PC51" s="33" t="n"/>
      <c r="PD51" s="33" t="n"/>
      <c r="PE51" s="33" t="n"/>
      <c r="PF51" s="33" t="n"/>
      <c r="PG51" s="33" t="n"/>
      <c r="PH51" s="33" t="n"/>
      <c r="PI51" s="33" t="n"/>
      <c r="PJ51" s="33" t="n"/>
      <c r="PK51" s="33" t="n"/>
      <c r="PL51" s="33" t="n"/>
      <c r="PM51" s="33" t="n"/>
      <c r="PN51" s="33" t="n"/>
      <c r="PO51" s="33" t="n"/>
      <c r="PP51" s="33" t="n"/>
      <c r="PQ51" s="33" t="n"/>
      <c r="PR51" s="33" t="n"/>
      <c r="PS51" s="33" t="n"/>
      <c r="PT51" s="33" t="n"/>
      <c r="PU51" s="33" t="n"/>
      <c r="PV51" s="33" t="n"/>
      <c r="PW51" s="33" t="n"/>
      <c r="PX51" s="33" t="n"/>
      <c r="PY51" s="33" t="n"/>
      <c r="PZ51" s="33" t="n"/>
      <c r="QA51" s="33" t="n"/>
      <c r="QB51" s="33" t="n"/>
      <c r="QC51" s="33" t="n"/>
      <c r="QD51" s="33" t="n"/>
      <c r="QE51" s="33" t="n"/>
      <c r="QF51" s="33" t="n"/>
      <c r="QG51" s="33" t="n"/>
      <c r="QH51" s="33" t="n"/>
      <c r="QI51" s="33" t="n"/>
      <c r="QJ51" s="33" t="n"/>
      <c r="QK51" s="33" t="n"/>
      <c r="QL51" s="33" t="n"/>
      <c r="QM51" s="33" t="n"/>
      <c r="QN51" s="33" t="n"/>
      <c r="QO51" s="33" t="n"/>
      <c r="QP51" s="33" t="n"/>
      <c r="QQ51" s="33" t="n"/>
      <c r="QR51" s="33" t="n"/>
      <c r="QS51" s="33" t="n"/>
      <c r="QT51" s="33" t="n"/>
      <c r="QU51" s="33" t="n"/>
      <c r="QV51" s="33" t="n"/>
      <c r="QW51" s="33" t="n"/>
      <c r="QX51" s="33" t="n"/>
      <c r="QY51" s="33" t="n"/>
      <c r="QZ51" s="33" t="n"/>
      <c r="RA51" s="33" t="n"/>
      <c r="RB51" s="33" t="n"/>
      <c r="RC51" s="33" t="n"/>
      <c r="RD51" s="33" t="n"/>
      <c r="RE51" s="33" t="n"/>
      <c r="RF51" s="33" t="n"/>
      <c r="RG51" s="33" t="n"/>
      <c r="RH51" s="33" t="n"/>
      <c r="RI51" s="33" t="n"/>
      <c r="RJ51" s="33" t="n"/>
      <c r="RK51" s="33" t="n"/>
      <c r="RL51" s="33" t="n"/>
      <c r="RM51" s="33" t="n"/>
      <c r="RN51" s="33" t="n"/>
      <c r="RO51" s="33" t="n"/>
      <c r="RP51" s="33" t="n"/>
      <c r="RQ51" s="33" t="n"/>
      <c r="RR51" s="33" t="n"/>
      <c r="RS51" s="33" t="n"/>
      <c r="RT51" s="33" t="n"/>
      <c r="RU51" s="33" t="n"/>
      <c r="RV51" s="33" t="n"/>
      <c r="RW51" s="33" t="n"/>
    </row>
    <row r="52" hidden="1" outlineLevel="1" ht="13.05" customHeight="1">
      <c r="E52" s="21" t="inlineStr">
        <is>
          <t>DSCR (achieved)</t>
        </is>
      </c>
      <c r="F52" s="29" t="n"/>
      <c r="G52" s="29" t="inlineStr">
        <is>
          <t>kEUR</t>
        </is>
      </c>
      <c r="H52" s="29" t="n"/>
      <c r="I52" s="29" t="n"/>
      <c r="J52" s="46" t="n"/>
      <c r="K52" s="29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  <c r="AU52" s="47" t="n"/>
      <c r="AV52" s="47" t="n"/>
      <c r="AW52" s="47" t="n"/>
      <c r="AX52" s="47" t="n"/>
      <c r="AY52" s="47" t="n"/>
      <c r="AZ52" s="47" t="n"/>
      <c r="BA52" s="47" t="n"/>
      <c r="BB52" s="47" t="n"/>
      <c r="BC52" s="47" t="n"/>
      <c r="BD52" s="47" t="n"/>
      <c r="BE52" s="47" t="n"/>
      <c r="BF52" s="47" t="n"/>
      <c r="BG52" s="47" t="n"/>
      <c r="BH52" s="47" t="n"/>
      <c r="BI52" s="47" t="n"/>
      <c r="BJ52" s="47" t="n"/>
      <c r="BK52" s="47" t="n"/>
      <c r="BL52" s="47" t="n"/>
      <c r="BM52" s="47" t="n"/>
      <c r="BN52" s="47" t="n"/>
      <c r="BO52" s="47" t="n"/>
      <c r="BP52" s="47" t="n"/>
      <c r="BQ52" s="47" t="n"/>
      <c r="BR52" s="47" t="n"/>
      <c r="BS52" s="47" t="n"/>
      <c r="BT52" s="47" t="n"/>
      <c r="BU52" s="47" t="n"/>
      <c r="BV52" s="47" t="n"/>
      <c r="BW52" s="47" t="n"/>
      <c r="BX52" s="47" t="n"/>
      <c r="BY52" s="47" t="n"/>
      <c r="BZ52" s="47" t="n"/>
      <c r="CA52" s="47" t="n"/>
      <c r="CB52" s="47" t="n"/>
      <c r="CC52" s="47" t="n"/>
      <c r="CD52" s="47" t="n"/>
      <c r="CE52" s="47" t="n"/>
      <c r="CF52" s="47" t="n"/>
      <c r="CG52" s="47" t="n"/>
      <c r="CH52" s="47" t="n"/>
      <c r="CI52" s="47" t="n"/>
      <c r="CJ52" s="47" t="n"/>
      <c r="CK52" s="47" t="n"/>
      <c r="CL52" s="47" t="n"/>
      <c r="CM52" s="47" t="n"/>
      <c r="CN52" s="47" t="n"/>
      <c r="CO52" s="47" t="n"/>
      <c r="CP52" s="47" t="n"/>
      <c r="CQ52" s="47" t="n"/>
      <c r="CR52" s="47" t="n"/>
      <c r="CS52" s="47" t="n"/>
      <c r="CT52" s="47" t="n"/>
      <c r="CU52" s="47" t="n"/>
      <c r="CV52" s="47" t="n"/>
      <c r="CW52" s="47" t="n"/>
      <c r="CX52" s="47" t="n"/>
      <c r="CY52" s="47" t="n"/>
      <c r="CZ52" s="47" t="n"/>
      <c r="DA52" s="47" t="n"/>
      <c r="DB52" s="47" t="n"/>
      <c r="DC52" s="47" t="n"/>
      <c r="DD52" s="47" t="n"/>
      <c r="DE52" s="47" t="n"/>
      <c r="DF52" s="47" t="n"/>
      <c r="DG52" s="47" t="n"/>
      <c r="DH52" s="47" t="n"/>
      <c r="DI52" s="47" t="n"/>
      <c r="DJ52" s="47" t="n"/>
      <c r="DK52" s="47" t="n"/>
      <c r="DL52" s="47" t="n"/>
      <c r="DM52" s="47" t="n"/>
      <c r="DN52" s="47" t="n"/>
      <c r="DO52" s="47" t="n"/>
      <c r="DP52" s="47" t="n"/>
      <c r="DQ52" s="47" t="n"/>
      <c r="DR52" s="47" t="n"/>
      <c r="DS52" s="47" t="n"/>
      <c r="DT52" s="47" t="n"/>
      <c r="DU52" s="47" t="n"/>
      <c r="DV52" s="47" t="n"/>
      <c r="DW52" s="47" t="n"/>
      <c r="DX52" s="47" t="n"/>
      <c r="DY52" s="47" t="n"/>
      <c r="DZ52" s="47" t="n"/>
      <c r="EA52" s="47" t="n"/>
      <c r="EB52" s="47" t="n"/>
      <c r="EC52" s="47" t="n"/>
      <c r="ED52" s="47" t="n"/>
      <c r="EE52" s="47" t="n"/>
      <c r="EF52" s="47" t="n"/>
      <c r="EG52" s="47" t="n"/>
      <c r="EH52" s="47" t="n"/>
      <c r="EI52" s="47" t="n"/>
      <c r="EJ52" s="47" t="n"/>
      <c r="EK52" s="47" t="n"/>
      <c r="EL52" s="47" t="n"/>
      <c r="EM52" s="47" t="n"/>
      <c r="EN52" s="47" t="n"/>
      <c r="EO52" s="47" t="n"/>
      <c r="EP52" s="47" t="n"/>
      <c r="EQ52" s="47" t="n"/>
      <c r="ER52" s="47" t="n"/>
      <c r="ES52" s="47" t="n"/>
      <c r="ET52" s="47" t="n"/>
      <c r="EU52" s="47" t="n"/>
      <c r="EV52" s="47" t="n"/>
      <c r="EW52" s="47" t="n"/>
      <c r="EX52" s="47" t="n"/>
      <c r="EY52" s="47" t="n"/>
      <c r="EZ52" s="47" t="n"/>
      <c r="FA52" s="47" t="n"/>
      <c r="FB52" s="47" t="n"/>
      <c r="FC52" s="47" t="n"/>
      <c r="FD52" s="47" t="n"/>
      <c r="FE52" s="47" t="n"/>
      <c r="FF52" s="47" t="n"/>
      <c r="FG52" s="47" t="n"/>
      <c r="FH52" s="47" t="n"/>
      <c r="FI52" s="47" t="n"/>
      <c r="FJ52" s="47" t="n"/>
      <c r="FK52" s="47" t="n"/>
      <c r="FL52" s="47" t="n"/>
      <c r="FM52" s="47" t="n"/>
      <c r="FN52" s="47" t="n"/>
      <c r="FO52" s="47" t="n"/>
      <c r="FP52" s="47" t="n"/>
      <c r="FQ52" s="47" t="n"/>
      <c r="FR52" s="47" t="n"/>
      <c r="FS52" s="47" t="n"/>
      <c r="FT52" s="47" t="n"/>
      <c r="FU52" s="47" t="n"/>
      <c r="FV52" s="47" t="n"/>
      <c r="FW52" s="47" t="n"/>
      <c r="FX52" s="47" t="n"/>
      <c r="FY52" s="47" t="n"/>
      <c r="FZ52" s="47" t="n"/>
      <c r="GA52" s="47" t="n"/>
      <c r="GB52" s="47" t="n"/>
      <c r="GC52" s="47" t="n"/>
      <c r="GD52" s="47" t="n"/>
      <c r="GE52" s="47" t="n"/>
      <c r="GF52" s="47" t="n"/>
      <c r="GG52" s="47" t="n"/>
      <c r="GH52" s="47" t="n"/>
      <c r="GI52" s="47" t="n"/>
      <c r="GJ52" s="47" t="n"/>
      <c r="GK52" s="47" t="n"/>
      <c r="GL52" s="47" t="n"/>
      <c r="GM52" s="47" t="n"/>
      <c r="GN52" s="47" t="n"/>
      <c r="GO52" s="47" t="n"/>
      <c r="GP52" s="47" t="n"/>
      <c r="GQ52" s="47" t="n"/>
      <c r="GR52" s="47" t="n"/>
      <c r="GS52" s="47" t="n"/>
      <c r="GT52" s="47" t="n"/>
      <c r="GU52" s="47" t="n"/>
      <c r="GV52" s="47" t="n"/>
      <c r="GW52" s="47" t="n"/>
      <c r="GX52" s="47" t="n"/>
      <c r="GY52" s="47" t="n"/>
      <c r="GZ52" s="47" t="n"/>
      <c r="HA52" s="47" t="n"/>
      <c r="HB52" s="47" t="n"/>
      <c r="HC52" s="47" t="n"/>
      <c r="HD52" s="47" t="n"/>
      <c r="HE52" s="47" t="n"/>
      <c r="HF52" s="47" t="n"/>
      <c r="HG52" s="47" t="n"/>
      <c r="HH52" s="47" t="n"/>
      <c r="HI52" s="47" t="n"/>
      <c r="HJ52" s="47" t="n"/>
      <c r="HK52" s="47" t="n"/>
      <c r="HL52" s="47" t="n"/>
      <c r="HM52" s="47" t="n"/>
      <c r="HN52" s="47" t="n"/>
      <c r="HO52" s="47" t="n"/>
      <c r="HP52" s="47" t="n"/>
      <c r="HQ52" s="47" t="n"/>
      <c r="HR52" s="47" t="n"/>
      <c r="HS52" s="47" t="n"/>
      <c r="HT52" s="47" t="n"/>
      <c r="HU52" s="47" t="n"/>
      <c r="HV52" s="47" t="n"/>
      <c r="HW52" s="47" t="n"/>
      <c r="HX52" s="47" t="n"/>
      <c r="HY52" s="47" t="n"/>
      <c r="HZ52" s="47" t="n"/>
      <c r="IA52" s="47" t="n"/>
      <c r="IB52" s="47" t="n"/>
      <c r="IC52" s="47" t="n"/>
      <c r="ID52" s="47" t="n"/>
      <c r="IE52" s="47" t="n"/>
      <c r="IF52" s="47" t="n"/>
      <c r="IG52" s="47" t="n"/>
      <c r="IH52" s="47" t="n"/>
      <c r="II52" s="47" t="n"/>
      <c r="IJ52" s="47" t="n"/>
      <c r="IK52" s="47" t="n"/>
      <c r="IL52" s="47" t="n"/>
      <c r="IM52" s="47" t="n"/>
      <c r="IN52" s="47" t="n"/>
      <c r="IO52" s="47" t="n"/>
      <c r="IP52" s="47" t="n"/>
      <c r="IQ52" s="47" t="n"/>
      <c r="IR52" s="47" t="n"/>
      <c r="IS52" s="47" t="n"/>
      <c r="IT52" s="47" t="n"/>
      <c r="IU52" s="47" t="n"/>
      <c r="IV52" s="47" t="n"/>
      <c r="IW52" s="47" t="n"/>
      <c r="IX52" s="47" t="n"/>
      <c r="IY52" s="47" t="n"/>
      <c r="IZ52" s="47" t="n"/>
      <c r="JA52" s="47" t="n"/>
      <c r="JB52" s="47" t="n"/>
      <c r="JC52" s="47" t="n"/>
      <c r="JD52" s="47" t="n"/>
      <c r="JE52" s="47" t="n"/>
      <c r="JF52" s="47" t="n"/>
      <c r="JG52" s="47" t="n"/>
      <c r="JH52" s="47" t="n"/>
      <c r="JI52" s="47" t="n"/>
      <c r="JJ52" s="47" t="n"/>
      <c r="JK52" s="47" t="n"/>
      <c r="JL52" s="47" t="n"/>
      <c r="JM52" s="47" t="n"/>
      <c r="JN52" s="47" t="n"/>
      <c r="JO52" s="47" t="n"/>
      <c r="JP52" s="47" t="n"/>
      <c r="JQ52" s="47" t="n"/>
      <c r="JR52" s="47" t="n"/>
      <c r="JS52" s="47" t="n"/>
      <c r="JT52" s="47" t="n"/>
      <c r="JU52" s="47" t="n"/>
      <c r="JV52" s="47" t="n"/>
      <c r="JW52" s="47" t="n"/>
      <c r="JX52" s="47" t="n"/>
      <c r="JY52" s="47" t="n"/>
      <c r="JZ52" s="47" t="n"/>
      <c r="KA52" s="47" t="n"/>
      <c r="KB52" s="47" t="n"/>
      <c r="KC52" s="47" t="n"/>
      <c r="KD52" s="47" t="n"/>
      <c r="KE52" s="47" t="n"/>
      <c r="KF52" s="47" t="n"/>
      <c r="KG52" s="47" t="n"/>
      <c r="KH52" s="47" t="n"/>
      <c r="KI52" s="47" t="n"/>
      <c r="KJ52" s="47" t="n"/>
      <c r="KK52" s="47" t="n"/>
      <c r="KL52" s="47" t="n"/>
      <c r="KM52" s="47" t="n"/>
      <c r="KN52" s="47" t="n"/>
      <c r="KO52" s="47" t="n"/>
      <c r="KP52" s="47" t="n"/>
      <c r="KQ52" s="47" t="n"/>
      <c r="KR52" s="47" t="n"/>
      <c r="KS52" s="47" t="n"/>
      <c r="KT52" s="47" t="n"/>
      <c r="KU52" s="47" t="n"/>
      <c r="KV52" s="47" t="n"/>
      <c r="KW52" s="47" t="n"/>
      <c r="KX52" s="47" t="n"/>
      <c r="KY52" s="47" t="n"/>
      <c r="KZ52" s="47" t="n"/>
      <c r="LA52" s="47" t="n"/>
      <c r="LB52" s="47" t="n"/>
      <c r="LC52" s="47" t="n"/>
      <c r="LD52" s="47" t="n"/>
      <c r="LE52" s="47" t="n"/>
      <c r="LF52" s="47" t="n"/>
      <c r="LG52" s="47" t="n"/>
      <c r="LH52" s="47" t="n"/>
      <c r="LI52" s="47" t="n"/>
      <c r="LJ52" s="47" t="n"/>
      <c r="LK52" s="47" t="n"/>
      <c r="LL52" s="47" t="n"/>
      <c r="LM52" s="47" t="n"/>
      <c r="LN52" s="47" t="n"/>
      <c r="LO52" s="47" t="n"/>
      <c r="LP52" s="47" t="n"/>
      <c r="LQ52" s="47" t="n"/>
      <c r="LR52" s="47" t="n"/>
      <c r="LS52" s="47" t="n"/>
      <c r="LT52" s="47" t="n"/>
      <c r="LU52" s="47" t="n"/>
      <c r="LV52" s="47" t="n"/>
      <c r="LW52" s="47" t="n"/>
      <c r="LX52" s="47" t="n"/>
      <c r="LY52" s="47" t="n"/>
      <c r="LZ52" s="47" t="n"/>
      <c r="MA52" s="47" t="n"/>
      <c r="MB52" s="47" t="n"/>
      <c r="MC52" s="47" t="n"/>
      <c r="MD52" s="47" t="n"/>
      <c r="ME52" s="47" t="n"/>
      <c r="MF52" s="47" t="n"/>
      <c r="MG52" s="47" t="n"/>
      <c r="MH52" s="47" t="n"/>
      <c r="MI52" s="47" t="n"/>
      <c r="MJ52" s="47" t="n"/>
      <c r="MK52" s="47" t="n"/>
      <c r="ML52" s="47" t="n"/>
      <c r="MM52" s="47" t="n"/>
      <c r="MN52" s="47" t="n"/>
      <c r="MO52" s="47" t="n"/>
      <c r="MP52" s="47" t="n"/>
      <c r="MQ52" s="47" t="n"/>
      <c r="MR52" s="47" t="n"/>
      <c r="MS52" s="47" t="n"/>
      <c r="MT52" s="47" t="n"/>
      <c r="MU52" s="47" t="n"/>
      <c r="MV52" s="47" t="n"/>
      <c r="MW52" s="47" t="n"/>
      <c r="MX52" s="47" t="n"/>
      <c r="MY52" s="47" t="n"/>
      <c r="MZ52" s="47" t="n"/>
      <c r="NA52" s="47" t="n"/>
      <c r="NB52" s="47" t="n"/>
      <c r="NC52" s="47" t="n"/>
      <c r="ND52" s="47" t="n"/>
      <c r="NE52" s="47" t="n"/>
      <c r="NF52" s="47" t="n"/>
      <c r="NG52" s="47" t="n"/>
      <c r="NH52" s="47" t="n"/>
      <c r="NI52" s="47" t="n"/>
      <c r="NJ52" s="47" t="n"/>
      <c r="NK52" s="47" t="n"/>
      <c r="NL52" s="47" t="n"/>
      <c r="NM52" s="47" t="n"/>
      <c r="NN52" s="47" t="n"/>
      <c r="NO52" s="47" t="n"/>
      <c r="NP52" s="47" t="n"/>
      <c r="NQ52" s="47" t="n"/>
      <c r="NR52" s="47" t="n"/>
      <c r="NS52" s="47" t="n"/>
      <c r="NT52" s="47" t="n"/>
      <c r="NU52" s="47" t="n"/>
      <c r="NV52" s="47" t="n"/>
      <c r="NW52" s="47" t="n"/>
      <c r="NX52" s="47" t="n"/>
      <c r="NY52" s="47" t="n"/>
      <c r="NZ52" s="47" t="n"/>
      <c r="OA52" s="47" t="n"/>
      <c r="OB52" s="47" t="n"/>
      <c r="OC52" s="47" t="n"/>
      <c r="OD52" s="47" t="n"/>
      <c r="OE52" s="47" t="n"/>
      <c r="OF52" s="47" t="n"/>
      <c r="OG52" s="47" t="n"/>
      <c r="OH52" s="47" t="n"/>
      <c r="OI52" s="47" t="n"/>
      <c r="OJ52" s="47" t="n"/>
      <c r="OK52" s="47" t="n"/>
      <c r="OL52" s="47" t="n"/>
      <c r="OM52" s="47" t="n"/>
      <c r="ON52" s="47" t="n"/>
      <c r="OO52" s="47" t="n"/>
      <c r="OP52" s="47" t="n"/>
      <c r="OQ52" s="47" t="n"/>
      <c r="OR52" s="47" t="n"/>
      <c r="OS52" s="47" t="n"/>
      <c r="OT52" s="47" t="n"/>
      <c r="OU52" s="47" t="n"/>
      <c r="OV52" s="47" t="n"/>
      <c r="OW52" s="47" t="n"/>
      <c r="OX52" s="47" t="n"/>
      <c r="OY52" s="47" t="n"/>
      <c r="OZ52" s="47" t="n"/>
      <c r="PA52" s="47" t="n"/>
      <c r="PB52" s="47" t="n"/>
      <c r="PC52" s="47" t="n"/>
      <c r="PD52" s="47" t="n"/>
      <c r="PE52" s="47" t="n"/>
      <c r="PF52" s="47" t="n"/>
      <c r="PG52" s="47" t="n"/>
      <c r="PH52" s="47" t="n"/>
      <c r="PI52" s="47" t="n"/>
      <c r="PJ52" s="47" t="n"/>
      <c r="PK52" s="47" t="n"/>
      <c r="PL52" s="47" t="n"/>
      <c r="PM52" s="47" t="n"/>
      <c r="PN52" s="47" t="n"/>
      <c r="PO52" s="47" t="n"/>
      <c r="PP52" s="47" t="n"/>
      <c r="PQ52" s="47" t="n"/>
      <c r="PR52" s="47" t="n"/>
      <c r="PS52" s="47" t="n"/>
      <c r="PT52" s="47" t="n"/>
      <c r="PU52" s="47" t="n"/>
      <c r="PV52" s="47" t="n"/>
      <c r="PW52" s="47" t="n"/>
      <c r="PX52" s="47" t="n"/>
      <c r="PY52" s="47" t="n"/>
      <c r="PZ52" s="47" t="n"/>
      <c r="QA52" s="47" t="n"/>
      <c r="QB52" s="47" t="n"/>
      <c r="QC52" s="47" t="n"/>
      <c r="QD52" s="47" t="n"/>
      <c r="QE52" s="47" t="n"/>
      <c r="QF52" s="47" t="n"/>
      <c r="QG52" s="47" t="n"/>
      <c r="QH52" s="47" t="n"/>
      <c r="QI52" s="47" t="n"/>
      <c r="QJ52" s="47" t="n"/>
      <c r="QK52" s="47" t="n"/>
      <c r="QL52" s="47" t="n"/>
      <c r="QM52" s="47" t="n"/>
      <c r="QN52" s="47" t="n"/>
      <c r="QO52" s="47" t="n"/>
      <c r="QP52" s="47" t="n"/>
      <c r="QQ52" s="47" t="n"/>
      <c r="QR52" s="47" t="n"/>
      <c r="QS52" s="47" t="n"/>
      <c r="QT52" s="47" t="n"/>
      <c r="QU52" s="47" t="n"/>
      <c r="QV52" s="47" t="n"/>
      <c r="QW52" s="47" t="n"/>
      <c r="QX52" s="47" t="n"/>
      <c r="QY52" s="47" t="n"/>
      <c r="QZ52" s="47" t="n"/>
      <c r="RA52" s="47" t="n"/>
      <c r="RB52" s="47" t="n"/>
      <c r="RC52" s="47" t="n"/>
      <c r="RD52" s="47" t="n"/>
      <c r="RE52" s="47" t="n"/>
      <c r="RF52" s="47" t="n"/>
      <c r="RG52" s="47" t="n"/>
      <c r="RH52" s="47" t="n"/>
      <c r="RI52" s="47" t="n"/>
      <c r="RJ52" s="47" t="n"/>
      <c r="RK52" s="47" t="n"/>
      <c r="RL52" s="47" t="n"/>
      <c r="RM52" s="47" t="n"/>
      <c r="RN52" s="47" t="n"/>
      <c r="RO52" s="47" t="n"/>
      <c r="RP52" s="47" t="n"/>
      <c r="RQ52" s="47" t="n"/>
      <c r="RR52" s="47" t="n"/>
      <c r="RS52" s="47" t="n"/>
      <c r="RT52" s="47" t="n"/>
      <c r="RU52" s="47" t="n"/>
      <c r="RV52" s="47" t="n"/>
      <c r="RW52" s="47" t="n"/>
    </row>
    <row r="53" hidden="1" outlineLevel="1" ht="13.05" customHeight="1">
      <c r="E53" s="21" t="inlineStr">
        <is>
          <t>Cash Sweep Prepayment</t>
        </is>
      </c>
      <c r="F53" s="29" t="n"/>
      <c r="G53" s="29" t="inlineStr">
        <is>
          <t>kEUR</t>
        </is>
      </c>
      <c r="H53" s="29" t="n"/>
      <c r="I53" s="29" t="n"/>
      <c r="J53" s="32" t="n"/>
      <c r="K53" s="29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3" t="n"/>
      <c r="AY53" s="33" t="n"/>
      <c r="AZ53" s="33" t="n"/>
      <c r="BA53" s="33" t="n"/>
      <c r="BB53" s="33" t="n"/>
      <c r="BC53" s="33" t="n"/>
      <c r="BD53" s="33" t="n"/>
      <c r="BE53" s="33" t="n"/>
      <c r="BF53" s="33" t="n"/>
      <c r="BG53" s="33" t="n"/>
      <c r="BH53" s="33" t="n"/>
      <c r="BI53" s="33" t="n"/>
      <c r="BJ53" s="33" t="n"/>
      <c r="BK53" s="33" t="n"/>
      <c r="BL53" s="33" t="n"/>
      <c r="BM53" s="33" t="n"/>
      <c r="BN53" s="33" t="n"/>
      <c r="BO53" s="33" t="n"/>
      <c r="BP53" s="33" t="n"/>
      <c r="BQ53" s="33" t="n"/>
      <c r="BR53" s="33" t="n"/>
      <c r="BS53" s="33" t="n"/>
      <c r="BT53" s="33" t="n"/>
      <c r="BU53" s="33" t="n"/>
      <c r="BV53" s="33" t="n"/>
      <c r="BW53" s="33" t="n"/>
      <c r="BX53" s="33" t="n"/>
      <c r="BY53" s="33" t="n"/>
      <c r="BZ53" s="33" t="n"/>
      <c r="CA53" s="33" t="n"/>
      <c r="CB53" s="33" t="n"/>
      <c r="CC53" s="33" t="n"/>
      <c r="CD53" s="33" t="n"/>
      <c r="CE53" s="33" t="n"/>
      <c r="CF53" s="33" t="n"/>
      <c r="CG53" s="33" t="n"/>
      <c r="CH53" s="33" t="n"/>
      <c r="CI53" s="33" t="n"/>
      <c r="CJ53" s="33" t="n"/>
      <c r="CK53" s="33" t="n"/>
      <c r="CL53" s="33" t="n"/>
      <c r="CM53" s="33" t="n"/>
      <c r="CN53" s="33" t="n"/>
      <c r="CO53" s="33" t="n"/>
      <c r="CP53" s="33" t="n"/>
      <c r="CQ53" s="33" t="n"/>
      <c r="CR53" s="33" t="n"/>
      <c r="CS53" s="33" t="n"/>
      <c r="CT53" s="33" t="n"/>
      <c r="CU53" s="33" t="n"/>
      <c r="CV53" s="33" t="n"/>
      <c r="CW53" s="33" t="n"/>
      <c r="CX53" s="33" t="n"/>
      <c r="CY53" s="33" t="n"/>
      <c r="CZ53" s="33" t="n"/>
      <c r="DA53" s="33" t="n"/>
      <c r="DB53" s="33" t="n"/>
      <c r="DC53" s="33" t="n"/>
      <c r="DD53" s="33" t="n"/>
      <c r="DE53" s="33" t="n"/>
      <c r="DF53" s="33" t="n"/>
      <c r="DG53" s="33" t="n"/>
      <c r="DH53" s="33" t="n"/>
      <c r="DI53" s="33" t="n"/>
      <c r="DJ53" s="33" t="n"/>
      <c r="DK53" s="33" t="n"/>
      <c r="DL53" s="33" t="n"/>
      <c r="DM53" s="33" t="n"/>
      <c r="DN53" s="33" t="n"/>
      <c r="DO53" s="33" t="n"/>
      <c r="DP53" s="33" t="n"/>
      <c r="DQ53" s="33" t="n"/>
      <c r="DR53" s="33" t="n"/>
      <c r="DS53" s="33" t="n"/>
      <c r="DT53" s="33" t="n"/>
      <c r="DU53" s="33" t="n"/>
      <c r="DV53" s="33" t="n"/>
      <c r="DW53" s="33" t="n"/>
      <c r="DX53" s="33" t="n"/>
      <c r="DY53" s="33" t="n"/>
      <c r="DZ53" s="33" t="n"/>
      <c r="EA53" s="33" t="n"/>
      <c r="EB53" s="33" t="n"/>
      <c r="EC53" s="33" t="n"/>
      <c r="ED53" s="33" t="n"/>
      <c r="EE53" s="33" t="n"/>
      <c r="EF53" s="33" t="n"/>
      <c r="EG53" s="33" t="n"/>
      <c r="EH53" s="33" t="n"/>
      <c r="EI53" s="33" t="n"/>
      <c r="EJ53" s="33" t="n"/>
      <c r="EK53" s="33" t="n"/>
      <c r="EL53" s="33" t="n"/>
      <c r="EM53" s="33" t="n"/>
      <c r="EN53" s="33" t="n"/>
      <c r="EO53" s="33" t="n"/>
      <c r="EP53" s="33" t="n"/>
      <c r="EQ53" s="33" t="n"/>
      <c r="ER53" s="33" t="n"/>
      <c r="ES53" s="33" t="n"/>
      <c r="ET53" s="33" t="n"/>
      <c r="EU53" s="33" t="n"/>
      <c r="EV53" s="33" t="n"/>
      <c r="EW53" s="33" t="n"/>
      <c r="EX53" s="33" t="n"/>
      <c r="EY53" s="33" t="n"/>
      <c r="EZ53" s="33" t="n"/>
      <c r="FA53" s="33" t="n"/>
      <c r="FB53" s="33" t="n"/>
      <c r="FC53" s="33" t="n"/>
      <c r="FD53" s="33" t="n"/>
      <c r="FE53" s="33" t="n"/>
      <c r="FF53" s="33" t="n"/>
      <c r="FG53" s="33" t="n"/>
      <c r="FH53" s="33" t="n"/>
      <c r="FI53" s="33" t="n"/>
      <c r="FJ53" s="33" t="n"/>
      <c r="FK53" s="33" t="n"/>
      <c r="FL53" s="33" t="n"/>
      <c r="FM53" s="33" t="n"/>
      <c r="FN53" s="33" t="n"/>
      <c r="FO53" s="33" t="n"/>
      <c r="FP53" s="33" t="n"/>
      <c r="FQ53" s="33" t="n"/>
      <c r="FR53" s="33" t="n"/>
      <c r="FS53" s="33" t="n"/>
      <c r="FT53" s="33" t="n"/>
      <c r="FU53" s="33" t="n"/>
      <c r="FV53" s="33" t="n"/>
      <c r="FW53" s="33" t="n"/>
      <c r="FX53" s="33" t="n"/>
      <c r="FY53" s="33" t="n"/>
      <c r="FZ53" s="33" t="n"/>
      <c r="GA53" s="33" t="n"/>
      <c r="GB53" s="33" t="n"/>
      <c r="GC53" s="33" t="n"/>
      <c r="GD53" s="33" t="n"/>
      <c r="GE53" s="33" t="n"/>
      <c r="GF53" s="33" t="n"/>
      <c r="GG53" s="33" t="n"/>
      <c r="GH53" s="33" t="n"/>
      <c r="GI53" s="33" t="n"/>
      <c r="GJ53" s="33" t="n"/>
      <c r="GK53" s="33" t="n"/>
      <c r="GL53" s="33" t="n"/>
      <c r="GM53" s="33" t="n"/>
      <c r="GN53" s="33" t="n"/>
      <c r="GO53" s="33" t="n"/>
      <c r="GP53" s="33" t="n"/>
      <c r="GQ53" s="33" t="n"/>
      <c r="GR53" s="33" t="n"/>
      <c r="GS53" s="33" t="n"/>
      <c r="GT53" s="33" t="n"/>
      <c r="GU53" s="33" t="n"/>
      <c r="GV53" s="33" t="n"/>
      <c r="GW53" s="33" t="n"/>
      <c r="GX53" s="33" t="n"/>
      <c r="GY53" s="33" t="n"/>
      <c r="GZ53" s="33" t="n"/>
      <c r="HA53" s="33" t="n"/>
      <c r="HB53" s="33" t="n"/>
      <c r="HC53" s="33" t="n"/>
      <c r="HD53" s="33" t="n"/>
      <c r="HE53" s="33" t="n"/>
      <c r="HF53" s="33" t="n"/>
      <c r="HG53" s="33" t="n"/>
      <c r="HH53" s="33" t="n"/>
      <c r="HI53" s="33" t="n"/>
      <c r="HJ53" s="33" t="n"/>
      <c r="HK53" s="33" t="n"/>
      <c r="HL53" s="33" t="n"/>
      <c r="HM53" s="33" t="n"/>
      <c r="HN53" s="33" t="n"/>
      <c r="HO53" s="33" t="n"/>
      <c r="HP53" s="33" t="n"/>
      <c r="HQ53" s="33" t="n"/>
      <c r="HR53" s="33" t="n"/>
      <c r="HS53" s="33" t="n"/>
      <c r="HT53" s="33" t="n"/>
      <c r="HU53" s="33" t="n"/>
      <c r="HV53" s="33" t="n"/>
      <c r="HW53" s="33" t="n"/>
      <c r="HX53" s="33" t="n"/>
      <c r="HY53" s="33" t="n"/>
      <c r="HZ53" s="33" t="n"/>
      <c r="IA53" s="33" t="n"/>
      <c r="IB53" s="33" t="n"/>
      <c r="IC53" s="33" t="n"/>
      <c r="ID53" s="33" t="n"/>
      <c r="IE53" s="33" t="n"/>
      <c r="IF53" s="33" t="n"/>
      <c r="IG53" s="33" t="n"/>
      <c r="IH53" s="33" t="n"/>
      <c r="II53" s="33" t="n"/>
      <c r="IJ53" s="33" t="n"/>
      <c r="IK53" s="33" t="n"/>
      <c r="IL53" s="33" t="n"/>
      <c r="IM53" s="33" t="n"/>
      <c r="IN53" s="33" t="n"/>
      <c r="IO53" s="33" t="n"/>
      <c r="IP53" s="33" t="n"/>
      <c r="IQ53" s="33" t="n"/>
      <c r="IR53" s="33" t="n"/>
      <c r="IS53" s="33" t="n"/>
      <c r="IT53" s="33" t="n"/>
      <c r="IU53" s="33" t="n"/>
      <c r="IV53" s="33" t="n"/>
      <c r="IW53" s="33" t="n"/>
      <c r="IX53" s="33" t="n"/>
      <c r="IY53" s="33" t="n"/>
      <c r="IZ53" s="33" t="n"/>
      <c r="JA53" s="33" t="n"/>
      <c r="JB53" s="33" t="n"/>
      <c r="JC53" s="33" t="n"/>
      <c r="JD53" s="33" t="n"/>
      <c r="JE53" s="33" t="n"/>
      <c r="JF53" s="33" t="n"/>
      <c r="JG53" s="33" t="n"/>
      <c r="JH53" s="33" t="n"/>
      <c r="JI53" s="33" t="n"/>
      <c r="JJ53" s="33" t="n"/>
      <c r="JK53" s="33" t="n"/>
      <c r="JL53" s="33" t="n"/>
      <c r="JM53" s="33" t="n"/>
      <c r="JN53" s="33" t="n"/>
      <c r="JO53" s="33" t="n"/>
      <c r="JP53" s="33" t="n"/>
      <c r="JQ53" s="33" t="n"/>
      <c r="JR53" s="33" t="n"/>
      <c r="JS53" s="33" t="n"/>
      <c r="JT53" s="33" t="n"/>
      <c r="JU53" s="33" t="n"/>
      <c r="JV53" s="33" t="n"/>
      <c r="JW53" s="33" t="n"/>
      <c r="JX53" s="33" t="n"/>
      <c r="JY53" s="33" t="n"/>
      <c r="JZ53" s="33" t="n"/>
      <c r="KA53" s="33" t="n"/>
      <c r="KB53" s="33" t="n"/>
      <c r="KC53" s="33" t="n"/>
      <c r="KD53" s="33" t="n"/>
      <c r="KE53" s="33" t="n"/>
      <c r="KF53" s="33" t="n"/>
      <c r="KG53" s="33" t="n"/>
      <c r="KH53" s="33" t="n"/>
      <c r="KI53" s="33" t="n"/>
      <c r="KJ53" s="33" t="n"/>
      <c r="KK53" s="33" t="n"/>
      <c r="KL53" s="33" t="n"/>
      <c r="KM53" s="33" t="n"/>
      <c r="KN53" s="33" t="n"/>
      <c r="KO53" s="33" t="n"/>
      <c r="KP53" s="33" t="n"/>
      <c r="KQ53" s="33" t="n"/>
      <c r="KR53" s="33" t="n"/>
      <c r="KS53" s="33" t="n"/>
      <c r="KT53" s="33" t="n"/>
      <c r="KU53" s="33" t="n"/>
      <c r="KV53" s="33" t="n"/>
      <c r="KW53" s="33" t="n"/>
      <c r="KX53" s="33" t="n"/>
      <c r="KY53" s="33" t="n"/>
      <c r="KZ53" s="33" t="n"/>
      <c r="LA53" s="33" t="n"/>
      <c r="LB53" s="33" t="n"/>
      <c r="LC53" s="33" t="n"/>
      <c r="LD53" s="33" t="n"/>
      <c r="LE53" s="33" t="n"/>
      <c r="LF53" s="33" t="n"/>
      <c r="LG53" s="33" t="n"/>
      <c r="LH53" s="33" t="n"/>
      <c r="LI53" s="33" t="n"/>
      <c r="LJ53" s="33" t="n"/>
      <c r="LK53" s="33" t="n"/>
      <c r="LL53" s="33" t="n"/>
      <c r="LM53" s="33" t="n"/>
      <c r="LN53" s="33" t="n"/>
      <c r="LO53" s="33" t="n"/>
      <c r="LP53" s="33" t="n"/>
      <c r="LQ53" s="33" t="n"/>
      <c r="LR53" s="33" t="n"/>
      <c r="LS53" s="33" t="n"/>
      <c r="LT53" s="33" t="n"/>
      <c r="LU53" s="33" t="n"/>
      <c r="LV53" s="33" t="n"/>
      <c r="LW53" s="33" t="n"/>
      <c r="LX53" s="33" t="n"/>
      <c r="LY53" s="33" t="n"/>
      <c r="LZ53" s="33" t="n"/>
      <c r="MA53" s="33" t="n"/>
      <c r="MB53" s="33" t="n"/>
      <c r="MC53" s="33" t="n"/>
      <c r="MD53" s="33" t="n"/>
      <c r="ME53" s="33" t="n"/>
      <c r="MF53" s="33" t="n"/>
      <c r="MG53" s="33" t="n"/>
      <c r="MH53" s="33" t="n"/>
      <c r="MI53" s="33" t="n"/>
      <c r="MJ53" s="33" t="n"/>
      <c r="MK53" s="33" t="n"/>
      <c r="ML53" s="33" t="n"/>
      <c r="MM53" s="33" t="n"/>
      <c r="MN53" s="33" t="n"/>
      <c r="MO53" s="33" t="n"/>
      <c r="MP53" s="33" t="n"/>
      <c r="MQ53" s="33" t="n"/>
      <c r="MR53" s="33" t="n"/>
      <c r="MS53" s="33" t="n"/>
      <c r="MT53" s="33" t="n"/>
      <c r="MU53" s="33" t="n"/>
      <c r="MV53" s="33" t="n"/>
      <c r="MW53" s="33" t="n"/>
      <c r="MX53" s="33" t="n"/>
      <c r="MY53" s="33" t="n"/>
      <c r="MZ53" s="33" t="n"/>
      <c r="NA53" s="33" t="n"/>
      <c r="NB53" s="33" t="n"/>
      <c r="NC53" s="33" t="n"/>
      <c r="ND53" s="33" t="n"/>
      <c r="NE53" s="33" t="n"/>
      <c r="NF53" s="33" t="n"/>
      <c r="NG53" s="33" t="n"/>
      <c r="NH53" s="33" t="n"/>
      <c r="NI53" s="33" t="n"/>
      <c r="NJ53" s="33" t="n"/>
      <c r="NK53" s="33" t="n"/>
      <c r="NL53" s="33" t="n"/>
      <c r="NM53" s="33" t="n"/>
      <c r="NN53" s="33" t="n"/>
      <c r="NO53" s="33" t="n"/>
      <c r="NP53" s="33" t="n"/>
      <c r="NQ53" s="33" t="n"/>
      <c r="NR53" s="33" t="n"/>
      <c r="NS53" s="33" t="n"/>
      <c r="NT53" s="33" t="n"/>
      <c r="NU53" s="33" t="n"/>
      <c r="NV53" s="33" t="n"/>
      <c r="NW53" s="33" t="n"/>
      <c r="NX53" s="33" t="n"/>
      <c r="NY53" s="33" t="n"/>
      <c r="NZ53" s="33" t="n"/>
      <c r="OA53" s="33" t="n"/>
      <c r="OB53" s="33" t="n"/>
      <c r="OC53" s="33" t="n"/>
      <c r="OD53" s="33" t="n"/>
      <c r="OE53" s="33" t="n"/>
      <c r="OF53" s="33" t="n"/>
      <c r="OG53" s="33" t="n"/>
      <c r="OH53" s="33" t="n"/>
      <c r="OI53" s="33" t="n"/>
      <c r="OJ53" s="33" t="n"/>
      <c r="OK53" s="33" t="n"/>
      <c r="OL53" s="33" t="n"/>
      <c r="OM53" s="33" t="n"/>
      <c r="ON53" s="33" t="n"/>
      <c r="OO53" s="33" t="n"/>
      <c r="OP53" s="33" t="n"/>
      <c r="OQ53" s="33" t="n"/>
      <c r="OR53" s="33" t="n"/>
      <c r="OS53" s="33" t="n"/>
      <c r="OT53" s="33" t="n"/>
      <c r="OU53" s="33" t="n"/>
      <c r="OV53" s="33" t="n"/>
      <c r="OW53" s="33" t="n"/>
      <c r="OX53" s="33" t="n"/>
      <c r="OY53" s="33" t="n"/>
      <c r="OZ53" s="33" t="n"/>
      <c r="PA53" s="33" t="n"/>
      <c r="PB53" s="33" t="n"/>
      <c r="PC53" s="33" t="n"/>
      <c r="PD53" s="33" t="n"/>
      <c r="PE53" s="33" t="n"/>
      <c r="PF53" s="33" t="n"/>
      <c r="PG53" s="33" t="n"/>
      <c r="PH53" s="33" t="n"/>
      <c r="PI53" s="33" t="n"/>
      <c r="PJ53" s="33" t="n"/>
      <c r="PK53" s="33" t="n"/>
      <c r="PL53" s="33" t="n"/>
      <c r="PM53" s="33" t="n"/>
      <c r="PN53" s="33" t="n"/>
      <c r="PO53" s="33" t="n"/>
      <c r="PP53" s="33" t="n"/>
      <c r="PQ53" s="33" t="n"/>
      <c r="PR53" s="33" t="n"/>
      <c r="PS53" s="33" t="n"/>
      <c r="PT53" s="33" t="n"/>
      <c r="PU53" s="33" t="n"/>
      <c r="PV53" s="33" t="n"/>
      <c r="PW53" s="33" t="n"/>
      <c r="PX53" s="33" t="n"/>
      <c r="PY53" s="33" t="n"/>
      <c r="PZ53" s="33" t="n"/>
      <c r="QA53" s="33" t="n"/>
      <c r="QB53" s="33" t="n"/>
      <c r="QC53" s="33" t="n"/>
      <c r="QD53" s="33" t="n"/>
      <c r="QE53" s="33" t="n"/>
      <c r="QF53" s="33" t="n"/>
      <c r="QG53" s="33" t="n"/>
      <c r="QH53" s="33" t="n"/>
      <c r="QI53" s="33" t="n"/>
      <c r="QJ53" s="33" t="n"/>
      <c r="QK53" s="33" t="n"/>
      <c r="QL53" s="33" t="n"/>
      <c r="QM53" s="33" t="n"/>
      <c r="QN53" s="33" t="n"/>
      <c r="QO53" s="33" t="n"/>
      <c r="QP53" s="33" t="n"/>
      <c r="QQ53" s="33" t="n"/>
      <c r="QR53" s="33" t="n"/>
      <c r="QS53" s="33" t="n"/>
      <c r="QT53" s="33" t="n"/>
      <c r="QU53" s="33" t="n"/>
      <c r="QV53" s="33" t="n"/>
      <c r="QW53" s="33" t="n"/>
      <c r="QX53" s="33" t="n"/>
      <c r="QY53" s="33" t="n"/>
      <c r="QZ53" s="33" t="n"/>
      <c r="RA53" s="33" t="n"/>
      <c r="RB53" s="33" t="n"/>
      <c r="RC53" s="33" t="n"/>
      <c r="RD53" s="33" t="n"/>
      <c r="RE53" s="33" t="n"/>
      <c r="RF53" s="33" t="n"/>
      <c r="RG53" s="33" t="n"/>
      <c r="RH53" s="33" t="n"/>
      <c r="RI53" s="33" t="n"/>
      <c r="RJ53" s="33" t="n"/>
      <c r="RK53" s="33" t="n"/>
      <c r="RL53" s="33" t="n"/>
      <c r="RM53" s="33" t="n"/>
      <c r="RN53" s="33" t="n"/>
      <c r="RO53" s="33" t="n"/>
      <c r="RP53" s="33" t="n"/>
      <c r="RQ53" s="33" t="n"/>
      <c r="RR53" s="33" t="n"/>
      <c r="RS53" s="33" t="n"/>
      <c r="RT53" s="33" t="n"/>
      <c r="RU53" s="33" t="n"/>
      <c r="RV53" s="33" t="n"/>
      <c r="RW53" s="33" t="n"/>
    </row>
    <row r="54" hidden="1" outlineLevel="1" ht="13.05" customHeight="1">
      <c r="E54" s="21" t="inlineStr">
        <is>
          <t>LLCR</t>
        </is>
      </c>
      <c r="F54" s="29" t="n"/>
      <c r="G54" s="29" t="inlineStr">
        <is>
          <t>kEUR</t>
        </is>
      </c>
      <c r="H54" s="29" t="n"/>
      <c r="I54" s="29" t="n"/>
      <c r="J54" s="46" t="n"/>
      <c r="K54" s="29" t="n"/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  <c r="AB54" s="47" t="n"/>
      <c r="AC54" s="47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  <c r="AQ54" s="47" t="n"/>
      <c r="AR54" s="47" t="n"/>
      <c r="AS54" s="47" t="n"/>
      <c r="AT54" s="47" t="n"/>
      <c r="AU54" s="47" t="n"/>
      <c r="AV54" s="47" t="n"/>
      <c r="AW54" s="47" t="n"/>
      <c r="AX54" s="47" t="n"/>
      <c r="AY54" s="47" t="n"/>
      <c r="AZ54" s="47" t="n"/>
      <c r="BA54" s="47" t="n"/>
      <c r="BB54" s="47" t="n"/>
      <c r="BC54" s="47" t="n"/>
      <c r="BD54" s="47" t="n"/>
      <c r="BE54" s="47" t="n"/>
      <c r="BF54" s="47" t="n"/>
      <c r="BG54" s="47" t="n"/>
      <c r="BH54" s="47" t="n"/>
      <c r="BI54" s="47" t="n"/>
      <c r="BJ54" s="47" t="n"/>
      <c r="BK54" s="47" t="n"/>
      <c r="BL54" s="47" t="n"/>
      <c r="BM54" s="47" t="n"/>
      <c r="BN54" s="47" t="n"/>
      <c r="BO54" s="47" t="n"/>
      <c r="BP54" s="47" t="n"/>
      <c r="BQ54" s="47" t="n"/>
      <c r="BR54" s="47" t="n"/>
      <c r="BS54" s="47" t="n"/>
      <c r="BT54" s="47" t="n"/>
      <c r="BU54" s="47" t="n"/>
      <c r="BV54" s="47" t="n"/>
      <c r="BW54" s="47" t="n"/>
      <c r="BX54" s="47" t="n"/>
      <c r="BY54" s="47" t="n"/>
      <c r="BZ54" s="47" t="n"/>
      <c r="CA54" s="47" t="n"/>
      <c r="CB54" s="47" t="n"/>
      <c r="CC54" s="47" t="n"/>
      <c r="CD54" s="47" t="n"/>
      <c r="CE54" s="47" t="n"/>
      <c r="CF54" s="47" t="n"/>
      <c r="CG54" s="47" t="n"/>
      <c r="CH54" s="47" t="n"/>
      <c r="CI54" s="47" t="n"/>
      <c r="CJ54" s="47" t="n"/>
      <c r="CK54" s="47" t="n"/>
      <c r="CL54" s="47" t="n"/>
      <c r="CM54" s="47" t="n"/>
      <c r="CN54" s="47" t="n"/>
      <c r="CO54" s="47" t="n"/>
      <c r="CP54" s="47" t="n"/>
      <c r="CQ54" s="47" t="n"/>
      <c r="CR54" s="47" t="n"/>
      <c r="CS54" s="47" t="n"/>
      <c r="CT54" s="47" t="n"/>
      <c r="CU54" s="47" t="n"/>
      <c r="CV54" s="47" t="n"/>
      <c r="CW54" s="47" t="n"/>
      <c r="CX54" s="47" t="n"/>
      <c r="CY54" s="47" t="n"/>
      <c r="CZ54" s="47" t="n"/>
      <c r="DA54" s="47" t="n"/>
      <c r="DB54" s="47" t="n"/>
      <c r="DC54" s="47" t="n"/>
      <c r="DD54" s="47" t="n"/>
      <c r="DE54" s="47" t="n"/>
      <c r="DF54" s="47" t="n"/>
      <c r="DG54" s="47" t="n"/>
      <c r="DH54" s="47" t="n"/>
      <c r="DI54" s="47" t="n"/>
      <c r="DJ54" s="47" t="n"/>
      <c r="DK54" s="47" t="n"/>
      <c r="DL54" s="47" t="n"/>
      <c r="DM54" s="47" t="n"/>
      <c r="DN54" s="47" t="n"/>
      <c r="DO54" s="47" t="n"/>
      <c r="DP54" s="47" t="n"/>
      <c r="DQ54" s="47" t="n"/>
      <c r="DR54" s="47" t="n"/>
      <c r="DS54" s="47" t="n"/>
      <c r="DT54" s="47" t="n"/>
      <c r="DU54" s="47" t="n"/>
      <c r="DV54" s="47" t="n"/>
      <c r="DW54" s="47" t="n"/>
      <c r="DX54" s="47" t="n"/>
      <c r="DY54" s="47" t="n"/>
      <c r="DZ54" s="47" t="n"/>
      <c r="EA54" s="47" t="n"/>
      <c r="EB54" s="47" t="n"/>
      <c r="EC54" s="47" t="n"/>
      <c r="ED54" s="47" t="n"/>
      <c r="EE54" s="47" t="n"/>
      <c r="EF54" s="47" t="n"/>
      <c r="EG54" s="47" t="n"/>
      <c r="EH54" s="47" t="n"/>
      <c r="EI54" s="47" t="n"/>
      <c r="EJ54" s="47" t="n"/>
      <c r="EK54" s="47" t="n"/>
      <c r="EL54" s="47" t="n"/>
      <c r="EM54" s="47" t="n"/>
      <c r="EN54" s="47" t="n"/>
      <c r="EO54" s="47" t="n"/>
      <c r="EP54" s="47" t="n"/>
      <c r="EQ54" s="47" t="n"/>
      <c r="ER54" s="47" t="n"/>
      <c r="ES54" s="47" t="n"/>
      <c r="ET54" s="47" t="n"/>
      <c r="EU54" s="47" t="n"/>
      <c r="EV54" s="47" t="n"/>
      <c r="EW54" s="47" t="n"/>
      <c r="EX54" s="47" t="n"/>
      <c r="EY54" s="47" t="n"/>
      <c r="EZ54" s="47" t="n"/>
      <c r="FA54" s="47" t="n"/>
      <c r="FB54" s="47" t="n"/>
      <c r="FC54" s="47" t="n"/>
      <c r="FD54" s="47" t="n"/>
      <c r="FE54" s="47" t="n"/>
      <c r="FF54" s="47" t="n"/>
      <c r="FG54" s="47" t="n"/>
      <c r="FH54" s="47" t="n"/>
      <c r="FI54" s="47" t="n"/>
      <c r="FJ54" s="47" t="n"/>
      <c r="FK54" s="47" t="n"/>
      <c r="FL54" s="47" t="n"/>
      <c r="FM54" s="47" t="n"/>
      <c r="FN54" s="47" t="n"/>
      <c r="FO54" s="47" t="n"/>
      <c r="FP54" s="47" t="n"/>
      <c r="FQ54" s="47" t="n"/>
      <c r="FR54" s="47" t="n"/>
      <c r="FS54" s="47" t="n"/>
      <c r="FT54" s="47" t="n"/>
      <c r="FU54" s="47" t="n"/>
      <c r="FV54" s="47" t="n"/>
      <c r="FW54" s="47" t="n"/>
      <c r="FX54" s="47" t="n"/>
      <c r="FY54" s="47" t="n"/>
      <c r="FZ54" s="47" t="n"/>
      <c r="GA54" s="47" t="n"/>
      <c r="GB54" s="47" t="n"/>
      <c r="GC54" s="47" t="n"/>
      <c r="GD54" s="47" t="n"/>
      <c r="GE54" s="47" t="n"/>
      <c r="GF54" s="47" t="n"/>
      <c r="GG54" s="47" t="n"/>
      <c r="GH54" s="47" t="n"/>
      <c r="GI54" s="47" t="n"/>
      <c r="GJ54" s="47" t="n"/>
      <c r="GK54" s="47" t="n"/>
      <c r="GL54" s="47" t="n"/>
      <c r="GM54" s="47" t="n"/>
      <c r="GN54" s="47" t="n"/>
      <c r="GO54" s="47" t="n"/>
      <c r="GP54" s="47" t="n"/>
      <c r="GQ54" s="47" t="n"/>
      <c r="GR54" s="47" t="n"/>
      <c r="GS54" s="47" t="n"/>
      <c r="GT54" s="47" t="n"/>
      <c r="GU54" s="47" t="n"/>
      <c r="GV54" s="47" t="n"/>
      <c r="GW54" s="47" t="n"/>
      <c r="GX54" s="47" t="n"/>
      <c r="GY54" s="47" t="n"/>
      <c r="GZ54" s="47" t="n"/>
      <c r="HA54" s="47" t="n"/>
      <c r="HB54" s="47" t="n"/>
      <c r="HC54" s="47" t="n"/>
      <c r="HD54" s="47" t="n"/>
      <c r="HE54" s="47" t="n"/>
      <c r="HF54" s="47" t="n"/>
      <c r="HG54" s="47" t="n"/>
      <c r="HH54" s="47" t="n"/>
      <c r="HI54" s="47" t="n"/>
      <c r="HJ54" s="47" t="n"/>
      <c r="HK54" s="47" t="n"/>
      <c r="HL54" s="47" t="n"/>
      <c r="HM54" s="47" t="n"/>
      <c r="HN54" s="47" t="n"/>
      <c r="HO54" s="47" t="n"/>
      <c r="HP54" s="47" t="n"/>
      <c r="HQ54" s="47" t="n"/>
      <c r="HR54" s="47" t="n"/>
      <c r="HS54" s="47" t="n"/>
      <c r="HT54" s="47" t="n"/>
      <c r="HU54" s="47" t="n"/>
      <c r="HV54" s="47" t="n"/>
      <c r="HW54" s="47" t="n"/>
      <c r="HX54" s="47" t="n"/>
      <c r="HY54" s="47" t="n"/>
      <c r="HZ54" s="47" t="n"/>
      <c r="IA54" s="47" t="n"/>
      <c r="IB54" s="47" t="n"/>
      <c r="IC54" s="47" t="n"/>
      <c r="ID54" s="47" t="n"/>
      <c r="IE54" s="47" t="n"/>
      <c r="IF54" s="47" t="n"/>
      <c r="IG54" s="47" t="n"/>
      <c r="IH54" s="47" t="n"/>
      <c r="II54" s="47" t="n"/>
      <c r="IJ54" s="47" t="n"/>
      <c r="IK54" s="47" t="n"/>
      <c r="IL54" s="47" t="n"/>
      <c r="IM54" s="47" t="n"/>
      <c r="IN54" s="47" t="n"/>
      <c r="IO54" s="47" t="n"/>
      <c r="IP54" s="47" t="n"/>
      <c r="IQ54" s="47" t="n"/>
      <c r="IR54" s="47" t="n"/>
      <c r="IS54" s="47" t="n"/>
      <c r="IT54" s="47" t="n"/>
      <c r="IU54" s="47" t="n"/>
      <c r="IV54" s="47" t="n"/>
      <c r="IW54" s="47" t="n"/>
      <c r="IX54" s="47" t="n"/>
      <c r="IY54" s="47" t="n"/>
      <c r="IZ54" s="47" t="n"/>
      <c r="JA54" s="47" t="n"/>
      <c r="JB54" s="47" t="n"/>
      <c r="JC54" s="47" t="n"/>
      <c r="JD54" s="47" t="n"/>
      <c r="JE54" s="47" t="n"/>
      <c r="JF54" s="47" t="n"/>
      <c r="JG54" s="47" t="n"/>
      <c r="JH54" s="47" t="n"/>
      <c r="JI54" s="47" t="n"/>
      <c r="JJ54" s="47" t="n"/>
      <c r="JK54" s="47" t="n"/>
      <c r="JL54" s="47" t="n"/>
      <c r="JM54" s="47" t="n"/>
      <c r="JN54" s="47" t="n"/>
      <c r="JO54" s="47" t="n"/>
      <c r="JP54" s="47" t="n"/>
      <c r="JQ54" s="47" t="n"/>
      <c r="JR54" s="47" t="n"/>
      <c r="JS54" s="47" t="n"/>
      <c r="JT54" s="47" t="n"/>
      <c r="JU54" s="47" t="n"/>
      <c r="JV54" s="47" t="n"/>
      <c r="JW54" s="47" t="n"/>
      <c r="JX54" s="47" t="n"/>
      <c r="JY54" s="47" t="n"/>
      <c r="JZ54" s="47" t="n"/>
      <c r="KA54" s="47" t="n"/>
      <c r="KB54" s="47" t="n"/>
      <c r="KC54" s="47" t="n"/>
      <c r="KD54" s="47" t="n"/>
      <c r="KE54" s="47" t="n"/>
      <c r="KF54" s="47" t="n"/>
      <c r="KG54" s="47" t="n"/>
      <c r="KH54" s="47" t="n"/>
      <c r="KI54" s="47" t="n"/>
      <c r="KJ54" s="47" t="n"/>
      <c r="KK54" s="47" t="n"/>
      <c r="KL54" s="47" t="n"/>
      <c r="KM54" s="47" t="n"/>
      <c r="KN54" s="47" t="n"/>
      <c r="KO54" s="47" t="n"/>
      <c r="KP54" s="47" t="n"/>
      <c r="KQ54" s="47" t="n"/>
      <c r="KR54" s="47" t="n"/>
      <c r="KS54" s="47" t="n"/>
      <c r="KT54" s="47" t="n"/>
      <c r="KU54" s="47" t="n"/>
      <c r="KV54" s="47" t="n"/>
      <c r="KW54" s="47" t="n"/>
      <c r="KX54" s="47" t="n"/>
      <c r="KY54" s="47" t="n"/>
      <c r="KZ54" s="47" t="n"/>
      <c r="LA54" s="47" t="n"/>
      <c r="LB54" s="47" t="n"/>
      <c r="LC54" s="47" t="n"/>
      <c r="LD54" s="47" t="n"/>
      <c r="LE54" s="47" t="n"/>
      <c r="LF54" s="47" t="n"/>
      <c r="LG54" s="47" t="n"/>
      <c r="LH54" s="47" t="n"/>
      <c r="LI54" s="47" t="n"/>
      <c r="LJ54" s="47" t="n"/>
      <c r="LK54" s="47" t="n"/>
      <c r="LL54" s="47" t="n"/>
      <c r="LM54" s="47" t="n"/>
      <c r="LN54" s="47" t="n"/>
      <c r="LO54" s="47" t="n"/>
      <c r="LP54" s="47" t="n"/>
      <c r="LQ54" s="47" t="n"/>
      <c r="LR54" s="47" t="n"/>
      <c r="LS54" s="47" t="n"/>
      <c r="LT54" s="47" t="n"/>
      <c r="LU54" s="47" t="n"/>
      <c r="LV54" s="47" t="n"/>
      <c r="LW54" s="47" t="n"/>
      <c r="LX54" s="47" t="n"/>
      <c r="LY54" s="47" t="n"/>
      <c r="LZ54" s="47" t="n"/>
      <c r="MA54" s="47" t="n"/>
      <c r="MB54" s="47" t="n"/>
      <c r="MC54" s="47" t="n"/>
      <c r="MD54" s="47" t="n"/>
      <c r="ME54" s="47" t="n"/>
      <c r="MF54" s="47" t="n"/>
      <c r="MG54" s="47" t="n"/>
      <c r="MH54" s="47" t="n"/>
      <c r="MI54" s="47" t="n"/>
      <c r="MJ54" s="47" t="n"/>
      <c r="MK54" s="47" t="n"/>
      <c r="ML54" s="47" t="n"/>
      <c r="MM54" s="47" t="n"/>
      <c r="MN54" s="47" t="n"/>
      <c r="MO54" s="47" t="n"/>
      <c r="MP54" s="47" t="n"/>
      <c r="MQ54" s="47" t="n"/>
      <c r="MR54" s="47" t="n"/>
      <c r="MS54" s="47" t="n"/>
      <c r="MT54" s="47" t="n"/>
      <c r="MU54" s="47" t="n"/>
      <c r="MV54" s="47" t="n"/>
      <c r="MW54" s="47" t="n"/>
      <c r="MX54" s="47" t="n"/>
      <c r="MY54" s="47" t="n"/>
      <c r="MZ54" s="47" t="n"/>
      <c r="NA54" s="47" t="n"/>
      <c r="NB54" s="47" t="n"/>
      <c r="NC54" s="47" t="n"/>
      <c r="ND54" s="47" t="n"/>
      <c r="NE54" s="47" t="n"/>
      <c r="NF54" s="47" t="n"/>
      <c r="NG54" s="47" t="n"/>
      <c r="NH54" s="47" t="n"/>
      <c r="NI54" s="47" t="n"/>
      <c r="NJ54" s="47" t="n"/>
      <c r="NK54" s="47" t="n"/>
      <c r="NL54" s="47" t="n"/>
      <c r="NM54" s="47" t="n"/>
      <c r="NN54" s="47" t="n"/>
      <c r="NO54" s="47" t="n"/>
      <c r="NP54" s="47" t="n"/>
      <c r="NQ54" s="47" t="n"/>
      <c r="NR54" s="47" t="n"/>
      <c r="NS54" s="47" t="n"/>
      <c r="NT54" s="47" t="n"/>
      <c r="NU54" s="47" t="n"/>
      <c r="NV54" s="47" t="n"/>
      <c r="NW54" s="47" t="n"/>
      <c r="NX54" s="47" t="n"/>
      <c r="NY54" s="47" t="n"/>
      <c r="NZ54" s="47" t="n"/>
      <c r="OA54" s="47" t="n"/>
      <c r="OB54" s="47" t="n"/>
      <c r="OC54" s="47" t="n"/>
      <c r="OD54" s="47" t="n"/>
      <c r="OE54" s="47" t="n"/>
      <c r="OF54" s="47" t="n"/>
      <c r="OG54" s="47" t="n"/>
      <c r="OH54" s="47" t="n"/>
      <c r="OI54" s="47" t="n"/>
      <c r="OJ54" s="47" t="n"/>
      <c r="OK54" s="47" t="n"/>
      <c r="OL54" s="47" t="n"/>
      <c r="OM54" s="47" t="n"/>
      <c r="ON54" s="47" t="n"/>
      <c r="OO54" s="47" t="n"/>
      <c r="OP54" s="47" t="n"/>
      <c r="OQ54" s="47" t="n"/>
      <c r="OR54" s="47" t="n"/>
      <c r="OS54" s="47" t="n"/>
      <c r="OT54" s="47" t="n"/>
      <c r="OU54" s="47" t="n"/>
      <c r="OV54" s="47" t="n"/>
      <c r="OW54" s="47" t="n"/>
      <c r="OX54" s="47" t="n"/>
      <c r="OY54" s="47" t="n"/>
      <c r="OZ54" s="47" t="n"/>
      <c r="PA54" s="47" t="n"/>
      <c r="PB54" s="47" t="n"/>
      <c r="PC54" s="47" t="n"/>
      <c r="PD54" s="47" t="n"/>
      <c r="PE54" s="47" t="n"/>
      <c r="PF54" s="47" t="n"/>
      <c r="PG54" s="47" t="n"/>
      <c r="PH54" s="47" t="n"/>
      <c r="PI54" s="47" t="n"/>
      <c r="PJ54" s="47" t="n"/>
      <c r="PK54" s="47" t="n"/>
      <c r="PL54" s="47" t="n"/>
      <c r="PM54" s="47" t="n"/>
      <c r="PN54" s="47" t="n"/>
      <c r="PO54" s="47" t="n"/>
      <c r="PP54" s="47" t="n"/>
      <c r="PQ54" s="47" t="n"/>
      <c r="PR54" s="47" t="n"/>
      <c r="PS54" s="47" t="n"/>
      <c r="PT54" s="47" t="n"/>
      <c r="PU54" s="47" t="n"/>
      <c r="PV54" s="47" t="n"/>
      <c r="PW54" s="47" t="n"/>
      <c r="PX54" s="47" t="n"/>
      <c r="PY54" s="47" t="n"/>
      <c r="PZ54" s="47" t="n"/>
      <c r="QA54" s="47" t="n"/>
      <c r="QB54" s="47" t="n"/>
      <c r="QC54" s="47" t="n"/>
      <c r="QD54" s="47" t="n"/>
      <c r="QE54" s="47" t="n"/>
      <c r="QF54" s="47" t="n"/>
      <c r="QG54" s="47" t="n"/>
      <c r="QH54" s="47" t="n"/>
      <c r="QI54" s="47" t="n"/>
      <c r="QJ54" s="47" t="n"/>
      <c r="QK54" s="47" t="n"/>
      <c r="QL54" s="47" t="n"/>
      <c r="QM54" s="47" t="n"/>
      <c r="QN54" s="47" t="n"/>
      <c r="QO54" s="47" t="n"/>
      <c r="QP54" s="47" t="n"/>
      <c r="QQ54" s="47" t="n"/>
      <c r="QR54" s="47" t="n"/>
      <c r="QS54" s="47" t="n"/>
      <c r="QT54" s="47" t="n"/>
      <c r="QU54" s="47" t="n"/>
      <c r="QV54" s="47" t="n"/>
      <c r="QW54" s="47" t="n"/>
      <c r="QX54" s="47" t="n"/>
      <c r="QY54" s="47" t="n"/>
      <c r="QZ54" s="47" t="n"/>
      <c r="RA54" s="47" t="n"/>
      <c r="RB54" s="47" t="n"/>
      <c r="RC54" s="47" t="n"/>
      <c r="RD54" s="47" t="n"/>
      <c r="RE54" s="47" t="n"/>
      <c r="RF54" s="47" t="n"/>
      <c r="RG54" s="47" t="n"/>
      <c r="RH54" s="47" t="n"/>
      <c r="RI54" s="47" t="n"/>
      <c r="RJ54" s="47" t="n"/>
      <c r="RK54" s="47" t="n"/>
      <c r="RL54" s="47" t="n"/>
      <c r="RM54" s="47" t="n"/>
      <c r="RN54" s="47" t="n"/>
      <c r="RO54" s="47" t="n"/>
      <c r="RP54" s="47" t="n"/>
      <c r="RQ54" s="47" t="n"/>
      <c r="RR54" s="47" t="n"/>
      <c r="RS54" s="47" t="n"/>
      <c r="RT54" s="47" t="n"/>
      <c r="RU54" s="47" t="n"/>
      <c r="RV54" s="47" t="n"/>
      <c r="RW54" s="47" t="n"/>
    </row>
    <row r="55" ht="13.05" customHeight="1">
      <c r="E55" s="21" t="inlineStr">
        <is>
          <t>PV of CFADS</t>
        </is>
      </c>
      <c r="F55" s="29" t="n"/>
      <c r="G55" s="29" t="inlineStr">
        <is>
          <t>kEUR</t>
        </is>
      </c>
      <c r="H55" s="29" t="n"/>
      <c r="I55" s="29" t="n"/>
      <c r="J55" s="32" t="n"/>
      <c r="K55" s="29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3" t="n"/>
      <c r="AY55" s="33" t="n"/>
      <c r="AZ55" s="33" t="n"/>
      <c r="BA55" s="33" t="n"/>
      <c r="BB55" s="33" t="n"/>
      <c r="BC55" s="33" t="n"/>
      <c r="BD55" s="33" t="n"/>
      <c r="BE55" s="33" t="n"/>
      <c r="BF55" s="33" t="n"/>
      <c r="BG55" s="33" t="n"/>
      <c r="BH55" s="33" t="n"/>
      <c r="BI55" s="33" t="n"/>
      <c r="BJ55" s="33" t="n"/>
      <c r="BK55" s="33" t="n"/>
      <c r="BL55" s="33" t="n"/>
      <c r="BM55" s="33" t="n"/>
      <c r="BN55" s="33" t="n"/>
      <c r="BO55" s="33" t="n"/>
      <c r="BP55" s="33" t="n"/>
      <c r="BQ55" s="33" t="n"/>
      <c r="BR55" s="33" t="n"/>
      <c r="BS55" s="33" t="n"/>
      <c r="BT55" s="33" t="n"/>
      <c r="BU55" s="33" t="n"/>
      <c r="BV55" s="33" t="n"/>
      <c r="BW55" s="33" t="n"/>
      <c r="BX55" s="33" t="n"/>
      <c r="BY55" s="33" t="n"/>
      <c r="BZ55" s="33" t="n"/>
      <c r="CA55" s="33" t="n"/>
      <c r="CB55" s="33" t="n"/>
      <c r="CC55" s="33" t="n"/>
      <c r="CD55" s="33" t="n"/>
      <c r="CE55" s="33" t="n"/>
      <c r="CF55" s="33" t="n"/>
      <c r="CG55" s="33" t="n"/>
      <c r="CH55" s="33" t="n"/>
      <c r="CI55" s="33" t="n"/>
      <c r="CJ55" s="33" t="n"/>
      <c r="CK55" s="33" t="n"/>
      <c r="CL55" s="33" t="n"/>
      <c r="CM55" s="33" t="n"/>
      <c r="CN55" s="33" t="n"/>
      <c r="CO55" s="33" t="n"/>
      <c r="CP55" s="33" t="n"/>
      <c r="CQ55" s="33" t="n"/>
      <c r="CR55" s="33" t="n"/>
      <c r="CS55" s="33" t="n"/>
      <c r="CT55" s="33" t="n"/>
      <c r="CU55" s="33" t="n"/>
      <c r="CV55" s="33" t="n"/>
      <c r="CW55" s="33" t="n"/>
      <c r="CX55" s="33" t="n"/>
      <c r="CY55" s="33" t="n"/>
      <c r="CZ55" s="33" t="n"/>
      <c r="DA55" s="33" t="n"/>
      <c r="DB55" s="33" t="n"/>
      <c r="DC55" s="33" t="n"/>
      <c r="DD55" s="33" t="n"/>
      <c r="DE55" s="33" t="n"/>
      <c r="DF55" s="33" t="n"/>
      <c r="DG55" s="33" t="n"/>
      <c r="DH55" s="33" t="n"/>
      <c r="DI55" s="33" t="n"/>
      <c r="DJ55" s="33" t="n"/>
      <c r="DK55" s="33" t="n"/>
      <c r="DL55" s="33" t="n"/>
      <c r="DM55" s="33" t="n"/>
      <c r="DN55" s="33" t="n"/>
      <c r="DO55" s="33" t="n"/>
      <c r="DP55" s="33" t="n"/>
      <c r="DQ55" s="33" t="n"/>
      <c r="DR55" s="33" t="n"/>
      <c r="DS55" s="33" t="n"/>
      <c r="DT55" s="33" t="n"/>
      <c r="DU55" s="33" t="n"/>
      <c r="DV55" s="33" t="n"/>
      <c r="DW55" s="33" t="n"/>
      <c r="DX55" s="33" t="n"/>
      <c r="DY55" s="33" t="n"/>
      <c r="DZ55" s="33" t="n"/>
      <c r="EA55" s="33" t="n"/>
      <c r="EB55" s="33" t="n"/>
      <c r="EC55" s="33" t="n"/>
      <c r="ED55" s="33" t="n"/>
      <c r="EE55" s="33" t="n"/>
      <c r="EF55" s="33" t="n"/>
      <c r="EG55" s="33" t="n"/>
      <c r="EH55" s="33" t="n"/>
      <c r="EI55" s="33" t="n"/>
      <c r="EJ55" s="33" t="n"/>
      <c r="EK55" s="33" t="n"/>
      <c r="EL55" s="33" t="n"/>
      <c r="EM55" s="33" t="n"/>
      <c r="EN55" s="33" t="n"/>
      <c r="EO55" s="33" t="n"/>
      <c r="EP55" s="33" t="n"/>
      <c r="EQ55" s="33" t="n"/>
      <c r="ER55" s="33" t="n"/>
      <c r="ES55" s="33" t="n"/>
      <c r="ET55" s="33" t="n"/>
      <c r="EU55" s="33" t="n"/>
      <c r="EV55" s="33" t="n"/>
      <c r="EW55" s="33" t="n"/>
      <c r="EX55" s="33" t="n"/>
      <c r="EY55" s="33" t="n"/>
      <c r="EZ55" s="33" t="n"/>
      <c r="FA55" s="33" t="n"/>
      <c r="FB55" s="33" t="n"/>
      <c r="FC55" s="33" t="n"/>
      <c r="FD55" s="33" t="n"/>
      <c r="FE55" s="33" t="n"/>
      <c r="FF55" s="33" t="n"/>
      <c r="FG55" s="33" t="n"/>
      <c r="FH55" s="33" t="n"/>
      <c r="FI55" s="33" t="n"/>
      <c r="FJ55" s="33" t="n"/>
      <c r="FK55" s="33" t="n"/>
      <c r="FL55" s="33" t="n"/>
      <c r="FM55" s="33" t="n"/>
      <c r="FN55" s="33" t="n"/>
      <c r="FO55" s="33" t="n"/>
      <c r="FP55" s="33" t="n"/>
      <c r="FQ55" s="33" t="n"/>
      <c r="FR55" s="33" t="n"/>
      <c r="FS55" s="33" t="n"/>
      <c r="FT55" s="33" t="n"/>
      <c r="FU55" s="33" t="n"/>
      <c r="FV55" s="33" t="n"/>
      <c r="FW55" s="33" t="n"/>
      <c r="FX55" s="33" t="n"/>
      <c r="FY55" s="33" t="n"/>
      <c r="FZ55" s="33" t="n"/>
      <c r="GA55" s="33" t="n"/>
      <c r="GB55" s="33" t="n"/>
      <c r="GC55" s="33" t="n"/>
      <c r="GD55" s="33" t="n"/>
      <c r="GE55" s="33" t="n"/>
      <c r="GF55" s="33" t="n"/>
      <c r="GG55" s="33" t="n"/>
      <c r="GH55" s="33" t="n"/>
      <c r="GI55" s="33" t="n"/>
      <c r="GJ55" s="33" t="n"/>
      <c r="GK55" s="33" t="n"/>
      <c r="GL55" s="33" t="n"/>
      <c r="GM55" s="33" t="n"/>
      <c r="GN55" s="33" t="n"/>
      <c r="GO55" s="33" t="n"/>
      <c r="GP55" s="33" t="n"/>
      <c r="GQ55" s="33" t="n"/>
      <c r="GR55" s="33" t="n"/>
      <c r="GS55" s="33" t="n"/>
      <c r="GT55" s="33" t="n"/>
      <c r="GU55" s="33" t="n"/>
      <c r="GV55" s="33" t="n"/>
      <c r="GW55" s="33" t="n"/>
      <c r="GX55" s="33" t="n"/>
      <c r="GY55" s="33" t="n"/>
      <c r="GZ55" s="33" t="n"/>
      <c r="HA55" s="33" t="n"/>
      <c r="HB55" s="33" t="n"/>
      <c r="HC55" s="33" t="n"/>
      <c r="HD55" s="33" t="n"/>
      <c r="HE55" s="33" t="n"/>
      <c r="HF55" s="33" t="n"/>
      <c r="HG55" s="33" t="n"/>
      <c r="HH55" s="33" t="n"/>
      <c r="HI55" s="33" t="n"/>
      <c r="HJ55" s="33" t="n"/>
      <c r="HK55" s="33" t="n"/>
      <c r="HL55" s="33" t="n"/>
      <c r="HM55" s="33" t="n"/>
      <c r="HN55" s="33" t="n"/>
      <c r="HO55" s="33" t="n"/>
      <c r="HP55" s="33" t="n"/>
      <c r="HQ55" s="33" t="n"/>
      <c r="HR55" s="33" t="n"/>
      <c r="HS55" s="33" t="n"/>
      <c r="HT55" s="33" t="n"/>
      <c r="HU55" s="33" t="n"/>
      <c r="HV55" s="33" t="n"/>
      <c r="HW55" s="33" t="n"/>
      <c r="HX55" s="33" t="n"/>
      <c r="HY55" s="33" t="n"/>
      <c r="HZ55" s="33" t="n"/>
      <c r="IA55" s="33" t="n"/>
      <c r="IB55" s="33" t="n"/>
      <c r="IC55" s="33" t="n"/>
      <c r="ID55" s="33" t="n"/>
      <c r="IE55" s="33" t="n"/>
      <c r="IF55" s="33" t="n"/>
      <c r="IG55" s="33" t="n"/>
      <c r="IH55" s="33" t="n"/>
      <c r="II55" s="33" t="n"/>
      <c r="IJ55" s="33" t="n"/>
      <c r="IK55" s="33" t="n"/>
      <c r="IL55" s="33" t="n"/>
      <c r="IM55" s="33" t="n"/>
      <c r="IN55" s="33" t="n"/>
      <c r="IO55" s="33" t="n"/>
      <c r="IP55" s="33" t="n"/>
      <c r="IQ55" s="33" t="n"/>
      <c r="IR55" s="33" t="n"/>
      <c r="IS55" s="33" t="n"/>
      <c r="IT55" s="33" t="n"/>
      <c r="IU55" s="33" t="n"/>
      <c r="IV55" s="33" t="n"/>
      <c r="IW55" s="33" t="n"/>
      <c r="IX55" s="33" t="n"/>
      <c r="IY55" s="33" t="n"/>
      <c r="IZ55" s="33" t="n"/>
      <c r="JA55" s="33" t="n"/>
      <c r="JB55" s="33" t="n"/>
      <c r="JC55" s="33" t="n"/>
      <c r="JD55" s="33" t="n"/>
      <c r="JE55" s="33" t="n"/>
      <c r="JF55" s="33" t="n"/>
      <c r="JG55" s="33" t="n"/>
      <c r="JH55" s="33" t="n"/>
      <c r="JI55" s="33" t="n"/>
      <c r="JJ55" s="33" t="n"/>
      <c r="JK55" s="33" t="n"/>
      <c r="JL55" s="33" t="n"/>
      <c r="JM55" s="33" t="n"/>
      <c r="JN55" s="33" t="n"/>
      <c r="JO55" s="33" t="n"/>
      <c r="JP55" s="33" t="n"/>
      <c r="JQ55" s="33" t="n"/>
      <c r="JR55" s="33" t="n"/>
      <c r="JS55" s="33" t="n"/>
      <c r="JT55" s="33" t="n"/>
      <c r="JU55" s="33" t="n"/>
      <c r="JV55" s="33" t="n"/>
      <c r="JW55" s="33" t="n"/>
      <c r="JX55" s="33" t="n"/>
      <c r="JY55" s="33" t="n"/>
      <c r="JZ55" s="33" t="n"/>
      <c r="KA55" s="33" t="n"/>
      <c r="KB55" s="33" t="n"/>
      <c r="KC55" s="33" t="n"/>
      <c r="KD55" s="33" t="n"/>
      <c r="KE55" s="33" t="n"/>
      <c r="KF55" s="33" t="n"/>
      <c r="KG55" s="33" t="n"/>
      <c r="KH55" s="33" t="n"/>
      <c r="KI55" s="33" t="n"/>
      <c r="KJ55" s="33" t="n"/>
      <c r="KK55" s="33" t="n"/>
      <c r="KL55" s="33" t="n"/>
      <c r="KM55" s="33" t="n"/>
      <c r="KN55" s="33" t="n"/>
      <c r="KO55" s="33" t="n"/>
      <c r="KP55" s="33" t="n"/>
      <c r="KQ55" s="33" t="n"/>
      <c r="KR55" s="33" t="n"/>
      <c r="KS55" s="33" t="n"/>
      <c r="KT55" s="33" t="n"/>
      <c r="KU55" s="33" t="n"/>
      <c r="KV55" s="33" t="n"/>
      <c r="KW55" s="33" t="n"/>
      <c r="KX55" s="33" t="n"/>
      <c r="KY55" s="33" t="n"/>
      <c r="KZ55" s="33" t="n"/>
      <c r="LA55" s="33" t="n"/>
      <c r="LB55" s="33" t="n"/>
      <c r="LC55" s="33" t="n"/>
      <c r="LD55" s="33" t="n"/>
      <c r="LE55" s="33" t="n"/>
      <c r="LF55" s="33" t="n"/>
      <c r="LG55" s="33" t="n"/>
      <c r="LH55" s="33" t="n"/>
      <c r="LI55" s="33" t="n"/>
      <c r="LJ55" s="33" t="n"/>
      <c r="LK55" s="33" t="n"/>
      <c r="LL55" s="33" t="n"/>
      <c r="LM55" s="33" t="n"/>
      <c r="LN55" s="33" t="n"/>
      <c r="LO55" s="33" t="n"/>
      <c r="LP55" s="33" t="n"/>
      <c r="LQ55" s="33" t="n"/>
      <c r="LR55" s="33" t="n"/>
      <c r="LS55" s="33" t="n"/>
      <c r="LT55" s="33" t="n"/>
      <c r="LU55" s="33" t="n"/>
      <c r="LV55" s="33" t="n"/>
      <c r="LW55" s="33" t="n"/>
      <c r="LX55" s="33" t="n"/>
      <c r="LY55" s="33" t="n"/>
      <c r="LZ55" s="33" t="n"/>
      <c r="MA55" s="33" t="n"/>
      <c r="MB55" s="33" t="n"/>
      <c r="MC55" s="33" t="n"/>
      <c r="MD55" s="33" t="n"/>
      <c r="ME55" s="33" t="n"/>
      <c r="MF55" s="33" t="n"/>
      <c r="MG55" s="33" t="n"/>
      <c r="MH55" s="33" t="n"/>
      <c r="MI55" s="33" t="n"/>
      <c r="MJ55" s="33" t="n"/>
      <c r="MK55" s="33" t="n"/>
      <c r="ML55" s="33" t="n"/>
      <c r="MM55" s="33" t="n"/>
      <c r="MN55" s="33" t="n"/>
      <c r="MO55" s="33" t="n"/>
      <c r="MP55" s="33" t="n"/>
      <c r="MQ55" s="33" t="n"/>
      <c r="MR55" s="33" t="n"/>
      <c r="MS55" s="33" t="n"/>
      <c r="MT55" s="33" t="n"/>
      <c r="MU55" s="33" t="n"/>
      <c r="MV55" s="33" t="n"/>
      <c r="MW55" s="33" t="n"/>
      <c r="MX55" s="33" t="n"/>
      <c r="MY55" s="33" t="n"/>
      <c r="MZ55" s="33" t="n"/>
      <c r="NA55" s="33" t="n"/>
      <c r="NB55" s="33" t="n"/>
      <c r="NC55" s="33" t="n"/>
      <c r="ND55" s="33" t="n"/>
      <c r="NE55" s="33" t="n"/>
      <c r="NF55" s="33" t="n"/>
      <c r="NG55" s="33" t="n"/>
      <c r="NH55" s="33" t="n"/>
      <c r="NI55" s="33" t="n"/>
      <c r="NJ55" s="33" t="n"/>
      <c r="NK55" s="33" t="n"/>
      <c r="NL55" s="33" t="n"/>
      <c r="NM55" s="33" t="n"/>
      <c r="NN55" s="33" t="n"/>
      <c r="NO55" s="33" t="n"/>
      <c r="NP55" s="33" t="n"/>
      <c r="NQ55" s="33" t="n"/>
      <c r="NR55" s="33" t="n"/>
      <c r="NS55" s="33" t="n"/>
      <c r="NT55" s="33" t="n"/>
      <c r="NU55" s="33" t="n"/>
      <c r="NV55" s="33" t="n"/>
      <c r="NW55" s="33" t="n"/>
      <c r="NX55" s="33" t="n"/>
      <c r="NY55" s="33" t="n"/>
      <c r="NZ55" s="33" t="n"/>
      <c r="OA55" s="33" t="n"/>
      <c r="OB55" s="33" t="n"/>
      <c r="OC55" s="33" t="n"/>
      <c r="OD55" s="33" t="n"/>
      <c r="OE55" s="33" t="n"/>
      <c r="OF55" s="33" t="n"/>
      <c r="OG55" s="33" t="n"/>
      <c r="OH55" s="33" t="n"/>
      <c r="OI55" s="33" t="n"/>
      <c r="OJ55" s="33" t="n"/>
      <c r="OK55" s="33" t="n"/>
      <c r="OL55" s="33" t="n"/>
      <c r="OM55" s="33" t="n"/>
      <c r="ON55" s="33" t="n"/>
      <c r="OO55" s="33" t="n"/>
      <c r="OP55" s="33" t="n"/>
      <c r="OQ55" s="33" t="n"/>
      <c r="OR55" s="33" t="n"/>
      <c r="OS55" s="33" t="n"/>
      <c r="OT55" s="33" t="n"/>
      <c r="OU55" s="33" t="n"/>
      <c r="OV55" s="33" t="n"/>
      <c r="OW55" s="33" t="n"/>
      <c r="OX55" s="33" t="n"/>
      <c r="OY55" s="33" t="n"/>
      <c r="OZ55" s="33" t="n"/>
      <c r="PA55" s="33" t="n"/>
      <c r="PB55" s="33" t="n"/>
      <c r="PC55" s="33" t="n"/>
      <c r="PD55" s="33" t="n"/>
      <c r="PE55" s="33" t="n"/>
      <c r="PF55" s="33" t="n"/>
      <c r="PG55" s="33" t="n"/>
      <c r="PH55" s="33" t="n"/>
      <c r="PI55" s="33" t="n"/>
      <c r="PJ55" s="33" t="n"/>
      <c r="PK55" s="33" t="n"/>
      <c r="PL55" s="33" t="n"/>
      <c r="PM55" s="33" t="n"/>
      <c r="PN55" s="33" t="n"/>
      <c r="PO55" s="33" t="n"/>
      <c r="PP55" s="33" t="n"/>
      <c r="PQ55" s="33" t="n"/>
      <c r="PR55" s="33" t="n"/>
      <c r="PS55" s="33" t="n"/>
      <c r="PT55" s="33" t="n"/>
      <c r="PU55" s="33" t="n"/>
      <c r="PV55" s="33" t="n"/>
      <c r="PW55" s="33" t="n"/>
      <c r="PX55" s="33" t="n"/>
      <c r="PY55" s="33" t="n"/>
      <c r="PZ55" s="33" t="n"/>
      <c r="QA55" s="33" t="n"/>
      <c r="QB55" s="33" t="n"/>
      <c r="QC55" s="33" t="n"/>
      <c r="QD55" s="33" t="n"/>
      <c r="QE55" s="33" t="n"/>
      <c r="QF55" s="33" t="n"/>
      <c r="QG55" s="33" t="n"/>
      <c r="QH55" s="33" t="n"/>
      <c r="QI55" s="33" t="n"/>
      <c r="QJ55" s="33" t="n"/>
      <c r="QK55" s="33" t="n"/>
      <c r="QL55" s="33" t="n"/>
      <c r="QM55" s="33" t="n"/>
      <c r="QN55" s="33" t="n"/>
      <c r="QO55" s="33" t="n"/>
      <c r="QP55" s="33" t="n"/>
      <c r="QQ55" s="33" t="n"/>
      <c r="QR55" s="33" t="n"/>
      <c r="QS55" s="33" t="n"/>
      <c r="QT55" s="33" t="n"/>
      <c r="QU55" s="33" t="n"/>
      <c r="QV55" s="33" t="n"/>
      <c r="QW55" s="33" t="n"/>
      <c r="QX55" s="33" t="n"/>
      <c r="QY55" s="33" t="n"/>
      <c r="QZ55" s="33" t="n"/>
      <c r="RA55" s="33" t="n"/>
      <c r="RB55" s="33" t="n"/>
      <c r="RC55" s="33" t="n"/>
      <c r="RD55" s="33" t="n"/>
      <c r="RE55" s="33" t="n"/>
      <c r="RF55" s="33" t="n"/>
      <c r="RG55" s="33" t="n"/>
      <c r="RH55" s="33" t="n"/>
      <c r="RI55" s="33" t="n"/>
      <c r="RJ55" s="33" t="n"/>
      <c r="RK55" s="33" t="n"/>
      <c r="RL55" s="33" t="n"/>
      <c r="RM55" s="33" t="n"/>
      <c r="RN55" s="33" t="n"/>
      <c r="RO55" s="33" t="n"/>
      <c r="RP55" s="33" t="n"/>
      <c r="RQ55" s="33" t="n"/>
      <c r="RR55" s="33" t="n"/>
      <c r="RS55" s="33" t="n"/>
      <c r="RT55" s="33" t="n"/>
      <c r="RU55" s="33" t="n"/>
      <c r="RV55" s="33" t="n"/>
      <c r="RW55" s="33" t="n"/>
    </row>
    <row r="56" ht="5.25" customHeight="1"/>
    <row r="57" ht="13.05" customHeight="1">
      <c r="E57" s="21" t="inlineStr">
        <is>
          <t>DSRA Target Balance</t>
        </is>
      </c>
      <c r="F57" s="29" t="n"/>
      <c r="G57" s="29" t="inlineStr">
        <is>
          <t>kEUR</t>
        </is>
      </c>
      <c r="H57" s="29" t="n"/>
      <c r="I57" s="29" t="n"/>
      <c r="J57" s="32" t="n"/>
      <c r="K57" s="29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3" t="n"/>
      <c r="AY57" s="33" t="n"/>
      <c r="AZ57" s="33" t="n"/>
      <c r="BA57" s="33" t="n"/>
      <c r="BB57" s="33" t="n"/>
      <c r="BC57" s="33" t="n"/>
      <c r="BD57" s="33" t="n"/>
      <c r="BE57" s="33" t="n"/>
      <c r="BF57" s="33" t="n"/>
      <c r="BG57" s="33" t="n"/>
      <c r="BH57" s="33" t="n"/>
      <c r="BI57" s="33" t="n"/>
      <c r="BJ57" s="33" t="n"/>
      <c r="BK57" s="33" t="n"/>
      <c r="BL57" s="33" t="n"/>
      <c r="BM57" s="33" t="n"/>
      <c r="BN57" s="33" t="n"/>
      <c r="BO57" s="33" t="n"/>
      <c r="BP57" s="33" t="n"/>
      <c r="BQ57" s="33" t="n"/>
      <c r="BR57" s="33" t="n"/>
      <c r="BS57" s="33" t="n"/>
      <c r="BT57" s="33" t="n"/>
      <c r="BU57" s="33" t="n"/>
      <c r="BV57" s="33" t="n"/>
      <c r="BW57" s="33" t="n"/>
      <c r="BX57" s="33" t="n"/>
      <c r="BY57" s="33" t="n"/>
      <c r="BZ57" s="33" t="n"/>
      <c r="CA57" s="33" t="n"/>
      <c r="CB57" s="33" t="n"/>
      <c r="CC57" s="33" t="n"/>
      <c r="CD57" s="33" t="n"/>
      <c r="CE57" s="33" t="n"/>
      <c r="CF57" s="33" t="n"/>
      <c r="CG57" s="33" t="n"/>
      <c r="CH57" s="33" t="n"/>
      <c r="CI57" s="33" t="n"/>
      <c r="CJ57" s="33" t="n"/>
      <c r="CK57" s="33" t="n"/>
      <c r="CL57" s="33" t="n"/>
      <c r="CM57" s="33" t="n"/>
      <c r="CN57" s="33" t="n"/>
      <c r="CO57" s="33" t="n"/>
      <c r="CP57" s="33" t="n"/>
      <c r="CQ57" s="33" t="n"/>
      <c r="CR57" s="33" t="n"/>
      <c r="CS57" s="33" t="n"/>
      <c r="CT57" s="33" t="n"/>
      <c r="CU57" s="33" t="n"/>
      <c r="CV57" s="33" t="n"/>
      <c r="CW57" s="33" t="n"/>
      <c r="CX57" s="33" t="n"/>
      <c r="CY57" s="33" t="n"/>
      <c r="CZ57" s="33" t="n"/>
      <c r="DA57" s="33" t="n"/>
      <c r="DB57" s="33" t="n"/>
      <c r="DC57" s="33" t="n"/>
      <c r="DD57" s="33" t="n"/>
      <c r="DE57" s="33" t="n"/>
      <c r="DF57" s="33" t="n"/>
      <c r="DG57" s="33" t="n"/>
      <c r="DH57" s="33" t="n"/>
      <c r="DI57" s="33" t="n"/>
      <c r="DJ57" s="33" t="n"/>
      <c r="DK57" s="33" t="n"/>
      <c r="DL57" s="33" t="n"/>
      <c r="DM57" s="33" t="n"/>
      <c r="DN57" s="33" t="n"/>
      <c r="DO57" s="33" t="n"/>
      <c r="DP57" s="33" t="n"/>
      <c r="DQ57" s="33" t="n"/>
      <c r="DR57" s="33" t="n"/>
      <c r="DS57" s="33" t="n"/>
      <c r="DT57" s="33" t="n"/>
      <c r="DU57" s="33" t="n"/>
      <c r="DV57" s="33" t="n"/>
      <c r="DW57" s="33" t="n"/>
      <c r="DX57" s="33" t="n"/>
      <c r="DY57" s="33" t="n"/>
      <c r="DZ57" s="33" t="n"/>
      <c r="EA57" s="33" t="n"/>
      <c r="EB57" s="33" t="n"/>
      <c r="EC57" s="33" t="n"/>
      <c r="ED57" s="33" t="n"/>
      <c r="EE57" s="33" t="n"/>
      <c r="EF57" s="33" t="n"/>
      <c r="EG57" s="33" t="n"/>
      <c r="EH57" s="33" t="n"/>
      <c r="EI57" s="33" t="n"/>
      <c r="EJ57" s="33" t="n"/>
      <c r="EK57" s="33" t="n"/>
      <c r="EL57" s="33" t="n"/>
      <c r="EM57" s="33" t="n"/>
      <c r="EN57" s="33" t="n"/>
      <c r="EO57" s="33" t="n"/>
      <c r="EP57" s="33" t="n"/>
      <c r="EQ57" s="33" t="n"/>
      <c r="ER57" s="33" t="n"/>
      <c r="ES57" s="33" t="n"/>
      <c r="ET57" s="33" t="n"/>
      <c r="EU57" s="33" t="n"/>
      <c r="EV57" s="33" t="n"/>
      <c r="EW57" s="33" t="n"/>
      <c r="EX57" s="33" t="n"/>
      <c r="EY57" s="33" t="n"/>
      <c r="EZ57" s="33" t="n"/>
      <c r="FA57" s="33" t="n"/>
      <c r="FB57" s="33" t="n"/>
      <c r="FC57" s="33" t="n"/>
      <c r="FD57" s="33" t="n"/>
      <c r="FE57" s="33" t="n"/>
      <c r="FF57" s="33" t="n"/>
      <c r="FG57" s="33" t="n"/>
      <c r="FH57" s="33" t="n"/>
      <c r="FI57" s="33" t="n"/>
      <c r="FJ57" s="33" t="n"/>
      <c r="FK57" s="33" t="n"/>
      <c r="FL57" s="33" t="n"/>
      <c r="FM57" s="33" t="n"/>
      <c r="FN57" s="33" t="n"/>
      <c r="FO57" s="33" t="n"/>
      <c r="FP57" s="33" t="n"/>
      <c r="FQ57" s="33" t="n"/>
      <c r="FR57" s="33" t="n"/>
      <c r="FS57" s="33" t="n"/>
      <c r="FT57" s="33" t="n"/>
      <c r="FU57" s="33" t="n"/>
      <c r="FV57" s="33" t="n"/>
      <c r="FW57" s="33" t="n"/>
      <c r="FX57" s="33" t="n"/>
      <c r="FY57" s="33" t="n"/>
      <c r="FZ57" s="33" t="n"/>
      <c r="GA57" s="33" t="n"/>
      <c r="GB57" s="33" t="n"/>
      <c r="GC57" s="33" t="n"/>
      <c r="GD57" s="33" t="n"/>
      <c r="GE57" s="33" t="n"/>
      <c r="GF57" s="33" t="n"/>
      <c r="GG57" s="33" t="n"/>
      <c r="GH57" s="33" t="n"/>
      <c r="GI57" s="33" t="n"/>
      <c r="GJ57" s="33" t="n"/>
      <c r="GK57" s="33" t="n"/>
      <c r="GL57" s="33" t="n"/>
      <c r="GM57" s="33" t="n"/>
      <c r="GN57" s="33" t="n"/>
      <c r="GO57" s="33" t="n"/>
      <c r="GP57" s="33" t="n"/>
      <c r="GQ57" s="33" t="n"/>
      <c r="GR57" s="33" t="n"/>
      <c r="GS57" s="33" t="n"/>
      <c r="GT57" s="33" t="n"/>
      <c r="GU57" s="33" t="n"/>
      <c r="GV57" s="33" t="n"/>
      <c r="GW57" s="33" t="n"/>
      <c r="GX57" s="33" t="n"/>
      <c r="GY57" s="33" t="n"/>
      <c r="GZ57" s="33" t="n"/>
      <c r="HA57" s="33" t="n"/>
      <c r="HB57" s="33" t="n"/>
      <c r="HC57" s="33" t="n"/>
      <c r="HD57" s="33" t="n"/>
      <c r="HE57" s="33" t="n"/>
      <c r="HF57" s="33" t="n"/>
      <c r="HG57" s="33" t="n"/>
      <c r="HH57" s="33" t="n"/>
      <c r="HI57" s="33" t="n"/>
      <c r="HJ57" s="33" t="n"/>
      <c r="HK57" s="33" t="n"/>
      <c r="HL57" s="33" t="n"/>
      <c r="HM57" s="33" t="n"/>
      <c r="HN57" s="33" t="n"/>
      <c r="HO57" s="33" t="n"/>
      <c r="HP57" s="33" t="n"/>
      <c r="HQ57" s="33" t="n"/>
      <c r="HR57" s="33" t="n"/>
      <c r="HS57" s="33" t="n"/>
      <c r="HT57" s="33" t="n"/>
      <c r="HU57" s="33" t="n"/>
      <c r="HV57" s="33" t="n"/>
      <c r="HW57" s="33" t="n"/>
      <c r="HX57" s="33" t="n"/>
      <c r="HY57" s="33" t="n"/>
      <c r="HZ57" s="33" t="n"/>
      <c r="IA57" s="33" t="n"/>
      <c r="IB57" s="33" t="n"/>
      <c r="IC57" s="33" t="n"/>
      <c r="ID57" s="33" t="n"/>
      <c r="IE57" s="33" t="n"/>
      <c r="IF57" s="33" t="n"/>
      <c r="IG57" s="33" t="n"/>
      <c r="IH57" s="33" t="n"/>
      <c r="II57" s="33" t="n"/>
      <c r="IJ57" s="33" t="n"/>
      <c r="IK57" s="33" t="n"/>
      <c r="IL57" s="33" t="n"/>
      <c r="IM57" s="33" t="n"/>
      <c r="IN57" s="33" t="n"/>
      <c r="IO57" s="33" t="n"/>
      <c r="IP57" s="33" t="n"/>
      <c r="IQ57" s="33" t="n"/>
      <c r="IR57" s="33" t="n"/>
      <c r="IS57" s="33" t="n"/>
      <c r="IT57" s="33" t="n"/>
      <c r="IU57" s="33" t="n"/>
      <c r="IV57" s="33" t="n"/>
      <c r="IW57" s="33" t="n"/>
      <c r="IX57" s="33" t="n"/>
      <c r="IY57" s="33" t="n"/>
      <c r="IZ57" s="33" t="n"/>
      <c r="JA57" s="33" t="n"/>
      <c r="JB57" s="33" t="n"/>
      <c r="JC57" s="33" t="n"/>
      <c r="JD57" s="33" t="n"/>
      <c r="JE57" s="33" t="n"/>
      <c r="JF57" s="33" t="n"/>
      <c r="JG57" s="33" t="n"/>
      <c r="JH57" s="33" t="n"/>
      <c r="JI57" s="33" t="n"/>
      <c r="JJ57" s="33" t="n"/>
      <c r="JK57" s="33" t="n"/>
      <c r="JL57" s="33" t="n"/>
      <c r="JM57" s="33" t="n"/>
      <c r="JN57" s="33" t="n"/>
      <c r="JO57" s="33" t="n"/>
      <c r="JP57" s="33" t="n"/>
      <c r="JQ57" s="33" t="n"/>
      <c r="JR57" s="33" t="n"/>
      <c r="JS57" s="33" t="n"/>
      <c r="JT57" s="33" t="n"/>
      <c r="JU57" s="33" t="n"/>
      <c r="JV57" s="33" t="n"/>
      <c r="JW57" s="33" t="n"/>
      <c r="JX57" s="33" t="n"/>
      <c r="JY57" s="33" t="n"/>
      <c r="JZ57" s="33" t="n"/>
      <c r="KA57" s="33" t="n"/>
      <c r="KB57" s="33" t="n"/>
      <c r="KC57" s="33" t="n"/>
      <c r="KD57" s="33" t="n"/>
      <c r="KE57" s="33" t="n"/>
      <c r="KF57" s="33" t="n"/>
      <c r="KG57" s="33" t="n"/>
      <c r="KH57" s="33" t="n"/>
      <c r="KI57" s="33" t="n"/>
      <c r="KJ57" s="33" t="n"/>
      <c r="KK57" s="33" t="n"/>
      <c r="KL57" s="33" t="n"/>
      <c r="KM57" s="33" t="n"/>
      <c r="KN57" s="33" t="n"/>
      <c r="KO57" s="33" t="n"/>
      <c r="KP57" s="33" t="n"/>
      <c r="KQ57" s="33" t="n"/>
      <c r="KR57" s="33" t="n"/>
      <c r="KS57" s="33" t="n"/>
      <c r="KT57" s="33" t="n"/>
      <c r="KU57" s="33" t="n"/>
      <c r="KV57" s="33" t="n"/>
      <c r="KW57" s="33" t="n"/>
      <c r="KX57" s="33" t="n"/>
      <c r="KY57" s="33" t="n"/>
      <c r="KZ57" s="33" t="n"/>
      <c r="LA57" s="33" t="n"/>
      <c r="LB57" s="33" t="n"/>
      <c r="LC57" s="33" t="n"/>
      <c r="LD57" s="33" t="n"/>
      <c r="LE57" s="33" t="n"/>
      <c r="LF57" s="33" t="n"/>
      <c r="LG57" s="33" t="n"/>
      <c r="LH57" s="33" t="n"/>
      <c r="LI57" s="33" t="n"/>
      <c r="LJ57" s="33" t="n"/>
      <c r="LK57" s="33" t="n"/>
      <c r="LL57" s="33" t="n"/>
      <c r="LM57" s="33" t="n"/>
      <c r="LN57" s="33" t="n"/>
      <c r="LO57" s="33" t="n"/>
      <c r="LP57" s="33" t="n"/>
      <c r="LQ57" s="33" t="n"/>
      <c r="LR57" s="33" t="n"/>
      <c r="LS57" s="33" t="n"/>
      <c r="LT57" s="33" t="n"/>
      <c r="LU57" s="33" t="n"/>
      <c r="LV57" s="33" t="n"/>
      <c r="LW57" s="33" t="n"/>
      <c r="LX57" s="33" t="n"/>
      <c r="LY57" s="33" t="n"/>
      <c r="LZ57" s="33" t="n"/>
      <c r="MA57" s="33" t="n"/>
      <c r="MB57" s="33" t="n"/>
      <c r="MC57" s="33" t="n"/>
      <c r="MD57" s="33" t="n"/>
      <c r="ME57" s="33" t="n"/>
      <c r="MF57" s="33" t="n"/>
      <c r="MG57" s="33" t="n"/>
      <c r="MH57" s="33" t="n"/>
      <c r="MI57" s="33" t="n"/>
      <c r="MJ57" s="33" t="n"/>
      <c r="MK57" s="33" t="n"/>
      <c r="ML57" s="33" t="n"/>
      <c r="MM57" s="33" t="n"/>
      <c r="MN57" s="33" t="n"/>
      <c r="MO57" s="33" t="n"/>
      <c r="MP57" s="33" t="n"/>
      <c r="MQ57" s="33" t="n"/>
      <c r="MR57" s="33" t="n"/>
      <c r="MS57" s="33" t="n"/>
      <c r="MT57" s="33" t="n"/>
      <c r="MU57" s="33" t="n"/>
      <c r="MV57" s="33" t="n"/>
      <c r="MW57" s="33" t="n"/>
      <c r="MX57" s="33" t="n"/>
      <c r="MY57" s="33" t="n"/>
      <c r="MZ57" s="33" t="n"/>
      <c r="NA57" s="33" t="n"/>
      <c r="NB57" s="33" t="n"/>
      <c r="NC57" s="33" t="n"/>
      <c r="ND57" s="33" t="n"/>
      <c r="NE57" s="33" t="n"/>
      <c r="NF57" s="33" t="n"/>
      <c r="NG57" s="33" t="n"/>
      <c r="NH57" s="33" t="n"/>
      <c r="NI57" s="33" t="n"/>
      <c r="NJ57" s="33" t="n"/>
      <c r="NK57" s="33" t="n"/>
      <c r="NL57" s="33" t="n"/>
      <c r="NM57" s="33" t="n"/>
      <c r="NN57" s="33" t="n"/>
      <c r="NO57" s="33" t="n"/>
      <c r="NP57" s="33" t="n"/>
      <c r="NQ57" s="33" t="n"/>
      <c r="NR57" s="33" t="n"/>
      <c r="NS57" s="33" t="n"/>
      <c r="NT57" s="33" t="n"/>
      <c r="NU57" s="33" t="n"/>
      <c r="NV57" s="33" t="n"/>
      <c r="NW57" s="33" t="n"/>
      <c r="NX57" s="33" t="n"/>
      <c r="NY57" s="33" t="n"/>
      <c r="NZ57" s="33" t="n"/>
      <c r="OA57" s="33" t="n"/>
      <c r="OB57" s="33" t="n"/>
      <c r="OC57" s="33" t="n"/>
      <c r="OD57" s="33" t="n"/>
      <c r="OE57" s="33" t="n"/>
      <c r="OF57" s="33" t="n"/>
      <c r="OG57" s="33" t="n"/>
      <c r="OH57" s="33" t="n"/>
      <c r="OI57" s="33" t="n"/>
      <c r="OJ57" s="33" t="n"/>
      <c r="OK57" s="33" t="n"/>
      <c r="OL57" s="33" t="n"/>
      <c r="OM57" s="33" t="n"/>
      <c r="ON57" s="33" t="n"/>
      <c r="OO57" s="33" t="n"/>
      <c r="OP57" s="33" t="n"/>
      <c r="OQ57" s="33" t="n"/>
      <c r="OR57" s="33" t="n"/>
      <c r="OS57" s="33" t="n"/>
      <c r="OT57" s="33" t="n"/>
      <c r="OU57" s="33" t="n"/>
      <c r="OV57" s="33" t="n"/>
      <c r="OW57" s="33" t="n"/>
      <c r="OX57" s="33" t="n"/>
      <c r="OY57" s="33" t="n"/>
      <c r="OZ57" s="33" t="n"/>
      <c r="PA57" s="33" t="n"/>
      <c r="PB57" s="33" t="n"/>
      <c r="PC57" s="33" t="n"/>
      <c r="PD57" s="33" t="n"/>
      <c r="PE57" s="33" t="n"/>
      <c r="PF57" s="33" t="n"/>
      <c r="PG57" s="33" t="n"/>
      <c r="PH57" s="33" t="n"/>
      <c r="PI57" s="33" t="n"/>
      <c r="PJ57" s="33" t="n"/>
      <c r="PK57" s="33" t="n"/>
      <c r="PL57" s="33" t="n"/>
      <c r="PM57" s="33" t="n"/>
      <c r="PN57" s="33" t="n"/>
      <c r="PO57" s="33" t="n"/>
      <c r="PP57" s="33" t="n"/>
      <c r="PQ57" s="33" t="n"/>
      <c r="PR57" s="33" t="n"/>
      <c r="PS57" s="33" t="n"/>
      <c r="PT57" s="33" t="n"/>
      <c r="PU57" s="33" t="n"/>
      <c r="PV57" s="33" t="n"/>
      <c r="PW57" s="33" t="n"/>
      <c r="PX57" s="33" t="n"/>
      <c r="PY57" s="33" t="n"/>
      <c r="PZ57" s="33" t="n"/>
      <c r="QA57" s="33" t="n"/>
      <c r="QB57" s="33" t="n"/>
      <c r="QC57" s="33" t="n"/>
      <c r="QD57" s="33" t="n"/>
      <c r="QE57" s="33" t="n"/>
      <c r="QF57" s="33" t="n"/>
      <c r="QG57" s="33" t="n"/>
      <c r="QH57" s="33" t="n"/>
      <c r="QI57" s="33" t="n"/>
      <c r="QJ57" s="33" t="n"/>
      <c r="QK57" s="33" t="n"/>
      <c r="QL57" s="33" t="n"/>
      <c r="QM57" s="33" t="n"/>
      <c r="QN57" s="33" t="n"/>
      <c r="QO57" s="33" t="n"/>
      <c r="QP57" s="33" t="n"/>
      <c r="QQ57" s="33" t="n"/>
      <c r="QR57" s="33" t="n"/>
      <c r="QS57" s="33" t="n"/>
      <c r="QT57" s="33" t="n"/>
      <c r="QU57" s="33" t="n"/>
      <c r="QV57" s="33" t="n"/>
      <c r="QW57" s="33" t="n"/>
      <c r="QX57" s="33" t="n"/>
      <c r="QY57" s="33" t="n"/>
      <c r="QZ57" s="33" t="n"/>
      <c r="RA57" s="33" t="n"/>
      <c r="RB57" s="33" t="n"/>
      <c r="RC57" s="33" t="n"/>
      <c r="RD57" s="33" t="n"/>
      <c r="RE57" s="33" t="n"/>
      <c r="RF57" s="33" t="n"/>
      <c r="RG57" s="33" t="n"/>
      <c r="RH57" s="33" t="n"/>
      <c r="RI57" s="33" t="n"/>
      <c r="RJ57" s="33" t="n"/>
      <c r="RK57" s="33" t="n"/>
      <c r="RL57" s="33" t="n"/>
      <c r="RM57" s="33" t="n"/>
      <c r="RN57" s="33" t="n"/>
      <c r="RO57" s="33" t="n"/>
      <c r="RP57" s="33" t="n"/>
      <c r="RQ57" s="33" t="n"/>
      <c r="RR57" s="33" t="n"/>
      <c r="RS57" s="33" t="n"/>
      <c r="RT57" s="33" t="n"/>
      <c r="RU57" s="33" t="n"/>
      <c r="RV57" s="33" t="n"/>
      <c r="RW57" s="33" t="n"/>
    </row>
    <row r="58" hidden="1" outlineLevel="1" ht="13.05" customHeight="1">
      <c r="E58" s="21" t="inlineStr">
        <is>
          <t>DSRA Actual Balance</t>
        </is>
      </c>
      <c r="F58" s="29" t="n"/>
      <c r="G58" s="29" t="inlineStr">
        <is>
          <t>kEUR</t>
        </is>
      </c>
      <c r="H58" s="29" t="n"/>
      <c r="I58" s="29" t="n"/>
      <c r="J58" s="32" t="n"/>
      <c r="K58" s="29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3" t="n"/>
      <c r="AY58" s="33" t="n"/>
      <c r="AZ58" s="33" t="n"/>
      <c r="BA58" s="33" t="n"/>
      <c r="BB58" s="33" t="n"/>
      <c r="BC58" s="33" t="n"/>
      <c r="BD58" s="33" t="n"/>
      <c r="BE58" s="33" t="n"/>
      <c r="BF58" s="33" t="n"/>
      <c r="BG58" s="33" t="n"/>
      <c r="BH58" s="33" t="n"/>
      <c r="BI58" s="33" t="n"/>
      <c r="BJ58" s="33" t="n"/>
      <c r="BK58" s="33" t="n"/>
      <c r="BL58" s="33" t="n"/>
      <c r="BM58" s="33" t="n"/>
      <c r="BN58" s="33" t="n"/>
      <c r="BO58" s="33" t="n"/>
      <c r="BP58" s="33" t="n"/>
      <c r="BQ58" s="33" t="n"/>
      <c r="BR58" s="33" t="n"/>
      <c r="BS58" s="33" t="n"/>
      <c r="BT58" s="33" t="n"/>
      <c r="BU58" s="33" t="n"/>
      <c r="BV58" s="33" t="n"/>
      <c r="BW58" s="33" t="n"/>
      <c r="BX58" s="33" t="n"/>
      <c r="BY58" s="33" t="n"/>
      <c r="BZ58" s="33" t="n"/>
      <c r="CA58" s="33" t="n"/>
      <c r="CB58" s="33" t="n"/>
      <c r="CC58" s="33" t="n"/>
      <c r="CD58" s="33" t="n"/>
      <c r="CE58" s="33" t="n"/>
      <c r="CF58" s="33" t="n"/>
      <c r="CG58" s="33" t="n"/>
      <c r="CH58" s="33" t="n"/>
      <c r="CI58" s="33" t="n"/>
      <c r="CJ58" s="33" t="n"/>
      <c r="CK58" s="33" t="n"/>
      <c r="CL58" s="33" t="n"/>
      <c r="CM58" s="33" t="n"/>
      <c r="CN58" s="33" t="n"/>
      <c r="CO58" s="33" t="n"/>
      <c r="CP58" s="33" t="n"/>
      <c r="CQ58" s="33" t="n"/>
      <c r="CR58" s="33" t="n"/>
      <c r="CS58" s="33" t="n"/>
      <c r="CT58" s="33" t="n"/>
      <c r="CU58" s="33" t="n"/>
      <c r="CV58" s="33" t="n"/>
      <c r="CW58" s="33" t="n"/>
      <c r="CX58" s="33" t="n"/>
      <c r="CY58" s="33" t="n"/>
      <c r="CZ58" s="33" t="n"/>
      <c r="DA58" s="33" t="n"/>
      <c r="DB58" s="33" t="n"/>
      <c r="DC58" s="33" t="n"/>
      <c r="DD58" s="33" t="n"/>
      <c r="DE58" s="33" t="n"/>
      <c r="DF58" s="33" t="n"/>
      <c r="DG58" s="33" t="n"/>
      <c r="DH58" s="33" t="n"/>
      <c r="DI58" s="33" t="n"/>
      <c r="DJ58" s="33" t="n"/>
      <c r="DK58" s="33" t="n"/>
      <c r="DL58" s="33" t="n"/>
      <c r="DM58" s="33" t="n"/>
      <c r="DN58" s="33" t="n"/>
      <c r="DO58" s="33" t="n"/>
      <c r="DP58" s="33" t="n"/>
      <c r="DQ58" s="33" t="n"/>
      <c r="DR58" s="33" t="n"/>
      <c r="DS58" s="33" t="n"/>
      <c r="DT58" s="33" t="n"/>
      <c r="DU58" s="33" t="n"/>
      <c r="DV58" s="33" t="n"/>
      <c r="DW58" s="33" t="n"/>
      <c r="DX58" s="33" t="n"/>
      <c r="DY58" s="33" t="n"/>
      <c r="DZ58" s="33" t="n"/>
      <c r="EA58" s="33" t="n"/>
      <c r="EB58" s="33" t="n"/>
      <c r="EC58" s="33" t="n"/>
      <c r="ED58" s="33" t="n"/>
      <c r="EE58" s="33" t="n"/>
      <c r="EF58" s="33" t="n"/>
      <c r="EG58" s="33" t="n"/>
      <c r="EH58" s="33" t="n"/>
      <c r="EI58" s="33" t="n"/>
      <c r="EJ58" s="33" t="n"/>
      <c r="EK58" s="33" t="n"/>
      <c r="EL58" s="33" t="n"/>
      <c r="EM58" s="33" t="n"/>
      <c r="EN58" s="33" t="n"/>
      <c r="EO58" s="33" t="n"/>
      <c r="EP58" s="33" t="n"/>
      <c r="EQ58" s="33" t="n"/>
      <c r="ER58" s="33" t="n"/>
      <c r="ES58" s="33" t="n"/>
      <c r="ET58" s="33" t="n"/>
      <c r="EU58" s="33" t="n"/>
      <c r="EV58" s="33" t="n"/>
      <c r="EW58" s="33" t="n"/>
      <c r="EX58" s="33" t="n"/>
      <c r="EY58" s="33" t="n"/>
      <c r="EZ58" s="33" t="n"/>
      <c r="FA58" s="33" t="n"/>
      <c r="FB58" s="33" t="n"/>
      <c r="FC58" s="33" t="n"/>
      <c r="FD58" s="33" t="n"/>
      <c r="FE58" s="33" t="n"/>
      <c r="FF58" s="33" t="n"/>
      <c r="FG58" s="33" t="n"/>
      <c r="FH58" s="33" t="n"/>
      <c r="FI58" s="33" t="n"/>
      <c r="FJ58" s="33" t="n"/>
      <c r="FK58" s="33" t="n"/>
      <c r="FL58" s="33" t="n"/>
      <c r="FM58" s="33" t="n"/>
      <c r="FN58" s="33" t="n"/>
      <c r="FO58" s="33" t="n"/>
      <c r="FP58" s="33" t="n"/>
      <c r="FQ58" s="33" t="n"/>
      <c r="FR58" s="33" t="n"/>
      <c r="FS58" s="33" t="n"/>
      <c r="FT58" s="33" t="n"/>
      <c r="FU58" s="33" t="n"/>
      <c r="FV58" s="33" t="n"/>
      <c r="FW58" s="33" t="n"/>
      <c r="FX58" s="33" t="n"/>
      <c r="FY58" s="33" t="n"/>
      <c r="FZ58" s="33" t="n"/>
      <c r="GA58" s="33" t="n"/>
      <c r="GB58" s="33" t="n"/>
      <c r="GC58" s="33" t="n"/>
      <c r="GD58" s="33" t="n"/>
      <c r="GE58" s="33" t="n"/>
      <c r="GF58" s="33" t="n"/>
      <c r="GG58" s="33" t="n"/>
      <c r="GH58" s="33" t="n"/>
      <c r="GI58" s="33" t="n"/>
      <c r="GJ58" s="33" t="n"/>
      <c r="GK58" s="33" t="n"/>
      <c r="GL58" s="33" t="n"/>
      <c r="GM58" s="33" t="n"/>
      <c r="GN58" s="33" t="n"/>
      <c r="GO58" s="33" t="n"/>
      <c r="GP58" s="33" t="n"/>
      <c r="GQ58" s="33" t="n"/>
      <c r="GR58" s="33" t="n"/>
      <c r="GS58" s="33" t="n"/>
      <c r="GT58" s="33" t="n"/>
      <c r="GU58" s="33" t="n"/>
      <c r="GV58" s="33" t="n"/>
      <c r="GW58" s="33" t="n"/>
      <c r="GX58" s="33" t="n"/>
      <c r="GY58" s="33" t="n"/>
      <c r="GZ58" s="33" t="n"/>
      <c r="HA58" s="33" t="n"/>
      <c r="HB58" s="33" t="n"/>
      <c r="HC58" s="33" t="n"/>
      <c r="HD58" s="33" t="n"/>
      <c r="HE58" s="33" t="n"/>
      <c r="HF58" s="33" t="n"/>
      <c r="HG58" s="33" t="n"/>
      <c r="HH58" s="33" t="n"/>
      <c r="HI58" s="33" t="n"/>
      <c r="HJ58" s="33" t="n"/>
      <c r="HK58" s="33" t="n"/>
      <c r="HL58" s="33" t="n"/>
      <c r="HM58" s="33" t="n"/>
      <c r="HN58" s="33" t="n"/>
      <c r="HO58" s="33" t="n"/>
      <c r="HP58" s="33" t="n"/>
      <c r="HQ58" s="33" t="n"/>
      <c r="HR58" s="33" t="n"/>
      <c r="HS58" s="33" t="n"/>
      <c r="HT58" s="33" t="n"/>
      <c r="HU58" s="33" t="n"/>
      <c r="HV58" s="33" t="n"/>
      <c r="HW58" s="33" t="n"/>
      <c r="HX58" s="33" t="n"/>
      <c r="HY58" s="33" t="n"/>
      <c r="HZ58" s="33" t="n"/>
      <c r="IA58" s="33" t="n"/>
      <c r="IB58" s="33" t="n"/>
      <c r="IC58" s="33" t="n"/>
      <c r="ID58" s="33" t="n"/>
      <c r="IE58" s="33" t="n"/>
      <c r="IF58" s="33" t="n"/>
      <c r="IG58" s="33" t="n"/>
      <c r="IH58" s="33" t="n"/>
      <c r="II58" s="33" t="n"/>
      <c r="IJ58" s="33" t="n"/>
      <c r="IK58" s="33" t="n"/>
      <c r="IL58" s="33" t="n"/>
      <c r="IM58" s="33" t="n"/>
      <c r="IN58" s="33" t="n"/>
      <c r="IO58" s="33" t="n"/>
      <c r="IP58" s="33" t="n"/>
      <c r="IQ58" s="33" t="n"/>
      <c r="IR58" s="33" t="n"/>
      <c r="IS58" s="33" t="n"/>
      <c r="IT58" s="33" t="n"/>
      <c r="IU58" s="33" t="n"/>
      <c r="IV58" s="33" t="n"/>
      <c r="IW58" s="33" t="n"/>
      <c r="IX58" s="33" t="n"/>
      <c r="IY58" s="33" t="n"/>
      <c r="IZ58" s="33" t="n"/>
      <c r="JA58" s="33" t="n"/>
      <c r="JB58" s="33" t="n"/>
      <c r="JC58" s="33" t="n"/>
      <c r="JD58" s="33" t="n"/>
      <c r="JE58" s="33" t="n"/>
      <c r="JF58" s="33" t="n"/>
      <c r="JG58" s="33" t="n"/>
      <c r="JH58" s="33" t="n"/>
      <c r="JI58" s="33" t="n"/>
      <c r="JJ58" s="33" t="n"/>
      <c r="JK58" s="33" t="n"/>
      <c r="JL58" s="33" t="n"/>
      <c r="JM58" s="33" t="n"/>
      <c r="JN58" s="33" t="n"/>
      <c r="JO58" s="33" t="n"/>
      <c r="JP58" s="33" t="n"/>
      <c r="JQ58" s="33" t="n"/>
      <c r="JR58" s="33" t="n"/>
      <c r="JS58" s="33" t="n"/>
      <c r="JT58" s="33" t="n"/>
      <c r="JU58" s="33" t="n"/>
      <c r="JV58" s="33" t="n"/>
      <c r="JW58" s="33" t="n"/>
      <c r="JX58" s="33" t="n"/>
      <c r="JY58" s="33" t="n"/>
      <c r="JZ58" s="33" t="n"/>
      <c r="KA58" s="33" t="n"/>
      <c r="KB58" s="33" t="n"/>
      <c r="KC58" s="33" t="n"/>
      <c r="KD58" s="33" t="n"/>
      <c r="KE58" s="33" t="n"/>
      <c r="KF58" s="33" t="n"/>
      <c r="KG58" s="33" t="n"/>
      <c r="KH58" s="33" t="n"/>
      <c r="KI58" s="33" t="n"/>
      <c r="KJ58" s="33" t="n"/>
      <c r="KK58" s="33" t="n"/>
      <c r="KL58" s="33" t="n"/>
      <c r="KM58" s="33" t="n"/>
      <c r="KN58" s="33" t="n"/>
      <c r="KO58" s="33" t="n"/>
      <c r="KP58" s="33" t="n"/>
      <c r="KQ58" s="33" t="n"/>
      <c r="KR58" s="33" t="n"/>
      <c r="KS58" s="33" t="n"/>
      <c r="KT58" s="33" t="n"/>
      <c r="KU58" s="33" t="n"/>
      <c r="KV58" s="33" t="n"/>
      <c r="KW58" s="33" t="n"/>
      <c r="KX58" s="33" t="n"/>
      <c r="KY58" s="33" t="n"/>
      <c r="KZ58" s="33" t="n"/>
      <c r="LA58" s="33" t="n"/>
      <c r="LB58" s="33" t="n"/>
      <c r="LC58" s="33" t="n"/>
      <c r="LD58" s="33" t="n"/>
      <c r="LE58" s="33" t="n"/>
      <c r="LF58" s="33" t="n"/>
      <c r="LG58" s="33" t="n"/>
      <c r="LH58" s="33" t="n"/>
      <c r="LI58" s="33" t="n"/>
      <c r="LJ58" s="33" t="n"/>
      <c r="LK58" s="33" t="n"/>
      <c r="LL58" s="33" t="n"/>
      <c r="LM58" s="33" t="n"/>
      <c r="LN58" s="33" t="n"/>
      <c r="LO58" s="33" t="n"/>
      <c r="LP58" s="33" t="n"/>
      <c r="LQ58" s="33" t="n"/>
      <c r="LR58" s="33" t="n"/>
      <c r="LS58" s="33" t="n"/>
      <c r="LT58" s="33" t="n"/>
      <c r="LU58" s="33" t="n"/>
      <c r="LV58" s="33" t="n"/>
      <c r="LW58" s="33" t="n"/>
      <c r="LX58" s="33" t="n"/>
      <c r="LY58" s="33" t="n"/>
      <c r="LZ58" s="33" t="n"/>
      <c r="MA58" s="33" t="n"/>
      <c r="MB58" s="33" t="n"/>
      <c r="MC58" s="33" t="n"/>
      <c r="MD58" s="33" t="n"/>
      <c r="ME58" s="33" t="n"/>
      <c r="MF58" s="33" t="n"/>
      <c r="MG58" s="33" t="n"/>
      <c r="MH58" s="33" t="n"/>
      <c r="MI58" s="33" t="n"/>
      <c r="MJ58" s="33" t="n"/>
      <c r="MK58" s="33" t="n"/>
      <c r="ML58" s="33" t="n"/>
      <c r="MM58" s="33" t="n"/>
      <c r="MN58" s="33" t="n"/>
      <c r="MO58" s="33" t="n"/>
      <c r="MP58" s="33" t="n"/>
      <c r="MQ58" s="33" t="n"/>
      <c r="MR58" s="33" t="n"/>
      <c r="MS58" s="33" t="n"/>
      <c r="MT58" s="33" t="n"/>
      <c r="MU58" s="33" t="n"/>
      <c r="MV58" s="33" t="n"/>
      <c r="MW58" s="33" t="n"/>
      <c r="MX58" s="33" t="n"/>
      <c r="MY58" s="33" t="n"/>
      <c r="MZ58" s="33" t="n"/>
      <c r="NA58" s="33" t="n"/>
      <c r="NB58" s="33" t="n"/>
      <c r="NC58" s="33" t="n"/>
      <c r="ND58" s="33" t="n"/>
      <c r="NE58" s="33" t="n"/>
      <c r="NF58" s="33" t="n"/>
      <c r="NG58" s="33" t="n"/>
      <c r="NH58" s="33" t="n"/>
      <c r="NI58" s="33" t="n"/>
      <c r="NJ58" s="33" t="n"/>
      <c r="NK58" s="33" t="n"/>
      <c r="NL58" s="33" t="n"/>
      <c r="NM58" s="33" t="n"/>
      <c r="NN58" s="33" t="n"/>
      <c r="NO58" s="33" t="n"/>
      <c r="NP58" s="33" t="n"/>
      <c r="NQ58" s="33" t="n"/>
      <c r="NR58" s="33" t="n"/>
      <c r="NS58" s="33" t="n"/>
      <c r="NT58" s="33" t="n"/>
      <c r="NU58" s="33" t="n"/>
      <c r="NV58" s="33" t="n"/>
      <c r="NW58" s="33" t="n"/>
      <c r="NX58" s="33" t="n"/>
      <c r="NY58" s="33" t="n"/>
      <c r="NZ58" s="33" t="n"/>
      <c r="OA58" s="33" t="n"/>
      <c r="OB58" s="33" t="n"/>
      <c r="OC58" s="33" t="n"/>
      <c r="OD58" s="33" t="n"/>
      <c r="OE58" s="33" t="n"/>
      <c r="OF58" s="33" t="n"/>
      <c r="OG58" s="33" t="n"/>
      <c r="OH58" s="33" t="n"/>
      <c r="OI58" s="33" t="n"/>
      <c r="OJ58" s="33" t="n"/>
      <c r="OK58" s="33" t="n"/>
      <c r="OL58" s="33" t="n"/>
      <c r="OM58" s="33" t="n"/>
      <c r="ON58" s="33" t="n"/>
      <c r="OO58" s="33" t="n"/>
      <c r="OP58" s="33" t="n"/>
      <c r="OQ58" s="33" t="n"/>
      <c r="OR58" s="33" t="n"/>
      <c r="OS58" s="33" t="n"/>
      <c r="OT58" s="33" t="n"/>
      <c r="OU58" s="33" t="n"/>
      <c r="OV58" s="33" t="n"/>
      <c r="OW58" s="33" t="n"/>
      <c r="OX58" s="33" t="n"/>
      <c r="OY58" s="33" t="n"/>
      <c r="OZ58" s="33" t="n"/>
      <c r="PA58" s="33" t="n"/>
      <c r="PB58" s="33" t="n"/>
      <c r="PC58" s="33" t="n"/>
      <c r="PD58" s="33" t="n"/>
      <c r="PE58" s="33" t="n"/>
      <c r="PF58" s="33" t="n"/>
      <c r="PG58" s="33" t="n"/>
      <c r="PH58" s="33" t="n"/>
      <c r="PI58" s="33" t="n"/>
      <c r="PJ58" s="33" t="n"/>
      <c r="PK58" s="33" t="n"/>
      <c r="PL58" s="33" t="n"/>
      <c r="PM58" s="33" t="n"/>
      <c r="PN58" s="33" t="n"/>
      <c r="PO58" s="33" t="n"/>
      <c r="PP58" s="33" t="n"/>
      <c r="PQ58" s="33" t="n"/>
      <c r="PR58" s="33" t="n"/>
      <c r="PS58" s="33" t="n"/>
      <c r="PT58" s="33" t="n"/>
      <c r="PU58" s="33" t="n"/>
      <c r="PV58" s="33" t="n"/>
      <c r="PW58" s="33" t="n"/>
      <c r="PX58" s="33" t="n"/>
      <c r="PY58" s="33" t="n"/>
      <c r="PZ58" s="33" t="n"/>
      <c r="QA58" s="33" t="n"/>
      <c r="QB58" s="33" t="n"/>
      <c r="QC58" s="33" t="n"/>
      <c r="QD58" s="33" t="n"/>
      <c r="QE58" s="33" t="n"/>
      <c r="QF58" s="33" t="n"/>
      <c r="QG58" s="33" t="n"/>
      <c r="QH58" s="33" t="n"/>
      <c r="QI58" s="33" t="n"/>
      <c r="QJ58" s="33" t="n"/>
      <c r="QK58" s="33" t="n"/>
      <c r="QL58" s="33" t="n"/>
      <c r="QM58" s="33" t="n"/>
      <c r="QN58" s="33" t="n"/>
      <c r="QO58" s="33" t="n"/>
      <c r="QP58" s="33" t="n"/>
      <c r="QQ58" s="33" t="n"/>
      <c r="QR58" s="33" t="n"/>
      <c r="QS58" s="33" t="n"/>
      <c r="QT58" s="33" t="n"/>
      <c r="QU58" s="33" t="n"/>
      <c r="QV58" s="33" t="n"/>
      <c r="QW58" s="33" t="n"/>
      <c r="QX58" s="33" t="n"/>
      <c r="QY58" s="33" t="n"/>
      <c r="QZ58" s="33" t="n"/>
      <c r="RA58" s="33" t="n"/>
      <c r="RB58" s="33" t="n"/>
      <c r="RC58" s="33" t="n"/>
      <c r="RD58" s="33" t="n"/>
      <c r="RE58" s="33" t="n"/>
      <c r="RF58" s="33" t="n"/>
      <c r="RG58" s="33" t="n"/>
      <c r="RH58" s="33" t="n"/>
      <c r="RI58" s="33" t="n"/>
      <c r="RJ58" s="33" t="n"/>
      <c r="RK58" s="33" t="n"/>
      <c r="RL58" s="33" t="n"/>
      <c r="RM58" s="33" t="n"/>
      <c r="RN58" s="33" t="n"/>
      <c r="RO58" s="33" t="n"/>
      <c r="RP58" s="33" t="n"/>
      <c r="RQ58" s="33" t="n"/>
      <c r="RR58" s="33" t="n"/>
      <c r="RS58" s="33" t="n"/>
      <c r="RT58" s="33" t="n"/>
      <c r="RU58" s="33" t="n"/>
      <c r="RV58" s="33" t="n"/>
      <c r="RW58" s="33" t="n"/>
    </row>
    <row r="59" hidden="1" outlineLevel="1" ht="13.05" customHeight="1">
      <c r="E59" s="21" t="inlineStr">
        <is>
          <t>DSRA Top-Up</t>
        </is>
      </c>
      <c r="F59" s="29" t="n"/>
      <c r="G59" s="29" t="inlineStr">
        <is>
          <t>kEUR</t>
        </is>
      </c>
      <c r="H59" s="29" t="n"/>
      <c r="I59" s="29" t="n"/>
      <c r="J59" s="32" t="n"/>
      <c r="K59" s="29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3" t="n"/>
      <c r="AY59" s="33" t="n"/>
      <c r="AZ59" s="33" t="n"/>
      <c r="BA59" s="33" t="n"/>
      <c r="BB59" s="33" t="n"/>
      <c r="BC59" s="33" t="n"/>
      <c r="BD59" s="33" t="n"/>
      <c r="BE59" s="33" t="n"/>
      <c r="BF59" s="33" t="n"/>
      <c r="BG59" s="33" t="n"/>
      <c r="BH59" s="33" t="n"/>
      <c r="BI59" s="33" t="n"/>
      <c r="BJ59" s="33" t="n"/>
      <c r="BK59" s="33" t="n"/>
      <c r="BL59" s="33" t="n"/>
      <c r="BM59" s="33" t="n"/>
      <c r="BN59" s="33" t="n"/>
      <c r="BO59" s="33" t="n"/>
      <c r="BP59" s="33" t="n"/>
      <c r="BQ59" s="33" t="n"/>
      <c r="BR59" s="33" t="n"/>
      <c r="BS59" s="33" t="n"/>
      <c r="BT59" s="33" t="n"/>
      <c r="BU59" s="33" t="n"/>
      <c r="BV59" s="33" t="n"/>
      <c r="BW59" s="33" t="n"/>
      <c r="BX59" s="33" t="n"/>
      <c r="BY59" s="33" t="n"/>
      <c r="BZ59" s="33" t="n"/>
      <c r="CA59" s="33" t="n"/>
      <c r="CB59" s="33" t="n"/>
      <c r="CC59" s="33" t="n"/>
      <c r="CD59" s="33" t="n"/>
      <c r="CE59" s="33" t="n"/>
      <c r="CF59" s="33" t="n"/>
      <c r="CG59" s="33" t="n"/>
      <c r="CH59" s="33" t="n"/>
      <c r="CI59" s="33" t="n"/>
      <c r="CJ59" s="33" t="n"/>
      <c r="CK59" s="33" t="n"/>
      <c r="CL59" s="33" t="n"/>
      <c r="CM59" s="33" t="n"/>
      <c r="CN59" s="33" t="n"/>
      <c r="CO59" s="33" t="n"/>
      <c r="CP59" s="33" t="n"/>
      <c r="CQ59" s="33" t="n"/>
      <c r="CR59" s="33" t="n"/>
      <c r="CS59" s="33" t="n"/>
      <c r="CT59" s="33" t="n"/>
      <c r="CU59" s="33" t="n"/>
      <c r="CV59" s="33" t="n"/>
      <c r="CW59" s="33" t="n"/>
      <c r="CX59" s="33" t="n"/>
      <c r="CY59" s="33" t="n"/>
      <c r="CZ59" s="33" t="n"/>
      <c r="DA59" s="33" t="n"/>
      <c r="DB59" s="33" t="n"/>
      <c r="DC59" s="33" t="n"/>
      <c r="DD59" s="33" t="n"/>
      <c r="DE59" s="33" t="n"/>
      <c r="DF59" s="33" t="n"/>
      <c r="DG59" s="33" t="n"/>
      <c r="DH59" s="33" t="n"/>
      <c r="DI59" s="33" t="n"/>
      <c r="DJ59" s="33" t="n"/>
      <c r="DK59" s="33" t="n"/>
      <c r="DL59" s="33" t="n"/>
      <c r="DM59" s="33" t="n"/>
      <c r="DN59" s="33" t="n"/>
      <c r="DO59" s="33" t="n"/>
      <c r="DP59" s="33" t="n"/>
      <c r="DQ59" s="33" t="n"/>
      <c r="DR59" s="33" t="n"/>
      <c r="DS59" s="33" t="n"/>
      <c r="DT59" s="33" t="n"/>
      <c r="DU59" s="33" t="n"/>
      <c r="DV59" s="33" t="n"/>
      <c r="DW59" s="33" t="n"/>
      <c r="DX59" s="33" t="n"/>
      <c r="DY59" s="33" t="n"/>
      <c r="DZ59" s="33" t="n"/>
      <c r="EA59" s="33" t="n"/>
      <c r="EB59" s="33" t="n"/>
      <c r="EC59" s="33" t="n"/>
      <c r="ED59" s="33" t="n"/>
      <c r="EE59" s="33" t="n"/>
      <c r="EF59" s="33" t="n"/>
      <c r="EG59" s="33" t="n"/>
      <c r="EH59" s="33" t="n"/>
      <c r="EI59" s="33" t="n"/>
      <c r="EJ59" s="33" t="n"/>
      <c r="EK59" s="33" t="n"/>
      <c r="EL59" s="33" t="n"/>
      <c r="EM59" s="33" t="n"/>
      <c r="EN59" s="33" t="n"/>
      <c r="EO59" s="33" t="n"/>
      <c r="EP59" s="33" t="n"/>
      <c r="EQ59" s="33" t="n"/>
      <c r="ER59" s="33" t="n"/>
      <c r="ES59" s="33" t="n"/>
      <c r="ET59" s="33" t="n"/>
      <c r="EU59" s="33" t="n"/>
      <c r="EV59" s="33" t="n"/>
      <c r="EW59" s="33" t="n"/>
      <c r="EX59" s="33" t="n"/>
      <c r="EY59" s="33" t="n"/>
      <c r="EZ59" s="33" t="n"/>
      <c r="FA59" s="33" t="n"/>
      <c r="FB59" s="33" t="n"/>
      <c r="FC59" s="33" t="n"/>
      <c r="FD59" s="33" t="n"/>
      <c r="FE59" s="33" t="n"/>
      <c r="FF59" s="33" t="n"/>
      <c r="FG59" s="33" t="n"/>
      <c r="FH59" s="33" t="n"/>
      <c r="FI59" s="33" t="n"/>
      <c r="FJ59" s="33" t="n"/>
      <c r="FK59" s="33" t="n"/>
      <c r="FL59" s="33" t="n"/>
      <c r="FM59" s="33" t="n"/>
      <c r="FN59" s="33" t="n"/>
      <c r="FO59" s="33" t="n"/>
      <c r="FP59" s="33" t="n"/>
      <c r="FQ59" s="33" t="n"/>
      <c r="FR59" s="33" t="n"/>
      <c r="FS59" s="33" t="n"/>
      <c r="FT59" s="33" t="n"/>
      <c r="FU59" s="33" t="n"/>
      <c r="FV59" s="33" t="n"/>
      <c r="FW59" s="33" t="n"/>
      <c r="FX59" s="33" t="n"/>
      <c r="FY59" s="33" t="n"/>
      <c r="FZ59" s="33" t="n"/>
      <c r="GA59" s="33" t="n"/>
      <c r="GB59" s="33" t="n"/>
      <c r="GC59" s="33" t="n"/>
      <c r="GD59" s="33" t="n"/>
      <c r="GE59" s="33" t="n"/>
      <c r="GF59" s="33" t="n"/>
      <c r="GG59" s="33" t="n"/>
      <c r="GH59" s="33" t="n"/>
      <c r="GI59" s="33" t="n"/>
      <c r="GJ59" s="33" t="n"/>
      <c r="GK59" s="33" t="n"/>
      <c r="GL59" s="33" t="n"/>
      <c r="GM59" s="33" t="n"/>
      <c r="GN59" s="33" t="n"/>
      <c r="GO59" s="33" t="n"/>
      <c r="GP59" s="33" t="n"/>
      <c r="GQ59" s="33" t="n"/>
      <c r="GR59" s="33" t="n"/>
      <c r="GS59" s="33" t="n"/>
      <c r="GT59" s="33" t="n"/>
      <c r="GU59" s="33" t="n"/>
      <c r="GV59" s="33" t="n"/>
      <c r="GW59" s="33" t="n"/>
      <c r="GX59" s="33" t="n"/>
      <c r="GY59" s="33" t="n"/>
      <c r="GZ59" s="33" t="n"/>
      <c r="HA59" s="33" t="n"/>
      <c r="HB59" s="33" t="n"/>
      <c r="HC59" s="33" t="n"/>
      <c r="HD59" s="33" t="n"/>
      <c r="HE59" s="33" t="n"/>
      <c r="HF59" s="33" t="n"/>
      <c r="HG59" s="33" t="n"/>
      <c r="HH59" s="33" t="n"/>
      <c r="HI59" s="33" t="n"/>
      <c r="HJ59" s="33" t="n"/>
      <c r="HK59" s="33" t="n"/>
      <c r="HL59" s="33" t="n"/>
      <c r="HM59" s="33" t="n"/>
      <c r="HN59" s="33" t="n"/>
      <c r="HO59" s="33" t="n"/>
      <c r="HP59" s="33" t="n"/>
      <c r="HQ59" s="33" t="n"/>
      <c r="HR59" s="33" t="n"/>
      <c r="HS59" s="33" t="n"/>
      <c r="HT59" s="33" t="n"/>
      <c r="HU59" s="33" t="n"/>
      <c r="HV59" s="33" t="n"/>
      <c r="HW59" s="33" t="n"/>
      <c r="HX59" s="33" t="n"/>
      <c r="HY59" s="33" t="n"/>
      <c r="HZ59" s="33" t="n"/>
      <c r="IA59" s="33" t="n"/>
      <c r="IB59" s="33" t="n"/>
      <c r="IC59" s="33" t="n"/>
      <c r="ID59" s="33" t="n"/>
      <c r="IE59" s="33" t="n"/>
      <c r="IF59" s="33" t="n"/>
      <c r="IG59" s="33" t="n"/>
      <c r="IH59" s="33" t="n"/>
      <c r="II59" s="33" t="n"/>
      <c r="IJ59" s="33" t="n"/>
      <c r="IK59" s="33" t="n"/>
      <c r="IL59" s="33" t="n"/>
      <c r="IM59" s="33" t="n"/>
      <c r="IN59" s="33" t="n"/>
      <c r="IO59" s="33" t="n"/>
      <c r="IP59" s="33" t="n"/>
      <c r="IQ59" s="33" t="n"/>
      <c r="IR59" s="33" t="n"/>
      <c r="IS59" s="33" t="n"/>
      <c r="IT59" s="33" t="n"/>
      <c r="IU59" s="33" t="n"/>
      <c r="IV59" s="33" t="n"/>
      <c r="IW59" s="33" t="n"/>
      <c r="IX59" s="33" t="n"/>
      <c r="IY59" s="33" t="n"/>
      <c r="IZ59" s="33" t="n"/>
      <c r="JA59" s="33" t="n"/>
      <c r="JB59" s="33" t="n"/>
      <c r="JC59" s="33" t="n"/>
      <c r="JD59" s="33" t="n"/>
      <c r="JE59" s="33" t="n"/>
      <c r="JF59" s="33" t="n"/>
      <c r="JG59" s="33" t="n"/>
      <c r="JH59" s="33" t="n"/>
      <c r="JI59" s="33" t="n"/>
      <c r="JJ59" s="33" t="n"/>
      <c r="JK59" s="33" t="n"/>
      <c r="JL59" s="33" t="n"/>
      <c r="JM59" s="33" t="n"/>
      <c r="JN59" s="33" t="n"/>
      <c r="JO59" s="33" t="n"/>
      <c r="JP59" s="33" t="n"/>
      <c r="JQ59" s="33" t="n"/>
      <c r="JR59" s="33" t="n"/>
      <c r="JS59" s="33" t="n"/>
      <c r="JT59" s="33" t="n"/>
      <c r="JU59" s="33" t="n"/>
      <c r="JV59" s="33" t="n"/>
      <c r="JW59" s="33" t="n"/>
      <c r="JX59" s="33" t="n"/>
      <c r="JY59" s="33" t="n"/>
      <c r="JZ59" s="33" t="n"/>
      <c r="KA59" s="33" t="n"/>
      <c r="KB59" s="33" t="n"/>
      <c r="KC59" s="33" t="n"/>
      <c r="KD59" s="33" t="n"/>
      <c r="KE59" s="33" t="n"/>
      <c r="KF59" s="33" t="n"/>
      <c r="KG59" s="33" t="n"/>
      <c r="KH59" s="33" t="n"/>
      <c r="KI59" s="33" t="n"/>
      <c r="KJ59" s="33" t="n"/>
      <c r="KK59" s="33" t="n"/>
      <c r="KL59" s="33" t="n"/>
      <c r="KM59" s="33" t="n"/>
      <c r="KN59" s="33" t="n"/>
      <c r="KO59" s="33" t="n"/>
      <c r="KP59" s="33" t="n"/>
      <c r="KQ59" s="33" t="n"/>
      <c r="KR59" s="33" t="n"/>
      <c r="KS59" s="33" t="n"/>
      <c r="KT59" s="33" t="n"/>
      <c r="KU59" s="33" t="n"/>
      <c r="KV59" s="33" t="n"/>
      <c r="KW59" s="33" t="n"/>
      <c r="KX59" s="33" t="n"/>
      <c r="KY59" s="33" t="n"/>
      <c r="KZ59" s="33" t="n"/>
      <c r="LA59" s="33" t="n"/>
      <c r="LB59" s="33" t="n"/>
      <c r="LC59" s="33" t="n"/>
      <c r="LD59" s="33" t="n"/>
      <c r="LE59" s="33" t="n"/>
      <c r="LF59" s="33" t="n"/>
      <c r="LG59" s="33" t="n"/>
      <c r="LH59" s="33" t="n"/>
      <c r="LI59" s="33" t="n"/>
      <c r="LJ59" s="33" t="n"/>
      <c r="LK59" s="33" t="n"/>
      <c r="LL59" s="33" t="n"/>
      <c r="LM59" s="33" t="n"/>
      <c r="LN59" s="33" t="n"/>
      <c r="LO59" s="33" t="n"/>
      <c r="LP59" s="33" t="n"/>
      <c r="LQ59" s="33" t="n"/>
      <c r="LR59" s="33" t="n"/>
      <c r="LS59" s="33" t="n"/>
      <c r="LT59" s="33" t="n"/>
      <c r="LU59" s="33" t="n"/>
      <c r="LV59" s="33" t="n"/>
      <c r="LW59" s="33" t="n"/>
      <c r="LX59" s="33" t="n"/>
      <c r="LY59" s="33" t="n"/>
      <c r="LZ59" s="33" t="n"/>
      <c r="MA59" s="33" t="n"/>
      <c r="MB59" s="33" t="n"/>
      <c r="MC59" s="33" t="n"/>
      <c r="MD59" s="33" t="n"/>
      <c r="ME59" s="33" t="n"/>
      <c r="MF59" s="33" t="n"/>
      <c r="MG59" s="33" t="n"/>
      <c r="MH59" s="33" t="n"/>
      <c r="MI59" s="33" t="n"/>
      <c r="MJ59" s="33" t="n"/>
      <c r="MK59" s="33" t="n"/>
      <c r="ML59" s="33" t="n"/>
      <c r="MM59" s="33" t="n"/>
      <c r="MN59" s="33" t="n"/>
      <c r="MO59" s="33" t="n"/>
      <c r="MP59" s="33" t="n"/>
      <c r="MQ59" s="33" t="n"/>
      <c r="MR59" s="33" t="n"/>
      <c r="MS59" s="33" t="n"/>
      <c r="MT59" s="33" t="n"/>
      <c r="MU59" s="33" t="n"/>
      <c r="MV59" s="33" t="n"/>
      <c r="MW59" s="33" t="n"/>
      <c r="MX59" s="33" t="n"/>
      <c r="MY59" s="33" t="n"/>
      <c r="MZ59" s="33" t="n"/>
      <c r="NA59" s="33" t="n"/>
      <c r="NB59" s="33" t="n"/>
      <c r="NC59" s="33" t="n"/>
      <c r="ND59" s="33" t="n"/>
      <c r="NE59" s="33" t="n"/>
      <c r="NF59" s="33" t="n"/>
      <c r="NG59" s="33" t="n"/>
      <c r="NH59" s="33" t="n"/>
      <c r="NI59" s="33" t="n"/>
      <c r="NJ59" s="33" t="n"/>
      <c r="NK59" s="33" t="n"/>
      <c r="NL59" s="33" t="n"/>
      <c r="NM59" s="33" t="n"/>
      <c r="NN59" s="33" t="n"/>
      <c r="NO59" s="33" t="n"/>
      <c r="NP59" s="33" t="n"/>
      <c r="NQ59" s="33" t="n"/>
      <c r="NR59" s="33" t="n"/>
      <c r="NS59" s="33" t="n"/>
      <c r="NT59" s="33" t="n"/>
      <c r="NU59" s="33" t="n"/>
      <c r="NV59" s="33" t="n"/>
      <c r="NW59" s="33" t="n"/>
      <c r="NX59" s="33" t="n"/>
      <c r="NY59" s="33" t="n"/>
      <c r="NZ59" s="33" t="n"/>
      <c r="OA59" s="33" t="n"/>
      <c r="OB59" s="33" t="n"/>
      <c r="OC59" s="33" t="n"/>
      <c r="OD59" s="33" t="n"/>
      <c r="OE59" s="33" t="n"/>
      <c r="OF59" s="33" t="n"/>
      <c r="OG59" s="33" t="n"/>
      <c r="OH59" s="33" t="n"/>
      <c r="OI59" s="33" t="n"/>
      <c r="OJ59" s="33" t="n"/>
      <c r="OK59" s="33" t="n"/>
      <c r="OL59" s="33" t="n"/>
      <c r="OM59" s="33" t="n"/>
      <c r="ON59" s="33" t="n"/>
      <c r="OO59" s="33" t="n"/>
      <c r="OP59" s="33" t="n"/>
      <c r="OQ59" s="33" t="n"/>
      <c r="OR59" s="33" t="n"/>
      <c r="OS59" s="33" t="n"/>
      <c r="OT59" s="33" t="n"/>
      <c r="OU59" s="33" t="n"/>
      <c r="OV59" s="33" t="n"/>
      <c r="OW59" s="33" t="n"/>
      <c r="OX59" s="33" t="n"/>
      <c r="OY59" s="33" t="n"/>
      <c r="OZ59" s="33" t="n"/>
      <c r="PA59" s="33" t="n"/>
      <c r="PB59" s="33" t="n"/>
      <c r="PC59" s="33" t="n"/>
      <c r="PD59" s="33" t="n"/>
      <c r="PE59" s="33" t="n"/>
      <c r="PF59" s="33" t="n"/>
      <c r="PG59" s="33" t="n"/>
      <c r="PH59" s="33" t="n"/>
      <c r="PI59" s="33" t="n"/>
      <c r="PJ59" s="33" t="n"/>
      <c r="PK59" s="33" t="n"/>
      <c r="PL59" s="33" t="n"/>
      <c r="PM59" s="33" t="n"/>
      <c r="PN59" s="33" t="n"/>
      <c r="PO59" s="33" t="n"/>
      <c r="PP59" s="33" t="n"/>
      <c r="PQ59" s="33" t="n"/>
      <c r="PR59" s="33" t="n"/>
      <c r="PS59" s="33" t="n"/>
      <c r="PT59" s="33" t="n"/>
      <c r="PU59" s="33" t="n"/>
      <c r="PV59" s="33" t="n"/>
      <c r="PW59" s="33" t="n"/>
      <c r="PX59" s="33" t="n"/>
      <c r="PY59" s="33" t="n"/>
      <c r="PZ59" s="33" t="n"/>
      <c r="QA59" s="33" t="n"/>
      <c r="QB59" s="33" t="n"/>
      <c r="QC59" s="33" t="n"/>
      <c r="QD59" s="33" t="n"/>
      <c r="QE59" s="33" t="n"/>
      <c r="QF59" s="33" t="n"/>
      <c r="QG59" s="33" t="n"/>
      <c r="QH59" s="33" t="n"/>
      <c r="QI59" s="33" t="n"/>
      <c r="QJ59" s="33" t="n"/>
      <c r="QK59" s="33" t="n"/>
      <c r="QL59" s="33" t="n"/>
      <c r="QM59" s="33" t="n"/>
      <c r="QN59" s="33" t="n"/>
      <c r="QO59" s="33" t="n"/>
      <c r="QP59" s="33" t="n"/>
      <c r="QQ59" s="33" t="n"/>
      <c r="QR59" s="33" t="n"/>
      <c r="QS59" s="33" t="n"/>
      <c r="QT59" s="33" t="n"/>
      <c r="QU59" s="33" t="n"/>
      <c r="QV59" s="33" t="n"/>
      <c r="QW59" s="33" t="n"/>
      <c r="QX59" s="33" t="n"/>
      <c r="QY59" s="33" t="n"/>
      <c r="QZ59" s="33" t="n"/>
      <c r="RA59" s="33" t="n"/>
      <c r="RB59" s="33" t="n"/>
      <c r="RC59" s="33" t="n"/>
      <c r="RD59" s="33" t="n"/>
      <c r="RE59" s="33" t="n"/>
      <c r="RF59" s="33" t="n"/>
      <c r="RG59" s="33" t="n"/>
      <c r="RH59" s="33" t="n"/>
      <c r="RI59" s="33" t="n"/>
      <c r="RJ59" s="33" t="n"/>
      <c r="RK59" s="33" t="n"/>
      <c r="RL59" s="33" t="n"/>
      <c r="RM59" s="33" t="n"/>
      <c r="RN59" s="33" t="n"/>
      <c r="RO59" s="33" t="n"/>
      <c r="RP59" s="33" t="n"/>
      <c r="RQ59" s="33" t="n"/>
      <c r="RR59" s="33" t="n"/>
      <c r="RS59" s="33" t="n"/>
      <c r="RT59" s="33" t="n"/>
      <c r="RU59" s="33" t="n"/>
      <c r="RV59" s="33" t="n"/>
      <c r="RW59" s="33" t="n"/>
    </row>
    <row r="60" hidden="1" outlineLevel="1" ht="13.05" customHeight="1">
      <c r="E60" s="21" t="inlineStr">
        <is>
          <t>DSRA Release</t>
        </is>
      </c>
      <c r="F60" s="29" t="n"/>
      <c r="G60" s="29" t="inlineStr">
        <is>
          <t>kEUR</t>
        </is>
      </c>
      <c r="H60" s="29" t="n"/>
      <c r="I60" s="29" t="n"/>
      <c r="J60" s="32" t="n"/>
      <c r="K60" s="29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3" t="n"/>
      <c r="AY60" s="33" t="n"/>
      <c r="AZ60" s="33" t="n"/>
      <c r="BA60" s="33" t="n"/>
      <c r="BB60" s="33" t="n"/>
      <c r="BC60" s="33" t="n"/>
      <c r="BD60" s="33" t="n"/>
      <c r="BE60" s="33" t="n"/>
      <c r="BF60" s="33" t="n"/>
      <c r="BG60" s="33" t="n"/>
      <c r="BH60" s="33" t="n"/>
      <c r="BI60" s="33" t="n"/>
      <c r="BJ60" s="33" t="n"/>
      <c r="BK60" s="33" t="n"/>
      <c r="BL60" s="33" t="n"/>
      <c r="BM60" s="33" t="n"/>
      <c r="BN60" s="33" t="n"/>
      <c r="BO60" s="33" t="n"/>
      <c r="BP60" s="33" t="n"/>
      <c r="BQ60" s="33" t="n"/>
      <c r="BR60" s="33" t="n"/>
      <c r="BS60" s="33" t="n"/>
      <c r="BT60" s="33" t="n"/>
      <c r="BU60" s="33" t="n"/>
      <c r="BV60" s="33" t="n"/>
      <c r="BW60" s="33" t="n"/>
      <c r="BX60" s="33" t="n"/>
      <c r="BY60" s="33" t="n"/>
      <c r="BZ60" s="33" t="n"/>
      <c r="CA60" s="33" t="n"/>
      <c r="CB60" s="33" t="n"/>
      <c r="CC60" s="33" t="n"/>
      <c r="CD60" s="33" t="n"/>
      <c r="CE60" s="33" t="n"/>
      <c r="CF60" s="33" t="n"/>
      <c r="CG60" s="33" t="n"/>
      <c r="CH60" s="33" t="n"/>
      <c r="CI60" s="33" t="n"/>
      <c r="CJ60" s="33" t="n"/>
      <c r="CK60" s="33" t="n"/>
      <c r="CL60" s="33" t="n"/>
      <c r="CM60" s="33" t="n"/>
      <c r="CN60" s="33" t="n"/>
      <c r="CO60" s="33" t="n"/>
      <c r="CP60" s="33" t="n"/>
      <c r="CQ60" s="33" t="n"/>
      <c r="CR60" s="33" t="n"/>
      <c r="CS60" s="33" t="n"/>
      <c r="CT60" s="33" t="n"/>
      <c r="CU60" s="33" t="n"/>
      <c r="CV60" s="33" t="n"/>
      <c r="CW60" s="33" t="n"/>
      <c r="CX60" s="33" t="n"/>
      <c r="CY60" s="33" t="n"/>
      <c r="CZ60" s="33" t="n"/>
      <c r="DA60" s="33" t="n"/>
      <c r="DB60" s="33" t="n"/>
      <c r="DC60" s="33" t="n"/>
      <c r="DD60" s="33" t="n"/>
      <c r="DE60" s="33" t="n"/>
      <c r="DF60" s="33" t="n"/>
      <c r="DG60" s="33" t="n"/>
      <c r="DH60" s="33" t="n"/>
      <c r="DI60" s="33" t="n"/>
      <c r="DJ60" s="33" t="n"/>
      <c r="DK60" s="33" t="n"/>
      <c r="DL60" s="33" t="n"/>
      <c r="DM60" s="33" t="n"/>
      <c r="DN60" s="33" t="n"/>
      <c r="DO60" s="33" t="n"/>
      <c r="DP60" s="33" t="n"/>
      <c r="DQ60" s="33" t="n"/>
      <c r="DR60" s="33" t="n"/>
      <c r="DS60" s="33" t="n"/>
      <c r="DT60" s="33" t="n"/>
      <c r="DU60" s="33" t="n"/>
      <c r="DV60" s="33" t="n"/>
      <c r="DW60" s="33" t="n"/>
      <c r="DX60" s="33" t="n"/>
      <c r="DY60" s="33" t="n"/>
      <c r="DZ60" s="33" t="n"/>
      <c r="EA60" s="33" t="n"/>
      <c r="EB60" s="33" t="n"/>
      <c r="EC60" s="33" t="n"/>
      <c r="ED60" s="33" t="n"/>
      <c r="EE60" s="33" t="n"/>
      <c r="EF60" s="33" t="n"/>
      <c r="EG60" s="33" t="n"/>
      <c r="EH60" s="33" t="n"/>
      <c r="EI60" s="33" t="n"/>
      <c r="EJ60" s="33" t="n"/>
      <c r="EK60" s="33" t="n"/>
      <c r="EL60" s="33" t="n"/>
      <c r="EM60" s="33" t="n"/>
      <c r="EN60" s="33" t="n"/>
      <c r="EO60" s="33" t="n"/>
      <c r="EP60" s="33" t="n"/>
      <c r="EQ60" s="33" t="n"/>
      <c r="ER60" s="33" t="n"/>
      <c r="ES60" s="33" t="n"/>
      <c r="ET60" s="33" t="n"/>
      <c r="EU60" s="33" t="n"/>
      <c r="EV60" s="33" t="n"/>
      <c r="EW60" s="33" t="n"/>
      <c r="EX60" s="33" t="n"/>
      <c r="EY60" s="33" t="n"/>
      <c r="EZ60" s="33" t="n"/>
      <c r="FA60" s="33" t="n"/>
      <c r="FB60" s="33" t="n"/>
      <c r="FC60" s="33" t="n"/>
      <c r="FD60" s="33" t="n"/>
      <c r="FE60" s="33" t="n"/>
      <c r="FF60" s="33" t="n"/>
      <c r="FG60" s="33" t="n"/>
      <c r="FH60" s="33" t="n"/>
      <c r="FI60" s="33" t="n"/>
      <c r="FJ60" s="33" t="n"/>
      <c r="FK60" s="33" t="n"/>
      <c r="FL60" s="33" t="n"/>
      <c r="FM60" s="33" t="n"/>
      <c r="FN60" s="33" t="n"/>
      <c r="FO60" s="33" t="n"/>
      <c r="FP60" s="33" t="n"/>
      <c r="FQ60" s="33" t="n"/>
      <c r="FR60" s="33" t="n"/>
      <c r="FS60" s="33" t="n"/>
      <c r="FT60" s="33" t="n"/>
      <c r="FU60" s="33" t="n"/>
      <c r="FV60" s="33" t="n"/>
      <c r="FW60" s="33" t="n"/>
      <c r="FX60" s="33" t="n"/>
      <c r="FY60" s="33" t="n"/>
      <c r="FZ60" s="33" t="n"/>
      <c r="GA60" s="33" t="n"/>
      <c r="GB60" s="33" t="n"/>
      <c r="GC60" s="33" t="n"/>
      <c r="GD60" s="33" t="n"/>
      <c r="GE60" s="33" t="n"/>
      <c r="GF60" s="33" t="n"/>
      <c r="GG60" s="33" t="n"/>
      <c r="GH60" s="33" t="n"/>
      <c r="GI60" s="33" t="n"/>
      <c r="GJ60" s="33" t="n"/>
      <c r="GK60" s="33" t="n"/>
      <c r="GL60" s="33" t="n"/>
      <c r="GM60" s="33" t="n"/>
      <c r="GN60" s="33" t="n"/>
      <c r="GO60" s="33" t="n"/>
      <c r="GP60" s="33" t="n"/>
      <c r="GQ60" s="33" t="n"/>
      <c r="GR60" s="33" t="n"/>
      <c r="GS60" s="33" t="n"/>
      <c r="GT60" s="33" t="n"/>
      <c r="GU60" s="33" t="n"/>
      <c r="GV60" s="33" t="n"/>
      <c r="GW60" s="33" t="n"/>
      <c r="GX60" s="33" t="n"/>
      <c r="GY60" s="33" t="n"/>
      <c r="GZ60" s="33" t="n"/>
      <c r="HA60" s="33" t="n"/>
      <c r="HB60" s="33" t="n"/>
      <c r="HC60" s="33" t="n"/>
      <c r="HD60" s="33" t="n"/>
      <c r="HE60" s="33" t="n"/>
      <c r="HF60" s="33" t="n"/>
      <c r="HG60" s="33" t="n"/>
      <c r="HH60" s="33" t="n"/>
      <c r="HI60" s="33" t="n"/>
      <c r="HJ60" s="33" t="n"/>
      <c r="HK60" s="33" t="n"/>
      <c r="HL60" s="33" t="n"/>
      <c r="HM60" s="33" t="n"/>
      <c r="HN60" s="33" t="n"/>
      <c r="HO60" s="33" t="n"/>
      <c r="HP60" s="33" t="n"/>
      <c r="HQ60" s="33" t="n"/>
      <c r="HR60" s="33" t="n"/>
      <c r="HS60" s="33" t="n"/>
      <c r="HT60" s="33" t="n"/>
      <c r="HU60" s="33" t="n"/>
      <c r="HV60" s="33" t="n"/>
      <c r="HW60" s="33" t="n"/>
      <c r="HX60" s="33" t="n"/>
      <c r="HY60" s="33" t="n"/>
      <c r="HZ60" s="33" t="n"/>
      <c r="IA60" s="33" t="n"/>
      <c r="IB60" s="33" t="n"/>
      <c r="IC60" s="33" t="n"/>
      <c r="ID60" s="33" t="n"/>
      <c r="IE60" s="33" t="n"/>
      <c r="IF60" s="33" t="n"/>
      <c r="IG60" s="33" t="n"/>
      <c r="IH60" s="33" t="n"/>
      <c r="II60" s="33" t="n"/>
      <c r="IJ60" s="33" t="n"/>
      <c r="IK60" s="33" t="n"/>
      <c r="IL60" s="33" t="n"/>
      <c r="IM60" s="33" t="n"/>
      <c r="IN60" s="33" t="n"/>
      <c r="IO60" s="33" t="n"/>
      <c r="IP60" s="33" t="n"/>
      <c r="IQ60" s="33" t="n"/>
      <c r="IR60" s="33" t="n"/>
      <c r="IS60" s="33" t="n"/>
      <c r="IT60" s="33" t="n"/>
      <c r="IU60" s="33" t="n"/>
      <c r="IV60" s="33" t="n"/>
      <c r="IW60" s="33" t="n"/>
      <c r="IX60" s="33" t="n"/>
      <c r="IY60" s="33" t="n"/>
      <c r="IZ60" s="33" t="n"/>
      <c r="JA60" s="33" t="n"/>
      <c r="JB60" s="33" t="n"/>
      <c r="JC60" s="33" t="n"/>
      <c r="JD60" s="33" t="n"/>
      <c r="JE60" s="33" t="n"/>
      <c r="JF60" s="33" t="n"/>
      <c r="JG60" s="33" t="n"/>
      <c r="JH60" s="33" t="n"/>
      <c r="JI60" s="33" t="n"/>
      <c r="JJ60" s="33" t="n"/>
      <c r="JK60" s="33" t="n"/>
      <c r="JL60" s="33" t="n"/>
      <c r="JM60" s="33" t="n"/>
      <c r="JN60" s="33" t="n"/>
      <c r="JO60" s="33" t="n"/>
      <c r="JP60" s="33" t="n"/>
      <c r="JQ60" s="33" t="n"/>
      <c r="JR60" s="33" t="n"/>
      <c r="JS60" s="33" t="n"/>
      <c r="JT60" s="33" t="n"/>
      <c r="JU60" s="33" t="n"/>
      <c r="JV60" s="33" t="n"/>
      <c r="JW60" s="33" t="n"/>
      <c r="JX60" s="33" t="n"/>
      <c r="JY60" s="33" t="n"/>
      <c r="JZ60" s="33" t="n"/>
      <c r="KA60" s="33" t="n"/>
      <c r="KB60" s="33" t="n"/>
      <c r="KC60" s="33" t="n"/>
      <c r="KD60" s="33" t="n"/>
      <c r="KE60" s="33" t="n"/>
      <c r="KF60" s="33" t="n"/>
      <c r="KG60" s="33" t="n"/>
      <c r="KH60" s="33" t="n"/>
      <c r="KI60" s="33" t="n"/>
      <c r="KJ60" s="33" t="n"/>
      <c r="KK60" s="33" t="n"/>
      <c r="KL60" s="33" t="n"/>
      <c r="KM60" s="33" t="n"/>
      <c r="KN60" s="33" t="n"/>
      <c r="KO60" s="33" t="n"/>
      <c r="KP60" s="33" t="n"/>
      <c r="KQ60" s="33" t="n"/>
      <c r="KR60" s="33" t="n"/>
      <c r="KS60" s="33" t="n"/>
      <c r="KT60" s="33" t="n"/>
      <c r="KU60" s="33" t="n"/>
      <c r="KV60" s="33" t="n"/>
      <c r="KW60" s="33" t="n"/>
      <c r="KX60" s="33" t="n"/>
      <c r="KY60" s="33" t="n"/>
      <c r="KZ60" s="33" t="n"/>
      <c r="LA60" s="33" t="n"/>
      <c r="LB60" s="33" t="n"/>
      <c r="LC60" s="33" t="n"/>
      <c r="LD60" s="33" t="n"/>
      <c r="LE60" s="33" t="n"/>
      <c r="LF60" s="33" t="n"/>
      <c r="LG60" s="33" t="n"/>
      <c r="LH60" s="33" t="n"/>
      <c r="LI60" s="33" t="n"/>
      <c r="LJ60" s="33" t="n"/>
      <c r="LK60" s="33" t="n"/>
      <c r="LL60" s="33" t="n"/>
      <c r="LM60" s="33" t="n"/>
      <c r="LN60" s="33" t="n"/>
      <c r="LO60" s="33" t="n"/>
      <c r="LP60" s="33" t="n"/>
      <c r="LQ60" s="33" t="n"/>
      <c r="LR60" s="33" t="n"/>
      <c r="LS60" s="33" t="n"/>
      <c r="LT60" s="33" t="n"/>
      <c r="LU60" s="33" t="n"/>
      <c r="LV60" s="33" t="n"/>
      <c r="LW60" s="33" t="n"/>
      <c r="LX60" s="33" t="n"/>
      <c r="LY60" s="33" t="n"/>
      <c r="LZ60" s="33" t="n"/>
      <c r="MA60" s="33" t="n"/>
      <c r="MB60" s="33" t="n"/>
      <c r="MC60" s="33" t="n"/>
      <c r="MD60" s="33" t="n"/>
      <c r="ME60" s="33" t="n"/>
      <c r="MF60" s="33" t="n"/>
      <c r="MG60" s="33" t="n"/>
      <c r="MH60" s="33" t="n"/>
      <c r="MI60" s="33" t="n"/>
      <c r="MJ60" s="33" t="n"/>
      <c r="MK60" s="33" t="n"/>
      <c r="ML60" s="33" t="n"/>
      <c r="MM60" s="33" t="n"/>
      <c r="MN60" s="33" t="n"/>
      <c r="MO60" s="33" t="n"/>
      <c r="MP60" s="33" t="n"/>
      <c r="MQ60" s="33" t="n"/>
      <c r="MR60" s="33" t="n"/>
      <c r="MS60" s="33" t="n"/>
      <c r="MT60" s="33" t="n"/>
      <c r="MU60" s="33" t="n"/>
      <c r="MV60" s="33" t="n"/>
      <c r="MW60" s="33" t="n"/>
      <c r="MX60" s="33" t="n"/>
      <c r="MY60" s="33" t="n"/>
      <c r="MZ60" s="33" t="n"/>
      <c r="NA60" s="33" t="n"/>
      <c r="NB60" s="33" t="n"/>
      <c r="NC60" s="33" t="n"/>
      <c r="ND60" s="33" t="n"/>
      <c r="NE60" s="33" t="n"/>
      <c r="NF60" s="33" t="n"/>
      <c r="NG60" s="33" t="n"/>
      <c r="NH60" s="33" t="n"/>
      <c r="NI60" s="33" t="n"/>
      <c r="NJ60" s="33" t="n"/>
      <c r="NK60" s="33" t="n"/>
      <c r="NL60" s="33" t="n"/>
      <c r="NM60" s="33" t="n"/>
      <c r="NN60" s="33" t="n"/>
      <c r="NO60" s="33" t="n"/>
      <c r="NP60" s="33" t="n"/>
      <c r="NQ60" s="33" t="n"/>
      <c r="NR60" s="33" t="n"/>
      <c r="NS60" s="33" t="n"/>
      <c r="NT60" s="33" t="n"/>
      <c r="NU60" s="33" t="n"/>
      <c r="NV60" s="33" t="n"/>
      <c r="NW60" s="33" t="n"/>
      <c r="NX60" s="33" t="n"/>
      <c r="NY60" s="33" t="n"/>
      <c r="NZ60" s="33" t="n"/>
      <c r="OA60" s="33" t="n"/>
      <c r="OB60" s="33" t="n"/>
      <c r="OC60" s="33" t="n"/>
      <c r="OD60" s="33" t="n"/>
      <c r="OE60" s="33" t="n"/>
      <c r="OF60" s="33" t="n"/>
      <c r="OG60" s="33" t="n"/>
      <c r="OH60" s="33" t="n"/>
      <c r="OI60" s="33" t="n"/>
      <c r="OJ60" s="33" t="n"/>
      <c r="OK60" s="33" t="n"/>
      <c r="OL60" s="33" t="n"/>
      <c r="OM60" s="33" t="n"/>
      <c r="ON60" s="33" t="n"/>
      <c r="OO60" s="33" t="n"/>
      <c r="OP60" s="33" t="n"/>
      <c r="OQ60" s="33" t="n"/>
      <c r="OR60" s="33" t="n"/>
      <c r="OS60" s="33" t="n"/>
      <c r="OT60" s="33" t="n"/>
      <c r="OU60" s="33" t="n"/>
      <c r="OV60" s="33" t="n"/>
      <c r="OW60" s="33" t="n"/>
      <c r="OX60" s="33" t="n"/>
      <c r="OY60" s="33" t="n"/>
      <c r="OZ60" s="33" t="n"/>
      <c r="PA60" s="33" t="n"/>
      <c r="PB60" s="33" t="n"/>
      <c r="PC60" s="33" t="n"/>
      <c r="PD60" s="33" t="n"/>
      <c r="PE60" s="33" t="n"/>
      <c r="PF60" s="33" t="n"/>
      <c r="PG60" s="33" t="n"/>
      <c r="PH60" s="33" t="n"/>
      <c r="PI60" s="33" t="n"/>
      <c r="PJ60" s="33" t="n"/>
      <c r="PK60" s="33" t="n"/>
      <c r="PL60" s="33" t="n"/>
      <c r="PM60" s="33" t="n"/>
      <c r="PN60" s="33" t="n"/>
      <c r="PO60" s="33" t="n"/>
      <c r="PP60" s="33" t="n"/>
      <c r="PQ60" s="33" t="n"/>
      <c r="PR60" s="33" t="n"/>
      <c r="PS60" s="33" t="n"/>
      <c r="PT60" s="33" t="n"/>
      <c r="PU60" s="33" t="n"/>
      <c r="PV60" s="33" t="n"/>
      <c r="PW60" s="33" t="n"/>
      <c r="PX60" s="33" t="n"/>
      <c r="PY60" s="33" t="n"/>
      <c r="PZ60" s="33" t="n"/>
      <c r="QA60" s="33" t="n"/>
      <c r="QB60" s="33" t="n"/>
      <c r="QC60" s="33" t="n"/>
      <c r="QD60" s="33" t="n"/>
      <c r="QE60" s="33" t="n"/>
      <c r="QF60" s="33" t="n"/>
      <c r="QG60" s="33" t="n"/>
      <c r="QH60" s="33" t="n"/>
      <c r="QI60" s="33" t="n"/>
      <c r="QJ60" s="33" t="n"/>
      <c r="QK60" s="33" t="n"/>
      <c r="QL60" s="33" t="n"/>
      <c r="QM60" s="33" t="n"/>
      <c r="QN60" s="33" t="n"/>
      <c r="QO60" s="33" t="n"/>
      <c r="QP60" s="33" t="n"/>
      <c r="QQ60" s="33" t="n"/>
      <c r="QR60" s="33" t="n"/>
      <c r="QS60" s="33" t="n"/>
      <c r="QT60" s="33" t="n"/>
      <c r="QU60" s="33" t="n"/>
      <c r="QV60" s="33" t="n"/>
      <c r="QW60" s="33" t="n"/>
      <c r="QX60" s="33" t="n"/>
      <c r="QY60" s="33" t="n"/>
      <c r="QZ60" s="33" t="n"/>
      <c r="RA60" s="33" t="n"/>
      <c r="RB60" s="33" t="n"/>
      <c r="RC60" s="33" t="n"/>
      <c r="RD60" s="33" t="n"/>
      <c r="RE60" s="33" t="n"/>
      <c r="RF60" s="33" t="n"/>
      <c r="RG60" s="33" t="n"/>
      <c r="RH60" s="33" t="n"/>
      <c r="RI60" s="33" t="n"/>
      <c r="RJ60" s="33" t="n"/>
      <c r="RK60" s="33" t="n"/>
      <c r="RL60" s="33" t="n"/>
      <c r="RM60" s="33" t="n"/>
      <c r="RN60" s="33" t="n"/>
      <c r="RO60" s="33" t="n"/>
      <c r="RP60" s="33" t="n"/>
      <c r="RQ60" s="33" t="n"/>
      <c r="RR60" s="33" t="n"/>
      <c r="RS60" s="33" t="n"/>
      <c r="RT60" s="33" t="n"/>
      <c r="RU60" s="33" t="n"/>
      <c r="RV60" s="33" t="n"/>
      <c r="RW60" s="33" t="n"/>
    </row>
    <row r="61" hidden="1" outlineLevel="1" ht="13.05" customHeight="1">
      <c r="E61" s="21" t="inlineStr">
        <is>
          <t>DSRF Commitment Fee</t>
        </is>
      </c>
      <c r="F61" s="29" t="n"/>
      <c r="G61" s="29" t="inlineStr">
        <is>
          <t>kEUR</t>
        </is>
      </c>
      <c r="H61" s="29" t="n"/>
      <c r="I61" s="29" t="n"/>
      <c r="J61" s="32" t="n"/>
      <c r="K61" s="29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3" t="n"/>
      <c r="AY61" s="33" t="n"/>
      <c r="AZ61" s="33" t="n"/>
      <c r="BA61" s="33" t="n"/>
      <c r="BB61" s="33" t="n"/>
      <c r="BC61" s="33" t="n"/>
      <c r="BD61" s="33" t="n"/>
      <c r="BE61" s="33" t="n"/>
      <c r="BF61" s="33" t="n"/>
      <c r="BG61" s="33" t="n"/>
      <c r="BH61" s="33" t="n"/>
      <c r="BI61" s="33" t="n"/>
      <c r="BJ61" s="33" t="n"/>
      <c r="BK61" s="33" t="n"/>
      <c r="BL61" s="33" t="n"/>
      <c r="BM61" s="33" t="n"/>
      <c r="BN61" s="33" t="n"/>
      <c r="BO61" s="33" t="n"/>
      <c r="BP61" s="33" t="n"/>
      <c r="BQ61" s="33" t="n"/>
      <c r="BR61" s="33" t="n"/>
      <c r="BS61" s="33" t="n"/>
      <c r="BT61" s="33" t="n"/>
      <c r="BU61" s="33" t="n"/>
      <c r="BV61" s="33" t="n"/>
      <c r="BW61" s="33" t="n"/>
      <c r="BX61" s="33" t="n"/>
      <c r="BY61" s="33" t="n"/>
      <c r="BZ61" s="33" t="n"/>
      <c r="CA61" s="33" t="n"/>
      <c r="CB61" s="33" t="n"/>
      <c r="CC61" s="33" t="n"/>
      <c r="CD61" s="33" t="n"/>
      <c r="CE61" s="33" t="n"/>
      <c r="CF61" s="33" t="n"/>
      <c r="CG61" s="33" t="n"/>
      <c r="CH61" s="33" t="n"/>
      <c r="CI61" s="33" t="n"/>
      <c r="CJ61" s="33" t="n"/>
      <c r="CK61" s="33" t="n"/>
      <c r="CL61" s="33" t="n"/>
      <c r="CM61" s="33" t="n"/>
      <c r="CN61" s="33" t="n"/>
      <c r="CO61" s="33" t="n"/>
      <c r="CP61" s="33" t="n"/>
      <c r="CQ61" s="33" t="n"/>
      <c r="CR61" s="33" t="n"/>
      <c r="CS61" s="33" t="n"/>
      <c r="CT61" s="33" t="n"/>
      <c r="CU61" s="33" t="n"/>
      <c r="CV61" s="33" t="n"/>
      <c r="CW61" s="33" t="n"/>
      <c r="CX61" s="33" t="n"/>
      <c r="CY61" s="33" t="n"/>
      <c r="CZ61" s="33" t="n"/>
      <c r="DA61" s="33" t="n"/>
      <c r="DB61" s="33" t="n"/>
      <c r="DC61" s="33" t="n"/>
      <c r="DD61" s="33" t="n"/>
      <c r="DE61" s="33" t="n"/>
      <c r="DF61" s="33" t="n"/>
      <c r="DG61" s="33" t="n"/>
      <c r="DH61" s="33" t="n"/>
      <c r="DI61" s="33" t="n"/>
      <c r="DJ61" s="33" t="n"/>
      <c r="DK61" s="33" t="n"/>
      <c r="DL61" s="33" t="n"/>
      <c r="DM61" s="33" t="n"/>
      <c r="DN61" s="33" t="n"/>
      <c r="DO61" s="33" t="n"/>
      <c r="DP61" s="33" t="n"/>
      <c r="DQ61" s="33" t="n"/>
      <c r="DR61" s="33" t="n"/>
      <c r="DS61" s="33" t="n"/>
      <c r="DT61" s="33" t="n"/>
      <c r="DU61" s="33" t="n"/>
      <c r="DV61" s="33" t="n"/>
      <c r="DW61" s="33" t="n"/>
      <c r="DX61" s="33" t="n"/>
      <c r="DY61" s="33" t="n"/>
      <c r="DZ61" s="33" t="n"/>
      <c r="EA61" s="33" t="n"/>
      <c r="EB61" s="33" t="n"/>
      <c r="EC61" s="33" t="n"/>
      <c r="ED61" s="33" t="n"/>
      <c r="EE61" s="33" t="n"/>
      <c r="EF61" s="33" t="n"/>
      <c r="EG61" s="33" t="n"/>
      <c r="EH61" s="33" t="n"/>
      <c r="EI61" s="33" t="n"/>
      <c r="EJ61" s="33" t="n"/>
      <c r="EK61" s="33" t="n"/>
      <c r="EL61" s="33" t="n"/>
      <c r="EM61" s="33" t="n"/>
      <c r="EN61" s="33" t="n"/>
      <c r="EO61" s="33" t="n"/>
      <c r="EP61" s="33" t="n"/>
      <c r="EQ61" s="33" t="n"/>
      <c r="ER61" s="33" t="n"/>
      <c r="ES61" s="33" t="n"/>
      <c r="ET61" s="33" t="n"/>
      <c r="EU61" s="33" t="n"/>
      <c r="EV61" s="33" t="n"/>
      <c r="EW61" s="33" t="n"/>
      <c r="EX61" s="33" t="n"/>
      <c r="EY61" s="33" t="n"/>
      <c r="EZ61" s="33" t="n"/>
      <c r="FA61" s="33" t="n"/>
      <c r="FB61" s="33" t="n"/>
      <c r="FC61" s="33" t="n"/>
      <c r="FD61" s="33" t="n"/>
      <c r="FE61" s="33" t="n"/>
      <c r="FF61" s="33" t="n"/>
      <c r="FG61" s="33" t="n"/>
      <c r="FH61" s="33" t="n"/>
      <c r="FI61" s="33" t="n"/>
      <c r="FJ61" s="33" t="n"/>
      <c r="FK61" s="33" t="n"/>
      <c r="FL61" s="33" t="n"/>
      <c r="FM61" s="33" t="n"/>
      <c r="FN61" s="33" t="n"/>
      <c r="FO61" s="33" t="n"/>
      <c r="FP61" s="33" t="n"/>
      <c r="FQ61" s="33" t="n"/>
      <c r="FR61" s="33" t="n"/>
      <c r="FS61" s="33" t="n"/>
      <c r="FT61" s="33" t="n"/>
      <c r="FU61" s="33" t="n"/>
      <c r="FV61" s="33" t="n"/>
      <c r="FW61" s="33" t="n"/>
      <c r="FX61" s="33" t="n"/>
      <c r="FY61" s="33" t="n"/>
      <c r="FZ61" s="33" t="n"/>
      <c r="GA61" s="33" t="n"/>
      <c r="GB61" s="33" t="n"/>
      <c r="GC61" s="33" t="n"/>
      <c r="GD61" s="33" t="n"/>
      <c r="GE61" s="33" t="n"/>
      <c r="GF61" s="33" t="n"/>
      <c r="GG61" s="33" t="n"/>
      <c r="GH61" s="33" t="n"/>
      <c r="GI61" s="33" t="n"/>
      <c r="GJ61" s="33" t="n"/>
      <c r="GK61" s="33" t="n"/>
      <c r="GL61" s="33" t="n"/>
      <c r="GM61" s="33" t="n"/>
      <c r="GN61" s="33" t="n"/>
      <c r="GO61" s="33" t="n"/>
      <c r="GP61" s="33" t="n"/>
      <c r="GQ61" s="33" t="n"/>
      <c r="GR61" s="33" t="n"/>
      <c r="GS61" s="33" t="n"/>
      <c r="GT61" s="33" t="n"/>
      <c r="GU61" s="33" t="n"/>
      <c r="GV61" s="33" t="n"/>
      <c r="GW61" s="33" t="n"/>
      <c r="GX61" s="33" t="n"/>
      <c r="GY61" s="33" t="n"/>
      <c r="GZ61" s="33" t="n"/>
      <c r="HA61" s="33" t="n"/>
      <c r="HB61" s="33" t="n"/>
      <c r="HC61" s="33" t="n"/>
      <c r="HD61" s="33" t="n"/>
      <c r="HE61" s="33" t="n"/>
      <c r="HF61" s="33" t="n"/>
      <c r="HG61" s="33" t="n"/>
      <c r="HH61" s="33" t="n"/>
      <c r="HI61" s="33" t="n"/>
      <c r="HJ61" s="33" t="n"/>
      <c r="HK61" s="33" t="n"/>
      <c r="HL61" s="33" t="n"/>
      <c r="HM61" s="33" t="n"/>
      <c r="HN61" s="33" t="n"/>
      <c r="HO61" s="33" t="n"/>
      <c r="HP61" s="33" t="n"/>
      <c r="HQ61" s="33" t="n"/>
      <c r="HR61" s="33" t="n"/>
      <c r="HS61" s="33" t="n"/>
      <c r="HT61" s="33" t="n"/>
      <c r="HU61" s="33" t="n"/>
      <c r="HV61" s="33" t="n"/>
      <c r="HW61" s="33" t="n"/>
      <c r="HX61" s="33" t="n"/>
      <c r="HY61" s="33" t="n"/>
      <c r="HZ61" s="33" t="n"/>
      <c r="IA61" s="33" t="n"/>
      <c r="IB61" s="33" t="n"/>
      <c r="IC61" s="33" t="n"/>
      <c r="ID61" s="33" t="n"/>
      <c r="IE61" s="33" t="n"/>
      <c r="IF61" s="33" t="n"/>
      <c r="IG61" s="33" t="n"/>
      <c r="IH61" s="33" t="n"/>
      <c r="II61" s="33" t="n"/>
      <c r="IJ61" s="33" t="n"/>
      <c r="IK61" s="33" t="n"/>
      <c r="IL61" s="33" t="n"/>
      <c r="IM61" s="33" t="n"/>
      <c r="IN61" s="33" t="n"/>
      <c r="IO61" s="33" t="n"/>
      <c r="IP61" s="33" t="n"/>
      <c r="IQ61" s="33" t="n"/>
      <c r="IR61" s="33" t="n"/>
      <c r="IS61" s="33" t="n"/>
      <c r="IT61" s="33" t="n"/>
      <c r="IU61" s="33" t="n"/>
      <c r="IV61" s="33" t="n"/>
      <c r="IW61" s="33" t="n"/>
      <c r="IX61" s="33" t="n"/>
      <c r="IY61" s="33" t="n"/>
      <c r="IZ61" s="33" t="n"/>
      <c r="JA61" s="33" t="n"/>
      <c r="JB61" s="33" t="n"/>
      <c r="JC61" s="33" t="n"/>
      <c r="JD61" s="33" t="n"/>
      <c r="JE61" s="33" t="n"/>
      <c r="JF61" s="33" t="n"/>
      <c r="JG61" s="33" t="n"/>
      <c r="JH61" s="33" t="n"/>
      <c r="JI61" s="33" t="n"/>
      <c r="JJ61" s="33" t="n"/>
      <c r="JK61" s="33" t="n"/>
      <c r="JL61" s="33" t="n"/>
      <c r="JM61" s="33" t="n"/>
      <c r="JN61" s="33" t="n"/>
      <c r="JO61" s="33" t="n"/>
      <c r="JP61" s="33" t="n"/>
      <c r="JQ61" s="33" t="n"/>
      <c r="JR61" s="33" t="n"/>
      <c r="JS61" s="33" t="n"/>
      <c r="JT61" s="33" t="n"/>
      <c r="JU61" s="33" t="n"/>
      <c r="JV61" s="33" t="n"/>
      <c r="JW61" s="33" t="n"/>
      <c r="JX61" s="33" t="n"/>
      <c r="JY61" s="33" t="n"/>
      <c r="JZ61" s="33" t="n"/>
      <c r="KA61" s="33" t="n"/>
      <c r="KB61" s="33" t="n"/>
      <c r="KC61" s="33" t="n"/>
      <c r="KD61" s="33" t="n"/>
      <c r="KE61" s="33" t="n"/>
      <c r="KF61" s="33" t="n"/>
      <c r="KG61" s="33" t="n"/>
      <c r="KH61" s="33" t="n"/>
      <c r="KI61" s="33" t="n"/>
      <c r="KJ61" s="33" t="n"/>
      <c r="KK61" s="33" t="n"/>
      <c r="KL61" s="33" t="n"/>
      <c r="KM61" s="33" t="n"/>
      <c r="KN61" s="33" t="n"/>
      <c r="KO61" s="33" t="n"/>
      <c r="KP61" s="33" t="n"/>
      <c r="KQ61" s="33" t="n"/>
      <c r="KR61" s="33" t="n"/>
      <c r="KS61" s="33" t="n"/>
      <c r="KT61" s="33" t="n"/>
      <c r="KU61" s="33" t="n"/>
      <c r="KV61" s="33" t="n"/>
      <c r="KW61" s="33" t="n"/>
      <c r="KX61" s="33" t="n"/>
      <c r="KY61" s="33" t="n"/>
      <c r="KZ61" s="33" t="n"/>
      <c r="LA61" s="33" t="n"/>
      <c r="LB61" s="33" t="n"/>
      <c r="LC61" s="33" t="n"/>
      <c r="LD61" s="33" t="n"/>
      <c r="LE61" s="33" t="n"/>
      <c r="LF61" s="33" t="n"/>
      <c r="LG61" s="33" t="n"/>
      <c r="LH61" s="33" t="n"/>
      <c r="LI61" s="33" t="n"/>
      <c r="LJ61" s="33" t="n"/>
      <c r="LK61" s="33" t="n"/>
      <c r="LL61" s="33" t="n"/>
      <c r="LM61" s="33" t="n"/>
      <c r="LN61" s="33" t="n"/>
      <c r="LO61" s="33" t="n"/>
      <c r="LP61" s="33" t="n"/>
      <c r="LQ61" s="33" t="n"/>
      <c r="LR61" s="33" t="n"/>
      <c r="LS61" s="33" t="n"/>
      <c r="LT61" s="33" t="n"/>
      <c r="LU61" s="33" t="n"/>
      <c r="LV61" s="33" t="n"/>
      <c r="LW61" s="33" t="n"/>
      <c r="LX61" s="33" t="n"/>
      <c r="LY61" s="33" t="n"/>
      <c r="LZ61" s="33" t="n"/>
      <c r="MA61" s="33" t="n"/>
      <c r="MB61" s="33" t="n"/>
      <c r="MC61" s="33" t="n"/>
      <c r="MD61" s="33" t="n"/>
      <c r="ME61" s="33" t="n"/>
      <c r="MF61" s="33" t="n"/>
      <c r="MG61" s="33" t="n"/>
      <c r="MH61" s="33" t="n"/>
      <c r="MI61" s="33" t="n"/>
      <c r="MJ61" s="33" t="n"/>
      <c r="MK61" s="33" t="n"/>
      <c r="ML61" s="33" t="n"/>
      <c r="MM61" s="33" t="n"/>
      <c r="MN61" s="33" t="n"/>
      <c r="MO61" s="33" t="n"/>
      <c r="MP61" s="33" t="n"/>
      <c r="MQ61" s="33" t="n"/>
      <c r="MR61" s="33" t="n"/>
      <c r="MS61" s="33" t="n"/>
      <c r="MT61" s="33" t="n"/>
      <c r="MU61" s="33" t="n"/>
      <c r="MV61" s="33" t="n"/>
      <c r="MW61" s="33" t="n"/>
      <c r="MX61" s="33" t="n"/>
      <c r="MY61" s="33" t="n"/>
      <c r="MZ61" s="33" t="n"/>
      <c r="NA61" s="33" t="n"/>
      <c r="NB61" s="33" t="n"/>
      <c r="NC61" s="33" t="n"/>
      <c r="ND61" s="33" t="n"/>
      <c r="NE61" s="33" t="n"/>
      <c r="NF61" s="33" t="n"/>
      <c r="NG61" s="33" t="n"/>
      <c r="NH61" s="33" t="n"/>
      <c r="NI61" s="33" t="n"/>
      <c r="NJ61" s="33" t="n"/>
      <c r="NK61" s="33" t="n"/>
      <c r="NL61" s="33" t="n"/>
      <c r="NM61" s="33" t="n"/>
      <c r="NN61" s="33" t="n"/>
      <c r="NO61" s="33" t="n"/>
      <c r="NP61" s="33" t="n"/>
      <c r="NQ61" s="33" t="n"/>
      <c r="NR61" s="33" t="n"/>
      <c r="NS61" s="33" t="n"/>
      <c r="NT61" s="33" t="n"/>
      <c r="NU61" s="33" t="n"/>
      <c r="NV61" s="33" t="n"/>
      <c r="NW61" s="33" t="n"/>
      <c r="NX61" s="33" t="n"/>
      <c r="NY61" s="33" t="n"/>
      <c r="NZ61" s="33" t="n"/>
      <c r="OA61" s="33" t="n"/>
      <c r="OB61" s="33" t="n"/>
      <c r="OC61" s="33" t="n"/>
      <c r="OD61" s="33" t="n"/>
      <c r="OE61" s="33" t="n"/>
      <c r="OF61" s="33" t="n"/>
      <c r="OG61" s="33" t="n"/>
      <c r="OH61" s="33" t="n"/>
      <c r="OI61" s="33" t="n"/>
      <c r="OJ61" s="33" t="n"/>
      <c r="OK61" s="33" t="n"/>
      <c r="OL61" s="33" t="n"/>
      <c r="OM61" s="33" t="n"/>
      <c r="ON61" s="33" t="n"/>
      <c r="OO61" s="33" t="n"/>
      <c r="OP61" s="33" t="n"/>
      <c r="OQ61" s="33" t="n"/>
      <c r="OR61" s="33" t="n"/>
      <c r="OS61" s="33" t="n"/>
      <c r="OT61" s="33" t="n"/>
      <c r="OU61" s="33" t="n"/>
      <c r="OV61" s="33" t="n"/>
      <c r="OW61" s="33" t="n"/>
      <c r="OX61" s="33" t="n"/>
      <c r="OY61" s="33" t="n"/>
      <c r="OZ61" s="33" t="n"/>
      <c r="PA61" s="33" t="n"/>
      <c r="PB61" s="33" t="n"/>
      <c r="PC61" s="33" t="n"/>
      <c r="PD61" s="33" t="n"/>
      <c r="PE61" s="33" t="n"/>
      <c r="PF61" s="33" t="n"/>
      <c r="PG61" s="33" t="n"/>
      <c r="PH61" s="33" t="n"/>
      <c r="PI61" s="33" t="n"/>
      <c r="PJ61" s="33" t="n"/>
      <c r="PK61" s="33" t="n"/>
      <c r="PL61" s="33" t="n"/>
      <c r="PM61" s="33" t="n"/>
      <c r="PN61" s="33" t="n"/>
      <c r="PO61" s="33" t="n"/>
      <c r="PP61" s="33" t="n"/>
      <c r="PQ61" s="33" t="n"/>
      <c r="PR61" s="33" t="n"/>
      <c r="PS61" s="33" t="n"/>
      <c r="PT61" s="33" t="n"/>
      <c r="PU61" s="33" t="n"/>
      <c r="PV61" s="33" t="n"/>
      <c r="PW61" s="33" t="n"/>
      <c r="PX61" s="33" t="n"/>
      <c r="PY61" s="33" t="n"/>
      <c r="PZ61" s="33" t="n"/>
      <c r="QA61" s="33" t="n"/>
      <c r="QB61" s="33" t="n"/>
      <c r="QC61" s="33" t="n"/>
      <c r="QD61" s="33" t="n"/>
      <c r="QE61" s="33" t="n"/>
      <c r="QF61" s="33" t="n"/>
      <c r="QG61" s="33" t="n"/>
      <c r="QH61" s="33" t="n"/>
      <c r="QI61" s="33" t="n"/>
      <c r="QJ61" s="33" t="n"/>
      <c r="QK61" s="33" t="n"/>
      <c r="QL61" s="33" t="n"/>
      <c r="QM61" s="33" t="n"/>
      <c r="QN61" s="33" t="n"/>
      <c r="QO61" s="33" t="n"/>
      <c r="QP61" s="33" t="n"/>
      <c r="QQ61" s="33" t="n"/>
      <c r="QR61" s="33" t="n"/>
      <c r="QS61" s="33" t="n"/>
      <c r="QT61" s="33" t="n"/>
      <c r="QU61" s="33" t="n"/>
      <c r="QV61" s="33" t="n"/>
      <c r="QW61" s="33" t="n"/>
      <c r="QX61" s="33" t="n"/>
      <c r="QY61" s="33" t="n"/>
      <c r="QZ61" s="33" t="n"/>
      <c r="RA61" s="33" t="n"/>
      <c r="RB61" s="33" t="n"/>
      <c r="RC61" s="33" t="n"/>
      <c r="RD61" s="33" t="n"/>
      <c r="RE61" s="33" t="n"/>
      <c r="RF61" s="33" t="n"/>
      <c r="RG61" s="33" t="n"/>
      <c r="RH61" s="33" t="n"/>
      <c r="RI61" s="33" t="n"/>
      <c r="RJ61" s="33" t="n"/>
      <c r="RK61" s="33" t="n"/>
      <c r="RL61" s="33" t="n"/>
      <c r="RM61" s="33" t="n"/>
      <c r="RN61" s="33" t="n"/>
      <c r="RO61" s="33" t="n"/>
      <c r="RP61" s="33" t="n"/>
      <c r="RQ61" s="33" t="n"/>
      <c r="RR61" s="33" t="n"/>
      <c r="RS61" s="33" t="n"/>
      <c r="RT61" s="33" t="n"/>
      <c r="RU61" s="33" t="n"/>
      <c r="RV61" s="33" t="n"/>
      <c r="RW61" s="33" t="n"/>
    </row>
    <row r="62" ht="13.05" customHeight="1">
      <c r="E62" s="21" t="inlineStr">
        <is>
          <t>DSRA Net Cash Impact</t>
        </is>
      </c>
      <c r="F62" s="29" t="n"/>
      <c r="G62" s="29" t="inlineStr">
        <is>
          <t>kEUR</t>
        </is>
      </c>
      <c r="H62" s="29" t="n"/>
      <c r="I62" s="29" t="n"/>
      <c r="J62" s="32" t="n"/>
      <c r="K62" s="29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3" t="n"/>
      <c r="AY62" s="33" t="n"/>
      <c r="AZ62" s="33" t="n"/>
      <c r="BA62" s="33" t="n"/>
      <c r="BB62" s="33" t="n"/>
      <c r="BC62" s="33" t="n"/>
      <c r="BD62" s="33" t="n"/>
      <c r="BE62" s="33" t="n"/>
      <c r="BF62" s="33" t="n"/>
      <c r="BG62" s="33" t="n"/>
      <c r="BH62" s="33" t="n"/>
      <c r="BI62" s="33" t="n"/>
      <c r="BJ62" s="33" t="n"/>
      <c r="BK62" s="33" t="n"/>
      <c r="BL62" s="33" t="n"/>
      <c r="BM62" s="33" t="n"/>
      <c r="BN62" s="33" t="n"/>
      <c r="BO62" s="33" t="n"/>
      <c r="BP62" s="33" t="n"/>
      <c r="BQ62" s="33" t="n"/>
      <c r="BR62" s="33" t="n"/>
      <c r="BS62" s="33" t="n"/>
      <c r="BT62" s="33" t="n"/>
      <c r="BU62" s="33" t="n"/>
      <c r="BV62" s="33" t="n"/>
      <c r="BW62" s="33" t="n"/>
      <c r="BX62" s="33" t="n"/>
      <c r="BY62" s="33" t="n"/>
      <c r="BZ62" s="33" t="n"/>
      <c r="CA62" s="33" t="n"/>
      <c r="CB62" s="33" t="n"/>
      <c r="CC62" s="33" t="n"/>
      <c r="CD62" s="33" t="n"/>
      <c r="CE62" s="33" t="n"/>
      <c r="CF62" s="33" t="n"/>
      <c r="CG62" s="33" t="n"/>
      <c r="CH62" s="33" t="n"/>
      <c r="CI62" s="33" t="n"/>
      <c r="CJ62" s="33" t="n"/>
      <c r="CK62" s="33" t="n"/>
      <c r="CL62" s="33" t="n"/>
      <c r="CM62" s="33" t="n"/>
      <c r="CN62" s="33" t="n"/>
      <c r="CO62" s="33" t="n"/>
      <c r="CP62" s="33" t="n"/>
      <c r="CQ62" s="33" t="n"/>
      <c r="CR62" s="33" t="n"/>
      <c r="CS62" s="33" t="n"/>
      <c r="CT62" s="33" t="n"/>
      <c r="CU62" s="33" t="n"/>
      <c r="CV62" s="33" t="n"/>
      <c r="CW62" s="33" t="n"/>
      <c r="CX62" s="33" t="n"/>
      <c r="CY62" s="33" t="n"/>
      <c r="CZ62" s="33" t="n"/>
      <c r="DA62" s="33" t="n"/>
      <c r="DB62" s="33" t="n"/>
      <c r="DC62" s="33" t="n"/>
      <c r="DD62" s="33" t="n"/>
      <c r="DE62" s="33" t="n"/>
      <c r="DF62" s="33" t="n"/>
      <c r="DG62" s="33" t="n"/>
      <c r="DH62" s="33" t="n"/>
      <c r="DI62" s="33" t="n"/>
      <c r="DJ62" s="33" t="n"/>
      <c r="DK62" s="33" t="n"/>
      <c r="DL62" s="33" t="n"/>
      <c r="DM62" s="33" t="n"/>
      <c r="DN62" s="33" t="n"/>
      <c r="DO62" s="33" t="n"/>
      <c r="DP62" s="33" t="n"/>
      <c r="DQ62" s="33" t="n"/>
      <c r="DR62" s="33" t="n"/>
      <c r="DS62" s="33" t="n"/>
      <c r="DT62" s="33" t="n"/>
      <c r="DU62" s="33" t="n"/>
      <c r="DV62" s="33" t="n"/>
      <c r="DW62" s="33" t="n"/>
      <c r="DX62" s="33" t="n"/>
      <c r="DY62" s="33" t="n"/>
      <c r="DZ62" s="33" t="n"/>
      <c r="EA62" s="33" t="n"/>
      <c r="EB62" s="33" t="n"/>
      <c r="EC62" s="33" t="n"/>
      <c r="ED62" s="33" t="n"/>
      <c r="EE62" s="33" t="n"/>
      <c r="EF62" s="33" t="n"/>
      <c r="EG62" s="33" t="n"/>
      <c r="EH62" s="33" t="n"/>
      <c r="EI62" s="33" t="n"/>
      <c r="EJ62" s="33" t="n"/>
      <c r="EK62" s="33" t="n"/>
      <c r="EL62" s="33" t="n"/>
      <c r="EM62" s="33" t="n"/>
      <c r="EN62" s="33" t="n"/>
      <c r="EO62" s="33" t="n"/>
      <c r="EP62" s="33" t="n"/>
      <c r="EQ62" s="33" t="n"/>
      <c r="ER62" s="33" t="n"/>
      <c r="ES62" s="33" t="n"/>
      <c r="ET62" s="33" t="n"/>
      <c r="EU62" s="33" t="n"/>
      <c r="EV62" s="33" t="n"/>
      <c r="EW62" s="33" t="n"/>
      <c r="EX62" s="33" t="n"/>
      <c r="EY62" s="33" t="n"/>
      <c r="EZ62" s="33" t="n"/>
      <c r="FA62" s="33" t="n"/>
      <c r="FB62" s="33" t="n"/>
      <c r="FC62" s="33" t="n"/>
      <c r="FD62" s="33" t="n"/>
      <c r="FE62" s="33" t="n"/>
      <c r="FF62" s="33" t="n"/>
      <c r="FG62" s="33" t="n"/>
      <c r="FH62" s="33" t="n"/>
      <c r="FI62" s="33" t="n"/>
      <c r="FJ62" s="33" t="n"/>
      <c r="FK62" s="33" t="n"/>
      <c r="FL62" s="33" t="n"/>
      <c r="FM62" s="33" t="n"/>
      <c r="FN62" s="33" t="n"/>
      <c r="FO62" s="33" t="n"/>
      <c r="FP62" s="33" t="n"/>
      <c r="FQ62" s="33" t="n"/>
      <c r="FR62" s="33" t="n"/>
      <c r="FS62" s="33" t="n"/>
      <c r="FT62" s="33" t="n"/>
      <c r="FU62" s="33" t="n"/>
      <c r="FV62" s="33" t="n"/>
      <c r="FW62" s="33" t="n"/>
      <c r="FX62" s="33" t="n"/>
      <c r="FY62" s="33" t="n"/>
      <c r="FZ62" s="33" t="n"/>
      <c r="GA62" s="33" t="n"/>
      <c r="GB62" s="33" t="n"/>
      <c r="GC62" s="33" t="n"/>
      <c r="GD62" s="33" t="n"/>
      <c r="GE62" s="33" t="n"/>
      <c r="GF62" s="33" t="n"/>
      <c r="GG62" s="33" t="n"/>
      <c r="GH62" s="33" t="n"/>
      <c r="GI62" s="33" t="n"/>
      <c r="GJ62" s="33" t="n"/>
      <c r="GK62" s="33" t="n"/>
      <c r="GL62" s="33" t="n"/>
      <c r="GM62" s="33" t="n"/>
      <c r="GN62" s="33" t="n"/>
      <c r="GO62" s="33" t="n"/>
      <c r="GP62" s="33" t="n"/>
      <c r="GQ62" s="33" t="n"/>
      <c r="GR62" s="33" t="n"/>
      <c r="GS62" s="33" t="n"/>
      <c r="GT62" s="33" t="n"/>
      <c r="GU62" s="33" t="n"/>
      <c r="GV62" s="33" t="n"/>
      <c r="GW62" s="33" t="n"/>
      <c r="GX62" s="33" t="n"/>
      <c r="GY62" s="33" t="n"/>
      <c r="GZ62" s="33" t="n"/>
      <c r="HA62" s="33" t="n"/>
      <c r="HB62" s="33" t="n"/>
      <c r="HC62" s="33" t="n"/>
      <c r="HD62" s="33" t="n"/>
      <c r="HE62" s="33" t="n"/>
      <c r="HF62" s="33" t="n"/>
      <c r="HG62" s="33" t="n"/>
      <c r="HH62" s="33" t="n"/>
      <c r="HI62" s="33" t="n"/>
      <c r="HJ62" s="33" t="n"/>
      <c r="HK62" s="33" t="n"/>
      <c r="HL62" s="33" t="n"/>
      <c r="HM62" s="33" t="n"/>
      <c r="HN62" s="33" t="n"/>
      <c r="HO62" s="33" t="n"/>
      <c r="HP62" s="33" t="n"/>
      <c r="HQ62" s="33" t="n"/>
      <c r="HR62" s="33" t="n"/>
      <c r="HS62" s="33" t="n"/>
      <c r="HT62" s="33" t="n"/>
      <c r="HU62" s="33" t="n"/>
      <c r="HV62" s="33" t="n"/>
      <c r="HW62" s="33" t="n"/>
      <c r="HX62" s="33" t="n"/>
      <c r="HY62" s="33" t="n"/>
      <c r="HZ62" s="33" t="n"/>
      <c r="IA62" s="33" t="n"/>
      <c r="IB62" s="33" t="n"/>
      <c r="IC62" s="33" t="n"/>
      <c r="ID62" s="33" t="n"/>
      <c r="IE62" s="33" t="n"/>
      <c r="IF62" s="33" t="n"/>
      <c r="IG62" s="33" t="n"/>
      <c r="IH62" s="33" t="n"/>
      <c r="II62" s="33" t="n"/>
      <c r="IJ62" s="33" t="n"/>
      <c r="IK62" s="33" t="n"/>
      <c r="IL62" s="33" t="n"/>
      <c r="IM62" s="33" t="n"/>
      <c r="IN62" s="33" t="n"/>
      <c r="IO62" s="33" t="n"/>
      <c r="IP62" s="33" t="n"/>
      <c r="IQ62" s="33" t="n"/>
      <c r="IR62" s="33" t="n"/>
      <c r="IS62" s="33" t="n"/>
      <c r="IT62" s="33" t="n"/>
      <c r="IU62" s="33" t="n"/>
      <c r="IV62" s="33" t="n"/>
      <c r="IW62" s="33" t="n"/>
      <c r="IX62" s="33" t="n"/>
      <c r="IY62" s="33" t="n"/>
      <c r="IZ62" s="33" t="n"/>
      <c r="JA62" s="33" t="n"/>
      <c r="JB62" s="33" t="n"/>
      <c r="JC62" s="33" t="n"/>
      <c r="JD62" s="33" t="n"/>
      <c r="JE62" s="33" t="n"/>
      <c r="JF62" s="33" t="n"/>
      <c r="JG62" s="33" t="n"/>
      <c r="JH62" s="33" t="n"/>
      <c r="JI62" s="33" t="n"/>
      <c r="JJ62" s="33" t="n"/>
      <c r="JK62" s="33" t="n"/>
      <c r="JL62" s="33" t="n"/>
      <c r="JM62" s="33" t="n"/>
      <c r="JN62" s="33" t="n"/>
      <c r="JO62" s="33" t="n"/>
      <c r="JP62" s="33" t="n"/>
      <c r="JQ62" s="33" t="n"/>
      <c r="JR62" s="33" t="n"/>
      <c r="JS62" s="33" t="n"/>
      <c r="JT62" s="33" t="n"/>
      <c r="JU62" s="33" t="n"/>
      <c r="JV62" s="33" t="n"/>
      <c r="JW62" s="33" t="n"/>
      <c r="JX62" s="33" t="n"/>
      <c r="JY62" s="33" t="n"/>
      <c r="JZ62" s="33" t="n"/>
      <c r="KA62" s="33" t="n"/>
      <c r="KB62" s="33" t="n"/>
      <c r="KC62" s="33" t="n"/>
      <c r="KD62" s="33" t="n"/>
      <c r="KE62" s="33" t="n"/>
      <c r="KF62" s="33" t="n"/>
      <c r="KG62" s="33" t="n"/>
      <c r="KH62" s="33" t="n"/>
      <c r="KI62" s="33" t="n"/>
      <c r="KJ62" s="33" t="n"/>
      <c r="KK62" s="33" t="n"/>
      <c r="KL62" s="33" t="n"/>
      <c r="KM62" s="33" t="n"/>
      <c r="KN62" s="33" t="n"/>
      <c r="KO62" s="33" t="n"/>
      <c r="KP62" s="33" t="n"/>
      <c r="KQ62" s="33" t="n"/>
      <c r="KR62" s="33" t="n"/>
      <c r="KS62" s="33" t="n"/>
      <c r="KT62" s="33" t="n"/>
      <c r="KU62" s="33" t="n"/>
      <c r="KV62" s="33" t="n"/>
      <c r="KW62" s="33" t="n"/>
      <c r="KX62" s="33" t="n"/>
      <c r="KY62" s="33" t="n"/>
      <c r="KZ62" s="33" t="n"/>
      <c r="LA62" s="33" t="n"/>
      <c r="LB62" s="33" t="n"/>
      <c r="LC62" s="33" t="n"/>
      <c r="LD62" s="33" t="n"/>
      <c r="LE62" s="33" t="n"/>
      <c r="LF62" s="33" t="n"/>
      <c r="LG62" s="33" t="n"/>
      <c r="LH62" s="33" t="n"/>
      <c r="LI62" s="33" t="n"/>
      <c r="LJ62" s="33" t="n"/>
      <c r="LK62" s="33" t="n"/>
      <c r="LL62" s="33" t="n"/>
      <c r="LM62" s="33" t="n"/>
      <c r="LN62" s="33" t="n"/>
      <c r="LO62" s="33" t="n"/>
      <c r="LP62" s="33" t="n"/>
      <c r="LQ62" s="33" t="n"/>
      <c r="LR62" s="33" t="n"/>
      <c r="LS62" s="33" t="n"/>
      <c r="LT62" s="33" t="n"/>
      <c r="LU62" s="33" t="n"/>
      <c r="LV62" s="33" t="n"/>
      <c r="LW62" s="33" t="n"/>
      <c r="LX62" s="33" t="n"/>
      <c r="LY62" s="33" t="n"/>
      <c r="LZ62" s="33" t="n"/>
      <c r="MA62" s="33" t="n"/>
      <c r="MB62" s="33" t="n"/>
      <c r="MC62" s="33" t="n"/>
      <c r="MD62" s="33" t="n"/>
      <c r="ME62" s="33" t="n"/>
      <c r="MF62" s="33" t="n"/>
      <c r="MG62" s="33" t="n"/>
      <c r="MH62" s="33" t="n"/>
      <c r="MI62" s="33" t="n"/>
      <c r="MJ62" s="33" t="n"/>
      <c r="MK62" s="33" t="n"/>
      <c r="ML62" s="33" t="n"/>
      <c r="MM62" s="33" t="n"/>
      <c r="MN62" s="33" t="n"/>
      <c r="MO62" s="33" t="n"/>
      <c r="MP62" s="33" t="n"/>
      <c r="MQ62" s="33" t="n"/>
      <c r="MR62" s="33" t="n"/>
      <c r="MS62" s="33" t="n"/>
      <c r="MT62" s="33" t="n"/>
      <c r="MU62" s="33" t="n"/>
      <c r="MV62" s="33" t="n"/>
      <c r="MW62" s="33" t="n"/>
      <c r="MX62" s="33" t="n"/>
      <c r="MY62" s="33" t="n"/>
      <c r="MZ62" s="33" t="n"/>
      <c r="NA62" s="33" t="n"/>
      <c r="NB62" s="33" t="n"/>
      <c r="NC62" s="33" t="n"/>
      <c r="ND62" s="33" t="n"/>
      <c r="NE62" s="33" t="n"/>
      <c r="NF62" s="33" t="n"/>
      <c r="NG62" s="33" t="n"/>
      <c r="NH62" s="33" t="n"/>
      <c r="NI62" s="33" t="n"/>
      <c r="NJ62" s="33" t="n"/>
      <c r="NK62" s="33" t="n"/>
      <c r="NL62" s="33" t="n"/>
      <c r="NM62" s="33" t="n"/>
      <c r="NN62" s="33" t="n"/>
      <c r="NO62" s="33" t="n"/>
      <c r="NP62" s="33" t="n"/>
      <c r="NQ62" s="33" t="n"/>
      <c r="NR62" s="33" t="n"/>
      <c r="NS62" s="33" t="n"/>
      <c r="NT62" s="33" t="n"/>
      <c r="NU62" s="33" t="n"/>
      <c r="NV62" s="33" t="n"/>
      <c r="NW62" s="33" t="n"/>
      <c r="NX62" s="33" t="n"/>
      <c r="NY62" s="33" t="n"/>
      <c r="NZ62" s="33" t="n"/>
      <c r="OA62" s="33" t="n"/>
      <c r="OB62" s="33" t="n"/>
      <c r="OC62" s="33" t="n"/>
      <c r="OD62" s="33" t="n"/>
      <c r="OE62" s="33" t="n"/>
      <c r="OF62" s="33" t="n"/>
      <c r="OG62" s="33" t="n"/>
      <c r="OH62" s="33" t="n"/>
      <c r="OI62" s="33" t="n"/>
      <c r="OJ62" s="33" t="n"/>
      <c r="OK62" s="33" t="n"/>
      <c r="OL62" s="33" t="n"/>
      <c r="OM62" s="33" t="n"/>
      <c r="ON62" s="33" t="n"/>
      <c r="OO62" s="33" t="n"/>
      <c r="OP62" s="33" t="n"/>
      <c r="OQ62" s="33" t="n"/>
      <c r="OR62" s="33" t="n"/>
      <c r="OS62" s="33" t="n"/>
      <c r="OT62" s="33" t="n"/>
      <c r="OU62" s="33" t="n"/>
      <c r="OV62" s="33" t="n"/>
      <c r="OW62" s="33" t="n"/>
      <c r="OX62" s="33" t="n"/>
      <c r="OY62" s="33" t="n"/>
      <c r="OZ62" s="33" t="n"/>
      <c r="PA62" s="33" t="n"/>
      <c r="PB62" s="33" t="n"/>
      <c r="PC62" s="33" t="n"/>
      <c r="PD62" s="33" t="n"/>
      <c r="PE62" s="33" t="n"/>
      <c r="PF62" s="33" t="n"/>
      <c r="PG62" s="33" t="n"/>
      <c r="PH62" s="33" t="n"/>
      <c r="PI62" s="33" t="n"/>
      <c r="PJ62" s="33" t="n"/>
      <c r="PK62" s="33" t="n"/>
      <c r="PL62" s="33" t="n"/>
      <c r="PM62" s="33" t="n"/>
      <c r="PN62" s="33" t="n"/>
      <c r="PO62" s="33" t="n"/>
      <c r="PP62" s="33" t="n"/>
      <c r="PQ62" s="33" t="n"/>
      <c r="PR62" s="33" t="n"/>
      <c r="PS62" s="33" t="n"/>
      <c r="PT62" s="33" t="n"/>
      <c r="PU62" s="33" t="n"/>
      <c r="PV62" s="33" t="n"/>
      <c r="PW62" s="33" t="n"/>
      <c r="PX62" s="33" t="n"/>
      <c r="PY62" s="33" t="n"/>
      <c r="PZ62" s="33" t="n"/>
      <c r="QA62" s="33" t="n"/>
      <c r="QB62" s="33" t="n"/>
      <c r="QC62" s="33" t="n"/>
      <c r="QD62" s="33" t="n"/>
      <c r="QE62" s="33" t="n"/>
      <c r="QF62" s="33" t="n"/>
      <c r="QG62" s="33" t="n"/>
      <c r="QH62" s="33" t="n"/>
      <c r="QI62" s="33" t="n"/>
      <c r="QJ62" s="33" t="n"/>
      <c r="QK62" s="33" t="n"/>
      <c r="QL62" s="33" t="n"/>
      <c r="QM62" s="33" t="n"/>
      <c r="QN62" s="33" t="n"/>
      <c r="QO62" s="33" t="n"/>
      <c r="QP62" s="33" t="n"/>
      <c r="QQ62" s="33" t="n"/>
      <c r="QR62" s="33" t="n"/>
      <c r="QS62" s="33" t="n"/>
      <c r="QT62" s="33" t="n"/>
      <c r="QU62" s="33" t="n"/>
      <c r="QV62" s="33" t="n"/>
      <c r="QW62" s="33" t="n"/>
      <c r="QX62" s="33" t="n"/>
      <c r="QY62" s="33" t="n"/>
      <c r="QZ62" s="33" t="n"/>
      <c r="RA62" s="33" t="n"/>
      <c r="RB62" s="33" t="n"/>
      <c r="RC62" s="33" t="n"/>
      <c r="RD62" s="33" t="n"/>
      <c r="RE62" s="33" t="n"/>
      <c r="RF62" s="33" t="n"/>
      <c r="RG62" s="33" t="n"/>
      <c r="RH62" s="33" t="n"/>
      <c r="RI62" s="33" t="n"/>
      <c r="RJ62" s="33" t="n"/>
      <c r="RK62" s="33" t="n"/>
      <c r="RL62" s="33" t="n"/>
      <c r="RM62" s="33" t="n"/>
      <c r="RN62" s="33" t="n"/>
      <c r="RO62" s="33" t="n"/>
      <c r="RP62" s="33" t="n"/>
      <c r="RQ62" s="33" t="n"/>
      <c r="RR62" s="33" t="n"/>
      <c r="RS62" s="33" t="n"/>
      <c r="RT62" s="33" t="n"/>
      <c r="RU62" s="33" t="n"/>
      <c r="RV62" s="33" t="n"/>
      <c r="RW62" s="33" t="n"/>
    </row>
    <row r="63" ht="5.25" customHeight="1"/>
    <row r="64" ht="13.05" customHeight="1">
      <c r="E64" s="21" t="inlineStr">
        <is>
          <t>Opening Balance</t>
        </is>
      </c>
      <c r="F64" s="29" t="n"/>
      <c r="G64" s="29" t="inlineStr">
        <is>
          <t>kEUR</t>
        </is>
      </c>
      <c r="H64" s="29" t="n"/>
      <c r="I64" s="29" t="n"/>
      <c r="J64" s="32" t="n"/>
      <c r="K64" s="29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  <c r="AE64" s="33" t="n"/>
      <c r="AF64" s="33" t="n"/>
      <c r="AG64" s="33" t="n"/>
      <c r="AH64" s="33" t="n"/>
      <c r="AI64" s="33" t="n"/>
      <c r="AJ64" s="33" t="n"/>
      <c r="AK64" s="33" t="n"/>
      <c r="AL64" s="33" t="n"/>
      <c r="AM64" s="33" t="n"/>
      <c r="AN64" s="33" t="n"/>
      <c r="AO64" s="33" t="n"/>
      <c r="AP64" s="33" t="n"/>
      <c r="AQ64" s="33" t="n"/>
      <c r="AR64" s="33" t="n"/>
      <c r="AS64" s="33" t="n"/>
      <c r="AT64" s="33" t="n"/>
      <c r="AU64" s="33" t="n"/>
      <c r="AV64" s="33" t="n"/>
      <c r="AW64" s="33" t="n"/>
      <c r="AX64" s="33" t="n"/>
      <c r="AY64" s="33" t="n"/>
      <c r="AZ64" s="33" t="n"/>
      <c r="BA64" s="33" t="n"/>
      <c r="BB64" s="33" t="n"/>
      <c r="BC64" s="33" t="n"/>
      <c r="BD64" s="33" t="n"/>
      <c r="BE64" s="33" t="n"/>
      <c r="BF64" s="33" t="n"/>
      <c r="BG64" s="33" t="n"/>
      <c r="BH64" s="33" t="n"/>
      <c r="BI64" s="33" t="n"/>
      <c r="BJ64" s="33" t="n"/>
      <c r="BK64" s="33" t="n"/>
      <c r="BL64" s="33" t="n"/>
      <c r="BM64" s="33" t="n"/>
      <c r="BN64" s="33" t="n"/>
      <c r="BO64" s="33" t="n"/>
      <c r="BP64" s="33" t="n"/>
      <c r="BQ64" s="33" t="n"/>
      <c r="BR64" s="33" t="n"/>
      <c r="BS64" s="33" t="n"/>
      <c r="BT64" s="33" t="n"/>
      <c r="BU64" s="33" t="n"/>
      <c r="BV64" s="33" t="n"/>
      <c r="BW64" s="33" t="n"/>
      <c r="BX64" s="33" t="n"/>
      <c r="BY64" s="33" t="n"/>
      <c r="BZ64" s="33" t="n"/>
      <c r="CA64" s="33" t="n"/>
      <c r="CB64" s="33" t="n"/>
      <c r="CC64" s="33" t="n"/>
      <c r="CD64" s="33" t="n"/>
      <c r="CE64" s="33" t="n"/>
      <c r="CF64" s="33" t="n"/>
      <c r="CG64" s="33" t="n"/>
      <c r="CH64" s="33" t="n"/>
      <c r="CI64" s="33" t="n"/>
      <c r="CJ64" s="33" t="n"/>
      <c r="CK64" s="33" t="n"/>
      <c r="CL64" s="33" t="n"/>
      <c r="CM64" s="33" t="n"/>
      <c r="CN64" s="33" t="n"/>
      <c r="CO64" s="33" t="n"/>
      <c r="CP64" s="33" t="n"/>
      <c r="CQ64" s="33" t="n"/>
      <c r="CR64" s="33" t="n"/>
      <c r="CS64" s="33" t="n"/>
      <c r="CT64" s="33" t="n"/>
      <c r="CU64" s="33" t="n"/>
      <c r="CV64" s="33" t="n"/>
      <c r="CW64" s="33" t="n"/>
      <c r="CX64" s="33" t="n"/>
      <c r="CY64" s="33" t="n"/>
      <c r="CZ64" s="33" t="n"/>
      <c r="DA64" s="33" t="n"/>
      <c r="DB64" s="33" t="n"/>
      <c r="DC64" s="33" t="n"/>
      <c r="DD64" s="33" t="n"/>
      <c r="DE64" s="33" t="n"/>
      <c r="DF64" s="33" t="n"/>
      <c r="DG64" s="33" t="n"/>
      <c r="DH64" s="33" t="n"/>
      <c r="DI64" s="33" t="n"/>
      <c r="DJ64" s="33" t="n"/>
      <c r="DK64" s="33" t="n"/>
      <c r="DL64" s="33" t="n"/>
      <c r="DM64" s="33" t="n"/>
      <c r="DN64" s="33" t="n"/>
      <c r="DO64" s="33" t="n"/>
      <c r="DP64" s="33" t="n"/>
      <c r="DQ64" s="33" t="n"/>
      <c r="DR64" s="33" t="n"/>
      <c r="DS64" s="33" t="n"/>
      <c r="DT64" s="33" t="n"/>
      <c r="DU64" s="33" t="n"/>
      <c r="DV64" s="33" t="n"/>
      <c r="DW64" s="33" t="n"/>
      <c r="DX64" s="33" t="n"/>
      <c r="DY64" s="33" t="n"/>
      <c r="DZ64" s="33" t="n"/>
      <c r="EA64" s="33" t="n"/>
      <c r="EB64" s="33" t="n"/>
      <c r="EC64" s="33" t="n"/>
      <c r="ED64" s="33" t="n"/>
      <c r="EE64" s="33" t="n"/>
      <c r="EF64" s="33" t="n"/>
      <c r="EG64" s="33" t="n"/>
      <c r="EH64" s="33" t="n"/>
      <c r="EI64" s="33" t="n"/>
      <c r="EJ64" s="33" t="n"/>
      <c r="EK64" s="33" t="n"/>
      <c r="EL64" s="33" t="n"/>
      <c r="EM64" s="33" t="n"/>
      <c r="EN64" s="33" t="n"/>
      <c r="EO64" s="33" t="n"/>
      <c r="EP64" s="33" t="n"/>
      <c r="EQ64" s="33" t="n"/>
      <c r="ER64" s="33" t="n"/>
      <c r="ES64" s="33" t="n"/>
      <c r="ET64" s="33" t="n"/>
      <c r="EU64" s="33" t="n"/>
      <c r="EV64" s="33" t="n"/>
      <c r="EW64" s="33" t="n"/>
      <c r="EX64" s="33" t="n"/>
      <c r="EY64" s="33" t="n"/>
      <c r="EZ64" s="33" t="n"/>
      <c r="FA64" s="33" t="n"/>
      <c r="FB64" s="33" t="n"/>
      <c r="FC64" s="33" t="n"/>
      <c r="FD64" s="33" t="n"/>
      <c r="FE64" s="33" t="n"/>
      <c r="FF64" s="33" t="n"/>
      <c r="FG64" s="33" t="n"/>
      <c r="FH64" s="33" t="n"/>
      <c r="FI64" s="33" t="n"/>
      <c r="FJ64" s="33" t="n"/>
      <c r="FK64" s="33" t="n"/>
      <c r="FL64" s="33" t="n"/>
      <c r="FM64" s="33" t="n"/>
      <c r="FN64" s="33" t="n"/>
      <c r="FO64" s="33" t="n"/>
      <c r="FP64" s="33" t="n"/>
      <c r="FQ64" s="33" t="n"/>
      <c r="FR64" s="33" t="n"/>
      <c r="FS64" s="33" t="n"/>
      <c r="FT64" s="33" t="n"/>
      <c r="FU64" s="33" t="n"/>
      <c r="FV64" s="33" t="n"/>
      <c r="FW64" s="33" t="n"/>
      <c r="FX64" s="33" t="n"/>
      <c r="FY64" s="33" t="n"/>
      <c r="FZ64" s="33" t="n"/>
      <c r="GA64" s="33" t="n"/>
      <c r="GB64" s="33" t="n"/>
      <c r="GC64" s="33" t="n"/>
      <c r="GD64" s="33" t="n"/>
      <c r="GE64" s="33" t="n"/>
      <c r="GF64" s="33" t="n"/>
      <c r="GG64" s="33" t="n"/>
      <c r="GH64" s="33" t="n"/>
      <c r="GI64" s="33" t="n"/>
      <c r="GJ64" s="33" t="n"/>
      <c r="GK64" s="33" t="n"/>
      <c r="GL64" s="33" t="n"/>
      <c r="GM64" s="33" t="n"/>
      <c r="GN64" s="33" t="n"/>
      <c r="GO64" s="33" t="n"/>
      <c r="GP64" s="33" t="n"/>
      <c r="GQ64" s="33" t="n"/>
      <c r="GR64" s="33" t="n"/>
      <c r="GS64" s="33" t="n"/>
      <c r="GT64" s="33" t="n"/>
      <c r="GU64" s="33" t="n"/>
      <c r="GV64" s="33" t="n"/>
      <c r="GW64" s="33" t="n"/>
      <c r="GX64" s="33" t="n"/>
      <c r="GY64" s="33" t="n"/>
      <c r="GZ64" s="33" t="n"/>
      <c r="HA64" s="33" t="n"/>
      <c r="HB64" s="33" t="n"/>
      <c r="HC64" s="33" t="n"/>
      <c r="HD64" s="33" t="n"/>
      <c r="HE64" s="33" t="n"/>
      <c r="HF64" s="33" t="n"/>
      <c r="HG64" s="33" t="n"/>
      <c r="HH64" s="33" t="n"/>
      <c r="HI64" s="33" t="n"/>
      <c r="HJ64" s="33" t="n"/>
      <c r="HK64" s="33" t="n"/>
      <c r="HL64" s="33" t="n"/>
      <c r="HM64" s="33" t="n"/>
      <c r="HN64" s="33" t="n"/>
      <c r="HO64" s="33" t="n"/>
      <c r="HP64" s="33" t="n"/>
      <c r="HQ64" s="33" t="n"/>
      <c r="HR64" s="33" t="n"/>
      <c r="HS64" s="33" t="n"/>
      <c r="HT64" s="33" t="n"/>
      <c r="HU64" s="33" t="n"/>
      <c r="HV64" s="33" t="n"/>
      <c r="HW64" s="33" t="n"/>
      <c r="HX64" s="33" t="n"/>
      <c r="HY64" s="33" t="n"/>
      <c r="HZ64" s="33" t="n"/>
      <c r="IA64" s="33" t="n"/>
      <c r="IB64" s="33" t="n"/>
      <c r="IC64" s="33" t="n"/>
      <c r="ID64" s="33" t="n"/>
      <c r="IE64" s="33" t="n"/>
      <c r="IF64" s="33" t="n"/>
      <c r="IG64" s="33" t="n"/>
      <c r="IH64" s="33" t="n"/>
      <c r="II64" s="33" t="n"/>
      <c r="IJ64" s="33" t="n"/>
      <c r="IK64" s="33" t="n"/>
      <c r="IL64" s="33" t="n"/>
      <c r="IM64" s="33" t="n"/>
      <c r="IN64" s="33" t="n"/>
      <c r="IO64" s="33" t="n"/>
      <c r="IP64" s="33" t="n"/>
      <c r="IQ64" s="33" t="n"/>
      <c r="IR64" s="33" t="n"/>
      <c r="IS64" s="33" t="n"/>
      <c r="IT64" s="33" t="n"/>
      <c r="IU64" s="33" t="n"/>
      <c r="IV64" s="33" t="n"/>
      <c r="IW64" s="33" t="n"/>
      <c r="IX64" s="33" t="n"/>
      <c r="IY64" s="33" t="n"/>
      <c r="IZ64" s="33" t="n"/>
      <c r="JA64" s="33" t="n"/>
      <c r="JB64" s="33" t="n"/>
      <c r="JC64" s="33" t="n"/>
      <c r="JD64" s="33" t="n"/>
      <c r="JE64" s="33" t="n"/>
      <c r="JF64" s="33" t="n"/>
      <c r="JG64" s="33" t="n"/>
      <c r="JH64" s="33" t="n"/>
      <c r="JI64" s="33" t="n"/>
      <c r="JJ64" s="33" t="n"/>
      <c r="JK64" s="33" t="n"/>
      <c r="JL64" s="33" t="n"/>
      <c r="JM64" s="33" t="n"/>
      <c r="JN64" s="33" t="n"/>
      <c r="JO64" s="33" t="n"/>
      <c r="JP64" s="33" t="n"/>
      <c r="JQ64" s="33" t="n"/>
      <c r="JR64" s="33" t="n"/>
      <c r="JS64" s="33" t="n"/>
      <c r="JT64" s="33" t="n"/>
      <c r="JU64" s="33" t="n"/>
      <c r="JV64" s="33" t="n"/>
      <c r="JW64" s="33" t="n"/>
      <c r="JX64" s="33" t="n"/>
      <c r="JY64" s="33" t="n"/>
      <c r="JZ64" s="33" t="n"/>
      <c r="KA64" s="33" t="n"/>
      <c r="KB64" s="33" t="n"/>
      <c r="KC64" s="33" t="n"/>
      <c r="KD64" s="33" t="n"/>
      <c r="KE64" s="33" t="n"/>
      <c r="KF64" s="33" t="n"/>
      <c r="KG64" s="33" t="n"/>
      <c r="KH64" s="33" t="n"/>
      <c r="KI64" s="33" t="n"/>
      <c r="KJ64" s="33" t="n"/>
      <c r="KK64" s="33" t="n"/>
      <c r="KL64" s="33" t="n"/>
      <c r="KM64" s="33" t="n"/>
      <c r="KN64" s="33" t="n"/>
      <c r="KO64" s="33" t="n"/>
      <c r="KP64" s="33" t="n"/>
      <c r="KQ64" s="33" t="n"/>
      <c r="KR64" s="33" t="n"/>
      <c r="KS64" s="33" t="n"/>
      <c r="KT64" s="33" t="n"/>
      <c r="KU64" s="33" t="n"/>
      <c r="KV64" s="33" t="n"/>
      <c r="KW64" s="33" t="n"/>
      <c r="KX64" s="33" t="n"/>
      <c r="KY64" s="33" t="n"/>
      <c r="KZ64" s="33" t="n"/>
      <c r="LA64" s="33" t="n"/>
      <c r="LB64" s="33" t="n"/>
      <c r="LC64" s="33" t="n"/>
      <c r="LD64" s="33" t="n"/>
      <c r="LE64" s="33" t="n"/>
      <c r="LF64" s="33" t="n"/>
      <c r="LG64" s="33" t="n"/>
      <c r="LH64" s="33" t="n"/>
      <c r="LI64" s="33" t="n"/>
      <c r="LJ64" s="33" t="n"/>
      <c r="LK64" s="33" t="n"/>
      <c r="LL64" s="33" t="n"/>
      <c r="LM64" s="33" t="n"/>
      <c r="LN64" s="33" t="n"/>
      <c r="LO64" s="33" t="n"/>
      <c r="LP64" s="33" t="n"/>
      <c r="LQ64" s="33" t="n"/>
      <c r="LR64" s="33" t="n"/>
      <c r="LS64" s="33" t="n"/>
      <c r="LT64" s="33" t="n"/>
      <c r="LU64" s="33" t="n"/>
      <c r="LV64" s="33" t="n"/>
      <c r="LW64" s="33" t="n"/>
      <c r="LX64" s="33" t="n"/>
      <c r="LY64" s="33" t="n"/>
      <c r="LZ64" s="33" t="n"/>
      <c r="MA64" s="33" t="n"/>
      <c r="MB64" s="33" t="n"/>
      <c r="MC64" s="33" t="n"/>
      <c r="MD64" s="33" t="n"/>
      <c r="ME64" s="33" t="n"/>
      <c r="MF64" s="33" t="n"/>
      <c r="MG64" s="33" t="n"/>
      <c r="MH64" s="33" t="n"/>
      <c r="MI64" s="33" t="n"/>
      <c r="MJ64" s="33" t="n"/>
      <c r="MK64" s="33" t="n"/>
      <c r="ML64" s="33" t="n"/>
      <c r="MM64" s="33" t="n"/>
      <c r="MN64" s="33" t="n"/>
      <c r="MO64" s="33" t="n"/>
      <c r="MP64" s="33" t="n"/>
      <c r="MQ64" s="33" t="n"/>
      <c r="MR64" s="33" t="n"/>
      <c r="MS64" s="33" t="n"/>
      <c r="MT64" s="33" t="n"/>
      <c r="MU64" s="33" t="n"/>
      <c r="MV64" s="33" t="n"/>
      <c r="MW64" s="33" t="n"/>
      <c r="MX64" s="33" t="n"/>
      <c r="MY64" s="33" t="n"/>
      <c r="MZ64" s="33" t="n"/>
      <c r="NA64" s="33" t="n"/>
      <c r="NB64" s="33" t="n"/>
      <c r="NC64" s="33" t="n"/>
      <c r="ND64" s="33" t="n"/>
      <c r="NE64" s="33" t="n"/>
      <c r="NF64" s="33" t="n"/>
      <c r="NG64" s="33" t="n"/>
      <c r="NH64" s="33" t="n"/>
      <c r="NI64" s="33" t="n"/>
      <c r="NJ64" s="33" t="n"/>
      <c r="NK64" s="33" t="n"/>
      <c r="NL64" s="33" t="n"/>
      <c r="NM64" s="33" t="n"/>
      <c r="NN64" s="33" t="n"/>
      <c r="NO64" s="33" t="n"/>
      <c r="NP64" s="33" t="n"/>
      <c r="NQ64" s="33" t="n"/>
      <c r="NR64" s="33" t="n"/>
      <c r="NS64" s="33" t="n"/>
      <c r="NT64" s="33" t="n"/>
      <c r="NU64" s="33" t="n"/>
      <c r="NV64" s="33" t="n"/>
      <c r="NW64" s="33" t="n"/>
      <c r="NX64" s="33" t="n"/>
      <c r="NY64" s="33" t="n"/>
      <c r="NZ64" s="33" t="n"/>
      <c r="OA64" s="33" t="n"/>
      <c r="OB64" s="33" t="n"/>
      <c r="OC64" s="33" t="n"/>
      <c r="OD64" s="33" t="n"/>
      <c r="OE64" s="33" t="n"/>
      <c r="OF64" s="33" t="n"/>
      <c r="OG64" s="33" t="n"/>
      <c r="OH64" s="33" t="n"/>
      <c r="OI64" s="33" t="n"/>
      <c r="OJ64" s="33" t="n"/>
      <c r="OK64" s="33" t="n"/>
      <c r="OL64" s="33" t="n"/>
      <c r="OM64" s="33" t="n"/>
      <c r="ON64" s="33" t="n"/>
      <c r="OO64" s="33" t="n"/>
      <c r="OP64" s="33" t="n"/>
      <c r="OQ64" s="33" t="n"/>
      <c r="OR64" s="33" t="n"/>
      <c r="OS64" s="33" t="n"/>
      <c r="OT64" s="33" t="n"/>
      <c r="OU64" s="33" t="n"/>
      <c r="OV64" s="33" t="n"/>
      <c r="OW64" s="33" t="n"/>
      <c r="OX64" s="33" t="n"/>
      <c r="OY64" s="33" t="n"/>
      <c r="OZ64" s="33" t="n"/>
      <c r="PA64" s="33" t="n"/>
      <c r="PB64" s="33" t="n"/>
      <c r="PC64" s="33" t="n"/>
      <c r="PD64" s="33" t="n"/>
      <c r="PE64" s="33" t="n"/>
      <c r="PF64" s="33" t="n"/>
      <c r="PG64" s="33" t="n"/>
      <c r="PH64" s="33" t="n"/>
      <c r="PI64" s="33" t="n"/>
      <c r="PJ64" s="33" t="n"/>
      <c r="PK64" s="33" t="n"/>
      <c r="PL64" s="33" t="n"/>
      <c r="PM64" s="33" t="n"/>
      <c r="PN64" s="33" t="n"/>
      <c r="PO64" s="33" t="n"/>
      <c r="PP64" s="33" t="n"/>
      <c r="PQ64" s="33" t="n"/>
      <c r="PR64" s="33" t="n"/>
      <c r="PS64" s="33" t="n"/>
      <c r="PT64" s="33" t="n"/>
      <c r="PU64" s="33" t="n"/>
      <c r="PV64" s="33" t="n"/>
      <c r="PW64" s="33" t="n"/>
      <c r="PX64" s="33" t="n"/>
      <c r="PY64" s="33" t="n"/>
      <c r="PZ64" s="33" t="n"/>
      <c r="QA64" s="33" t="n"/>
      <c r="QB64" s="33" t="n"/>
      <c r="QC64" s="33" t="n"/>
      <c r="QD64" s="33" t="n"/>
      <c r="QE64" s="33" t="n"/>
      <c r="QF64" s="33" t="n"/>
      <c r="QG64" s="33" t="n"/>
      <c r="QH64" s="33" t="n"/>
      <c r="QI64" s="33" t="n"/>
      <c r="QJ64" s="33" t="n"/>
      <c r="QK64" s="33" t="n"/>
      <c r="QL64" s="33" t="n"/>
      <c r="QM64" s="33" t="n"/>
      <c r="QN64" s="33" t="n"/>
      <c r="QO64" s="33" t="n"/>
      <c r="QP64" s="33" t="n"/>
      <c r="QQ64" s="33" t="n"/>
      <c r="QR64" s="33" t="n"/>
      <c r="QS64" s="33" t="n"/>
      <c r="QT64" s="33" t="n"/>
      <c r="QU64" s="33" t="n"/>
      <c r="QV64" s="33" t="n"/>
      <c r="QW64" s="33" t="n"/>
      <c r="QX64" s="33" t="n"/>
      <c r="QY64" s="33" t="n"/>
      <c r="QZ64" s="33" t="n"/>
      <c r="RA64" s="33" t="n"/>
      <c r="RB64" s="33" t="n"/>
      <c r="RC64" s="33" t="n"/>
      <c r="RD64" s="33" t="n"/>
      <c r="RE64" s="33" t="n"/>
      <c r="RF64" s="33" t="n"/>
      <c r="RG64" s="33" t="n"/>
      <c r="RH64" s="33" t="n"/>
      <c r="RI64" s="33" t="n"/>
      <c r="RJ64" s="33" t="n"/>
      <c r="RK64" s="33" t="n"/>
      <c r="RL64" s="33" t="n"/>
      <c r="RM64" s="33" t="n"/>
      <c r="RN64" s="33" t="n"/>
      <c r="RO64" s="33" t="n"/>
      <c r="RP64" s="33" t="n"/>
      <c r="RQ64" s="33" t="n"/>
      <c r="RR64" s="33" t="n"/>
      <c r="RS64" s="33" t="n"/>
      <c r="RT64" s="33" t="n"/>
      <c r="RU64" s="33" t="n"/>
      <c r="RV64" s="33" t="n"/>
      <c r="RW64" s="33" t="n"/>
    </row>
    <row r="65" hidden="1" outlineLevel="1" ht="13.05" customHeight="1">
      <c r="E65" s="21" t="inlineStr">
        <is>
          <t>Drawdown</t>
        </is>
      </c>
      <c r="F65" s="29" t="n"/>
      <c r="G65" s="29" t="inlineStr">
        <is>
          <t>kEUR</t>
        </is>
      </c>
      <c r="H65" s="29" t="n"/>
      <c r="I65" s="29" t="n"/>
      <c r="J65" s="32" t="n"/>
      <c r="K65" s="29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  <c r="AE65" s="33" t="n"/>
      <c r="AF65" s="33" t="n"/>
      <c r="AG65" s="33" t="n"/>
      <c r="AH65" s="33" t="n"/>
      <c r="AI65" s="33" t="n"/>
      <c r="AJ65" s="33" t="n"/>
      <c r="AK65" s="33" t="n"/>
      <c r="AL65" s="33" t="n"/>
      <c r="AM65" s="33" t="n"/>
      <c r="AN65" s="33" t="n"/>
      <c r="AO65" s="33" t="n"/>
      <c r="AP65" s="33" t="n"/>
      <c r="AQ65" s="33" t="n"/>
      <c r="AR65" s="33" t="n"/>
      <c r="AS65" s="33" t="n"/>
      <c r="AT65" s="33" t="n"/>
      <c r="AU65" s="33" t="n"/>
      <c r="AV65" s="33" t="n"/>
      <c r="AW65" s="33" t="n"/>
      <c r="AX65" s="33" t="n"/>
      <c r="AY65" s="33" t="n"/>
      <c r="AZ65" s="33" t="n"/>
      <c r="BA65" s="33" t="n"/>
      <c r="BB65" s="33" t="n"/>
      <c r="BC65" s="33" t="n"/>
      <c r="BD65" s="33" t="n"/>
      <c r="BE65" s="33" t="n"/>
      <c r="BF65" s="33" t="n"/>
      <c r="BG65" s="33" t="n"/>
      <c r="BH65" s="33" t="n"/>
      <c r="BI65" s="33" t="n"/>
      <c r="BJ65" s="33" t="n"/>
      <c r="BK65" s="33" t="n"/>
      <c r="BL65" s="33" t="n"/>
      <c r="BM65" s="33" t="n"/>
      <c r="BN65" s="33" t="n"/>
      <c r="BO65" s="33" t="n"/>
      <c r="BP65" s="33" t="n"/>
      <c r="BQ65" s="33" t="n"/>
      <c r="BR65" s="33" t="n"/>
      <c r="BS65" s="33" t="n"/>
      <c r="BT65" s="33" t="n"/>
      <c r="BU65" s="33" t="n"/>
      <c r="BV65" s="33" t="n"/>
      <c r="BW65" s="33" t="n"/>
      <c r="BX65" s="33" t="n"/>
      <c r="BY65" s="33" t="n"/>
      <c r="BZ65" s="33" t="n"/>
      <c r="CA65" s="33" t="n"/>
      <c r="CB65" s="33" t="n"/>
      <c r="CC65" s="33" t="n"/>
      <c r="CD65" s="33" t="n"/>
      <c r="CE65" s="33" t="n"/>
      <c r="CF65" s="33" t="n"/>
      <c r="CG65" s="33" t="n"/>
      <c r="CH65" s="33" t="n"/>
      <c r="CI65" s="33" t="n"/>
      <c r="CJ65" s="33" t="n"/>
      <c r="CK65" s="33" t="n"/>
      <c r="CL65" s="33" t="n"/>
      <c r="CM65" s="33" t="n"/>
      <c r="CN65" s="33" t="n"/>
      <c r="CO65" s="33" t="n"/>
      <c r="CP65" s="33" t="n"/>
      <c r="CQ65" s="33" t="n"/>
      <c r="CR65" s="33" t="n"/>
      <c r="CS65" s="33" t="n"/>
      <c r="CT65" s="33" t="n"/>
      <c r="CU65" s="33" t="n"/>
      <c r="CV65" s="33" t="n"/>
      <c r="CW65" s="33" t="n"/>
      <c r="CX65" s="33" t="n"/>
      <c r="CY65" s="33" t="n"/>
      <c r="CZ65" s="33" t="n"/>
      <c r="DA65" s="33" t="n"/>
      <c r="DB65" s="33" t="n"/>
      <c r="DC65" s="33" t="n"/>
      <c r="DD65" s="33" t="n"/>
      <c r="DE65" s="33" t="n"/>
      <c r="DF65" s="33" t="n"/>
      <c r="DG65" s="33" t="n"/>
      <c r="DH65" s="33" t="n"/>
      <c r="DI65" s="33" t="n"/>
      <c r="DJ65" s="33" t="n"/>
      <c r="DK65" s="33" t="n"/>
      <c r="DL65" s="33" t="n"/>
      <c r="DM65" s="33" t="n"/>
      <c r="DN65" s="33" t="n"/>
      <c r="DO65" s="33" t="n"/>
      <c r="DP65" s="33" t="n"/>
      <c r="DQ65" s="33" t="n"/>
      <c r="DR65" s="33" t="n"/>
      <c r="DS65" s="33" t="n"/>
      <c r="DT65" s="33" t="n"/>
      <c r="DU65" s="33" t="n"/>
      <c r="DV65" s="33" t="n"/>
      <c r="DW65" s="33" t="n"/>
      <c r="DX65" s="33" t="n"/>
      <c r="DY65" s="33" t="n"/>
      <c r="DZ65" s="33" t="n"/>
      <c r="EA65" s="33" t="n"/>
      <c r="EB65" s="33" t="n"/>
      <c r="EC65" s="33" t="n"/>
      <c r="ED65" s="33" t="n"/>
      <c r="EE65" s="33" t="n"/>
      <c r="EF65" s="33" t="n"/>
      <c r="EG65" s="33" t="n"/>
      <c r="EH65" s="33" t="n"/>
      <c r="EI65" s="33" t="n"/>
      <c r="EJ65" s="33" t="n"/>
      <c r="EK65" s="33" t="n"/>
      <c r="EL65" s="33" t="n"/>
      <c r="EM65" s="33" t="n"/>
      <c r="EN65" s="33" t="n"/>
      <c r="EO65" s="33" t="n"/>
      <c r="EP65" s="33" t="n"/>
      <c r="EQ65" s="33" t="n"/>
      <c r="ER65" s="33" t="n"/>
      <c r="ES65" s="33" t="n"/>
      <c r="ET65" s="33" t="n"/>
      <c r="EU65" s="33" t="n"/>
      <c r="EV65" s="33" t="n"/>
      <c r="EW65" s="33" t="n"/>
      <c r="EX65" s="33" t="n"/>
      <c r="EY65" s="33" t="n"/>
      <c r="EZ65" s="33" t="n"/>
      <c r="FA65" s="33" t="n"/>
      <c r="FB65" s="33" t="n"/>
      <c r="FC65" s="33" t="n"/>
      <c r="FD65" s="33" t="n"/>
      <c r="FE65" s="33" t="n"/>
      <c r="FF65" s="33" t="n"/>
      <c r="FG65" s="33" t="n"/>
      <c r="FH65" s="33" t="n"/>
      <c r="FI65" s="33" t="n"/>
      <c r="FJ65" s="33" t="n"/>
      <c r="FK65" s="33" t="n"/>
      <c r="FL65" s="33" t="n"/>
      <c r="FM65" s="33" t="n"/>
      <c r="FN65" s="33" t="n"/>
      <c r="FO65" s="33" t="n"/>
      <c r="FP65" s="33" t="n"/>
      <c r="FQ65" s="33" t="n"/>
      <c r="FR65" s="33" t="n"/>
      <c r="FS65" s="33" t="n"/>
      <c r="FT65" s="33" t="n"/>
      <c r="FU65" s="33" t="n"/>
      <c r="FV65" s="33" t="n"/>
      <c r="FW65" s="33" t="n"/>
      <c r="FX65" s="33" t="n"/>
      <c r="FY65" s="33" t="n"/>
      <c r="FZ65" s="33" t="n"/>
      <c r="GA65" s="33" t="n"/>
      <c r="GB65" s="33" t="n"/>
      <c r="GC65" s="33" t="n"/>
      <c r="GD65" s="33" t="n"/>
      <c r="GE65" s="33" t="n"/>
      <c r="GF65" s="33" t="n"/>
      <c r="GG65" s="33" t="n"/>
      <c r="GH65" s="33" t="n"/>
      <c r="GI65" s="33" t="n"/>
      <c r="GJ65" s="33" t="n"/>
      <c r="GK65" s="33" t="n"/>
      <c r="GL65" s="33" t="n"/>
      <c r="GM65" s="33" t="n"/>
      <c r="GN65" s="33" t="n"/>
      <c r="GO65" s="33" t="n"/>
      <c r="GP65" s="33" t="n"/>
      <c r="GQ65" s="33" t="n"/>
      <c r="GR65" s="33" t="n"/>
      <c r="GS65" s="33" t="n"/>
      <c r="GT65" s="33" t="n"/>
      <c r="GU65" s="33" t="n"/>
      <c r="GV65" s="33" t="n"/>
      <c r="GW65" s="33" t="n"/>
      <c r="GX65" s="33" t="n"/>
      <c r="GY65" s="33" t="n"/>
      <c r="GZ65" s="33" t="n"/>
      <c r="HA65" s="33" t="n"/>
      <c r="HB65" s="33" t="n"/>
      <c r="HC65" s="33" t="n"/>
      <c r="HD65" s="33" t="n"/>
      <c r="HE65" s="33" t="n"/>
      <c r="HF65" s="33" t="n"/>
      <c r="HG65" s="33" t="n"/>
      <c r="HH65" s="33" t="n"/>
      <c r="HI65" s="33" t="n"/>
      <c r="HJ65" s="33" t="n"/>
      <c r="HK65" s="33" t="n"/>
      <c r="HL65" s="33" t="n"/>
      <c r="HM65" s="33" t="n"/>
      <c r="HN65" s="33" t="n"/>
      <c r="HO65" s="33" t="n"/>
      <c r="HP65" s="33" t="n"/>
      <c r="HQ65" s="33" t="n"/>
      <c r="HR65" s="33" t="n"/>
      <c r="HS65" s="33" t="n"/>
      <c r="HT65" s="33" t="n"/>
      <c r="HU65" s="33" t="n"/>
      <c r="HV65" s="33" t="n"/>
      <c r="HW65" s="33" t="n"/>
      <c r="HX65" s="33" t="n"/>
      <c r="HY65" s="33" t="n"/>
      <c r="HZ65" s="33" t="n"/>
      <c r="IA65" s="33" t="n"/>
      <c r="IB65" s="33" t="n"/>
      <c r="IC65" s="33" t="n"/>
      <c r="ID65" s="33" t="n"/>
      <c r="IE65" s="33" t="n"/>
      <c r="IF65" s="33" t="n"/>
      <c r="IG65" s="33" t="n"/>
      <c r="IH65" s="33" t="n"/>
      <c r="II65" s="33" t="n"/>
      <c r="IJ65" s="33" t="n"/>
      <c r="IK65" s="33" t="n"/>
      <c r="IL65" s="33" t="n"/>
      <c r="IM65" s="33" t="n"/>
      <c r="IN65" s="33" t="n"/>
      <c r="IO65" s="33" t="n"/>
      <c r="IP65" s="33" t="n"/>
      <c r="IQ65" s="33" t="n"/>
      <c r="IR65" s="33" t="n"/>
      <c r="IS65" s="33" t="n"/>
      <c r="IT65" s="33" t="n"/>
      <c r="IU65" s="33" t="n"/>
      <c r="IV65" s="33" t="n"/>
      <c r="IW65" s="33" t="n"/>
      <c r="IX65" s="33" t="n"/>
      <c r="IY65" s="33" t="n"/>
      <c r="IZ65" s="33" t="n"/>
      <c r="JA65" s="33" t="n"/>
      <c r="JB65" s="33" t="n"/>
      <c r="JC65" s="33" t="n"/>
      <c r="JD65" s="33" t="n"/>
      <c r="JE65" s="33" t="n"/>
      <c r="JF65" s="33" t="n"/>
      <c r="JG65" s="33" t="n"/>
      <c r="JH65" s="33" t="n"/>
      <c r="JI65" s="33" t="n"/>
      <c r="JJ65" s="33" t="n"/>
      <c r="JK65" s="33" t="n"/>
      <c r="JL65" s="33" t="n"/>
      <c r="JM65" s="33" t="n"/>
      <c r="JN65" s="33" t="n"/>
      <c r="JO65" s="33" t="n"/>
      <c r="JP65" s="33" t="n"/>
      <c r="JQ65" s="33" t="n"/>
      <c r="JR65" s="33" t="n"/>
      <c r="JS65" s="33" t="n"/>
      <c r="JT65" s="33" t="n"/>
      <c r="JU65" s="33" t="n"/>
      <c r="JV65" s="33" t="n"/>
      <c r="JW65" s="33" t="n"/>
      <c r="JX65" s="33" t="n"/>
      <c r="JY65" s="33" t="n"/>
      <c r="JZ65" s="33" t="n"/>
      <c r="KA65" s="33" t="n"/>
      <c r="KB65" s="33" t="n"/>
      <c r="KC65" s="33" t="n"/>
      <c r="KD65" s="33" t="n"/>
      <c r="KE65" s="33" t="n"/>
      <c r="KF65" s="33" t="n"/>
      <c r="KG65" s="33" t="n"/>
      <c r="KH65" s="33" t="n"/>
      <c r="KI65" s="33" t="n"/>
      <c r="KJ65" s="33" t="n"/>
      <c r="KK65" s="33" t="n"/>
      <c r="KL65" s="33" t="n"/>
      <c r="KM65" s="33" t="n"/>
      <c r="KN65" s="33" t="n"/>
      <c r="KO65" s="33" t="n"/>
      <c r="KP65" s="33" t="n"/>
      <c r="KQ65" s="33" t="n"/>
      <c r="KR65" s="33" t="n"/>
      <c r="KS65" s="33" t="n"/>
      <c r="KT65" s="33" t="n"/>
      <c r="KU65" s="33" t="n"/>
      <c r="KV65" s="33" t="n"/>
      <c r="KW65" s="33" t="n"/>
      <c r="KX65" s="33" t="n"/>
      <c r="KY65" s="33" t="n"/>
      <c r="KZ65" s="33" t="n"/>
      <c r="LA65" s="33" t="n"/>
      <c r="LB65" s="33" t="n"/>
      <c r="LC65" s="33" t="n"/>
      <c r="LD65" s="33" t="n"/>
      <c r="LE65" s="33" t="n"/>
      <c r="LF65" s="33" t="n"/>
      <c r="LG65" s="33" t="n"/>
      <c r="LH65" s="33" t="n"/>
      <c r="LI65" s="33" t="n"/>
      <c r="LJ65" s="33" t="n"/>
      <c r="LK65" s="33" t="n"/>
      <c r="LL65" s="33" t="n"/>
      <c r="LM65" s="33" t="n"/>
      <c r="LN65" s="33" t="n"/>
      <c r="LO65" s="33" t="n"/>
      <c r="LP65" s="33" t="n"/>
      <c r="LQ65" s="33" t="n"/>
      <c r="LR65" s="33" t="n"/>
      <c r="LS65" s="33" t="n"/>
      <c r="LT65" s="33" t="n"/>
      <c r="LU65" s="33" t="n"/>
      <c r="LV65" s="33" t="n"/>
      <c r="LW65" s="33" t="n"/>
      <c r="LX65" s="33" t="n"/>
      <c r="LY65" s="33" t="n"/>
      <c r="LZ65" s="33" t="n"/>
      <c r="MA65" s="33" t="n"/>
      <c r="MB65" s="33" t="n"/>
      <c r="MC65" s="33" t="n"/>
      <c r="MD65" s="33" t="n"/>
      <c r="ME65" s="33" t="n"/>
      <c r="MF65" s="33" t="n"/>
      <c r="MG65" s="33" t="n"/>
      <c r="MH65" s="33" t="n"/>
      <c r="MI65" s="33" t="n"/>
      <c r="MJ65" s="33" t="n"/>
      <c r="MK65" s="33" t="n"/>
      <c r="ML65" s="33" t="n"/>
      <c r="MM65" s="33" t="n"/>
      <c r="MN65" s="33" t="n"/>
      <c r="MO65" s="33" t="n"/>
      <c r="MP65" s="33" t="n"/>
      <c r="MQ65" s="33" t="n"/>
      <c r="MR65" s="33" t="n"/>
      <c r="MS65" s="33" t="n"/>
      <c r="MT65" s="33" t="n"/>
      <c r="MU65" s="33" t="n"/>
      <c r="MV65" s="33" t="n"/>
      <c r="MW65" s="33" t="n"/>
      <c r="MX65" s="33" t="n"/>
      <c r="MY65" s="33" t="n"/>
      <c r="MZ65" s="33" t="n"/>
      <c r="NA65" s="33" t="n"/>
      <c r="NB65" s="33" t="n"/>
      <c r="NC65" s="33" t="n"/>
      <c r="ND65" s="33" t="n"/>
      <c r="NE65" s="33" t="n"/>
      <c r="NF65" s="33" t="n"/>
      <c r="NG65" s="33" t="n"/>
      <c r="NH65" s="33" t="n"/>
      <c r="NI65" s="33" t="n"/>
      <c r="NJ65" s="33" t="n"/>
      <c r="NK65" s="33" t="n"/>
      <c r="NL65" s="33" t="n"/>
      <c r="NM65" s="33" t="n"/>
      <c r="NN65" s="33" t="n"/>
      <c r="NO65" s="33" t="n"/>
      <c r="NP65" s="33" t="n"/>
      <c r="NQ65" s="33" t="n"/>
      <c r="NR65" s="33" t="n"/>
      <c r="NS65" s="33" t="n"/>
      <c r="NT65" s="33" t="n"/>
      <c r="NU65" s="33" t="n"/>
      <c r="NV65" s="33" t="n"/>
      <c r="NW65" s="33" t="n"/>
      <c r="NX65" s="33" t="n"/>
      <c r="NY65" s="33" t="n"/>
      <c r="NZ65" s="33" t="n"/>
      <c r="OA65" s="33" t="n"/>
      <c r="OB65" s="33" t="n"/>
      <c r="OC65" s="33" t="n"/>
      <c r="OD65" s="33" t="n"/>
      <c r="OE65" s="33" t="n"/>
      <c r="OF65" s="33" t="n"/>
      <c r="OG65" s="33" t="n"/>
      <c r="OH65" s="33" t="n"/>
      <c r="OI65" s="33" t="n"/>
      <c r="OJ65" s="33" t="n"/>
      <c r="OK65" s="33" t="n"/>
      <c r="OL65" s="33" t="n"/>
      <c r="OM65" s="33" t="n"/>
      <c r="ON65" s="33" t="n"/>
      <c r="OO65" s="33" t="n"/>
      <c r="OP65" s="33" t="n"/>
      <c r="OQ65" s="33" t="n"/>
      <c r="OR65" s="33" t="n"/>
      <c r="OS65" s="33" t="n"/>
      <c r="OT65" s="33" t="n"/>
      <c r="OU65" s="33" t="n"/>
      <c r="OV65" s="33" t="n"/>
      <c r="OW65" s="33" t="n"/>
      <c r="OX65" s="33" t="n"/>
      <c r="OY65" s="33" t="n"/>
      <c r="OZ65" s="33" t="n"/>
      <c r="PA65" s="33" t="n"/>
      <c r="PB65" s="33" t="n"/>
      <c r="PC65" s="33" t="n"/>
      <c r="PD65" s="33" t="n"/>
      <c r="PE65" s="33" t="n"/>
      <c r="PF65" s="33" t="n"/>
      <c r="PG65" s="33" t="n"/>
      <c r="PH65" s="33" t="n"/>
      <c r="PI65" s="33" t="n"/>
      <c r="PJ65" s="33" t="n"/>
      <c r="PK65" s="33" t="n"/>
      <c r="PL65" s="33" t="n"/>
      <c r="PM65" s="33" t="n"/>
      <c r="PN65" s="33" t="n"/>
      <c r="PO65" s="33" t="n"/>
      <c r="PP65" s="33" t="n"/>
      <c r="PQ65" s="33" t="n"/>
      <c r="PR65" s="33" t="n"/>
      <c r="PS65" s="33" t="n"/>
      <c r="PT65" s="33" t="n"/>
      <c r="PU65" s="33" t="n"/>
      <c r="PV65" s="33" t="n"/>
      <c r="PW65" s="33" t="n"/>
      <c r="PX65" s="33" t="n"/>
      <c r="PY65" s="33" t="n"/>
      <c r="PZ65" s="33" t="n"/>
      <c r="QA65" s="33" t="n"/>
      <c r="QB65" s="33" t="n"/>
      <c r="QC65" s="33" t="n"/>
      <c r="QD65" s="33" t="n"/>
      <c r="QE65" s="33" t="n"/>
      <c r="QF65" s="33" t="n"/>
      <c r="QG65" s="33" t="n"/>
      <c r="QH65" s="33" t="n"/>
      <c r="QI65" s="33" t="n"/>
      <c r="QJ65" s="33" t="n"/>
      <c r="QK65" s="33" t="n"/>
      <c r="QL65" s="33" t="n"/>
      <c r="QM65" s="33" t="n"/>
      <c r="QN65" s="33" t="n"/>
      <c r="QO65" s="33" t="n"/>
      <c r="QP65" s="33" t="n"/>
      <c r="QQ65" s="33" t="n"/>
      <c r="QR65" s="33" t="n"/>
      <c r="QS65" s="33" t="n"/>
      <c r="QT65" s="33" t="n"/>
      <c r="QU65" s="33" t="n"/>
      <c r="QV65" s="33" t="n"/>
      <c r="QW65" s="33" t="n"/>
      <c r="QX65" s="33" t="n"/>
      <c r="QY65" s="33" t="n"/>
      <c r="QZ65" s="33" t="n"/>
      <c r="RA65" s="33" t="n"/>
      <c r="RB65" s="33" t="n"/>
      <c r="RC65" s="33" t="n"/>
      <c r="RD65" s="33" t="n"/>
      <c r="RE65" s="33" t="n"/>
      <c r="RF65" s="33" t="n"/>
      <c r="RG65" s="33" t="n"/>
      <c r="RH65" s="33" t="n"/>
      <c r="RI65" s="33" t="n"/>
      <c r="RJ65" s="33" t="n"/>
      <c r="RK65" s="33" t="n"/>
      <c r="RL65" s="33" t="n"/>
      <c r="RM65" s="33" t="n"/>
      <c r="RN65" s="33" t="n"/>
      <c r="RO65" s="33" t="n"/>
      <c r="RP65" s="33" t="n"/>
      <c r="RQ65" s="33" t="n"/>
      <c r="RR65" s="33" t="n"/>
      <c r="RS65" s="33" t="n"/>
      <c r="RT65" s="33" t="n"/>
      <c r="RU65" s="33" t="n"/>
      <c r="RV65" s="33" t="n"/>
      <c r="RW65" s="33" t="n"/>
    </row>
    <row r="66" hidden="1" outlineLevel="1" ht="13.05" customHeight="1">
      <c r="E66" s="25" t="inlineStr">
        <is>
          <t>Interest</t>
        </is>
      </c>
      <c r="F66" s="26" t="n"/>
      <c r="G66" s="26" t="inlineStr">
        <is>
          <t>kEUR</t>
        </is>
      </c>
      <c r="H66" s="26" t="n"/>
      <c r="I66" s="26" t="n"/>
      <c r="J66" s="27" t="n"/>
      <c r="K66" s="26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  <c r="AP66" s="28" t="n"/>
      <c r="AQ66" s="28" t="n"/>
      <c r="AR66" s="28" t="n"/>
      <c r="AS66" s="28" t="n"/>
      <c r="AT66" s="28" t="n"/>
      <c r="AU66" s="28" t="n"/>
      <c r="AV66" s="28" t="n"/>
      <c r="AW66" s="28" t="n"/>
      <c r="AX66" s="28" t="n"/>
      <c r="AY66" s="28" t="n"/>
      <c r="AZ66" s="28" t="n"/>
      <c r="BA66" s="28" t="n"/>
      <c r="BB66" s="28" t="n"/>
      <c r="BC66" s="28" t="n"/>
      <c r="BD66" s="28" t="n"/>
      <c r="BE66" s="28" t="n"/>
      <c r="BF66" s="28" t="n"/>
      <c r="BG66" s="28" t="n"/>
      <c r="BH66" s="28" t="n"/>
      <c r="BI66" s="28" t="n"/>
      <c r="BJ66" s="28" t="n"/>
      <c r="BK66" s="28" t="n"/>
      <c r="BL66" s="28" t="n"/>
      <c r="BM66" s="28" t="n"/>
      <c r="BN66" s="28" t="n"/>
      <c r="BO66" s="28" t="n"/>
      <c r="BP66" s="28" t="n"/>
      <c r="BQ66" s="28" t="n"/>
      <c r="BR66" s="28" t="n"/>
      <c r="BS66" s="28" t="n"/>
      <c r="BT66" s="28" t="n"/>
      <c r="BU66" s="28" t="n"/>
      <c r="BV66" s="28" t="n"/>
      <c r="BW66" s="28" t="n"/>
      <c r="BX66" s="28" t="n"/>
      <c r="BY66" s="28" t="n"/>
      <c r="BZ66" s="28" t="n"/>
      <c r="CA66" s="28" t="n"/>
      <c r="CB66" s="28" t="n"/>
      <c r="CC66" s="28" t="n"/>
      <c r="CD66" s="28" t="n"/>
      <c r="CE66" s="28" t="n"/>
      <c r="CF66" s="28" t="n"/>
      <c r="CG66" s="28" t="n"/>
      <c r="CH66" s="28" t="n"/>
      <c r="CI66" s="28" t="n"/>
      <c r="CJ66" s="28" t="n"/>
      <c r="CK66" s="28" t="n"/>
      <c r="CL66" s="28" t="n"/>
      <c r="CM66" s="28" t="n"/>
      <c r="CN66" s="28" t="n"/>
      <c r="CO66" s="28" t="n"/>
      <c r="CP66" s="28" t="n"/>
      <c r="CQ66" s="28" t="n"/>
      <c r="CR66" s="28" t="n"/>
      <c r="CS66" s="28" t="n"/>
      <c r="CT66" s="28" t="n"/>
      <c r="CU66" s="28" t="n"/>
      <c r="CV66" s="28" t="n"/>
      <c r="CW66" s="28" t="n"/>
      <c r="CX66" s="28" t="n"/>
      <c r="CY66" s="28" t="n"/>
      <c r="CZ66" s="28" t="n"/>
      <c r="DA66" s="28" t="n"/>
      <c r="DB66" s="28" t="n"/>
      <c r="DC66" s="28" t="n"/>
      <c r="DD66" s="28" t="n"/>
      <c r="DE66" s="28" t="n"/>
      <c r="DF66" s="28" t="n"/>
      <c r="DG66" s="28" t="n"/>
      <c r="DH66" s="28" t="n"/>
      <c r="DI66" s="28" t="n"/>
      <c r="DJ66" s="28" t="n"/>
      <c r="DK66" s="28" t="n"/>
      <c r="DL66" s="28" t="n"/>
      <c r="DM66" s="28" t="n"/>
      <c r="DN66" s="28" t="n"/>
      <c r="DO66" s="28" t="n"/>
      <c r="DP66" s="28" t="n"/>
      <c r="DQ66" s="28" t="n"/>
      <c r="DR66" s="28" t="n"/>
      <c r="DS66" s="28" t="n"/>
      <c r="DT66" s="28" t="n"/>
      <c r="DU66" s="28" t="n"/>
      <c r="DV66" s="28" t="n"/>
      <c r="DW66" s="28" t="n"/>
      <c r="DX66" s="28" t="n"/>
      <c r="DY66" s="28" t="n"/>
      <c r="DZ66" s="28" t="n"/>
      <c r="EA66" s="28" t="n"/>
      <c r="EB66" s="28" t="n"/>
      <c r="EC66" s="28" t="n"/>
      <c r="ED66" s="28" t="n"/>
      <c r="EE66" s="28" t="n"/>
      <c r="EF66" s="28" t="n"/>
      <c r="EG66" s="28" t="n"/>
      <c r="EH66" s="28" t="n"/>
      <c r="EI66" s="28" t="n"/>
      <c r="EJ66" s="28" t="n"/>
      <c r="EK66" s="28" t="n"/>
      <c r="EL66" s="28" t="n"/>
      <c r="EM66" s="28" t="n"/>
      <c r="EN66" s="28" t="n"/>
      <c r="EO66" s="28" t="n"/>
      <c r="EP66" s="28" t="n"/>
      <c r="EQ66" s="28" t="n"/>
      <c r="ER66" s="28" t="n"/>
      <c r="ES66" s="28" t="n"/>
      <c r="ET66" s="28" t="n"/>
      <c r="EU66" s="28" t="n"/>
      <c r="EV66" s="28" t="n"/>
      <c r="EW66" s="28" t="n"/>
      <c r="EX66" s="28" t="n"/>
      <c r="EY66" s="28" t="n"/>
      <c r="EZ66" s="28" t="n"/>
      <c r="FA66" s="28" t="n"/>
      <c r="FB66" s="28" t="n"/>
      <c r="FC66" s="28" t="n"/>
      <c r="FD66" s="28" t="n"/>
      <c r="FE66" s="28" t="n"/>
      <c r="FF66" s="28" t="n"/>
      <c r="FG66" s="28" t="n"/>
      <c r="FH66" s="28" t="n"/>
      <c r="FI66" s="28" t="n"/>
      <c r="FJ66" s="28" t="n"/>
      <c r="FK66" s="28" t="n"/>
      <c r="FL66" s="28" t="n"/>
      <c r="FM66" s="28" t="n"/>
      <c r="FN66" s="28" t="n"/>
      <c r="FO66" s="28" t="n"/>
      <c r="FP66" s="28" t="n"/>
      <c r="FQ66" s="28" t="n"/>
      <c r="FR66" s="28" t="n"/>
      <c r="FS66" s="28" t="n"/>
      <c r="FT66" s="28" t="n"/>
      <c r="FU66" s="28" t="n"/>
      <c r="FV66" s="28" t="n"/>
      <c r="FW66" s="28" t="n"/>
      <c r="FX66" s="28" t="n"/>
      <c r="FY66" s="28" t="n"/>
      <c r="FZ66" s="28" t="n"/>
      <c r="GA66" s="28" t="n"/>
      <c r="GB66" s="28" t="n"/>
      <c r="GC66" s="28" t="n"/>
      <c r="GD66" s="28" t="n"/>
      <c r="GE66" s="28" t="n"/>
      <c r="GF66" s="28" t="n"/>
      <c r="GG66" s="28" t="n"/>
      <c r="GH66" s="28" t="n"/>
      <c r="GI66" s="28" t="n"/>
      <c r="GJ66" s="28" t="n"/>
      <c r="GK66" s="28" t="n"/>
      <c r="GL66" s="28" t="n"/>
      <c r="GM66" s="28" t="n"/>
      <c r="GN66" s="28" t="n"/>
      <c r="GO66" s="28" t="n"/>
      <c r="GP66" s="28" t="n"/>
      <c r="GQ66" s="28" t="n"/>
      <c r="GR66" s="28" t="n"/>
      <c r="GS66" s="28" t="n"/>
      <c r="GT66" s="28" t="n"/>
      <c r="GU66" s="28" t="n"/>
      <c r="GV66" s="28" t="n"/>
      <c r="GW66" s="28" t="n"/>
      <c r="GX66" s="28" t="n"/>
      <c r="GY66" s="28" t="n"/>
      <c r="GZ66" s="28" t="n"/>
      <c r="HA66" s="28" t="n"/>
      <c r="HB66" s="28" t="n"/>
      <c r="HC66" s="28" t="n"/>
      <c r="HD66" s="28" t="n"/>
      <c r="HE66" s="28" t="n"/>
      <c r="HF66" s="28" t="n"/>
      <c r="HG66" s="28" t="n"/>
      <c r="HH66" s="28" t="n"/>
      <c r="HI66" s="28" t="n"/>
      <c r="HJ66" s="28" t="n"/>
      <c r="HK66" s="28" t="n"/>
      <c r="HL66" s="28" t="n"/>
      <c r="HM66" s="28" t="n"/>
      <c r="HN66" s="28" t="n"/>
      <c r="HO66" s="28" t="n"/>
      <c r="HP66" s="28" t="n"/>
      <c r="HQ66" s="28" t="n"/>
      <c r="HR66" s="28" t="n"/>
      <c r="HS66" s="28" t="n"/>
      <c r="HT66" s="28" t="n"/>
      <c r="HU66" s="28" t="n"/>
      <c r="HV66" s="28" t="n"/>
      <c r="HW66" s="28" t="n"/>
      <c r="HX66" s="28" t="n"/>
      <c r="HY66" s="28" t="n"/>
      <c r="HZ66" s="28" t="n"/>
      <c r="IA66" s="28" t="n"/>
      <c r="IB66" s="28" t="n"/>
      <c r="IC66" s="28" t="n"/>
      <c r="ID66" s="28" t="n"/>
      <c r="IE66" s="28" t="n"/>
      <c r="IF66" s="28" t="n"/>
      <c r="IG66" s="28" t="n"/>
      <c r="IH66" s="28" t="n"/>
      <c r="II66" s="28" t="n"/>
      <c r="IJ66" s="28" t="n"/>
      <c r="IK66" s="28" t="n"/>
      <c r="IL66" s="28" t="n"/>
      <c r="IM66" s="28" t="n"/>
      <c r="IN66" s="28" t="n"/>
      <c r="IO66" s="28" t="n"/>
      <c r="IP66" s="28" t="n"/>
      <c r="IQ66" s="28" t="n"/>
      <c r="IR66" s="28" t="n"/>
      <c r="IS66" s="28" t="n"/>
      <c r="IT66" s="28" t="n"/>
      <c r="IU66" s="28" t="n"/>
      <c r="IV66" s="28" t="n"/>
      <c r="IW66" s="28" t="n"/>
      <c r="IX66" s="28" t="n"/>
      <c r="IY66" s="28" t="n"/>
      <c r="IZ66" s="28" t="n"/>
      <c r="JA66" s="28" t="n"/>
      <c r="JB66" s="28" t="n"/>
      <c r="JC66" s="28" t="n"/>
      <c r="JD66" s="28" t="n"/>
      <c r="JE66" s="28" t="n"/>
      <c r="JF66" s="28" t="n"/>
      <c r="JG66" s="28" t="n"/>
      <c r="JH66" s="28" t="n"/>
      <c r="JI66" s="28" t="n"/>
      <c r="JJ66" s="28" t="n"/>
      <c r="JK66" s="28" t="n"/>
      <c r="JL66" s="28" t="n"/>
      <c r="JM66" s="28" t="n"/>
      <c r="JN66" s="28" t="n"/>
      <c r="JO66" s="28" t="n"/>
      <c r="JP66" s="28" t="n"/>
      <c r="JQ66" s="28" t="n"/>
      <c r="JR66" s="28" t="n"/>
      <c r="JS66" s="28" t="n"/>
      <c r="JT66" s="28" t="n"/>
      <c r="JU66" s="28" t="n"/>
      <c r="JV66" s="28" t="n"/>
      <c r="JW66" s="28" t="n"/>
      <c r="JX66" s="28" t="n"/>
      <c r="JY66" s="28" t="n"/>
      <c r="JZ66" s="28" t="n"/>
      <c r="KA66" s="28" t="n"/>
      <c r="KB66" s="28" t="n"/>
      <c r="KC66" s="28" t="n"/>
      <c r="KD66" s="28" t="n"/>
      <c r="KE66" s="28" t="n"/>
      <c r="KF66" s="28" t="n"/>
      <c r="KG66" s="28" t="n"/>
      <c r="KH66" s="28" t="n"/>
      <c r="KI66" s="28" t="n"/>
      <c r="KJ66" s="28" t="n"/>
      <c r="KK66" s="28" t="n"/>
      <c r="KL66" s="28" t="n"/>
      <c r="KM66" s="28" t="n"/>
      <c r="KN66" s="28" t="n"/>
      <c r="KO66" s="28" t="n"/>
      <c r="KP66" s="28" t="n"/>
      <c r="KQ66" s="28" t="n"/>
      <c r="KR66" s="28" t="n"/>
      <c r="KS66" s="28" t="n"/>
      <c r="KT66" s="28" t="n"/>
      <c r="KU66" s="28" t="n"/>
      <c r="KV66" s="28" t="n"/>
      <c r="KW66" s="28" t="n"/>
      <c r="KX66" s="28" t="n"/>
      <c r="KY66" s="28" t="n"/>
      <c r="KZ66" s="28" t="n"/>
      <c r="LA66" s="28" t="n"/>
      <c r="LB66" s="28" t="n"/>
      <c r="LC66" s="28" t="n"/>
      <c r="LD66" s="28" t="n"/>
      <c r="LE66" s="28" t="n"/>
      <c r="LF66" s="28" t="n"/>
      <c r="LG66" s="28" t="n"/>
      <c r="LH66" s="28" t="n"/>
      <c r="LI66" s="28" t="n"/>
      <c r="LJ66" s="28" t="n"/>
      <c r="LK66" s="28" t="n"/>
      <c r="LL66" s="28" t="n"/>
      <c r="LM66" s="28" t="n"/>
      <c r="LN66" s="28" t="n"/>
      <c r="LO66" s="28" t="n"/>
      <c r="LP66" s="28" t="n"/>
      <c r="LQ66" s="28" t="n"/>
      <c r="LR66" s="28" t="n"/>
      <c r="LS66" s="28" t="n"/>
      <c r="LT66" s="28" t="n"/>
      <c r="LU66" s="28" t="n"/>
      <c r="LV66" s="28" t="n"/>
      <c r="LW66" s="28" t="n"/>
      <c r="LX66" s="28" t="n"/>
      <c r="LY66" s="28" t="n"/>
      <c r="LZ66" s="28" t="n"/>
      <c r="MA66" s="28" t="n"/>
      <c r="MB66" s="28" t="n"/>
      <c r="MC66" s="28" t="n"/>
      <c r="MD66" s="28" t="n"/>
      <c r="ME66" s="28" t="n"/>
      <c r="MF66" s="28" t="n"/>
      <c r="MG66" s="28" t="n"/>
      <c r="MH66" s="28" t="n"/>
      <c r="MI66" s="28" t="n"/>
      <c r="MJ66" s="28" t="n"/>
      <c r="MK66" s="28" t="n"/>
      <c r="ML66" s="28" t="n"/>
      <c r="MM66" s="28" t="n"/>
      <c r="MN66" s="28" t="n"/>
      <c r="MO66" s="28" t="n"/>
      <c r="MP66" s="28" t="n"/>
      <c r="MQ66" s="28" t="n"/>
      <c r="MR66" s="28" t="n"/>
      <c r="MS66" s="28" t="n"/>
      <c r="MT66" s="28" t="n"/>
      <c r="MU66" s="28" t="n"/>
      <c r="MV66" s="28" t="n"/>
      <c r="MW66" s="28" t="n"/>
      <c r="MX66" s="28" t="n"/>
      <c r="MY66" s="28" t="n"/>
      <c r="MZ66" s="28" t="n"/>
      <c r="NA66" s="28" t="n"/>
      <c r="NB66" s="28" t="n"/>
      <c r="NC66" s="28" t="n"/>
      <c r="ND66" s="28" t="n"/>
      <c r="NE66" s="28" t="n"/>
      <c r="NF66" s="28" t="n"/>
      <c r="NG66" s="28" t="n"/>
      <c r="NH66" s="28" t="n"/>
      <c r="NI66" s="28" t="n"/>
      <c r="NJ66" s="28" t="n"/>
      <c r="NK66" s="28" t="n"/>
      <c r="NL66" s="28" t="n"/>
      <c r="NM66" s="28" t="n"/>
      <c r="NN66" s="28" t="n"/>
      <c r="NO66" s="28" t="n"/>
      <c r="NP66" s="28" t="n"/>
      <c r="NQ66" s="28" t="n"/>
      <c r="NR66" s="28" t="n"/>
      <c r="NS66" s="28" t="n"/>
      <c r="NT66" s="28" t="n"/>
      <c r="NU66" s="28" t="n"/>
      <c r="NV66" s="28" t="n"/>
      <c r="NW66" s="28" t="n"/>
      <c r="NX66" s="28" t="n"/>
      <c r="NY66" s="28" t="n"/>
      <c r="NZ66" s="28" t="n"/>
      <c r="OA66" s="28" t="n"/>
      <c r="OB66" s="28" t="n"/>
      <c r="OC66" s="28" t="n"/>
      <c r="OD66" s="28" t="n"/>
      <c r="OE66" s="28" t="n"/>
      <c r="OF66" s="28" t="n"/>
      <c r="OG66" s="28" t="n"/>
      <c r="OH66" s="28" t="n"/>
      <c r="OI66" s="28" t="n"/>
      <c r="OJ66" s="28" t="n"/>
      <c r="OK66" s="28" t="n"/>
      <c r="OL66" s="28" t="n"/>
      <c r="OM66" s="28" t="n"/>
      <c r="ON66" s="28" t="n"/>
      <c r="OO66" s="28" t="n"/>
      <c r="OP66" s="28" t="n"/>
      <c r="OQ66" s="28" t="n"/>
      <c r="OR66" s="28" t="n"/>
      <c r="OS66" s="28" t="n"/>
      <c r="OT66" s="28" t="n"/>
      <c r="OU66" s="28" t="n"/>
      <c r="OV66" s="28" t="n"/>
      <c r="OW66" s="28" t="n"/>
      <c r="OX66" s="28" t="n"/>
      <c r="OY66" s="28" t="n"/>
      <c r="OZ66" s="28" t="n"/>
      <c r="PA66" s="28" t="n"/>
      <c r="PB66" s="28" t="n"/>
      <c r="PC66" s="28" t="n"/>
      <c r="PD66" s="28" t="n"/>
      <c r="PE66" s="28" t="n"/>
      <c r="PF66" s="28" t="n"/>
      <c r="PG66" s="28" t="n"/>
      <c r="PH66" s="28" t="n"/>
      <c r="PI66" s="28" t="n"/>
      <c r="PJ66" s="28" t="n"/>
      <c r="PK66" s="28" t="n"/>
      <c r="PL66" s="28" t="n"/>
      <c r="PM66" s="28" t="n"/>
      <c r="PN66" s="28" t="n"/>
      <c r="PO66" s="28" t="n"/>
      <c r="PP66" s="28" t="n"/>
      <c r="PQ66" s="28" t="n"/>
      <c r="PR66" s="28" t="n"/>
      <c r="PS66" s="28" t="n"/>
      <c r="PT66" s="28" t="n"/>
      <c r="PU66" s="28" t="n"/>
      <c r="PV66" s="28" t="n"/>
      <c r="PW66" s="28" t="n"/>
      <c r="PX66" s="28" t="n"/>
      <c r="PY66" s="28" t="n"/>
      <c r="PZ66" s="28" t="n"/>
      <c r="QA66" s="28" t="n"/>
      <c r="QB66" s="28" t="n"/>
      <c r="QC66" s="28" t="n"/>
      <c r="QD66" s="28" t="n"/>
      <c r="QE66" s="28" t="n"/>
      <c r="QF66" s="28" t="n"/>
      <c r="QG66" s="28" t="n"/>
      <c r="QH66" s="28" t="n"/>
      <c r="QI66" s="28" t="n"/>
      <c r="QJ66" s="28" t="n"/>
      <c r="QK66" s="28" t="n"/>
      <c r="QL66" s="28" t="n"/>
      <c r="QM66" s="28" t="n"/>
      <c r="QN66" s="28" t="n"/>
      <c r="QO66" s="28" t="n"/>
      <c r="QP66" s="28" t="n"/>
      <c r="QQ66" s="28" t="n"/>
      <c r="QR66" s="28" t="n"/>
      <c r="QS66" s="28" t="n"/>
      <c r="QT66" s="28" t="n"/>
      <c r="QU66" s="28" t="n"/>
      <c r="QV66" s="28" t="n"/>
      <c r="QW66" s="28" t="n"/>
      <c r="QX66" s="28" t="n"/>
      <c r="QY66" s="28" t="n"/>
      <c r="QZ66" s="28" t="n"/>
      <c r="RA66" s="28" t="n"/>
      <c r="RB66" s="28" t="n"/>
      <c r="RC66" s="28" t="n"/>
      <c r="RD66" s="28" t="n"/>
      <c r="RE66" s="28" t="n"/>
      <c r="RF66" s="28" t="n"/>
      <c r="RG66" s="28" t="n"/>
      <c r="RH66" s="28" t="n"/>
      <c r="RI66" s="28" t="n"/>
      <c r="RJ66" s="28" t="n"/>
      <c r="RK66" s="28" t="n"/>
      <c r="RL66" s="28" t="n"/>
      <c r="RM66" s="28" t="n"/>
      <c r="RN66" s="28" t="n"/>
      <c r="RO66" s="28" t="n"/>
      <c r="RP66" s="28" t="n"/>
      <c r="RQ66" s="28" t="n"/>
      <c r="RR66" s="28" t="n"/>
      <c r="RS66" s="28" t="n"/>
      <c r="RT66" s="28" t="n"/>
      <c r="RU66" s="28" t="n"/>
      <c r="RV66" s="28" t="n"/>
      <c r="RW66" s="28" t="n"/>
    </row>
    <row r="67" hidden="1" outlineLevel="1" ht="13.05" customHeight="1">
      <c r="E67" s="21" t="inlineStr">
        <is>
          <t>Principal Repayment</t>
        </is>
      </c>
      <c r="F67" s="29" t="n"/>
      <c r="G67" s="29" t="inlineStr">
        <is>
          <t>kEUR</t>
        </is>
      </c>
      <c r="H67" s="29" t="n"/>
      <c r="I67" s="29" t="n"/>
      <c r="J67" s="32" t="n"/>
      <c r="K67" s="29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  <c r="AE67" s="33" t="n"/>
      <c r="AF67" s="33" t="n"/>
      <c r="AG67" s="33" t="n"/>
      <c r="AH67" s="33" t="n"/>
      <c r="AI67" s="33" t="n"/>
      <c r="AJ67" s="33" t="n"/>
      <c r="AK67" s="33" t="n"/>
      <c r="AL67" s="33" t="n"/>
      <c r="AM67" s="33" t="n"/>
      <c r="AN67" s="33" t="n"/>
      <c r="AO67" s="33" t="n"/>
      <c r="AP67" s="33" t="n"/>
      <c r="AQ67" s="33" t="n"/>
      <c r="AR67" s="33" t="n"/>
      <c r="AS67" s="33" t="n"/>
      <c r="AT67" s="33" t="n"/>
      <c r="AU67" s="33" t="n"/>
      <c r="AV67" s="33" t="n"/>
      <c r="AW67" s="33" t="n"/>
      <c r="AX67" s="33" t="n"/>
      <c r="AY67" s="33" t="n"/>
      <c r="AZ67" s="33" t="n"/>
      <c r="BA67" s="33" t="n"/>
      <c r="BB67" s="33" t="n"/>
      <c r="BC67" s="33" t="n"/>
      <c r="BD67" s="33" t="n"/>
      <c r="BE67" s="33" t="n"/>
      <c r="BF67" s="33" t="n"/>
      <c r="BG67" s="33" t="n"/>
      <c r="BH67" s="33" t="n"/>
      <c r="BI67" s="33" t="n"/>
      <c r="BJ67" s="33" t="n"/>
      <c r="BK67" s="33" t="n"/>
      <c r="BL67" s="33" t="n"/>
      <c r="BM67" s="33" t="n"/>
      <c r="BN67" s="33" t="n"/>
      <c r="BO67" s="33" t="n"/>
      <c r="BP67" s="33" t="n"/>
      <c r="BQ67" s="33" t="n"/>
      <c r="BR67" s="33" t="n"/>
      <c r="BS67" s="33" t="n"/>
      <c r="BT67" s="33" t="n"/>
      <c r="BU67" s="33" t="n"/>
      <c r="BV67" s="33" t="n"/>
      <c r="BW67" s="33" t="n"/>
      <c r="BX67" s="33" t="n"/>
      <c r="BY67" s="33" t="n"/>
      <c r="BZ67" s="33" t="n"/>
      <c r="CA67" s="33" t="n"/>
      <c r="CB67" s="33" t="n"/>
      <c r="CC67" s="33" t="n"/>
      <c r="CD67" s="33" t="n"/>
      <c r="CE67" s="33" t="n"/>
      <c r="CF67" s="33" t="n"/>
      <c r="CG67" s="33" t="n"/>
      <c r="CH67" s="33" t="n"/>
      <c r="CI67" s="33" t="n"/>
      <c r="CJ67" s="33" t="n"/>
      <c r="CK67" s="33" t="n"/>
      <c r="CL67" s="33" t="n"/>
      <c r="CM67" s="33" t="n"/>
      <c r="CN67" s="33" t="n"/>
      <c r="CO67" s="33" t="n"/>
      <c r="CP67" s="33" t="n"/>
      <c r="CQ67" s="33" t="n"/>
      <c r="CR67" s="33" t="n"/>
      <c r="CS67" s="33" t="n"/>
      <c r="CT67" s="33" t="n"/>
      <c r="CU67" s="33" t="n"/>
      <c r="CV67" s="33" t="n"/>
      <c r="CW67" s="33" t="n"/>
      <c r="CX67" s="33" t="n"/>
      <c r="CY67" s="33" t="n"/>
      <c r="CZ67" s="33" t="n"/>
      <c r="DA67" s="33" t="n"/>
      <c r="DB67" s="33" t="n"/>
      <c r="DC67" s="33" t="n"/>
      <c r="DD67" s="33" t="n"/>
      <c r="DE67" s="33" t="n"/>
      <c r="DF67" s="33" t="n"/>
      <c r="DG67" s="33" t="n"/>
      <c r="DH67" s="33" t="n"/>
      <c r="DI67" s="33" t="n"/>
      <c r="DJ67" s="33" t="n"/>
      <c r="DK67" s="33" t="n"/>
      <c r="DL67" s="33" t="n"/>
      <c r="DM67" s="33" t="n"/>
      <c r="DN67" s="33" t="n"/>
      <c r="DO67" s="33" t="n"/>
      <c r="DP67" s="33" t="n"/>
      <c r="DQ67" s="33" t="n"/>
      <c r="DR67" s="33" t="n"/>
      <c r="DS67" s="33" t="n"/>
      <c r="DT67" s="33" t="n"/>
      <c r="DU67" s="33" t="n"/>
      <c r="DV67" s="33" t="n"/>
      <c r="DW67" s="33" t="n"/>
      <c r="DX67" s="33" t="n"/>
      <c r="DY67" s="33" t="n"/>
      <c r="DZ67" s="33" t="n"/>
      <c r="EA67" s="33" t="n"/>
      <c r="EB67" s="33" t="n"/>
      <c r="EC67" s="33" t="n"/>
      <c r="ED67" s="33" t="n"/>
      <c r="EE67" s="33" t="n"/>
      <c r="EF67" s="33" t="n"/>
      <c r="EG67" s="33" t="n"/>
      <c r="EH67" s="33" t="n"/>
      <c r="EI67" s="33" t="n"/>
      <c r="EJ67" s="33" t="n"/>
      <c r="EK67" s="33" t="n"/>
      <c r="EL67" s="33" t="n"/>
      <c r="EM67" s="33" t="n"/>
      <c r="EN67" s="33" t="n"/>
      <c r="EO67" s="33" t="n"/>
      <c r="EP67" s="33" t="n"/>
      <c r="EQ67" s="33" t="n"/>
      <c r="ER67" s="33" t="n"/>
      <c r="ES67" s="33" t="n"/>
      <c r="ET67" s="33" t="n"/>
      <c r="EU67" s="33" t="n"/>
      <c r="EV67" s="33" t="n"/>
      <c r="EW67" s="33" t="n"/>
      <c r="EX67" s="33" t="n"/>
      <c r="EY67" s="33" t="n"/>
      <c r="EZ67" s="33" t="n"/>
      <c r="FA67" s="33" t="n"/>
      <c r="FB67" s="33" t="n"/>
      <c r="FC67" s="33" t="n"/>
      <c r="FD67" s="33" t="n"/>
      <c r="FE67" s="33" t="n"/>
      <c r="FF67" s="33" t="n"/>
      <c r="FG67" s="33" t="n"/>
      <c r="FH67" s="33" t="n"/>
      <c r="FI67" s="33" t="n"/>
      <c r="FJ67" s="33" t="n"/>
      <c r="FK67" s="33" t="n"/>
      <c r="FL67" s="33" t="n"/>
      <c r="FM67" s="33" t="n"/>
      <c r="FN67" s="33" t="n"/>
      <c r="FO67" s="33" t="n"/>
      <c r="FP67" s="33" t="n"/>
      <c r="FQ67" s="33" t="n"/>
      <c r="FR67" s="33" t="n"/>
      <c r="FS67" s="33" t="n"/>
      <c r="FT67" s="33" t="n"/>
      <c r="FU67" s="33" t="n"/>
      <c r="FV67" s="33" t="n"/>
      <c r="FW67" s="33" t="n"/>
      <c r="FX67" s="33" t="n"/>
      <c r="FY67" s="33" t="n"/>
      <c r="FZ67" s="33" t="n"/>
      <c r="GA67" s="33" t="n"/>
      <c r="GB67" s="33" t="n"/>
      <c r="GC67" s="33" t="n"/>
      <c r="GD67" s="33" t="n"/>
      <c r="GE67" s="33" t="n"/>
      <c r="GF67" s="33" t="n"/>
      <c r="GG67" s="33" t="n"/>
      <c r="GH67" s="33" t="n"/>
      <c r="GI67" s="33" t="n"/>
      <c r="GJ67" s="33" t="n"/>
      <c r="GK67" s="33" t="n"/>
      <c r="GL67" s="33" t="n"/>
      <c r="GM67" s="33" t="n"/>
      <c r="GN67" s="33" t="n"/>
      <c r="GO67" s="33" t="n"/>
      <c r="GP67" s="33" t="n"/>
      <c r="GQ67" s="33" t="n"/>
      <c r="GR67" s="33" t="n"/>
      <c r="GS67" s="33" t="n"/>
      <c r="GT67" s="33" t="n"/>
      <c r="GU67" s="33" t="n"/>
      <c r="GV67" s="33" t="n"/>
      <c r="GW67" s="33" t="n"/>
      <c r="GX67" s="33" t="n"/>
      <c r="GY67" s="33" t="n"/>
      <c r="GZ67" s="33" t="n"/>
      <c r="HA67" s="33" t="n"/>
      <c r="HB67" s="33" t="n"/>
      <c r="HC67" s="33" t="n"/>
      <c r="HD67" s="33" t="n"/>
      <c r="HE67" s="33" t="n"/>
      <c r="HF67" s="33" t="n"/>
      <c r="HG67" s="33" t="n"/>
      <c r="HH67" s="33" t="n"/>
      <c r="HI67" s="33" t="n"/>
      <c r="HJ67" s="33" t="n"/>
      <c r="HK67" s="33" t="n"/>
      <c r="HL67" s="33" t="n"/>
      <c r="HM67" s="33" t="n"/>
      <c r="HN67" s="33" t="n"/>
      <c r="HO67" s="33" t="n"/>
      <c r="HP67" s="33" t="n"/>
      <c r="HQ67" s="33" t="n"/>
      <c r="HR67" s="33" t="n"/>
      <c r="HS67" s="33" t="n"/>
      <c r="HT67" s="33" t="n"/>
      <c r="HU67" s="33" t="n"/>
      <c r="HV67" s="33" t="n"/>
      <c r="HW67" s="33" t="n"/>
      <c r="HX67" s="33" t="n"/>
      <c r="HY67" s="33" t="n"/>
      <c r="HZ67" s="33" t="n"/>
      <c r="IA67" s="33" t="n"/>
      <c r="IB67" s="33" t="n"/>
      <c r="IC67" s="33" t="n"/>
      <c r="ID67" s="33" t="n"/>
      <c r="IE67" s="33" t="n"/>
      <c r="IF67" s="33" t="n"/>
      <c r="IG67" s="33" t="n"/>
      <c r="IH67" s="33" t="n"/>
      <c r="II67" s="33" t="n"/>
      <c r="IJ67" s="33" t="n"/>
      <c r="IK67" s="33" t="n"/>
      <c r="IL67" s="33" t="n"/>
      <c r="IM67" s="33" t="n"/>
      <c r="IN67" s="33" t="n"/>
      <c r="IO67" s="33" t="n"/>
      <c r="IP67" s="33" t="n"/>
      <c r="IQ67" s="33" t="n"/>
      <c r="IR67" s="33" t="n"/>
      <c r="IS67" s="33" t="n"/>
      <c r="IT67" s="33" t="n"/>
      <c r="IU67" s="33" t="n"/>
      <c r="IV67" s="33" t="n"/>
      <c r="IW67" s="33" t="n"/>
      <c r="IX67" s="33" t="n"/>
      <c r="IY67" s="33" t="n"/>
      <c r="IZ67" s="33" t="n"/>
      <c r="JA67" s="33" t="n"/>
      <c r="JB67" s="33" t="n"/>
      <c r="JC67" s="33" t="n"/>
      <c r="JD67" s="33" t="n"/>
      <c r="JE67" s="33" t="n"/>
      <c r="JF67" s="33" t="n"/>
      <c r="JG67" s="33" t="n"/>
      <c r="JH67" s="33" t="n"/>
      <c r="JI67" s="33" t="n"/>
      <c r="JJ67" s="33" t="n"/>
      <c r="JK67" s="33" t="n"/>
      <c r="JL67" s="33" t="n"/>
      <c r="JM67" s="33" t="n"/>
      <c r="JN67" s="33" t="n"/>
      <c r="JO67" s="33" t="n"/>
      <c r="JP67" s="33" t="n"/>
      <c r="JQ67" s="33" t="n"/>
      <c r="JR67" s="33" t="n"/>
      <c r="JS67" s="33" t="n"/>
      <c r="JT67" s="33" t="n"/>
      <c r="JU67" s="33" t="n"/>
      <c r="JV67" s="33" t="n"/>
      <c r="JW67" s="33" t="n"/>
      <c r="JX67" s="33" t="n"/>
      <c r="JY67" s="33" t="n"/>
      <c r="JZ67" s="33" t="n"/>
      <c r="KA67" s="33" t="n"/>
      <c r="KB67" s="33" t="n"/>
      <c r="KC67" s="33" t="n"/>
      <c r="KD67" s="33" t="n"/>
      <c r="KE67" s="33" t="n"/>
      <c r="KF67" s="33" t="n"/>
      <c r="KG67" s="33" t="n"/>
      <c r="KH67" s="33" t="n"/>
      <c r="KI67" s="33" t="n"/>
      <c r="KJ67" s="33" t="n"/>
      <c r="KK67" s="33" t="n"/>
      <c r="KL67" s="33" t="n"/>
      <c r="KM67" s="33" t="n"/>
      <c r="KN67" s="33" t="n"/>
      <c r="KO67" s="33" t="n"/>
      <c r="KP67" s="33" t="n"/>
      <c r="KQ67" s="33" t="n"/>
      <c r="KR67" s="33" t="n"/>
      <c r="KS67" s="33" t="n"/>
      <c r="KT67" s="33" t="n"/>
      <c r="KU67" s="33" t="n"/>
      <c r="KV67" s="33" t="n"/>
      <c r="KW67" s="33" t="n"/>
      <c r="KX67" s="33" t="n"/>
      <c r="KY67" s="33" t="n"/>
      <c r="KZ67" s="33" t="n"/>
      <c r="LA67" s="33" t="n"/>
      <c r="LB67" s="33" t="n"/>
      <c r="LC67" s="33" t="n"/>
      <c r="LD67" s="33" t="n"/>
      <c r="LE67" s="33" t="n"/>
      <c r="LF67" s="33" t="n"/>
      <c r="LG67" s="33" t="n"/>
      <c r="LH67" s="33" t="n"/>
      <c r="LI67" s="33" t="n"/>
      <c r="LJ67" s="33" t="n"/>
      <c r="LK67" s="33" t="n"/>
      <c r="LL67" s="33" t="n"/>
      <c r="LM67" s="33" t="n"/>
      <c r="LN67" s="33" t="n"/>
      <c r="LO67" s="33" t="n"/>
      <c r="LP67" s="33" t="n"/>
      <c r="LQ67" s="33" t="n"/>
      <c r="LR67" s="33" t="n"/>
      <c r="LS67" s="33" t="n"/>
      <c r="LT67" s="33" t="n"/>
      <c r="LU67" s="33" t="n"/>
      <c r="LV67" s="33" t="n"/>
      <c r="LW67" s="33" t="n"/>
      <c r="LX67" s="33" t="n"/>
      <c r="LY67" s="33" t="n"/>
      <c r="LZ67" s="33" t="n"/>
      <c r="MA67" s="33" t="n"/>
      <c r="MB67" s="33" t="n"/>
      <c r="MC67" s="33" t="n"/>
      <c r="MD67" s="33" t="n"/>
      <c r="ME67" s="33" t="n"/>
      <c r="MF67" s="33" t="n"/>
      <c r="MG67" s="33" t="n"/>
      <c r="MH67" s="33" t="n"/>
      <c r="MI67" s="33" t="n"/>
      <c r="MJ67" s="33" t="n"/>
      <c r="MK67" s="33" t="n"/>
      <c r="ML67" s="33" t="n"/>
      <c r="MM67" s="33" t="n"/>
      <c r="MN67" s="33" t="n"/>
      <c r="MO67" s="33" t="n"/>
      <c r="MP67" s="33" t="n"/>
      <c r="MQ67" s="33" t="n"/>
      <c r="MR67" s="33" t="n"/>
      <c r="MS67" s="33" t="n"/>
      <c r="MT67" s="33" t="n"/>
      <c r="MU67" s="33" t="n"/>
      <c r="MV67" s="33" t="n"/>
      <c r="MW67" s="33" t="n"/>
      <c r="MX67" s="33" t="n"/>
      <c r="MY67" s="33" t="n"/>
      <c r="MZ67" s="33" t="n"/>
      <c r="NA67" s="33" t="n"/>
      <c r="NB67" s="33" t="n"/>
      <c r="NC67" s="33" t="n"/>
      <c r="ND67" s="33" t="n"/>
      <c r="NE67" s="33" t="n"/>
      <c r="NF67" s="33" t="n"/>
      <c r="NG67" s="33" t="n"/>
      <c r="NH67" s="33" t="n"/>
      <c r="NI67" s="33" t="n"/>
      <c r="NJ67" s="33" t="n"/>
      <c r="NK67" s="33" t="n"/>
      <c r="NL67" s="33" t="n"/>
      <c r="NM67" s="33" t="n"/>
      <c r="NN67" s="33" t="n"/>
      <c r="NO67" s="33" t="n"/>
      <c r="NP67" s="33" t="n"/>
      <c r="NQ67" s="33" t="n"/>
      <c r="NR67" s="33" t="n"/>
      <c r="NS67" s="33" t="n"/>
      <c r="NT67" s="33" t="n"/>
      <c r="NU67" s="33" t="n"/>
      <c r="NV67" s="33" t="n"/>
      <c r="NW67" s="33" t="n"/>
      <c r="NX67" s="33" t="n"/>
      <c r="NY67" s="33" t="n"/>
      <c r="NZ67" s="33" t="n"/>
      <c r="OA67" s="33" t="n"/>
      <c r="OB67" s="33" t="n"/>
      <c r="OC67" s="33" t="n"/>
      <c r="OD67" s="33" t="n"/>
      <c r="OE67" s="33" t="n"/>
      <c r="OF67" s="33" t="n"/>
      <c r="OG67" s="33" t="n"/>
      <c r="OH67" s="33" t="n"/>
      <c r="OI67" s="33" t="n"/>
      <c r="OJ67" s="33" t="n"/>
      <c r="OK67" s="33" t="n"/>
      <c r="OL67" s="33" t="n"/>
      <c r="OM67" s="33" t="n"/>
      <c r="ON67" s="33" t="n"/>
      <c r="OO67" s="33" t="n"/>
      <c r="OP67" s="33" t="n"/>
      <c r="OQ67" s="33" t="n"/>
      <c r="OR67" s="33" t="n"/>
      <c r="OS67" s="33" t="n"/>
      <c r="OT67" s="33" t="n"/>
      <c r="OU67" s="33" t="n"/>
      <c r="OV67" s="33" t="n"/>
      <c r="OW67" s="33" t="n"/>
      <c r="OX67" s="33" t="n"/>
      <c r="OY67" s="33" t="n"/>
      <c r="OZ67" s="33" t="n"/>
      <c r="PA67" s="33" t="n"/>
      <c r="PB67" s="33" t="n"/>
      <c r="PC67" s="33" t="n"/>
      <c r="PD67" s="33" t="n"/>
      <c r="PE67" s="33" t="n"/>
      <c r="PF67" s="33" t="n"/>
      <c r="PG67" s="33" t="n"/>
      <c r="PH67" s="33" t="n"/>
      <c r="PI67" s="33" t="n"/>
      <c r="PJ67" s="33" t="n"/>
      <c r="PK67" s="33" t="n"/>
      <c r="PL67" s="33" t="n"/>
      <c r="PM67" s="33" t="n"/>
      <c r="PN67" s="33" t="n"/>
      <c r="PO67" s="33" t="n"/>
      <c r="PP67" s="33" t="n"/>
      <c r="PQ67" s="33" t="n"/>
      <c r="PR67" s="33" t="n"/>
      <c r="PS67" s="33" t="n"/>
      <c r="PT67" s="33" t="n"/>
      <c r="PU67" s="33" t="n"/>
      <c r="PV67" s="33" t="n"/>
      <c r="PW67" s="33" t="n"/>
      <c r="PX67" s="33" t="n"/>
      <c r="PY67" s="33" t="n"/>
      <c r="PZ67" s="33" t="n"/>
      <c r="QA67" s="33" t="n"/>
      <c r="QB67" s="33" t="n"/>
      <c r="QC67" s="33" t="n"/>
      <c r="QD67" s="33" t="n"/>
      <c r="QE67" s="33" t="n"/>
      <c r="QF67" s="33" t="n"/>
      <c r="QG67" s="33" t="n"/>
      <c r="QH67" s="33" t="n"/>
      <c r="QI67" s="33" t="n"/>
      <c r="QJ67" s="33" t="n"/>
      <c r="QK67" s="33" t="n"/>
      <c r="QL67" s="33" t="n"/>
      <c r="QM67" s="33" t="n"/>
      <c r="QN67" s="33" t="n"/>
      <c r="QO67" s="33" t="n"/>
      <c r="QP67" s="33" t="n"/>
      <c r="QQ67" s="33" t="n"/>
      <c r="QR67" s="33" t="n"/>
      <c r="QS67" s="33" t="n"/>
      <c r="QT67" s="33" t="n"/>
      <c r="QU67" s="33" t="n"/>
      <c r="QV67" s="33" t="n"/>
      <c r="QW67" s="33" t="n"/>
      <c r="QX67" s="33" t="n"/>
      <c r="QY67" s="33" t="n"/>
      <c r="QZ67" s="33" t="n"/>
      <c r="RA67" s="33" t="n"/>
      <c r="RB67" s="33" t="n"/>
      <c r="RC67" s="33" t="n"/>
      <c r="RD67" s="33" t="n"/>
      <c r="RE67" s="33" t="n"/>
      <c r="RF67" s="33" t="n"/>
      <c r="RG67" s="33" t="n"/>
      <c r="RH67" s="33" t="n"/>
      <c r="RI67" s="33" t="n"/>
      <c r="RJ67" s="33" t="n"/>
      <c r="RK67" s="33" t="n"/>
      <c r="RL67" s="33" t="n"/>
      <c r="RM67" s="33" t="n"/>
      <c r="RN67" s="33" t="n"/>
      <c r="RO67" s="33" t="n"/>
      <c r="RP67" s="33" t="n"/>
      <c r="RQ67" s="33" t="n"/>
      <c r="RR67" s="33" t="n"/>
      <c r="RS67" s="33" t="n"/>
      <c r="RT67" s="33" t="n"/>
      <c r="RU67" s="33" t="n"/>
      <c r="RV67" s="33" t="n"/>
      <c r="RW67" s="33" t="n"/>
    </row>
    <row r="68" hidden="1" outlineLevel="1" ht="13.05" customHeight="1">
      <c r="E68" s="21" t="inlineStr">
        <is>
          <t>Cash Sweep Prepayment</t>
        </is>
      </c>
      <c r="F68" s="29" t="n"/>
      <c r="G68" s="29" t="inlineStr">
        <is>
          <t>kEUR</t>
        </is>
      </c>
      <c r="H68" s="29" t="n"/>
      <c r="I68" s="29" t="n"/>
      <c r="J68" s="32" t="n"/>
      <c r="K68" s="29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n"/>
      <c r="AI68" s="33" t="n"/>
      <c r="AJ68" s="33" t="n"/>
      <c r="AK68" s="33" t="n"/>
      <c r="AL68" s="33" t="n"/>
      <c r="AM68" s="33" t="n"/>
      <c r="AN68" s="33" t="n"/>
      <c r="AO68" s="33" t="n"/>
      <c r="AP68" s="33" t="n"/>
      <c r="AQ68" s="33" t="n"/>
      <c r="AR68" s="33" t="n"/>
      <c r="AS68" s="33" t="n"/>
      <c r="AT68" s="33" t="n"/>
      <c r="AU68" s="33" t="n"/>
      <c r="AV68" s="33" t="n"/>
      <c r="AW68" s="33" t="n"/>
      <c r="AX68" s="33" t="n"/>
      <c r="AY68" s="33" t="n"/>
      <c r="AZ68" s="33" t="n"/>
      <c r="BA68" s="33" t="n"/>
      <c r="BB68" s="33" t="n"/>
      <c r="BC68" s="33" t="n"/>
      <c r="BD68" s="33" t="n"/>
      <c r="BE68" s="33" t="n"/>
      <c r="BF68" s="33" t="n"/>
      <c r="BG68" s="33" t="n"/>
      <c r="BH68" s="33" t="n"/>
      <c r="BI68" s="33" t="n"/>
      <c r="BJ68" s="33" t="n"/>
      <c r="BK68" s="33" t="n"/>
      <c r="BL68" s="33" t="n"/>
      <c r="BM68" s="33" t="n"/>
      <c r="BN68" s="33" t="n"/>
      <c r="BO68" s="33" t="n"/>
      <c r="BP68" s="33" t="n"/>
      <c r="BQ68" s="33" t="n"/>
      <c r="BR68" s="33" t="n"/>
      <c r="BS68" s="33" t="n"/>
      <c r="BT68" s="33" t="n"/>
      <c r="BU68" s="33" t="n"/>
      <c r="BV68" s="33" t="n"/>
      <c r="BW68" s="33" t="n"/>
      <c r="BX68" s="33" t="n"/>
      <c r="BY68" s="33" t="n"/>
      <c r="BZ68" s="33" t="n"/>
      <c r="CA68" s="33" t="n"/>
      <c r="CB68" s="33" t="n"/>
      <c r="CC68" s="33" t="n"/>
      <c r="CD68" s="33" t="n"/>
      <c r="CE68" s="33" t="n"/>
      <c r="CF68" s="33" t="n"/>
      <c r="CG68" s="33" t="n"/>
      <c r="CH68" s="33" t="n"/>
      <c r="CI68" s="33" t="n"/>
      <c r="CJ68" s="33" t="n"/>
      <c r="CK68" s="33" t="n"/>
      <c r="CL68" s="33" t="n"/>
      <c r="CM68" s="33" t="n"/>
      <c r="CN68" s="33" t="n"/>
      <c r="CO68" s="33" t="n"/>
      <c r="CP68" s="33" t="n"/>
      <c r="CQ68" s="33" t="n"/>
      <c r="CR68" s="33" t="n"/>
      <c r="CS68" s="33" t="n"/>
      <c r="CT68" s="33" t="n"/>
      <c r="CU68" s="33" t="n"/>
      <c r="CV68" s="33" t="n"/>
      <c r="CW68" s="33" t="n"/>
      <c r="CX68" s="33" t="n"/>
      <c r="CY68" s="33" t="n"/>
      <c r="CZ68" s="33" t="n"/>
      <c r="DA68" s="33" t="n"/>
      <c r="DB68" s="33" t="n"/>
      <c r="DC68" s="33" t="n"/>
      <c r="DD68" s="33" t="n"/>
      <c r="DE68" s="33" t="n"/>
      <c r="DF68" s="33" t="n"/>
      <c r="DG68" s="33" t="n"/>
      <c r="DH68" s="33" t="n"/>
      <c r="DI68" s="33" t="n"/>
      <c r="DJ68" s="33" t="n"/>
      <c r="DK68" s="33" t="n"/>
      <c r="DL68" s="33" t="n"/>
      <c r="DM68" s="33" t="n"/>
      <c r="DN68" s="33" t="n"/>
      <c r="DO68" s="33" t="n"/>
      <c r="DP68" s="33" t="n"/>
      <c r="DQ68" s="33" t="n"/>
      <c r="DR68" s="33" t="n"/>
      <c r="DS68" s="33" t="n"/>
      <c r="DT68" s="33" t="n"/>
      <c r="DU68" s="33" t="n"/>
      <c r="DV68" s="33" t="n"/>
      <c r="DW68" s="33" t="n"/>
      <c r="DX68" s="33" t="n"/>
      <c r="DY68" s="33" t="n"/>
      <c r="DZ68" s="33" t="n"/>
      <c r="EA68" s="33" t="n"/>
      <c r="EB68" s="33" t="n"/>
      <c r="EC68" s="33" t="n"/>
      <c r="ED68" s="33" t="n"/>
      <c r="EE68" s="33" t="n"/>
      <c r="EF68" s="33" t="n"/>
      <c r="EG68" s="33" t="n"/>
      <c r="EH68" s="33" t="n"/>
      <c r="EI68" s="33" t="n"/>
      <c r="EJ68" s="33" t="n"/>
      <c r="EK68" s="33" t="n"/>
      <c r="EL68" s="33" t="n"/>
      <c r="EM68" s="33" t="n"/>
      <c r="EN68" s="33" t="n"/>
      <c r="EO68" s="33" t="n"/>
      <c r="EP68" s="33" t="n"/>
      <c r="EQ68" s="33" t="n"/>
      <c r="ER68" s="33" t="n"/>
      <c r="ES68" s="33" t="n"/>
      <c r="ET68" s="33" t="n"/>
      <c r="EU68" s="33" t="n"/>
      <c r="EV68" s="33" t="n"/>
      <c r="EW68" s="33" t="n"/>
      <c r="EX68" s="33" t="n"/>
      <c r="EY68" s="33" t="n"/>
      <c r="EZ68" s="33" t="n"/>
      <c r="FA68" s="33" t="n"/>
      <c r="FB68" s="33" t="n"/>
      <c r="FC68" s="33" t="n"/>
      <c r="FD68" s="33" t="n"/>
      <c r="FE68" s="33" t="n"/>
      <c r="FF68" s="33" t="n"/>
      <c r="FG68" s="33" t="n"/>
      <c r="FH68" s="33" t="n"/>
      <c r="FI68" s="33" t="n"/>
      <c r="FJ68" s="33" t="n"/>
      <c r="FK68" s="33" t="n"/>
      <c r="FL68" s="33" t="n"/>
      <c r="FM68" s="33" t="n"/>
      <c r="FN68" s="33" t="n"/>
      <c r="FO68" s="33" t="n"/>
      <c r="FP68" s="33" t="n"/>
      <c r="FQ68" s="33" t="n"/>
      <c r="FR68" s="33" t="n"/>
      <c r="FS68" s="33" t="n"/>
      <c r="FT68" s="33" t="n"/>
      <c r="FU68" s="33" t="n"/>
      <c r="FV68" s="33" t="n"/>
      <c r="FW68" s="33" t="n"/>
      <c r="FX68" s="33" t="n"/>
      <c r="FY68" s="33" t="n"/>
      <c r="FZ68" s="33" t="n"/>
      <c r="GA68" s="33" t="n"/>
      <c r="GB68" s="33" t="n"/>
      <c r="GC68" s="33" t="n"/>
      <c r="GD68" s="33" t="n"/>
      <c r="GE68" s="33" t="n"/>
      <c r="GF68" s="33" t="n"/>
      <c r="GG68" s="33" t="n"/>
      <c r="GH68" s="33" t="n"/>
      <c r="GI68" s="33" t="n"/>
      <c r="GJ68" s="33" t="n"/>
      <c r="GK68" s="33" t="n"/>
      <c r="GL68" s="33" t="n"/>
      <c r="GM68" s="33" t="n"/>
      <c r="GN68" s="33" t="n"/>
      <c r="GO68" s="33" t="n"/>
      <c r="GP68" s="33" t="n"/>
      <c r="GQ68" s="33" t="n"/>
      <c r="GR68" s="33" t="n"/>
      <c r="GS68" s="33" t="n"/>
      <c r="GT68" s="33" t="n"/>
      <c r="GU68" s="33" t="n"/>
      <c r="GV68" s="33" t="n"/>
      <c r="GW68" s="33" t="n"/>
      <c r="GX68" s="33" t="n"/>
      <c r="GY68" s="33" t="n"/>
      <c r="GZ68" s="33" t="n"/>
      <c r="HA68" s="33" t="n"/>
      <c r="HB68" s="33" t="n"/>
      <c r="HC68" s="33" t="n"/>
      <c r="HD68" s="33" t="n"/>
      <c r="HE68" s="33" t="n"/>
      <c r="HF68" s="33" t="n"/>
      <c r="HG68" s="33" t="n"/>
      <c r="HH68" s="33" t="n"/>
      <c r="HI68" s="33" t="n"/>
      <c r="HJ68" s="33" t="n"/>
      <c r="HK68" s="33" t="n"/>
      <c r="HL68" s="33" t="n"/>
      <c r="HM68" s="33" t="n"/>
      <c r="HN68" s="33" t="n"/>
      <c r="HO68" s="33" t="n"/>
      <c r="HP68" s="33" t="n"/>
      <c r="HQ68" s="33" t="n"/>
      <c r="HR68" s="33" t="n"/>
      <c r="HS68" s="33" t="n"/>
      <c r="HT68" s="33" t="n"/>
      <c r="HU68" s="33" t="n"/>
      <c r="HV68" s="33" t="n"/>
      <c r="HW68" s="33" t="n"/>
      <c r="HX68" s="33" t="n"/>
      <c r="HY68" s="33" t="n"/>
      <c r="HZ68" s="33" t="n"/>
      <c r="IA68" s="33" t="n"/>
      <c r="IB68" s="33" t="n"/>
      <c r="IC68" s="33" t="n"/>
      <c r="ID68" s="33" t="n"/>
      <c r="IE68" s="33" t="n"/>
      <c r="IF68" s="33" t="n"/>
      <c r="IG68" s="33" t="n"/>
      <c r="IH68" s="33" t="n"/>
      <c r="II68" s="33" t="n"/>
      <c r="IJ68" s="33" t="n"/>
      <c r="IK68" s="33" t="n"/>
      <c r="IL68" s="33" t="n"/>
      <c r="IM68" s="33" t="n"/>
      <c r="IN68" s="33" t="n"/>
      <c r="IO68" s="33" t="n"/>
      <c r="IP68" s="33" t="n"/>
      <c r="IQ68" s="33" t="n"/>
      <c r="IR68" s="33" t="n"/>
      <c r="IS68" s="33" t="n"/>
      <c r="IT68" s="33" t="n"/>
      <c r="IU68" s="33" t="n"/>
      <c r="IV68" s="33" t="n"/>
      <c r="IW68" s="33" t="n"/>
      <c r="IX68" s="33" t="n"/>
      <c r="IY68" s="33" t="n"/>
      <c r="IZ68" s="33" t="n"/>
      <c r="JA68" s="33" t="n"/>
      <c r="JB68" s="33" t="n"/>
      <c r="JC68" s="33" t="n"/>
      <c r="JD68" s="33" t="n"/>
      <c r="JE68" s="33" t="n"/>
      <c r="JF68" s="33" t="n"/>
      <c r="JG68" s="33" t="n"/>
      <c r="JH68" s="33" t="n"/>
      <c r="JI68" s="33" t="n"/>
      <c r="JJ68" s="33" t="n"/>
      <c r="JK68" s="33" t="n"/>
      <c r="JL68" s="33" t="n"/>
      <c r="JM68" s="33" t="n"/>
      <c r="JN68" s="33" t="n"/>
      <c r="JO68" s="33" t="n"/>
      <c r="JP68" s="33" t="n"/>
      <c r="JQ68" s="33" t="n"/>
      <c r="JR68" s="33" t="n"/>
      <c r="JS68" s="33" t="n"/>
      <c r="JT68" s="33" t="n"/>
      <c r="JU68" s="33" t="n"/>
      <c r="JV68" s="33" t="n"/>
      <c r="JW68" s="33" t="n"/>
      <c r="JX68" s="33" t="n"/>
      <c r="JY68" s="33" t="n"/>
      <c r="JZ68" s="33" t="n"/>
      <c r="KA68" s="33" t="n"/>
      <c r="KB68" s="33" t="n"/>
      <c r="KC68" s="33" t="n"/>
      <c r="KD68" s="33" t="n"/>
      <c r="KE68" s="33" t="n"/>
      <c r="KF68" s="33" t="n"/>
      <c r="KG68" s="33" t="n"/>
      <c r="KH68" s="33" t="n"/>
      <c r="KI68" s="33" t="n"/>
      <c r="KJ68" s="33" t="n"/>
      <c r="KK68" s="33" t="n"/>
      <c r="KL68" s="33" t="n"/>
      <c r="KM68" s="33" t="n"/>
      <c r="KN68" s="33" t="n"/>
      <c r="KO68" s="33" t="n"/>
      <c r="KP68" s="33" t="n"/>
      <c r="KQ68" s="33" t="n"/>
      <c r="KR68" s="33" t="n"/>
      <c r="KS68" s="33" t="n"/>
      <c r="KT68" s="33" t="n"/>
      <c r="KU68" s="33" t="n"/>
      <c r="KV68" s="33" t="n"/>
      <c r="KW68" s="33" t="n"/>
      <c r="KX68" s="33" t="n"/>
      <c r="KY68" s="33" t="n"/>
      <c r="KZ68" s="33" t="n"/>
      <c r="LA68" s="33" t="n"/>
      <c r="LB68" s="33" t="n"/>
      <c r="LC68" s="33" t="n"/>
      <c r="LD68" s="33" t="n"/>
      <c r="LE68" s="33" t="n"/>
      <c r="LF68" s="33" t="n"/>
      <c r="LG68" s="33" t="n"/>
      <c r="LH68" s="33" t="n"/>
      <c r="LI68" s="33" t="n"/>
      <c r="LJ68" s="33" t="n"/>
      <c r="LK68" s="33" t="n"/>
      <c r="LL68" s="33" t="n"/>
      <c r="LM68" s="33" t="n"/>
      <c r="LN68" s="33" t="n"/>
      <c r="LO68" s="33" t="n"/>
      <c r="LP68" s="33" t="n"/>
      <c r="LQ68" s="33" t="n"/>
      <c r="LR68" s="33" t="n"/>
      <c r="LS68" s="33" t="n"/>
      <c r="LT68" s="33" t="n"/>
      <c r="LU68" s="33" t="n"/>
      <c r="LV68" s="33" t="n"/>
      <c r="LW68" s="33" t="n"/>
      <c r="LX68" s="33" t="n"/>
      <c r="LY68" s="33" t="n"/>
      <c r="LZ68" s="33" t="n"/>
      <c r="MA68" s="33" t="n"/>
      <c r="MB68" s="33" t="n"/>
      <c r="MC68" s="33" t="n"/>
      <c r="MD68" s="33" t="n"/>
      <c r="ME68" s="33" t="n"/>
      <c r="MF68" s="33" t="n"/>
      <c r="MG68" s="33" t="n"/>
      <c r="MH68" s="33" t="n"/>
      <c r="MI68" s="33" t="n"/>
      <c r="MJ68" s="33" t="n"/>
      <c r="MK68" s="33" t="n"/>
      <c r="ML68" s="33" t="n"/>
      <c r="MM68" s="33" t="n"/>
      <c r="MN68" s="33" t="n"/>
      <c r="MO68" s="33" t="n"/>
      <c r="MP68" s="33" t="n"/>
      <c r="MQ68" s="33" t="n"/>
      <c r="MR68" s="33" t="n"/>
      <c r="MS68" s="33" t="n"/>
      <c r="MT68" s="33" t="n"/>
      <c r="MU68" s="33" t="n"/>
      <c r="MV68" s="33" t="n"/>
      <c r="MW68" s="33" t="n"/>
      <c r="MX68" s="33" t="n"/>
      <c r="MY68" s="33" t="n"/>
      <c r="MZ68" s="33" t="n"/>
      <c r="NA68" s="33" t="n"/>
      <c r="NB68" s="33" t="n"/>
      <c r="NC68" s="33" t="n"/>
      <c r="ND68" s="33" t="n"/>
      <c r="NE68" s="33" t="n"/>
      <c r="NF68" s="33" t="n"/>
      <c r="NG68" s="33" t="n"/>
      <c r="NH68" s="33" t="n"/>
      <c r="NI68" s="33" t="n"/>
      <c r="NJ68" s="33" t="n"/>
      <c r="NK68" s="33" t="n"/>
      <c r="NL68" s="33" t="n"/>
      <c r="NM68" s="33" t="n"/>
      <c r="NN68" s="33" t="n"/>
      <c r="NO68" s="33" t="n"/>
      <c r="NP68" s="33" t="n"/>
      <c r="NQ68" s="33" t="n"/>
      <c r="NR68" s="33" t="n"/>
      <c r="NS68" s="33" t="n"/>
      <c r="NT68" s="33" t="n"/>
      <c r="NU68" s="33" t="n"/>
      <c r="NV68" s="33" t="n"/>
      <c r="NW68" s="33" t="n"/>
      <c r="NX68" s="33" t="n"/>
      <c r="NY68" s="33" t="n"/>
      <c r="NZ68" s="33" t="n"/>
      <c r="OA68" s="33" t="n"/>
      <c r="OB68" s="33" t="n"/>
      <c r="OC68" s="33" t="n"/>
      <c r="OD68" s="33" t="n"/>
      <c r="OE68" s="33" t="n"/>
      <c r="OF68" s="33" t="n"/>
      <c r="OG68" s="33" t="n"/>
      <c r="OH68" s="33" t="n"/>
      <c r="OI68" s="33" t="n"/>
      <c r="OJ68" s="33" t="n"/>
      <c r="OK68" s="33" t="n"/>
      <c r="OL68" s="33" t="n"/>
      <c r="OM68" s="33" t="n"/>
      <c r="ON68" s="33" t="n"/>
      <c r="OO68" s="33" t="n"/>
      <c r="OP68" s="33" t="n"/>
      <c r="OQ68" s="33" t="n"/>
      <c r="OR68" s="33" t="n"/>
      <c r="OS68" s="33" t="n"/>
      <c r="OT68" s="33" t="n"/>
      <c r="OU68" s="33" t="n"/>
      <c r="OV68" s="33" t="n"/>
      <c r="OW68" s="33" t="n"/>
      <c r="OX68" s="33" t="n"/>
      <c r="OY68" s="33" t="n"/>
      <c r="OZ68" s="33" t="n"/>
      <c r="PA68" s="33" t="n"/>
      <c r="PB68" s="33" t="n"/>
      <c r="PC68" s="33" t="n"/>
      <c r="PD68" s="33" t="n"/>
      <c r="PE68" s="33" t="n"/>
      <c r="PF68" s="33" t="n"/>
      <c r="PG68" s="33" t="n"/>
      <c r="PH68" s="33" t="n"/>
      <c r="PI68" s="33" t="n"/>
      <c r="PJ68" s="33" t="n"/>
      <c r="PK68" s="33" t="n"/>
      <c r="PL68" s="33" t="n"/>
      <c r="PM68" s="33" t="n"/>
      <c r="PN68" s="33" t="n"/>
      <c r="PO68" s="33" t="n"/>
      <c r="PP68" s="33" t="n"/>
      <c r="PQ68" s="33" t="n"/>
      <c r="PR68" s="33" t="n"/>
      <c r="PS68" s="33" t="n"/>
      <c r="PT68" s="33" t="n"/>
      <c r="PU68" s="33" t="n"/>
      <c r="PV68" s="33" t="n"/>
      <c r="PW68" s="33" t="n"/>
      <c r="PX68" s="33" t="n"/>
      <c r="PY68" s="33" t="n"/>
      <c r="PZ68" s="33" t="n"/>
      <c r="QA68" s="33" t="n"/>
      <c r="QB68" s="33" t="n"/>
      <c r="QC68" s="33" t="n"/>
      <c r="QD68" s="33" t="n"/>
      <c r="QE68" s="33" t="n"/>
      <c r="QF68" s="33" t="n"/>
      <c r="QG68" s="33" t="n"/>
      <c r="QH68" s="33" t="n"/>
      <c r="QI68" s="33" t="n"/>
      <c r="QJ68" s="33" t="n"/>
      <c r="QK68" s="33" t="n"/>
      <c r="QL68" s="33" t="n"/>
      <c r="QM68" s="33" t="n"/>
      <c r="QN68" s="33" t="n"/>
      <c r="QO68" s="33" t="n"/>
      <c r="QP68" s="33" t="n"/>
      <c r="QQ68" s="33" t="n"/>
      <c r="QR68" s="33" t="n"/>
      <c r="QS68" s="33" t="n"/>
      <c r="QT68" s="33" t="n"/>
      <c r="QU68" s="33" t="n"/>
      <c r="QV68" s="33" t="n"/>
      <c r="QW68" s="33" t="n"/>
      <c r="QX68" s="33" t="n"/>
      <c r="QY68" s="33" t="n"/>
      <c r="QZ68" s="33" t="n"/>
      <c r="RA68" s="33" t="n"/>
      <c r="RB68" s="33" t="n"/>
      <c r="RC68" s="33" t="n"/>
      <c r="RD68" s="33" t="n"/>
      <c r="RE68" s="33" t="n"/>
      <c r="RF68" s="33" t="n"/>
      <c r="RG68" s="33" t="n"/>
      <c r="RH68" s="33" t="n"/>
      <c r="RI68" s="33" t="n"/>
      <c r="RJ68" s="33" t="n"/>
      <c r="RK68" s="33" t="n"/>
      <c r="RL68" s="33" t="n"/>
      <c r="RM68" s="33" t="n"/>
      <c r="RN68" s="33" t="n"/>
      <c r="RO68" s="33" t="n"/>
      <c r="RP68" s="33" t="n"/>
      <c r="RQ68" s="33" t="n"/>
      <c r="RR68" s="33" t="n"/>
      <c r="RS68" s="33" t="n"/>
      <c r="RT68" s="33" t="n"/>
      <c r="RU68" s="33" t="n"/>
      <c r="RV68" s="33" t="n"/>
      <c r="RW68" s="33" t="n"/>
    </row>
    <row r="69" hidden="1" outlineLevel="1" ht="13.05" customHeight="1">
      <c r="E69" s="25" t="inlineStr">
        <is>
          <t>Closing Balance</t>
        </is>
      </c>
      <c r="F69" s="26" t="n"/>
      <c r="G69" s="26" t="inlineStr">
        <is>
          <t>kEUR</t>
        </is>
      </c>
      <c r="H69" s="26" t="n"/>
      <c r="I69" s="26" t="n"/>
      <c r="J69" s="27" t="n"/>
      <c r="K69" s="26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  <c r="AS69" s="28" t="n"/>
      <c r="AT69" s="28" t="n"/>
      <c r="AU69" s="28" t="n"/>
      <c r="AV69" s="28" t="n"/>
      <c r="AW69" s="28" t="n"/>
      <c r="AX69" s="28" t="n"/>
      <c r="AY69" s="28" t="n"/>
      <c r="AZ69" s="28" t="n"/>
      <c r="BA69" s="28" t="n"/>
      <c r="BB69" s="28" t="n"/>
      <c r="BC69" s="28" t="n"/>
      <c r="BD69" s="28" t="n"/>
      <c r="BE69" s="28" t="n"/>
      <c r="BF69" s="28" t="n"/>
      <c r="BG69" s="28" t="n"/>
      <c r="BH69" s="28" t="n"/>
      <c r="BI69" s="28" t="n"/>
      <c r="BJ69" s="28" t="n"/>
      <c r="BK69" s="28" t="n"/>
      <c r="BL69" s="28" t="n"/>
      <c r="BM69" s="28" t="n"/>
      <c r="BN69" s="28" t="n"/>
      <c r="BO69" s="28" t="n"/>
      <c r="BP69" s="28" t="n"/>
      <c r="BQ69" s="28" t="n"/>
      <c r="BR69" s="28" t="n"/>
      <c r="BS69" s="28" t="n"/>
      <c r="BT69" s="28" t="n"/>
      <c r="BU69" s="28" t="n"/>
      <c r="BV69" s="28" t="n"/>
      <c r="BW69" s="28" t="n"/>
      <c r="BX69" s="28" t="n"/>
      <c r="BY69" s="28" t="n"/>
      <c r="BZ69" s="28" t="n"/>
      <c r="CA69" s="28" t="n"/>
      <c r="CB69" s="28" t="n"/>
      <c r="CC69" s="28" t="n"/>
      <c r="CD69" s="28" t="n"/>
      <c r="CE69" s="28" t="n"/>
      <c r="CF69" s="28" t="n"/>
      <c r="CG69" s="28" t="n"/>
      <c r="CH69" s="28" t="n"/>
      <c r="CI69" s="28" t="n"/>
      <c r="CJ69" s="28" t="n"/>
      <c r="CK69" s="28" t="n"/>
      <c r="CL69" s="28" t="n"/>
      <c r="CM69" s="28" t="n"/>
      <c r="CN69" s="28" t="n"/>
      <c r="CO69" s="28" t="n"/>
      <c r="CP69" s="28" t="n"/>
      <c r="CQ69" s="28" t="n"/>
      <c r="CR69" s="28" t="n"/>
      <c r="CS69" s="28" t="n"/>
      <c r="CT69" s="28" t="n"/>
      <c r="CU69" s="28" t="n"/>
      <c r="CV69" s="28" t="n"/>
      <c r="CW69" s="28" t="n"/>
      <c r="CX69" s="28" t="n"/>
      <c r="CY69" s="28" t="n"/>
      <c r="CZ69" s="28" t="n"/>
      <c r="DA69" s="28" t="n"/>
      <c r="DB69" s="28" t="n"/>
      <c r="DC69" s="28" t="n"/>
      <c r="DD69" s="28" t="n"/>
      <c r="DE69" s="28" t="n"/>
      <c r="DF69" s="28" t="n"/>
      <c r="DG69" s="28" t="n"/>
      <c r="DH69" s="28" t="n"/>
      <c r="DI69" s="28" t="n"/>
      <c r="DJ69" s="28" t="n"/>
      <c r="DK69" s="28" t="n"/>
      <c r="DL69" s="28" t="n"/>
      <c r="DM69" s="28" t="n"/>
      <c r="DN69" s="28" t="n"/>
      <c r="DO69" s="28" t="n"/>
      <c r="DP69" s="28" t="n"/>
      <c r="DQ69" s="28" t="n"/>
      <c r="DR69" s="28" t="n"/>
      <c r="DS69" s="28" t="n"/>
      <c r="DT69" s="28" t="n"/>
      <c r="DU69" s="28" t="n"/>
      <c r="DV69" s="28" t="n"/>
      <c r="DW69" s="28" t="n"/>
      <c r="DX69" s="28" t="n"/>
      <c r="DY69" s="28" t="n"/>
      <c r="DZ69" s="28" t="n"/>
      <c r="EA69" s="28" t="n"/>
      <c r="EB69" s="28" t="n"/>
      <c r="EC69" s="28" t="n"/>
      <c r="ED69" s="28" t="n"/>
      <c r="EE69" s="28" t="n"/>
      <c r="EF69" s="28" t="n"/>
      <c r="EG69" s="28" t="n"/>
      <c r="EH69" s="28" t="n"/>
      <c r="EI69" s="28" t="n"/>
      <c r="EJ69" s="28" t="n"/>
      <c r="EK69" s="28" t="n"/>
      <c r="EL69" s="28" t="n"/>
      <c r="EM69" s="28" t="n"/>
      <c r="EN69" s="28" t="n"/>
      <c r="EO69" s="28" t="n"/>
      <c r="EP69" s="28" t="n"/>
      <c r="EQ69" s="28" t="n"/>
      <c r="ER69" s="28" t="n"/>
      <c r="ES69" s="28" t="n"/>
      <c r="ET69" s="28" t="n"/>
      <c r="EU69" s="28" t="n"/>
      <c r="EV69" s="28" t="n"/>
      <c r="EW69" s="28" t="n"/>
      <c r="EX69" s="28" t="n"/>
      <c r="EY69" s="28" t="n"/>
      <c r="EZ69" s="28" t="n"/>
      <c r="FA69" s="28" t="n"/>
      <c r="FB69" s="28" t="n"/>
      <c r="FC69" s="28" t="n"/>
      <c r="FD69" s="28" t="n"/>
      <c r="FE69" s="28" t="n"/>
      <c r="FF69" s="28" t="n"/>
      <c r="FG69" s="28" t="n"/>
      <c r="FH69" s="28" t="n"/>
      <c r="FI69" s="28" t="n"/>
      <c r="FJ69" s="28" t="n"/>
      <c r="FK69" s="28" t="n"/>
      <c r="FL69" s="28" t="n"/>
      <c r="FM69" s="28" t="n"/>
      <c r="FN69" s="28" t="n"/>
      <c r="FO69" s="28" t="n"/>
      <c r="FP69" s="28" t="n"/>
      <c r="FQ69" s="28" t="n"/>
      <c r="FR69" s="28" t="n"/>
      <c r="FS69" s="28" t="n"/>
      <c r="FT69" s="28" t="n"/>
      <c r="FU69" s="28" t="n"/>
      <c r="FV69" s="28" t="n"/>
      <c r="FW69" s="28" t="n"/>
      <c r="FX69" s="28" t="n"/>
      <c r="FY69" s="28" t="n"/>
      <c r="FZ69" s="28" t="n"/>
      <c r="GA69" s="28" t="n"/>
      <c r="GB69" s="28" t="n"/>
      <c r="GC69" s="28" t="n"/>
      <c r="GD69" s="28" t="n"/>
      <c r="GE69" s="28" t="n"/>
      <c r="GF69" s="28" t="n"/>
      <c r="GG69" s="28" t="n"/>
      <c r="GH69" s="28" t="n"/>
      <c r="GI69" s="28" t="n"/>
      <c r="GJ69" s="28" t="n"/>
      <c r="GK69" s="28" t="n"/>
      <c r="GL69" s="28" t="n"/>
      <c r="GM69" s="28" t="n"/>
      <c r="GN69" s="28" t="n"/>
      <c r="GO69" s="28" t="n"/>
      <c r="GP69" s="28" t="n"/>
      <c r="GQ69" s="28" t="n"/>
      <c r="GR69" s="28" t="n"/>
      <c r="GS69" s="28" t="n"/>
      <c r="GT69" s="28" t="n"/>
      <c r="GU69" s="28" t="n"/>
      <c r="GV69" s="28" t="n"/>
      <c r="GW69" s="28" t="n"/>
      <c r="GX69" s="28" t="n"/>
      <c r="GY69" s="28" t="n"/>
      <c r="GZ69" s="28" t="n"/>
      <c r="HA69" s="28" t="n"/>
      <c r="HB69" s="28" t="n"/>
      <c r="HC69" s="28" t="n"/>
      <c r="HD69" s="28" t="n"/>
      <c r="HE69" s="28" t="n"/>
      <c r="HF69" s="28" t="n"/>
      <c r="HG69" s="28" t="n"/>
      <c r="HH69" s="28" t="n"/>
      <c r="HI69" s="28" t="n"/>
      <c r="HJ69" s="28" t="n"/>
      <c r="HK69" s="28" t="n"/>
      <c r="HL69" s="28" t="n"/>
      <c r="HM69" s="28" t="n"/>
      <c r="HN69" s="28" t="n"/>
      <c r="HO69" s="28" t="n"/>
      <c r="HP69" s="28" t="n"/>
      <c r="HQ69" s="28" t="n"/>
      <c r="HR69" s="28" t="n"/>
      <c r="HS69" s="28" t="n"/>
      <c r="HT69" s="28" t="n"/>
      <c r="HU69" s="28" t="n"/>
      <c r="HV69" s="28" t="n"/>
      <c r="HW69" s="28" t="n"/>
      <c r="HX69" s="28" t="n"/>
      <c r="HY69" s="28" t="n"/>
      <c r="HZ69" s="28" t="n"/>
      <c r="IA69" s="28" t="n"/>
      <c r="IB69" s="28" t="n"/>
      <c r="IC69" s="28" t="n"/>
      <c r="ID69" s="28" t="n"/>
      <c r="IE69" s="28" t="n"/>
      <c r="IF69" s="28" t="n"/>
      <c r="IG69" s="28" t="n"/>
      <c r="IH69" s="28" t="n"/>
      <c r="II69" s="28" t="n"/>
      <c r="IJ69" s="28" t="n"/>
      <c r="IK69" s="28" t="n"/>
      <c r="IL69" s="28" t="n"/>
      <c r="IM69" s="28" t="n"/>
      <c r="IN69" s="28" t="n"/>
      <c r="IO69" s="28" t="n"/>
      <c r="IP69" s="28" t="n"/>
      <c r="IQ69" s="28" t="n"/>
      <c r="IR69" s="28" t="n"/>
      <c r="IS69" s="28" t="n"/>
      <c r="IT69" s="28" t="n"/>
      <c r="IU69" s="28" t="n"/>
      <c r="IV69" s="28" t="n"/>
      <c r="IW69" s="28" t="n"/>
      <c r="IX69" s="28" t="n"/>
      <c r="IY69" s="28" t="n"/>
      <c r="IZ69" s="28" t="n"/>
      <c r="JA69" s="28" t="n"/>
      <c r="JB69" s="28" t="n"/>
      <c r="JC69" s="28" t="n"/>
      <c r="JD69" s="28" t="n"/>
      <c r="JE69" s="28" t="n"/>
      <c r="JF69" s="28" t="n"/>
      <c r="JG69" s="28" t="n"/>
      <c r="JH69" s="28" t="n"/>
      <c r="JI69" s="28" t="n"/>
      <c r="JJ69" s="28" t="n"/>
      <c r="JK69" s="28" t="n"/>
      <c r="JL69" s="28" t="n"/>
      <c r="JM69" s="28" t="n"/>
      <c r="JN69" s="28" t="n"/>
      <c r="JO69" s="28" t="n"/>
      <c r="JP69" s="28" t="n"/>
      <c r="JQ69" s="28" t="n"/>
      <c r="JR69" s="28" t="n"/>
      <c r="JS69" s="28" t="n"/>
      <c r="JT69" s="28" t="n"/>
      <c r="JU69" s="28" t="n"/>
      <c r="JV69" s="28" t="n"/>
      <c r="JW69" s="28" t="n"/>
      <c r="JX69" s="28" t="n"/>
      <c r="JY69" s="28" t="n"/>
      <c r="JZ69" s="28" t="n"/>
      <c r="KA69" s="28" t="n"/>
      <c r="KB69" s="28" t="n"/>
      <c r="KC69" s="28" t="n"/>
      <c r="KD69" s="28" t="n"/>
      <c r="KE69" s="28" t="n"/>
      <c r="KF69" s="28" t="n"/>
      <c r="KG69" s="28" t="n"/>
      <c r="KH69" s="28" t="n"/>
      <c r="KI69" s="28" t="n"/>
      <c r="KJ69" s="28" t="n"/>
      <c r="KK69" s="28" t="n"/>
      <c r="KL69" s="28" t="n"/>
      <c r="KM69" s="28" t="n"/>
      <c r="KN69" s="28" t="n"/>
      <c r="KO69" s="28" t="n"/>
      <c r="KP69" s="28" t="n"/>
      <c r="KQ69" s="28" t="n"/>
      <c r="KR69" s="28" t="n"/>
      <c r="KS69" s="28" t="n"/>
      <c r="KT69" s="28" t="n"/>
      <c r="KU69" s="28" t="n"/>
      <c r="KV69" s="28" t="n"/>
      <c r="KW69" s="28" t="n"/>
      <c r="KX69" s="28" t="n"/>
      <c r="KY69" s="28" t="n"/>
      <c r="KZ69" s="28" t="n"/>
      <c r="LA69" s="28" t="n"/>
      <c r="LB69" s="28" t="n"/>
      <c r="LC69" s="28" t="n"/>
      <c r="LD69" s="28" t="n"/>
      <c r="LE69" s="28" t="n"/>
      <c r="LF69" s="28" t="n"/>
      <c r="LG69" s="28" t="n"/>
      <c r="LH69" s="28" t="n"/>
      <c r="LI69" s="28" t="n"/>
      <c r="LJ69" s="28" t="n"/>
      <c r="LK69" s="28" t="n"/>
      <c r="LL69" s="28" t="n"/>
      <c r="LM69" s="28" t="n"/>
      <c r="LN69" s="28" t="n"/>
      <c r="LO69" s="28" t="n"/>
      <c r="LP69" s="28" t="n"/>
      <c r="LQ69" s="28" t="n"/>
      <c r="LR69" s="28" t="n"/>
      <c r="LS69" s="28" t="n"/>
      <c r="LT69" s="28" t="n"/>
      <c r="LU69" s="28" t="n"/>
      <c r="LV69" s="28" t="n"/>
      <c r="LW69" s="28" t="n"/>
      <c r="LX69" s="28" t="n"/>
      <c r="LY69" s="28" t="n"/>
      <c r="LZ69" s="28" t="n"/>
      <c r="MA69" s="28" t="n"/>
      <c r="MB69" s="28" t="n"/>
      <c r="MC69" s="28" t="n"/>
      <c r="MD69" s="28" t="n"/>
      <c r="ME69" s="28" t="n"/>
      <c r="MF69" s="28" t="n"/>
      <c r="MG69" s="28" t="n"/>
      <c r="MH69" s="28" t="n"/>
      <c r="MI69" s="28" t="n"/>
      <c r="MJ69" s="28" t="n"/>
      <c r="MK69" s="28" t="n"/>
      <c r="ML69" s="28" t="n"/>
      <c r="MM69" s="28" t="n"/>
      <c r="MN69" s="28" t="n"/>
      <c r="MO69" s="28" t="n"/>
      <c r="MP69" s="28" t="n"/>
      <c r="MQ69" s="28" t="n"/>
      <c r="MR69" s="28" t="n"/>
      <c r="MS69" s="28" t="n"/>
      <c r="MT69" s="28" t="n"/>
      <c r="MU69" s="28" t="n"/>
      <c r="MV69" s="28" t="n"/>
      <c r="MW69" s="28" t="n"/>
      <c r="MX69" s="28" t="n"/>
      <c r="MY69" s="28" t="n"/>
      <c r="MZ69" s="28" t="n"/>
      <c r="NA69" s="28" t="n"/>
      <c r="NB69" s="28" t="n"/>
      <c r="NC69" s="28" t="n"/>
      <c r="ND69" s="28" t="n"/>
      <c r="NE69" s="28" t="n"/>
      <c r="NF69" s="28" t="n"/>
      <c r="NG69" s="28" t="n"/>
      <c r="NH69" s="28" t="n"/>
      <c r="NI69" s="28" t="n"/>
      <c r="NJ69" s="28" t="n"/>
      <c r="NK69" s="28" t="n"/>
      <c r="NL69" s="28" t="n"/>
      <c r="NM69" s="28" t="n"/>
      <c r="NN69" s="28" t="n"/>
      <c r="NO69" s="28" t="n"/>
      <c r="NP69" s="28" t="n"/>
      <c r="NQ69" s="28" t="n"/>
      <c r="NR69" s="28" t="n"/>
      <c r="NS69" s="28" t="n"/>
      <c r="NT69" s="28" t="n"/>
      <c r="NU69" s="28" t="n"/>
      <c r="NV69" s="28" t="n"/>
      <c r="NW69" s="28" t="n"/>
      <c r="NX69" s="28" t="n"/>
      <c r="NY69" s="28" t="n"/>
      <c r="NZ69" s="28" t="n"/>
      <c r="OA69" s="28" t="n"/>
      <c r="OB69" s="28" t="n"/>
      <c r="OC69" s="28" t="n"/>
      <c r="OD69" s="28" t="n"/>
      <c r="OE69" s="28" t="n"/>
      <c r="OF69" s="28" t="n"/>
      <c r="OG69" s="28" t="n"/>
      <c r="OH69" s="28" t="n"/>
      <c r="OI69" s="28" t="n"/>
      <c r="OJ69" s="28" t="n"/>
      <c r="OK69" s="28" t="n"/>
      <c r="OL69" s="28" t="n"/>
      <c r="OM69" s="28" t="n"/>
      <c r="ON69" s="28" t="n"/>
      <c r="OO69" s="28" t="n"/>
      <c r="OP69" s="28" t="n"/>
      <c r="OQ69" s="28" t="n"/>
      <c r="OR69" s="28" t="n"/>
      <c r="OS69" s="28" t="n"/>
      <c r="OT69" s="28" t="n"/>
      <c r="OU69" s="28" t="n"/>
      <c r="OV69" s="28" t="n"/>
      <c r="OW69" s="28" t="n"/>
      <c r="OX69" s="28" t="n"/>
      <c r="OY69" s="28" t="n"/>
      <c r="OZ69" s="28" t="n"/>
      <c r="PA69" s="28" t="n"/>
      <c r="PB69" s="28" t="n"/>
      <c r="PC69" s="28" t="n"/>
      <c r="PD69" s="28" t="n"/>
      <c r="PE69" s="28" t="n"/>
      <c r="PF69" s="28" t="n"/>
      <c r="PG69" s="28" t="n"/>
      <c r="PH69" s="28" t="n"/>
      <c r="PI69" s="28" t="n"/>
      <c r="PJ69" s="28" t="n"/>
      <c r="PK69" s="28" t="n"/>
      <c r="PL69" s="28" t="n"/>
      <c r="PM69" s="28" t="n"/>
      <c r="PN69" s="28" t="n"/>
      <c r="PO69" s="28" t="n"/>
      <c r="PP69" s="28" t="n"/>
      <c r="PQ69" s="28" t="n"/>
      <c r="PR69" s="28" t="n"/>
      <c r="PS69" s="28" t="n"/>
      <c r="PT69" s="28" t="n"/>
      <c r="PU69" s="28" t="n"/>
      <c r="PV69" s="28" t="n"/>
      <c r="PW69" s="28" t="n"/>
      <c r="PX69" s="28" t="n"/>
      <c r="PY69" s="28" t="n"/>
      <c r="PZ69" s="28" t="n"/>
      <c r="QA69" s="28" t="n"/>
      <c r="QB69" s="28" t="n"/>
      <c r="QC69" s="28" t="n"/>
      <c r="QD69" s="28" t="n"/>
      <c r="QE69" s="28" t="n"/>
      <c r="QF69" s="28" t="n"/>
      <c r="QG69" s="28" t="n"/>
      <c r="QH69" s="28" t="n"/>
      <c r="QI69" s="28" t="n"/>
      <c r="QJ69" s="28" t="n"/>
      <c r="QK69" s="28" t="n"/>
      <c r="QL69" s="28" t="n"/>
      <c r="QM69" s="28" t="n"/>
      <c r="QN69" s="28" t="n"/>
      <c r="QO69" s="28" t="n"/>
      <c r="QP69" s="28" t="n"/>
      <c r="QQ69" s="28" t="n"/>
      <c r="QR69" s="28" t="n"/>
      <c r="QS69" s="28" t="n"/>
      <c r="QT69" s="28" t="n"/>
      <c r="QU69" s="28" t="n"/>
      <c r="QV69" s="28" t="n"/>
      <c r="QW69" s="28" t="n"/>
      <c r="QX69" s="28" t="n"/>
      <c r="QY69" s="28" t="n"/>
      <c r="QZ69" s="28" t="n"/>
      <c r="RA69" s="28" t="n"/>
      <c r="RB69" s="28" t="n"/>
      <c r="RC69" s="28" t="n"/>
      <c r="RD69" s="28" t="n"/>
      <c r="RE69" s="28" t="n"/>
      <c r="RF69" s="28" t="n"/>
      <c r="RG69" s="28" t="n"/>
      <c r="RH69" s="28" t="n"/>
      <c r="RI69" s="28" t="n"/>
      <c r="RJ69" s="28" t="n"/>
      <c r="RK69" s="28" t="n"/>
      <c r="RL69" s="28" t="n"/>
      <c r="RM69" s="28" t="n"/>
      <c r="RN69" s="28" t="n"/>
      <c r="RO69" s="28" t="n"/>
      <c r="RP69" s="28" t="n"/>
      <c r="RQ69" s="28" t="n"/>
      <c r="RR69" s="28" t="n"/>
      <c r="RS69" s="28" t="n"/>
      <c r="RT69" s="28" t="n"/>
      <c r="RU69" s="28" t="n"/>
      <c r="RV69" s="28" t="n"/>
      <c r="RW69" s="28" t="n"/>
    </row>
    <row r="70" hidden="1" outlineLevel="1" ht="13.05" customHeight="1">
      <c r="E70" s="21" t="inlineStr">
        <is>
          <t>Debt Service</t>
        </is>
      </c>
      <c r="F70" s="29" t="n"/>
      <c r="G70" s="29" t="inlineStr">
        <is>
          <t>kEUR</t>
        </is>
      </c>
      <c r="H70" s="29" t="n"/>
      <c r="I70" s="29" t="n"/>
      <c r="J70" s="32" t="n"/>
      <c r="K70" s="29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n"/>
      <c r="AR70" s="33" t="n"/>
      <c r="AS70" s="33" t="n"/>
      <c r="AT70" s="33" t="n"/>
      <c r="AU70" s="33" t="n"/>
      <c r="AV70" s="33" t="n"/>
      <c r="AW70" s="33" t="n"/>
      <c r="AX70" s="33" t="n"/>
      <c r="AY70" s="33" t="n"/>
      <c r="AZ70" s="33" t="n"/>
      <c r="BA70" s="33" t="n"/>
      <c r="BB70" s="33" t="n"/>
      <c r="BC70" s="33" t="n"/>
      <c r="BD70" s="33" t="n"/>
      <c r="BE70" s="33" t="n"/>
      <c r="BF70" s="33" t="n"/>
      <c r="BG70" s="33" t="n"/>
      <c r="BH70" s="33" t="n"/>
      <c r="BI70" s="33" t="n"/>
      <c r="BJ70" s="33" t="n"/>
      <c r="BK70" s="33" t="n"/>
      <c r="BL70" s="33" t="n"/>
      <c r="BM70" s="33" t="n"/>
      <c r="BN70" s="33" t="n"/>
      <c r="BO70" s="33" t="n"/>
      <c r="BP70" s="33" t="n"/>
      <c r="BQ70" s="33" t="n"/>
      <c r="BR70" s="33" t="n"/>
      <c r="BS70" s="33" t="n"/>
      <c r="BT70" s="33" t="n"/>
      <c r="BU70" s="33" t="n"/>
      <c r="BV70" s="33" t="n"/>
      <c r="BW70" s="33" t="n"/>
      <c r="BX70" s="33" t="n"/>
      <c r="BY70" s="33" t="n"/>
      <c r="BZ70" s="33" t="n"/>
      <c r="CA70" s="33" t="n"/>
      <c r="CB70" s="33" t="n"/>
      <c r="CC70" s="33" t="n"/>
      <c r="CD70" s="33" t="n"/>
      <c r="CE70" s="33" t="n"/>
      <c r="CF70" s="33" t="n"/>
      <c r="CG70" s="33" t="n"/>
      <c r="CH70" s="33" t="n"/>
      <c r="CI70" s="33" t="n"/>
      <c r="CJ70" s="33" t="n"/>
      <c r="CK70" s="33" t="n"/>
      <c r="CL70" s="33" t="n"/>
      <c r="CM70" s="33" t="n"/>
      <c r="CN70" s="33" t="n"/>
      <c r="CO70" s="33" t="n"/>
      <c r="CP70" s="33" t="n"/>
      <c r="CQ70" s="33" t="n"/>
      <c r="CR70" s="33" t="n"/>
      <c r="CS70" s="33" t="n"/>
      <c r="CT70" s="33" t="n"/>
      <c r="CU70" s="33" t="n"/>
      <c r="CV70" s="33" t="n"/>
      <c r="CW70" s="33" t="n"/>
      <c r="CX70" s="33" t="n"/>
      <c r="CY70" s="33" t="n"/>
      <c r="CZ70" s="33" t="n"/>
      <c r="DA70" s="33" t="n"/>
      <c r="DB70" s="33" t="n"/>
      <c r="DC70" s="33" t="n"/>
      <c r="DD70" s="33" t="n"/>
      <c r="DE70" s="33" t="n"/>
      <c r="DF70" s="33" t="n"/>
      <c r="DG70" s="33" t="n"/>
      <c r="DH70" s="33" t="n"/>
      <c r="DI70" s="33" t="n"/>
      <c r="DJ70" s="33" t="n"/>
      <c r="DK70" s="33" t="n"/>
      <c r="DL70" s="33" t="n"/>
      <c r="DM70" s="33" t="n"/>
      <c r="DN70" s="33" t="n"/>
      <c r="DO70" s="33" t="n"/>
      <c r="DP70" s="33" t="n"/>
      <c r="DQ70" s="33" t="n"/>
      <c r="DR70" s="33" t="n"/>
      <c r="DS70" s="33" t="n"/>
      <c r="DT70" s="33" t="n"/>
      <c r="DU70" s="33" t="n"/>
      <c r="DV70" s="33" t="n"/>
      <c r="DW70" s="33" t="n"/>
      <c r="DX70" s="33" t="n"/>
      <c r="DY70" s="33" t="n"/>
      <c r="DZ70" s="33" t="n"/>
      <c r="EA70" s="33" t="n"/>
      <c r="EB70" s="33" t="n"/>
      <c r="EC70" s="33" t="n"/>
      <c r="ED70" s="33" t="n"/>
      <c r="EE70" s="33" t="n"/>
      <c r="EF70" s="33" t="n"/>
      <c r="EG70" s="33" t="n"/>
      <c r="EH70" s="33" t="n"/>
      <c r="EI70" s="33" t="n"/>
      <c r="EJ70" s="33" t="n"/>
      <c r="EK70" s="33" t="n"/>
      <c r="EL70" s="33" t="n"/>
      <c r="EM70" s="33" t="n"/>
      <c r="EN70" s="33" t="n"/>
      <c r="EO70" s="33" t="n"/>
      <c r="EP70" s="33" t="n"/>
      <c r="EQ70" s="33" t="n"/>
      <c r="ER70" s="33" t="n"/>
      <c r="ES70" s="33" t="n"/>
      <c r="ET70" s="33" t="n"/>
      <c r="EU70" s="33" t="n"/>
      <c r="EV70" s="33" t="n"/>
      <c r="EW70" s="33" t="n"/>
      <c r="EX70" s="33" t="n"/>
      <c r="EY70" s="33" t="n"/>
      <c r="EZ70" s="33" t="n"/>
      <c r="FA70" s="33" t="n"/>
      <c r="FB70" s="33" t="n"/>
      <c r="FC70" s="33" t="n"/>
      <c r="FD70" s="33" t="n"/>
      <c r="FE70" s="33" t="n"/>
      <c r="FF70" s="33" t="n"/>
      <c r="FG70" s="33" t="n"/>
      <c r="FH70" s="33" t="n"/>
      <c r="FI70" s="33" t="n"/>
      <c r="FJ70" s="33" t="n"/>
      <c r="FK70" s="33" t="n"/>
      <c r="FL70" s="33" t="n"/>
      <c r="FM70" s="33" t="n"/>
      <c r="FN70" s="33" t="n"/>
      <c r="FO70" s="33" t="n"/>
      <c r="FP70" s="33" t="n"/>
      <c r="FQ70" s="33" t="n"/>
      <c r="FR70" s="33" t="n"/>
      <c r="FS70" s="33" t="n"/>
      <c r="FT70" s="33" t="n"/>
      <c r="FU70" s="33" t="n"/>
      <c r="FV70" s="33" t="n"/>
      <c r="FW70" s="33" t="n"/>
      <c r="FX70" s="33" t="n"/>
      <c r="FY70" s="33" t="n"/>
      <c r="FZ70" s="33" t="n"/>
      <c r="GA70" s="33" t="n"/>
      <c r="GB70" s="33" t="n"/>
      <c r="GC70" s="33" t="n"/>
      <c r="GD70" s="33" t="n"/>
      <c r="GE70" s="33" t="n"/>
      <c r="GF70" s="33" t="n"/>
      <c r="GG70" s="33" t="n"/>
      <c r="GH70" s="33" t="n"/>
      <c r="GI70" s="33" t="n"/>
      <c r="GJ70" s="33" t="n"/>
      <c r="GK70" s="33" t="n"/>
      <c r="GL70" s="33" t="n"/>
      <c r="GM70" s="33" t="n"/>
      <c r="GN70" s="33" t="n"/>
      <c r="GO70" s="33" t="n"/>
      <c r="GP70" s="33" t="n"/>
      <c r="GQ70" s="33" t="n"/>
      <c r="GR70" s="33" t="n"/>
      <c r="GS70" s="33" t="n"/>
      <c r="GT70" s="33" t="n"/>
      <c r="GU70" s="33" t="n"/>
      <c r="GV70" s="33" t="n"/>
      <c r="GW70" s="33" t="n"/>
      <c r="GX70" s="33" t="n"/>
      <c r="GY70" s="33" t="n"/>
      <c r="GZ70" s="33" t="n"/>
      <c r="HA70" s="33" t="n"/>
      <c r="HB70" s="33" t="n"/>
      <c r="HC70" s="33" t="n"/>
      <c r="HD70" s="33" t="n"/>
      <c r="HE70" s="33" t="n"/>
      <c r="HF70" s="33" t="n"/>
      <c r="HG70" s="33" t="n"/>
      <c r="HH70" s="33" t="n"/>
      <c r="HI70" s="33" t="n"/>
      <c r="HJ70" s="33" t="n"/>
      <c r="HK70" s="33" t="n"/>
      <c r="HL70" s="33" t="n"/>
      <c r="HM70" s="33" t="n"/>
      <c r="HN70" s="33" t="n"/>
      <c r="HO70" s="33" t="n"/>
      <c r="HP70" s="33" t="n"/>
      <c r="HQ70" s="33" t="n"/>
      <c r="HR70" s="33" t="n"/>
      <c r="HS70" s="33" t="n"/>
      <c r="HT70" s="33" t="n"/>
      <c r="HU70" s="33" t="n"/>
      <c r="HV70" s="33" t="n"/>
      <c r="HW70" s="33" t="n"/>
      <c r="HX70" s="33" t="n"/>
      <c r="HY70" s="33" t="n"/>
      <c r="HZ70" s="33" t="n"/>
      <c r="IA70" s="33" t="n"/>
      <c r="IB70" s="33" t="n"/>
      <c r="IC70" s="33" t="n"/>
      <c r="ID70" s="33" t="n"/>
      <c r="IE70" s="33" t="n"/>
      <c r="IF70" s="33" t="n"/>
      <c r="IG70" s="33" t="n"/>
      <c r="IH70" s="33" t="n"/>
      <c r="II70" s="33" t="n"/>
      <c r="IJ70" s="33" t="n"/>
      <c r="IK70" s="33" t="n"/>
      <c r="IL70" s="33" t="n"/>
      <c r="IM70" s="33" t="n"/>
      <c r="IN70" s="33" t="n"/>
      <c r="IO70" s="33" t="n"/>
      <c r="IP70" s="33" t="n"/>
      <c r="IQ70" s="33" t="n"/>
      <c r="IR70" s="33" t="n"/>
      <c r="IS70" s="33" t="n"/>
      <c r="IT70" s="33" t="n"/>
      <c r="IU70" s="33" t="n"/>
      <c r="IV70" s="33" t="n"/>
      <c r="IW70" s="33" t="n"/>
      <c r="IX70" s="33" t="n"/>
      <c r="IY70" s="33" t="n"/>
      <c r="IZ70" s="33" t="n"/>
      <c r="JA70" s="33" t="n"/>
      <c r="JB70" s="33" t="n"/>
      <c r="JC70" s="33" t="n"/>
      <c r="JD70" s="33" t="n"/>
      <c r="JE70" s="33" t="n"/>
      <c r="JF70" s="33" t="n"/>
      <c r="JG70" s="33" t="n"/>
      <c r="JH70" s="33" t="n"/>
      <c r="JI70" s="33" t="n"/>
      <c r="JJ70" s="33" t="n"/>
      <c r="JK70" s="33" t="n"/>
      <c r="JL70" s="33" t="n"/>
      <c r="JM70" s="33" t="n"/>
      <c r="JN70" s="33" t="n"/>
      <c r="JO70" s="33" t="n"/>
      <c r="JP70" s="33" t="n"/>
      <c r="JQ70" s="33" t="n"/>
      <c r="JR70" s="33" t="n"/>
      <c r="JS70" s="33" t="n"/>
      <c r="JT70" s="33" t="n"/>
      <c r="JU70" s="33" t="n"/>
      <c r="JV70" s="33" t="n"/>
      <c r="JW70" s="33" t="n"/>
      <c r="JX70" s="33" t="n"/>
      <c r="JY70" s="33" t="n"/>
      <c r="JZ70" s="33" t="n"/>
      <c r="KA70" s="33" t="n"/>
      <c r="KB70" s="33" t="n"/>
      <c r="KC70" s="33" t="n"/>
      <c r="KD70" s="33" t="n"/>
      <c r="KE70" s="33" t="n"/>
      <c r="KF70" s="33" t="n"/>
      <c r="KG70" s="33" t="n"/>
      <c r="KH70" s="33" t="n"/>
      <c r="KI70" s="33" t="n"/>
      <c r="KJ70" s="33" t="n"/>
      <c r="KK70" s="33" t="n"/>
      <c r="KL70" s="33" t="n"/>
      <c r="KM70" s="33" t="n"/>
      <c r="KN70" s="33" t="n"/>
      <c r="KO70" s="33" t="n"/>
      <c r="KP70" s="33" t="n"/>
      <c r="KQ70" s="33" t="n"/>
      <c r="KR70" s="33" t="n"/>
      <c r="KS70" s="33" t="n"/>
      <c r="KT70" s="33" t="n"/>
      <c r="KU70" s="33" t="n"/>
      <c r="KV70" s="33" t="n"/>
      <c r="KW70" s="33" t="n"/>
      <c r="KX70" s="33" t="n"/>
      <c r="KY70" s="33" t="n"/>
      <c r="KZ70" s="33" t="n"/>
      <c r="LA70" s="33" t="n"/>
      <c r="LB70" s="33" t="n"/>
      <c r="LC70" s="33" t="n"/>
      <c r="LD70" s="33" t="n"/>
      <c r="LE70" s="33" t="n"/>
      <c r="LF70" s="33" t="n"/>
      <c r="LG70" s="33" t="n"/>
      <c r="LH70" s="33" t="n"/>
      <c r="LI70" s="33" t="n"/>
      <c r="LJ70" s="33" t="n"/>
      <c r="LK70" s="33" t="n"/>
      <c r="LL70" s="33" t="n"/>
      <c r="LM70" s="33" t="n"/>
      <c r="LN70" s="33" t="n"/>
      <c r="LO70" s="33" t="n"/>
      <c r="LP70" s="33" t="n"/>
      <c r="LQ70" s="33" t="n"/>
      <c r="LR70" s="33" t="n"/>
      <c r="LS70" s="33" t="n"/>
      <c r="LT70" s="33" t="n"/>
      <c r="LU70" s="33" t="n"/>
      <c r="LV70" s="33" t="n"/>
      <c r="LW70" s="33" t="n"/>
      <c r="LX70" s="33" t="n"/>
      <c r="LY70" s="33" t="n"/>
      <c r="LZ70" s="33" t="n"/>
      <c r="MA70" s="33" t="n"/>
      <c r="MB70" s="33" t="n"/>
      <c r="MC70" s="33" t="n"/>
      <c r="MD70" s="33" t="n"/>
      <c r="ME70" s="33" t="n"/>
      <c r="MF70" s="33" t="n"/>
      <c r="MG70" s="33" t="n"/>
      <c r="MH70" s="33" t="n"/>
      <c r="MI70" s="33" t="n"/>
      <c r="MJ70" s="33" t="n"/>
      <c r="MK70" s="33" t="n"/>
      <c r="ML70" s="33" t="n"/>
      <c r="MM70" s="33" t="n"/>
      <c r="MN70" s="33" t="n"/>
      <c r="MO70" s="33" t="n"/>
      <c r="MP70" s="33" t="n"/>
      <c r="MQ70" s="33" t="n"/>
      <c r="MR70" s="33" t="n"/>
      <c r="MS70" s="33" t="n"/>
      <c r="MT70" s="33" t="n"/>
      <c r="MU70" s="33" t="n"/>
      <c r="MV70" s="33" t="n"/>
      <c r="MW70" s="33" t="n"/>
      <c r="MX70" s="33" t="n"/>
      <c r="MY70" s="33" t="n"/>
      <c r="MZ70" s="33" t="n"/>
      <c r="NA70" s="33" t="n"/>
      <c r="NB70" s="33" t="n"/>
      <c r="NC70" s="33" t="n"/>
      <c r="ND70" s="33" t="n"/>
      <c r="NE70" s="33" t="n"/>
      <c r="NF70" s="33" t="n"/>
      <c r="NG70" s="33" t="n"/>
      <c r="NH70" s="33" t="n"/>
      <c r="NI70" s="33" t="n"/>
      <c r="NJ70" s="33" t="n"/>
      <c r="NK70" s="33" t="n"/>
      <c r="NL70" s="33" t="n"/>
      <c r="NM70" s="33" t="n"/>
      <c r="NN70" s="33" t="n"/>
      <c r="NO70" s="33" t="n"/>
      <c r="NP70" s="33" t="n"/>
      <c r="NQ70" s="33" t="n"/>
      <c r="NR70" s="33" t="n"/>
      <c r="NS70" s="33" t="n"/>
      <c r="NT70" s="33" t="n"/>
      <c r="NU70" s="33" t="n"/>
      <c r="NV70" s="33" t="n"/>
      <c r="NW70" s="33" t="n"/>
      <c r="NX70" s="33" t="n"/>
      <c r="NY70" s="33" t="n"/>
      <c r="NZ70" s="33" t="n"/>
      <c r="OA70" s="33" t="n"/>
      <c r="OB70" s="33" t="n"/>
      <c r="OC70" s="33" t="n"/>
      <c r="OD70" s="33" t="n"/>
      <c r="OE70" s="33" t="n"/>
      <c r="OF70" s="33" t="n"/>
      <c r="OG70" s="33" t="n"/>
      <c r="OH70" s="33" t="n"/>
      <c r="OI70" s="33" t="n"/>
      <c r="OJ70" s="33" t="n"/>
      <c r="OK70" s="33" t="n"/>
      <c r="OL70" s="33" t="n"/>
      <c r="OM70" s="33" t="n"/>
      <c r="ON70" s="33" t="n"/>
      <c r="OO70" s="33" t="n"/>
      <c r="OP70" s="33" t="n"/>
      <c r="OQ70" s="33" t="n"/>
      <c r="OR70" s="33" t="n"/>
      <c r="OS70" s="33" t="n"/>
      <c r="OT70" s="33" t="n"/>
      <c r="OU70" s="33" t="n"/>
      <c r="OV70" s="33" t="n"/>
      <c r="OW70" s="33" t="n"/>
      <c r="OX70" s="33" t="n"/>
      <c r="OY70" s="33" t="n"/>
      <c r="OZ70" s="33" t="n"/>
      <c r="PA70" s="33" t="n"/>
      <c r="PB70" s="33" t="n"/>
      <c r="PC70" s="33" t="n"/>
      <c r="PD70" s="33" t="n"/>
      <c r="PE70" s="33" t="n"/>
      <c r="PF70" s="33" t="n"/>
      <c r="PG70" s="33" t="n"/>
      <c r="PH70" s="33" t="n"/>
      <c r="PI70" s="33" t="n"/>
      <c r="PJ70" s="33" t="n"/>
      <c r="PK70" s="33" t="n"/>
      <c r="PL70" s="33" t="n"/>
      <c r="PM70" s="33" t="n"/>
      <c r="PN70" s="33" t="n"/>
      <c r="PO70" s="33" t="n"/>
      <c r="PP70" s="33" t="n"/>
      <c r="PQ70" s="33" t="n"/>
      <c r="PR70" s="33" t="n"/>
      <c r="PS70" s="33" t="n"/>
      <c r="PT70" s="33" t="n"/>
      <c r="PU70" s="33" t="n"/>
      <c r="PV70" s="33" t="n"/>
      <c r="PW70" s="33" t="n"/>
      <c r="PX70" s="33" t="n"/>
      <c r="PY70" s="33" t="n"/>
      <c r="PZ70" s="33" t="n"/>
      <c r="QA70" s="33" t="n"/>
      <c r="QB70" s="33" t="n"/>
      <c r="QC70" s="33" t="n"/>
      <c r="QD70" s="33" t="n"/>
      <c r="QE70" s="33" t="n"/>
      <c r="QF70" s="33" t="n"/>
      <c r="QG70" s="33" t="n"/>
      <c r="QH70" s="33" t="n"/>
      <c r="QI70" s="33" t="n"/>
      <c r="QJ70" s="33" t="n"/>
      <c r="QK70" s="33" t="n"/>
      <c r="QL70" s="33" t="n"/>
      <c r="QM70" s="33" t="n"/>
      <c r="QN70" s="33" t="n"/>
      <c r="QO70" s="33" t="n"/>
      <c r="QP70" s="33" t="n"/>
      <c r="QQ70" s="33" t="n"/>
      <c r="QR70" s="33" t="n"/>
      <c r="QS70" s="33" t="n"/>
      <c r="QT70" s="33" t="n"/>
      <c r="QU70" s="33" t="n"/>
      <c r="QV70" s="33" t="n"/>
      <c r="QW70" s="33" t="n"/>
      <c r="QX70" s="33" t="n"/>
      <c r="QY70" s="33" t="n"/>
      <c r="QZ70" s="33" t="n"/>
      <c r="RA70" s="33" t="n"/>
      <c r="RB70" s="33" t="n"/>
      <c r="RC70" s="33" t="n"/>
      <c r="RD70" s="33" t="n"/>
      <c r="RE70" s="33" t="n"/>
      <c r="RF70" s="33" t="n"/>
      <c r="RG70" s="33" t="n"/>
      <c r="RH70" s="33" t="n"/>
      <c r="RI70" s="33" t="n"/>
      <c r="RJ70" s="33" t="n"/>
      <c r="RK70" s="33" t="n"/>
      <c r="RL70" s="33" t="n"/>
      <c r="RM70" s="33" t="n"/>
      <c r="RN70" s="33" t="n"/>
      <c r="RO70" s="33" t="n"/>
      <c r="RP70" s="33" t="n"/>
      <c r="RQ70" s="33" t="n"/>
      <c r="RR70" s="33" t="n"/>
      <c r="RS70" s="33" t="n"/>
      <c r="RT70" s="33" t="n"/>
      <c r="RU70" s="33" t="n"/>
      <c r="RV70" s="33" t="n"/>
      <c r="RW70" s="33" t="n"/>
    </row>
    <row r="71" hidden="1" outlineLevel="1" ht="13.05" customHeight="1">
      <c r="E71" s="21" t="inlineStr">
        <is>
          <t>DSCR (achieved)</t>
        </is>
      </c>
      <c r="F71" s="29" t="n"/>
      <c r="G71" s="29" t="inlineStr">
        <is>
          <t>kEUR</t>
        </is>
      </c>
      <c r="H71" s="29" t="n"/>
      <c r="I71" s="29" t="n"/>
      <c r="J71" s="46" t="n"/>
      <c r="K71" s="29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  <c r="AU71" s="47" t="n"/>
      <c r="AV71" s="47" t="n"/>
      <c r="AW71" s="47" t="n"/>
      <c r="AX71" s="47" t="n"/>
      <c r="AY71" s="47" t="n"/>
      <c r="AZ71" s="47" t="n"/>
      <c r="BA71" s="47" t="n"/>
      <c r="BB71" s="47" t="n"/>
      <c r="BC71" s="47" t="n"/>
      <c r="BD71" s="47" t="n"/>
      <c r="BE71" s="47" t="n"/>
      <c r="BF71" s="47" t="n"/>
      <c r="BG71" s="47" t="n"/>
      <c r="BH71" s="47" t="n"/>
      <c r="BI71" s="47" t="n"/>
      <c r="BJ71" s="47" t="n"/>
      <c r="BK71" s="47" t="n"/>
      <c r="BL71" s="47" t="n"/>
      <c r="BM71" s="47" t="n"/>
      <c r="BN71" s="47" t="n"/>
      <c r="BO71" s="47" t="n"/>
      <c r="BP71" s="47" t="n"/>
      <c r="BQ71" s="47" t="n"/>
      <c r="BR71" s="47" t="n"/>
      <c r="BS71" s="47" t="n"/>
      <c r="BT71" s="47" t="n"/>
      <c r="BU71" s="47" t="n"/>
      <c r="BV71" s="47" t="n"/>
      <c r="BW71" s="47" t="n"/>
      <c r="BX71" s="47" t="n"/>
      <c r="BY71" s="47" t="n"/>
      <c r="BZ71" s="47" t="n"/>
      <c r="CA71" s="47" t="n"/>
      <c r="CB71" s="47" t="n"/>
      <c r="CC71" s="47" t="n"/>
      <c r="CD71" s="47" t="n"/>
      <c r="CE71" s="47" t="n"/>
      <c r="CF71" s="47" t="n"/>
      <c r="CG71" s="47" t="n"/>
      <c r="CH71" s="47" t="n"/>
      <c r="CI71" s="47" t="n"/>
      <c r="CJ71" s="47" t="n"/>
      <c r="CK71" s="47" t="n"/>
      <c r="CL71" s="47" t="n"/>
      <c r="CM71" s="47" t="n"/>
      <c r="CN71" s="47" t="n"/>
      <c r="CO71" s="47" t="n"/>
      <c r="CP71" s="47" t="n"/>
      <c r="CQ71" s="47" t="n"/>
      <c r="CR71" s="47" t="n"/>
      <c r="CS71" s="47" t="n"/>
      <c r="CT71" s="47" t="n"/>
      <c r="CU71" s="47" t="n"/>
      <c r="CV71" s="47" t="n"/>
      <c r="CW71" s="47" t="n"/>
      <c r="CX71" s="47" t="n"/>
      <c r="CY71" s="47" t="n"/>
      <c r="CZ71" s="47" t="n"/>
      <c r="DA71" s="47" t="n"/>
      <c r="DB71" s="47" t="n"/>
      <c r="DC71" s="47" t="n"/>
      <c r="DD71" s="47" t="n"/>
      <c r="DE71" s="47" t="n"/>
      <c r="DF71" s="47" t="n"/>
      <c r="DG71" s="47" t="n"/>
      <c r="DH71" s="47" t="n"/>
      <c r="DI71" s="47" t="n"/>
      <c r="DJ71" s="47" t="n"/>
      <c r="DK71" s="47" t="n"/>
      <c r="DL71" s="47" t="n"/>
      <c r="DM71" s="47" t="n"/>
      <c r="DN71" s="47" t="n"/>
      <c r="DO71" s="47" t="n"/>
      <c r="DP71" s="47" t="n"/>
      <c r="DQ71" s="47" t="n"/>
      <c r="DR71" s="47" t="n"/>
      <c r="DS71" s="47" t="n"/>
      <c r="DT71" s="47" t="n"/>
      <c r="DU71" s="47" t="n"/>
      <c r="DV71" s="47" t="n"/>
      <c r="DW71" s="47" t="n"/>
      <c r="DX71" s="47" t="n"/>
      <c r="DY71" s="47" t="n"/>
      <c r="DZ71" s="47" t="n"/>
      <c r="EA71" s="47" t="n"/>
      <c r="EB71" s="47" t="n"/>
      <c r="EC71" s="47" t="n"/>
      <c r="ED71" s="47" t="n"/>
      <c r="EE71" s="47" t="n"/>
      <c r="EF71" s="47" t="n"/>
      <c r="EG71" s="47" t="n"/>
      <c r="EH71" s="47" t="n"/>
      <c r="EI71" s="47" t="n"/>
      <c r="EJ71" s="47" t="n"/>
      <c r="EK71" s="47" t="n"/>
      <c r="EL71" s="47" t="n"/>
      <c r="EM71" s="47" t="n"/>
      <c r="EN71" s="47" t="n"/>
      <c r="EO71" s="47" t="n"/>
      <c r="EP71" s="47" t="n"/>
      <c r="EQ71" s="47" t="n"/>
      <c r="ER71" s="47" t="n"/>
      <c r="ES71" s="47" t="n"/>
      <c r="ET71" s="47" t="n"/>
      <c r="EU71" s="47" t="n"/>
      <c r="EV71" s="47" t="n"/>
      <c r="EW71" s="47" t="n"/>
      <c r="EX71" s="47" t="n"/>
      <c r="EY71" s="47" t="n"/>
      <c r="EZ71" s="47" t="n"/>
      <c r="FA71" s="47" t="n"/>
      <c r="FB71" s="47" t="n"/>
      <c r="FC71" s="47" t="n"/>
      <c r="FD71" s="47" t="n"/>
      <c r="FE71" s="47" t="n"/>
      <c r="FF71" s="47" t="n"/>
      <c r="FG71" s="47" t="n"/>
      <c r="FH71" s="47" t="n"/>
      <c r="FI71" s="47" t="n"/>
      <c r="FJ71" s="47" t="n"/>
      <c r="FK71" s="47" t="n"/>
      <c r="FL71" s="47" t="n"/>
      <c r="FM71" s="47" t="n"/>
      <c r="FN71" s="47" t="n"/>
      <c r="FO71" s="47" t="n"/>
      <c r="FP71" s="47" t="n"/>
      <c r="FQ71" s="47" t="n"/>
      <c r="FR71" s="47" t="n"/>
      <c r="FS71" s="47" t="n"/>
      <c r="FT71" s="47" t="n"/>
      <c r="FU71" s="47" t="n"/>
      <c r="FV71" s="47" t="n"/>
      <c r="FW71" s="47" t="n"/>
      <c r="FX71" s="47" t="n"/>
      <c r="FY71" s="47" t="n"/>
      <c r="FZ71" s="47" t="n"/>
      <c r="GA71" s="47" t="n"/>
      <c r="GB71" s="47" t="n"/>
      <c r="GC71" s="47" t="n"/>
      <c r="GD71" s="47" t="n"/>
      <c r="GE71" s="47" t="n"/>
      <c r="GF71" s="47" t="n"/>
      <c r="GG71" s="47" t="n"/>
      <c r="GH71" s="47" t="n"/>
      <c r="GI71" s="47" t="n"/>
      <c r="GJ71" s="47" t="n"/>
      <c r="GK71" s="47" t="n"/>
      <c r="GL71" s="47" t="n"/>
      <c r="GM71" s="47" t="n"/>
      <c r="GN71" s="47" t="n"/>
      <c r="GO71" s="47" t="n"/>
      <c r="GP71" s="47" t="n"/>
      <c r="GQ71" s="47" t="n"/>
      <c r="GR71" s="47" t="n"/>
      <c r="GS71" s="47" t="n"/>
      <c r="GT71" s="47" t="n"/>
      <c r="GU71" s="47" t="n"/>
      <c r="GV71" s="47" t="n"/>
      <c r="GW71" s="47" t="n"/>
      <c r="GX71" s="47" t="n"/>
      <c r="GY71" s="47" t="n"/>
      <c r="GZ71" s="47" t="n"/>
      <c r="HA71" s="47" t="n"/>
      <c r="HB71" s="47" t="n"/>
      <c r="HC71" s="47" t="n"/>
      <c r="HD71" s="47" t="n"/>
      <c r="HE71" s="47" t="n"/>
      <c r="HF71" s="47" t="n"/>
      <c r="HG71" s="47" t="n"/>
      <c r="HH71" s="47" t="n"/>
      <c r="HI71" s="47" t="n"/>
      <c r="HJ71" s="47" t="n"/>
      <c r="HK71" s="47" t="n"/>
      <c r="HL71" s="47" t="n"/>
      <c r="HM71" s="47" t="n"/>
      <c r="HN71" s="47" t="n"/>
      <c r="HO71" s="47" t="n"/>
      <c r="HP71" s="47" t="n"/>
      <c r="HQ71" s="47" t="n"/>
      <c r="HR71" s="47" t="n"/>
      <c r="HS71" s="47" t="n"/>
      <c r="HT71" s="47" t="n"/>
      <c r="HU71" s="47" t="n"/>
      <c r="HV71" s="47" t="n"/>
      <c r="HW71" s="47" t="n"/>
      <c r="HX71" s="47" t="n"/>
      <c r="HY71" s="47" t="n"/>
      <c r="HZ71" s="47" t="n"/>
      <c r="IA71" s="47" t="n"/>
      <c r="IB71" s="47" t="n"/>
      <c r="IC71" s="47" t="n"/>
      <c r="ID71" s="47" t="n"/>
      <c r="IE71" s="47" t="n"/>
      <c r="IF71" s="47" t="n"/>
      <c r="IG71" s="47" t="n"/>
      <c r="IH71" s="47" t="n"/>
      <c r="II71" s="47" t="n"/>
      <c r="IJ71" s="47" t="n"/>
      <c r="IK71" s="47" t="n"/>
      <c r="IL71" s="47" t="n"/>
      <c r="IM71" s="47" t="n"/>
      <c r="IN71" s="47" t="n"/>
      <c r="IO71" s="47" t="n"/>
      <c r="IP71" s="47" t="n"/>
      <c r="IQ71" s="47" t="n"/>
      <c r="IR71" s="47" t="n"/>
      <c r="IS71" s="47" t="n"/>
      <c r="IT71" s="47" t="n"/>
      <c r="IU71" s="47" t="n"/>
      <c r="IV71" s="47" t="n"/>
      <c r="IW71" s="47" t="n"/>
      <c r="IX71" s="47" t="n"/>
      <c r="IY71" s="47" t="n"/>
      <c r="IZ71" s="47" t="n"/>
      <c r="JA71" s="47" t="n"/>
      <c r="JB71" s="47" t="n"/>
      <c r="JC71" s="47" t="n"/>
      <c r="JD71" s="47" t="n"/>
      <c r="JE71" s="47" t="n"/>
      <c r="JF71" s="47" t="n"/>
      <c r="JG71" s="47" t="n"/>
      <c r="JH71" s="47" t="n"/>
      <c r="JI71" s="47" t="n"/>
      <c r="JJ71" s="47" t="n"/>
      <c r="JK71" s="47" t="n"/>
      <c r="JL71" s="47" t="n"/>
      <c r="JM71" s="47" t="n"/>
      <c r="JN71" s="47" t="n"/>
      <c r="JO71" s="47" t="n"/>
      <c r="JP71" s="47" t="n"/>
      <c r="JQ71" s="47" t="n"/>
      <c r="JR71" s="47" t="n"/>
      <c r="JS71" s="47" t="n"/>
      <c r="JT71" s="47" t="n"/>
      <c r="JU71" s="47" t="n"/>
      <c r="JV71" s="47" t="n"/>
      <c r="JW71" s="47" t="n"/>
      <c r="JX71" s="47" t="n"/>
      <c r="JY71" s="47" t="n"/>
      <c r="JZ71" s="47" t="n"/>
      <c r="KA71" s="47" t="n"/>
      <c r="KB71" s="47" t="n"/>
      <c r="KC71" s="47" t="n"/>
      <c r="KD71" s="47" t="n"/>
      <c r="KE71" s="47" t="n"/>
      <c r="KF71" s="47" t="n"/>
      <c r="KG71" s="47" t="n"/>
      <c r="KH71" s="47" t="n"/>
      <c r="KI71" s="47" t="n"/>
      <c r="KJ71" s="47" t="n"/>
      <c r="KK71" s="47" t="n"/>
      <c r="KL71" s="47" t="n"/>
      <c r="KM71" s="47" t="n"/>
      <c r="KN71" s="47" t="n"/>
      <c r="KO71" s="47" t="n"/>
      <c r="KP71" s="47" t="n"/>
      <c r="KQ71" s="47" t="n"/>
      <c r="KR71" s="47" t="n"/>
      <c r="KS71" s="47" t="n"/>
      <c r="KT71" s="47" t="n"/>
      <c r="KU71" s="47" t="n"/>
      <c r="KV71" s="47" t="n"/>
      <c r="KW71" s="47" t="n"/>
      <c r="KX71" s="47" t="n"/>
      <c r="KY71" s="47" t="n"/>
      <c r="KZ71" s="47" t="n"/>
      <c r="LA71" s="47" t="n"/>
      <c r="LB71" s="47" t="n"/>
      <c r="LC71" s="47" t="n"/>
      <c r="LD71" s="47" t="n"/>
      <c r="LE71" s="47" t="n"/>
      <c r="LF71" s="47" t="n"/>
      <c r="LG71" s="47" t="n"/>
      <c r="LH71" s="47" t="n"/>
      <c r="LI71" s="47" t="n"/>
      <c r="LJ71" s="47" t="n"/>
      <c r="LK71" s="47" t="n"/>
      <c r="LL71" s="47" t="n"/>
      <c r="LM71" s="47" t="n"/>
      <c r="LN71" s="47" t="n"/>
      <c r="LO71" s="47" t="n"/>
      <c r="LP71" s="47" t="n"/>
      <c r="LQ71" s="47" t="n"/>
      <c r="LR71" s="47" t="n"/>
      <c r="LS71" s="47" t="n"/>
      <c r="LT71" s="47" t="n"/>
      <c r="LU71" s="47" t="n"/>
      <c r="LV71" s="47" t="n"/>
      <c r="LW71" s="47" t="n"/>
      <c r="LX71" s="47" t="n"/>
      <c r="LY71" s="47" t="n"/>
      <c r="LZ71" s="47" t="n"/>
      <c r="MA71" s="47" t="n"/>
      <c r="MB71" s="47" t="n"/>
      <c r="MC71" s="47" t="n"/>
      <c r="MD71" s="47" t="n"/>
      <c r="ME71" s="47" t="n"/>
      <c r="MF71" s="47" t="n"/>
      <c r="MG71" s="47" t="n"/>
      <c r="MH71" s="47" t="n"/>
      <c r="MI71" s="47" t="n"/>
      <c r="MJ71" s="47" t="n"/>
      <c r="MK71" s="47" t="n"/>
      <c r="ML71" s="47" t="n"/>
      <c r="MM71" s="47" t="n"/>
      <c r="MN71" s="47" t="n"/>
      <c r="MO71" s="47" t="n"/>
      <c r="MP71" s="47" t="n"/>
      <c r="MQ71" s="47" t="n"/>
      <c r="MR71" s="47" t="n"/>
      <c r="MS71" s="47" t="n"/>
      <c r="MT71" s="47" t="n"/>
      <c r="MU71" s="47" t="n"/>
      <c r="MV71" s="47" t="n"/>
      <c r="MW71" s="47" t="n"/>
      <c r="MX71" s="47" t="n"/>
      <c r="MY71" s="47" t="n"/>
      <c r="MZ71" s="47" t="n"/>
      <c r="NA71" s="47" t="n"/>
      <c r="NB71" s="47" t="n"/>
      <c r="NC71" s="47" t="n"/>
      <c r="ND71" s="47" t="n"/>
      <c r="NE71" s="47" t="n"/>
      <c r="NF71" s="47" t="n"/>
      <c r="NG71" s="47" t="n"/>
      <c r="NH71" s="47" t="n"/>
      <c r="NI71" s="47" t="n"/>
      <c r="NJ71" s="47" t="n"/>
      <c r="NK71" s="47" t="n"/>
      <c r="NL71" s="47" t="n"/>
      <c r="NM71" s="47" t="n"/>
      <c r="NN71" s="47" t="n"/>
      <c r="NO71" s="47" t="n"/>
      <c r="NP71" s="47" t="n"/>
      <c r="NQ71" s="47" t="n"/>
      <c r="NR71" s="47" t="n"/>
      <c r="NS71" s="47" t="n"/>
      <c r="NT71" s="47" t="n"/>
      <c r="NU71" s="47" t="n"/>
      <c r="NV71" s="47" t="n"/>
      <c r="NW71" s="47" t="n"/>
      <c r="NX71" s="47" t="n"/>
      <c r="NY71" s="47" t="n"/>
      <c r="NZ71" s="47" t="n"/>
      <c r="OA71" s="47" t="n"/>
      <c r="OB71" s="47" t="n"/>
      <c r="OC71" s="47" t="n"/>
      <c r="OD71" s="47" t="n"/>
      <c r="OE71" s="47" t="n"/>
      <c r="OF71" s="47" t="n"/>
      <c r="OG71" s="47" t="n"/>
      <c r="OH71" s="47" t="n"/>
      <c r="OI71" s="47" t="n"/>
      <c r="OJ71" s="47" t="n"/>
      <c r="OK71" s="47" t="n"/>
      <c r="OL71" s="47" t="n"/>
      <c r="OM71" s="47" t="n"/>
      <c r="ON71" s="47" t="n"/>
      <c r="OO71" s="47" t="n"/>
      <c r="OP71" s="47" t="n"/>
      <c r="OQ71" s="47" t="n"/>
      <c r="OR71" s="47" t="n"/>
      <c r="OS71" s="47" t="n"/>
      <c r="OT71" s="47" t="n"/>
      <c r="OU71" s="47" t="n"/>
      <c r="OV71" s="47" t="n"/>
      <c r="OW71" s="47" t="n"/>
      <c r="OX71" s="47" t="n"/>
      <c r="OY71" s="47" t="n"/>
      <c r="OZ71" s="47" t="n"/>
      <c r="PA71" s="47" t="n"/>
      <c r="PB71" s="47" t="n"/>
      <c r="PC71" s="47" t="n"/>
      <c r="PD71" s="47" t="n"/>
      <c r="PE71" s="47" t="n"/>
      <c r="PF71" s="47" t="n"/>
      <c r="PG71" s="47" t="n"/>
      <c r="PH71" s="47" t="n"/>
      <c r="PI71" s="47" t="n"/>
      <c r="PJ71" s="47" t="n"/>
      <c r="PK71" s="47" t="n"/>
      <c r="PL71" s="47" t="n"/>
      <c r="PM71" s="47" t="n"/>
      <c r="PN71" s="47" t="n"/>
      <c r="PO71" s="47" t="n"/>
      <c r="PP71" s="47" t="n"/>
      <c r="PQ71" s="47" t="n"/>
      <c r="PR71" s="47" t="n"/>
      <c r="PS71" s="47" t="n"/>
      <c r="PT71" s="47" t="n"/>
      <c r="PU71" s="47" t="n"/>
      <c r="PV71" s="47" t="n"/>
      <c r="PW71" s="47" t="n"/>
      <c r="PX71" s="47" t="n"/>
      <c r="PY71" s="47" t="n"/>
      <c r="PZ71" s="47" t="n"/>
      <c r="QA71" s="47" t="n"/>
      <c r="QB71" s="47" t="n"/>
      <c r="QC71" s="47" t="n"/>
      <c r="QD71" s="47" t="n"/>
      <c r="QE71" s="47" t="n"/>
      <c r="QF71" s="47" t="n"/>
      <c r="QG71" s="47" t="n"/>
      <c r="QH71" s="47" t="n"/>
      <c r="QI71" s="47" t="n"/>
      <c r="QJ71" s="47" t="n"/>
      <c r="QK71" s="47" t="n"/>
      <c r="QL71" s="47" t="n"/>
      <c r="QM71" s="47" t="n"/>
      <c r="QN71" s="47" t="n"/>
      <c r="QO71" s="47" t="n"/>
      <c r="QP71" s="47" t="n"/>
      <c r="QQ71" s="47" t="n"/>
      <c r="QR71" s="47" t="n"/>
      <c r="QS71" s="47" t="n"/>
      <c r="QT71" s="47" t="n"/>
      <c r="QU71" s="47" t="n"/>
      <c r="QV71" s="47" t="n"/>
      <c r="QW71" s="47" t="n"/>
      <c r="QX71" s="47" t="n"/>
      <c r="QY71" s="47" t="n"/>
      <c r="QZ71" s="47" t="n"/>
      <c r="RA71" s="47" t="n"/>
      <c r="RB71" s="47" t="n"/>
      <c r="RC71" s="47" t="n"/>
      <c r="RD71" s="47" t="n"/>
      <c r="RE71" s="47" t="n"/>
      <c r="RF71" s="47" t="n"/>
      <c r="RG71" s="47" t="n"/>
      <c r="RH71" s="47" t="n"/>
      <c r="RI71" s="47" t="n"/>
      <c r="RJ71" s="47" t="n"/>
      <c r="RK71" s="47" t="n"/>
      <c r="RL71" s="47" t="n"/>
      <c r="RM71" s="47" t="n"/>
      <c r="RN71" s="47" t="n"/>
      <c r="RO71" s="47" t="n"/>
      <c r="RP71" s="47" t="n"/>
      <c r="RQ71" s="47" t="n"/>
      <c r="RR71" s="47" t="n"/>
      <c r="RS71" s="47" t="n"/>
      <c r="RT71" s="47" t="n"/>
      <c r="RU71" s="47" t="n"/>
      <c r="RV71" s="47" t="n"/>
      <c r="RW71" s="47" t="n"/>
    </row>
    <row r="72" ht="13.05" customHeight="1">
      <c r="E72" s="21" t="inlineStr">
        <is>
          <t>llcr</t>
        </is>
      </c>
      <c r="F72" s="29" t="n"/>
      <c r="G72" s="29" t="inlineStr">
        <is>
          <t>kEUR</t>
        </is>
      </c>
      <c r="H72" s="29" t="n"/>
      <c r="I72" s="29" t="n"/>
      <c r="J72" s="46" t="n"/>
      <c r="K72" s="29" t="n"/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  <c r="AA72" s="47" t="n"/>
      <c r="AB72" s="47" t="n"/>
      <c r="AC72" s="47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  <c r="AU72" s="47" t="n"/>
      <c r="AV72" s="47" t="n"/>
      <c r="AW72" s="47" t="n"/>
      <c r="AX72" s="47" t="n"/>
      <c r="AY72" s="47" t="n"/>
      <c r="AZ72" s="47" t="n"/>
      <c r="BA72" s="47" t="n"/>
      <c r="BB72" s="47" t="n"/>
      <c r="BC72" s="47" t="n"/>
      <c r="BD72" s="47" t="n"/>
      <c r="BE72" s="47" t="n"/>
      <c r="BF72" s="47" t="n"/>
      <c r="BG72" s="47" t="n"/>
      <c r="BH72" s="47" t="n"/>
      <c r="BI72" s="47" t="n"/>
      <c r="BJ72" s="47" t="n"/>
      <c r="BK72" s="47" t="n"/>
      <c r="BL72" s="47" t="n"/>
      <c r="BM72" s="47" t="n"/>
      <c r="BN72" s="47" t="n"/>
      <c r="BO72" s="47" t="n"/>
      <c r="BP72" s="47" t="n"/>
      <c r="BQ72" s="47" t="n"/>
      <c r="BR72" s="47" t="n"/>
      <c r="BS72" s="47" t="n"/>
      <c r="BT72" s="47" t="n"/>
      <c r="BU72" s="47" t="n"/>
      <c r="BV72" s="47" t="n"/>
      <c r="BW72" s="47" t="n"/>
      <c r="BX72" s="47" t="n"/>
      <c r="BY72" s="47" t="n"/>
      <c r="BZ72" s="47" t="n"/>
      <c r="CA72" s="47" t="n"/>
      <c r="CB72" s="47" t="n"/>
      <c r="CC72" s="47" t="n"/>
      <c r="CD72" s="47" t="n"/>
      <c r="CE72" s="47" t="n"/>
      <c r="CF72" s="47" t="n"/>
      <c r="CG72" s="47" t="n"/>
      <c r="CH72" s="47" t="n"/>
      <c r="CI72" s="47" t="n"/>
      <c r="CJ72" s="47" t="n"/>
      <c r="CK72" s="47" t="n"/>
      <c r="CL72" s="47" t="n"/>
      <c r="CM72" s="47" t="n"/>
      <c r="CN72" s="47" t="n"/>
      <c r="CO72" s="47" t="n"/>
      <c r="CP72" s="47" t="n"/>
      <c r="CQ72" s="47" t="n"/>
      <c r="CR72" s="47" t="n"/>
      <c r="CS72" s="47" t="n"/>
      <c r="CT72" s="47" t="n"/>
      <c r="CU72" s="47" t="n"/>
      <c r="CV72" s="47" t="n"/>
      <c r="CW72" s="47" t="n"/>
      <c r="CX72" s="47" t="n"/>
      <c r="CY72" s="47" t="n"/>
      <c r="CZ72" s="47" t="n"/>
      <c r="DA72" s="47" t="n"/>
      <c r="DB72" s="47" t="n"/>
      <c r="DC72" s="47" t="n"/>
      <c r="DD72" s="47" t="n"/>
      <c r="DE72" s="47" t="n"/>
      <c r="DF72" s="47" t="n"/>
      <c r="DG72" s="47" t="n"/>
      <c r="DH72" s="47" t="n"/>
      <c r="DI72" s="47" t="n"/>
      <c r="DJ72" s="47" t="n"/>
      <c r="DK72" s="47" t="n"/>
      <c r="DL72" s="47" t="n"/>
      <c r="DM72" s="47" t="n"/>
      <c r="DN72" s="47" t="n"/>
      <c r="DO72" s="47" t="n"/>
      <c r="DP72" s="47" t="n"/>
      <c r="DQ72" s="47" t="n"/>
      <c r="DR72" s="47" t="n"/>
      <c r="DS72" s="47" t="n"/>
      <c r="DT72" s="47" t="n"/>
      <c r="DU72" s="47" t="n"/>
      <c r="DV72" s="47" t="n"/>
      <c r="DW72" s="47" t="n"/>
      <c r="DX72" s="47" t="n"/>
      <c r="DY72" s="47" t="n"/>
      <c r="DZ72" s="47" t="n"/>
      <c r="EA72" s="47" t="n"/>
      <c r="EB72" s="47" t="n"/>
      <c r="EC72" s="47" t="n"/>
      <c r="ED72" s="47" t="n"/>
      <c r="EE72" s="47" t="n"/>
      <c r="EF72" s="47" t="n"/>
      <c r="EG72" s="47" t="n"/>
      <c r="EH72" s="47" t="n"/>
      <c r="EI72" s="47" t="n"/>
      <c r="EJ72" s="47" t="n"/>
      <c r="EK72" s="47" t="n"/>
      <c r="EL72" s="47" t="n"/>
      <c r="EM72" s="47" t="n"/>
      <c r="EN72" s="47" t="n"/>
      <c r="EO72" s="47" t="n"/>
      <c r="EP72" s="47" t="n"/>
      <c r="EQ72" s="47" t="n"/>
      <c r="ER72" s="47" t="n"/>
      <c r="ES72" s="47" t="n"/>
      <c r="ET72" s="47" t="n"/>
      <c r="EU72" s="47" t="n"/>
      <c r="EV72" s="47" t="n"/>
      <c r="EW72" s="47" t="n"/>
      <c r="EX72" s="47" t="n"/>
      <c r="EY72" s="47" t="n"/>
      <c r="EZ72" s="47" t="n"/>
      <c r="FA72" s="47" t="n"/>
      <c r="FB72" s="47" t="n"/>
      <c r="FC72" s="47" t="n"/>
      <c r="FD72" s="47" t="n"/>
      <c r="FE72" s="47" t="n"/>
      <c r="FF72" s="47" t="n"/>
      <c r="FG72" s="47" t="n"/>
      <c r="FH72" s="47" t="n"/>
      <c r="FI72" s="47" t="n"/>
      <c r="FJ72" s="47" t="n"/>
      <c r="FK72" s="47" t="n"/>
      <c r="FL72" s="47" t="n"/>
      <c r="FM72" s="47" t="n"/>
      <c r="FN72" s="47" t="n"/>
      <c r="FO72" s="47" t="n"/>
      <c r="FP72" s="47" t="n"/>
      <c r="FQ72" s="47" t="n"/>
      <c r="FR72" s="47" t="n"/>
      <c r="FS72" s="47" t="n"/>
      <c r="FT72" s="47" t="n"/>
      <c r="FU72" s="47" t="n"/>
      <c r="FV72" s="47" t="n"/>
      <c r="FW72" s="47" t="n"/>
      <c r="FX72" s="47" t="n"/>
      <c r="FY72" s="47" t="n"/>
      <c r="FZ72" s="47" t="n"/>
      <c r="GA72" s="47" t="n"/>
      <c r="GB72" s="47" t="n"/>
      <c r="GC72" s="47" t="n"/>
      <c r="GD72" s="47" t="n"/>
      <c r="GE72" s="47" t="n"/>
      <c r="GF72" s="47" t="n"/>
      <c r="GG72" s="47" t="n"/>
      <c r="GH72" s="47" t="n"/>
      <c r="GI72" s="47" t="n"/>
      <c r="GJ72" s="47" t="n"/>
      <c r="GK72" s="47" t="n"/>
      <c r="GL72" s="47" t="n"/>
      <c r="GM72" s="47" t="n"/>
      <c r="GN72" s="47" t="n"/>
      <c r="GO72" s="47" t="n"/>
      <c r="GP72" s="47" t="n"/>
      <c r="GQ72" s="47" t="n"/>
      <c r="GR72" s="47" t="n"/>
      <c r="GS72" s="47" t="n"/>
      <c r="GT72" s="47" t="n"/>
      <c r="GU72" s="47" t="n"/>
      <c r="GV72" s="47" t="n"/>
      <c r="GW72" s="47" t="n"/>
      <c r="GX72" s="47" t="n"/>
      <c r="GY72" s="47" t="n"/>
      <c r="GZ72" s="47" t="n"/>
      <c r="HA72" s="47" t="n"/>
      <c r="HB72" s="47" t="n"/>
      <c r="HC72" s="47" t="n"/>
      <c r="HD72" s="47" t="n"/>
      <c r="HE72" s="47" t="n"/>
      <c r="HF72" s="47" t="n"/>
      <c r="HG72" s="47" t="n"/>
      <c r="HH72" s="47" t="n"/>
      <c r="HI72" s="47" t="n"/>
      <c r="HJ72" s="47" t="n"/>
      <c r="HK72" s="47" t="n"/>
      <c r="HL72" s="47" t="n"/>
      <c r="HM72" s="47" t="n"/>
      <c r="HN72" s="47" t="n"/>
      <c r="HO72" s="47" t="n"/>
      <c r="HP72" s="47" t="n"/>
      <c r="HQ72" s="47" t="n"/>
      <c r="HR72" s="47" t="n"/>
      <c r="HS72" s="47" t="n"/>
      <c r="HT72" s="47" t="n"/>
      <c r="HU72" s="47" t="n"/>
      <c r="HV72" s="47" t="n"/>
      <c r="HW72" s="47" t="n"/>
      <c r="HX72" s="47" t="n"/>
      <c r="HY72" s="47" t="n"/>
      <c r="HZ72" s="47" t="n"/>
      <c r="IA72" s="47" t="n"/>
      <c r="IB72" s="47" t="n"/>
      <c r="IC72" s="47" t="n"/>
      <c r="ID72" s="47" t="n"/>
      <c r="IE72" s="47" t="n"/>
      <c r="IF72" s="47" t="n"/>
      <c r="IG72" s="47" t="n"/>
      <c r="IH72" s="47" t="n"/>
      <c r="II72" s="47" t="n"/>
      <c r="IJ72" s="47" t="n"/>
      <c r="IK72" s="47" t="n"/>
      <c r="IL72" s="47" t="n"/>
      <c r="IM72" s="47" t="n"/>
      <c r="IN72" s="47" t="n"/>
      <c r="IO72" s="47" t="n"/>
      <c r="IP72" s="47" t="n"/>
      <c r="IQ72" s="47" t="n"/>
      <c r="IR72" s="47" t="n"/>
      <c r="IS72" s="47" t="n"/>
      <c r="IT72" s="47" t="n"/>
      <c r="IU72" s="47" t="n"/>
      <c r="IV72" s="47" t="n"/>
      <c r="IW72" s="47" t="n"/>
      <c r="IX72" s="47" t="n"/>
      <c r="IY72" s="47" t="n"/>
      <c r="IZ72" s="47" t="n"/>
      <c r="JA72" s="47" t="n"/>
      <c r="JB72" s="47" t="n"/>
      <c r="JC72" s="47" t="n"/>
      <c r="JD72" s="47" t="n"/>
      <c r="JE72" s="47" t="n"/>
      <c r="JF72" s="47" t="n"/>
      <c r="JG72" s="47" t="n"/>
      <c r="JH72" s="47" t="n"/>
      <c r="JI72" s="47" t="n"/>
      <c r="JJ72" s="47" t="n"/>
      <c r="JK72" s="47" t="n"/>
      <c r="JL72" s="47" t="n"/>
      <c r="JM72" s="47" t="n"/>
      <c r="JN72" s="47" t="n"/>
      <c r="JO72" s="47" t="n"/>
      <c r="JP72" s="47" t="n"/>
      <c r="JQ72" s="47" t="n"/>
      <c r="JR72" s="47" t="n"/>
      <c r="JS72" s="47" t="n"/>
      <c r="JT72" s="47" t="n"/>
      <c r="JU72" s="47" t="n"/>
      <c r="JV72" s="47" t="n"/>
      <c r="JW72" s="47" t="n"/>
      <c r="JX72" s="47" t="n"/>
      <c r="JY72" s="47" t="n"/>
      <c r="JZ72" s="47" t="n"/>
      <c r="KA72" s="47" t="n"/>
      <c r="KB72" s="47" t="n"/>
      <c r="KC72" s="47" t="n"/>
      <c r="KD72" s="47" t="n"/>
      <c r="KE72" s="47" t="n"/>
      <c r="KF72" s="47" t="n"/>
      <c r="KG72" s="47" t="n"/>
      <c r="KH72" s="47" t="n"/>
      <c r="KI72" s="47" t="n"/>
      <c r="KJ72" s="47" t="n"/>
      <c r="KK72" s="47" t="n"/>
      <c r="KL72" s="47" t="n"/>
      <c r="KM72" s="47" t="n"/>
      <c r="KN72" s="47" t="n"/>
      <c r="KO72" s="47" t="n"/>
      <c r="KP72" s="47" t="n"/>
      <c r="KQ72" s="47" t="n"/>
      <c r="KR72" s="47" t="n"/>
      <c r="KS72" s="47" t="n"/>
      <c r="KT72" s="47" t="n"/>
      <c r="KU72" s="47" t="n"/>
      <c r="KV72" s="47" t="n"/>
      <c r="KW72" s="47" t="n"/>
      <c r="KX72" s="47" t="n"/>
      <c r="KY72" s="47" t="n"/>
      <c r="KZ72" s="47" t="n"/>
      <c r="LA72" s="47" t="n"/>
      <c r="LB72" s="47" t="n"/>
      <c r="LC72" s="47" t="n"/>
      <c r="LD72" s="47" t="n"/>
      <c r="LE72" s="47" t="n"/>
      <c r="LF72" s="47" t="n"/>
      <c r="LG72" s="47" t="n"/>
      <c r="LH72" s="47" t="n"/>
      <c r="LI72" s="47" t="n"/>
      <c r="LJ72" s="47" t="n"/>
      <c r="LK72" s="47" t="n"/>
      <c r="LL72" s="47" t="n"/>
      <c r="LM72" s="47" t="n"/>
      <c r="LN72" s="47" t="n"/>
      <c r="LO72" s="47" t="n"/>
      <c r="LP72" s="47" t="n"/>
      <c r="LQ72" s="47" t="n"/>
      <c r="LR72" s="47" t="n"/>
      <c r="LS72" s="47" t="n"/>
      <c r="LT72" s="47" t="n"/>
      <c r="LU72" s="47" t="n"/>
      <c r="LV72" s="47" t="n"/>
      <c r="LW72" s="47" t="n"/>
      <c r="LX72" s="47" t="n"/>
      <c r="LY72" s="47" t="n"/>
      <c r="LZ72" s="47" t="n"/>
      <c r="MA72" s="47" t="n"/>
      <c r="MB72" s="47" t="n"/>
      <c r="MC72" s="47" t="n"/>
      <c r="MD72" s="47" t="n"/>
      <c r="ME72" s="47" t="n"/>
      <c r="MF72" s="47" t="n"/>
      <c r="MG72" s="47" t="n"/>
      <c r="MH72" s="47" t="n"/>
      <c r="MI72" s="47" t="n"/>
      <c r="MJ72" s="47" t="n"/>
      <c r="MK72" s="47" t="n"/>
      <c r="ML72" s="47" t="n"/>
      <c r="MM72" s="47" t="n"/>
      <c r="MN72" s="47" t="n"/>
      <c r="MO72" s="47" t="n"/>
      <c r="MP72" s="47" t="n"/>
      <c r="MQ72" s="47" t="n"/>
      <c r="MR72" s="47" t="n"/>
      <c r="MS72" s="47" t="n"/>
      <c r="MT72" s="47" t="n"/>
      <c r="MU72" s="47" t="n"/>
      <c r="MV72" s="47" t="n"/>
      <c r="MW72" s="47" t="n"/>
      <c r="MX72" s="47" t="n"/>
      <c r="MY72" s="47" t="n"/>
      <c r="MZ72" s="47" t="n"/>
      <c r="NA72" s="47" t="n"/>
      <c r="NB72" s="47" t="n"/>
      <c r="NC72" s="47" t="n"/>
      <c r="ND72" s="47" t="n"/>
      <c r="NE72" s="47" t="n"/>
      <c r="NF72" s="47" t="n"/>
      <c r="NG72" s="47" t="n"/>
      <c r="NH72" s="47" t="n"/>
      <c r="NI72" s="47" t="n"/>
      <c r="NJ72" s="47" t="n"/>
      <c r="NK72" s="47" t="n"/>
      <c r="NL72" s="47" t="n"/>
      <c r="NM72" s="47" t="n"/>
      <c r="NN72" s="47" t="n"/>
      <c r="NO72" s="47" t="n"/>
      <c r="NP72" s="47" t="n"/>
      <c r="NQ72" s="47" t="n"/>
      <c r="NR72" s="47" t="n"/>
      <c r="NS72" s="47" t="n"/>
      <c r="NT72" s="47" t="n"/>
      <c r="NU72" s="47" t="n"/>
      <c r="NV72" s="47" t="n"/>
      <c r="NW72" s="47" t="n"/>
      <c r="NX72" s="47" t="n"/>
      <c r="NY72" s="47" t="n"/>
      <c r="NZ72" s="47" t="n"/>
      <c r="OA72" s="47" t="n"/>
      <c r="OB72" s="47" t="n"/>
      <c r="OC72" s="47" t="n"/>
      <c r="OD72" s="47" t="n"/>
      <c r="OE72" s="47" t="n"/>
      <c r="OF72" s="47" t="n"/>
      <c r="OG72" s="47" t="n"/>
      <c r="OH72" s="47" t="n"/>
      <c r="OI72" s="47" t="n"/>
      <c r="OJ72" s="47" t="n"/>
      <c r="OK72" s="47" t="n"/>
      <c r="OL72" s="47" t="n"/>
      <c r="OM72" s="47" t="n"/>
      <c r="ON72" s="47" t="n"/>
      <c r="OO72" s="47" t="n"/>
      <c r="OP72" s="47" t="n"/>
      <c r="OQ72" s="47" t="n"/>
      <c r="OR72" s="47" t="n"/>
      <c r="OS72" s="47" t="n"/>
      <c r="OT72" s="47" t="n"/>
      <c r="OU72" s="47" t="n"/>
      <c r="OV72" s="47" t="n"/>
      <c r="OW72" s="47" t="n"/>
      <c r="OX72" s="47" t="n"/>
      <c r="OY72" s="47" t="n"/>
      <c r="OZ72" s="47" t="n"/>
      <c r="PA72" s="47" t="n"/>
      <c r="PB72" s="47" t="n"/>
      <c r="PC72" s="47" t="n"/>
      <c r="PD72" s="47" t="n"/>
      <c r="PE72" s="47" t="n"/>
      <c r="PF72" s="47" t="n"/>
      <c r="PG72" s="47" t="n"/>
      <c r="PH72" s="47" t="n"/>
      <c r="PI72" s="47" t="n"/>
      <c r="PJ72" s="47" t="n"/>
      <c r="PK72" s="47" t="n"/>
      <c r="PL72" s="47" t="n"/>
      <c r="PM72" s="47" t="n"/>
      <c r="PN72" s="47" t="n"/>
      <c r="PO72" s="47" t="n"/>
      <c r="PP72" s="47" t="n"/>
      <c r="PQ72" s="47" t="n"/>
      <c r="PR72" s="47" t="n"/>
      <c r="PS72" s="47" t="n"/>
      <c r="PT72" s="47" t="n"/>
      <c r="PU72" s="47" t="n"/>
      <c r="PV72" s="47" t="n"/>
      <c r="PW72" s="47" t="n"/>
      <c r="PX72" s="47" t="n"/>
      <c r="PY72" s="47" t="n"/>
      <c r="PZ72" s="47" t="n"/>
      <c r="QA72" s="47" t="n"/>
      <c r="QB72" s="47" t="n"/>
      <c r="QC72" s="47" t="n"/>
      <c r="QD72" s="47" t="n"/>
      <c r="QE72" s="47" t="n"/>
      <c r="QF72" s="47" t="n"/>
      <c r="QG72" s="47" t="n"/>
      <c r="QH72" s="47" t="n"/>
      <c r="QI72" s="47" t="n"/>
      <c r="QJ72" s="47" t="n"/>
      <c r="QK72" s="47" t="n"/>
      <c r="QL72" s="47" t="n"/>
      <c r="QM72" s="47" t="n"/>
      <c r="QN72" s="47" t="n"/>
      <c r="QO72" s="47" t="n"/>
      <c r="QP72" s="47" t="n"/>
      <c r="QQ72" s="47" t="n"/>
      <c r="QR72" s="47" t="n"/>
      <c r="QS72" s="47" t="n"/>
      <c r="QT72" s="47" t="n"/>
      <c r="QU72" s="47" t="n"/>
      <c r="QV72" s="47" t="n"/>
      <c r="QW72" s="47" t="n"/>
      <c r="QX72" s="47" t="n"/>
      <c r="QY72" s="47" t="n"/>
      <c r="QZ72" s="47" t="n"/>
      <c r="RA72" s="47" t="n"/>
      <c r="RB72" s="47" t="n"/>
      <c r="RC72" s="47" t="n"/>
      <c r="RD72" s="47" t="n"/>
      <c r="RE72" s="47" t="n"/>
      <c r="RF72" s="47" t="n"/>
      <c r="RG72" s="47" t="n"/>
      <c r="RH72" s="47" t="n"/>
      <c r="RI72" s="47" t="n"/>
      <c r="RJ72" s="47" t="n"/>
      <c r="RK72" s="47" t="n"/>
      <c r="RL72" s="47" t="n"/>
      <c r="RM72" s="47" t="n"/>
      <c r="RN72" s="47" t="n"/>
      <c r="RO72" s="47" t="n"/>
      <c r="RP72" s="47" t="n"/>
      <c r="RQ72" s="47" t="n"/>
      <c r="RR72" s="47" t="n"/>
      <c r="RS72" s="47" t="n"/>
      <c r="RT72" s="47" t="n"/>
      <c r="RU72" s="47" t="n"/>
      <c r="RV72" s="47" t="n"/>
      <c r="RW72" s="47" t="n"/>
    </row>
    <row r="73" ht="5.25" customHeight="1"/>
    <row r="74" ht="13.05" customHeight="1">
      <c r="E74" s="21" t="inlineStr">
        <is>
          <t>Total Opening Balance</t>
        </is>
      </c>
      <c r="F74" s="29" t="n"/>
      <c r="G74" s="29" t="inlineStr">
        <is>
          <t>kEUR</t>
        </is>
      </c>
      <c r="H74" s="29" t="n"/>
      <c r="I74" s="29" t="n"/>
      <c r="J74" s="32" t="n"/>
      <c r="K74" s="29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n"/>
      <c r="AR74" s="33" t="n"/>
      <c r="AS74" s="33" t="n"/>
      <c r="AT74" s="33" t="n"/>
      <c r="AU74" s="33" t="n"/>
      <c r="AV74" s="33" t="n"/>
      <c r="AW74" s="33" t="n"/>
      <c r="AX74" s="33" t="n"/>
      <c r="AY74" s="33" t="n"/>
      <c r="AZ74" s="33" t="n"/>
      <c r="BA74" s="33" t="n"/>
      <c r="BB74" s="33" t="n"/>
      <c r="BC74" s="33" t="n"/>
      <c r="BD74" s="33" t="n"/>
      <c r="BE74" s="33" t="n"/>
      <c r="BF74" s="33" t="n"/>
      <c r="BG74" s="33" t="n"/>
      <c r="BH74" s="33" t="n"/>
      <c r="BI74" s="33" t="n"/>
      <c r="BJ74" s="33" t="n"/>
      <c r="BK74" s="33" t="n"/>
      <c r="BL74" s="33" t="n"/>
      <c r="BM74" s="33" t="n"/>
      <c r="BN74" s="33" t="n"/>
      <c r="BO74" s="33" t="n"/>
      <c r="BP74" s="33" t="n"/>
      <c r="BQ74" s="33" t="n"/>
      <c r="BR74" s="33" t="n"/>
      <c r="BS74" s="33" t="n"/>
      <c r="BT74" s="33" t="n"/>
      <c r="BU74" s="33" t="n"/>
      <c r="BV74" s="33" t="n"/>
      <c r="BW74" s="33" t="n"/>
      <c r="BX74" s="33" t="n"/>
      <c r="BY74" s="33" t="n"/>
      <c r="BZ74" s="33" t="n"/>
      <c r="CA74" s="33" t="n"/>
      <c r="CB74" s="33" t="n"/>
      <c r="CC74" s="33" t="n"/>
      <c r="CD74" s="33" t="n"/>
      <c r="CE74" s="33" t="n"/>
      <c r="CF74" s="33" t="n"/>
      <c r="CG74" s="33" t="n"/>
      <c r="CH74" s="33" t="n"/>
      <c r="CI74" s="33" t="n"/>
      <c r="CJ74" s="33" t="n"/>
      <c r="CK74" s="33" t="n"/>
      <c r="CL74" s="33" t="n"/>
      <c r="CM74" s="33" t="n"/>
      <c r="CN74" s="33" t="n"/>
      <c r="CO74" s="33" t="n"/>
      <c r="CP74" s="33" t="n"/>
      <c r="CQ74" s="33" t="n"/>
      <c r="CR74" s="33" t="n"/>
      <c r="CS74" s="33" t="n"/>
      <c r="CT74" s="33" t="n"/>
      <c r="CU74" s="33" t="n"/>
      <c r="CV74" s="33" t="n"/>
      <c r="CW74" s="33" t="n"/>
      <c r="CX74" s="33" t="n"/>
      <c r="CY74" s="33" t="n"/>
      <c r="CZ74" s="33" t="n"/>
      <c r="DA74" s="33" t="n"/>
      <c r="DB74" s="33" t="n"/>
      <c r="DC74" s="33" t="n"/>
      <c r="DD74" s="33" t="n"/>
      <c r="DE74" s="33" t="n"/>
      <c r="DF74" s="33" t="n"/>
      <c r="DG74" s="33" t="n"/>
      <c r="DH74" s="33" t="n"/>
      <c r="DI74" s="33" t="n"/>
      <c r="DJ74" s="33" t="n"/>
      <c r="DK74" s="33" t="n"/>
      <c r="DL74" s="33" t="n"/>
      <c r="DM74" s="33" t="n"/>
      <c r="DN74" s="33" t="n"/>
      <c r="DO74" s="33" t="n"/>
      <c r="DP74" s="33" t="n"/>
      <c r="DQ74" s="33" t="n"/>
      <c r="DR74" s="33" t="n"/>
      <c r="DS74" s="33" t="n"/>
      <c r="DT74" s="33" t="n"/>
      <c r="DU74" s="33" t="n"/>
      <c r="DV74" s="33" t="n"/>
      <c r="DW74" s="33" t="n"/>
      <c r="DX74" s="33" t="n"/>
      <c r="DY74" s="33" t="n"/>
      <c r="DZ74" s="33" t="n"/>
      <c r="EA74" s="33" t="n"/>
      <c r="EB74" s="33" t="n"/>
      <c r="EC74" s="33" t="n"/>
      <c r="ED74" s="33" t="n"/>
      <c r="EE74" s="33" t="n"/>
      <c r="EF74" s="33" t="n"/>
      <c r="EG74" s="33" t="n"/>
      <c r="EH74" s="33" t="n"/>
      <c r="EI74" s="33" t="n"/>
      <c r="EJ74" s="33" t="n"/>
      <c r="EK74" s="33" t="n"/>
      <c r="EL74" s="33" t="n"/>
      <c r="EM74" s="33" t="n"/>
      <c r="EN74" s="33" t="n"/>
      <c r="EO74" s="33" t="n"/>
      <c r="EP74" s="33" t="n"/>
      <c r="EQ74" s="33" t="n"/>
      <c r="ER74" s="33" t="n"/>
      <c r="ES74" s="33" t="n"/>
      <c r="ET74" s="33" t="n"/>
      <c r="EU74" s="33" t="n"/>
      <c r="EV74" s="33" t="n"/>
      <c r="EW74" s="33" t="n"/>
      <c r="EX74" s="33" t="n"/>
      <c r="EY74" s="33" t="n"/>
      <c r="EZ74" s="33" t="n"/>
      <c r="FA74" s="33" t="n"/>
      <c r="FB74" s="33" t="n"/>
      <c r="FC74" s="33" t="n"/>
      <c r="FD74" s="33" t="n"/>
      <c r="FE74" s="33" t="n"/>
      <c r="FF74" s="33" t="n"/>
      <c r="FG74" s="33" t="n"/>
      <c r="FH74" s="33" t="n"/>
      <c r="FI74" s="33" t="n"/>
      <c r="FJ74" s="33" t="n"/>
      <c r="FK74" s="33" t="n"/>
      <c r="FL74" s="33" t="n"/>
      <c r="FM74" s="33" t="n"/>
      <c r="FN74" s="33" t="n"/>
      <c r="FO74" s="33" t="n"/>
      <c r="FP74" s="33" t="n"/>
      <c r="FQ74" s="33" t="n"/>
      <c r="FR74" s="33" t="n"/>
      <c r="FS74" s="33" t="n"/>
      <c r="FT74" s="33" t="n"/>
      <c r="FU74" s="33" t="n"/>
      <c r="FV74" s="33" t="n"/>
      <c r="FW74" s="33" t="n"/>
      <c r="FX74" s="33" t="n"/>
      <c r="FY74" s="33" t="n"/>
      <c r="FZ74" s="33" t="n"/>
      <c r="GA74" s="33" t="n"/>
      <c r="GB74" s="33" t="n"/>
      <c r="GC74" s="33" t="n"/>
      <c r="GD74" s="33" t="n"/>
      <c r="GE74" s="33" t="n"/>
      <c r="GF74" s="33" t="n"/>
      <c r="GG74" s="33" t="n"/>
      <c r="GH74" s="33" t="n"/>
      <c r="GI74" s="33" t="n"/>
      <c r="GJ74" s="33" t="n"/>
      <c r="GK74" s="33" t="n"/>
      <c r="GL74" s="33" t="n"/>
      <c r="GM74" s="33" t="n"/>
      <c r="GN74" s="33" t="n"/>
      <c r="GO74" s="33" t="n"/>
      <c r="GP74" s="33" t="n"/>
      <c r="GQ74" s="33" t="n"/>
      <c r="GR74" s="33" t="n"/>
      <c r="GS74" s="33" t="n"/>
      <c r="GT74" s="33" t="n"/>
      <c r="GU74" s="33" t="n"/>
      <c r="GV74" s="33" t="n"/>
      <c r="GW74" s="33" t="n"/>
      <c r="GX74" s="33" t="n"/>
      <c r="GY74" s="33" t="n"/>
      <c r="GZ74" s="33" t="n"/>
      <c r="HA74" s="33" t="n"/>
      <c r="HB74" s="33" t="n"/>
      <c r="HC74" s="33" t="n"/>
      <c r="HD74" s="33" t="n"/>
      <c r="HE74" s="33" t="n"/>
      <c r="HF74" s="33" t="n"/>
      <c r="HG74" s="33" t="n"/>
      <c r="HH74" s="33" t="n"/>
      <c r="HI74" s="33" t="n"/>
      <c r="HJ74" s="33" t="n"/>
      <c r="HK74" s="33" t="n"/>
      <c r="HL74" s="33" t="n"/>
      <c r="HM74" s="33" t="n"/>
      <c r="HN74" s="33" t="n"/>
      <c r="HO74" s="33" t="n"/>
      <c r="HP74" s="33" t="n"/>
      <c r="HQ74" s="33" t="n"/>
      <c r="HR74" s="33" t="n"/>
      <c r="HS74" s="33" t="n"/>
      <c r="HT74" s="33" t="n"/>
      <c r="HU74" s="33" t="n"/>
      <c r="HV74" s="33" t="n"/>
      <c r="HW74" s="33" t="n"/>
      <c r="HX74" s="33" t="n"/>
      <c r="HY74" s="33" t="n"/>
      <c r="HZ74" s="33" t="n"/>
      <c r="IA74" s="33" t="n"/>
      <c r="IB74" s="33" t="n"/>
      <c r="IC74" s="33" t="n"/>
      <c r="ID74" s="33" t="n"/>
      <c r="IE74" s="33" t="n"/>
      <c r="IF74" s="33" t="n"/>
      <c r="IG74" s="33" t="n"/>
      <c r="IH74" s="33" t="n"/>
      <c r="II74" s="33" t="n"/>
      <c r="IJ74" s="33" t="n"/>
      <c r="IK74" s="33" t="n"/>
      <c r="IL74" s="33" t="n"/>
      <c r="IM74" s="33" t="n"/>
      <c r="IN74" s="33" t="n"/>
      <c r="IO74" s="33" t="n"/>
      <c r="IP74" s="33" t="n"/>
      <c r="IQ74" s="33" t="n"/>
      <c r="IR74" s="33" t="n"/>
      <c r="IS74" s="33" t="n"/>
      <c r="IT74" s="33" t="n"/>
      <c r="IU74" s="33" t="n"/>
      <c r="IV74" s="33" t="n"/>
      <c r="IW74" s="33" t="n"/>
      <c r="IX74" s="33" t="n"/>
      <c r="IY74" s="33" t="n"/>
      <c r="IZ74" s="33" t="n"/>
      <c r="JA74" s="33" t="n"/>
      <c r="JB74" s="33" t="n"/>
      <c r="JC74" s="33" t="n"/>
      <c r="JD74" s="33" t="n"/>
      <c r="JE74" s="33" t="n"/>
      <c r="JF74" s="33" t="n"/>
      <c r="JG74" s="33" t="n"/>
      <c r="JH74" s="33" t="n"/>
      <c r="JI74" s="33" t="n"/>
      <c r="JJ74" s="33" t="n"/>
      <c r="JK74" s="33" t="n"/>
      <c r="JL74" s="33" t="n"/>
      <c r="JM74" s="33" t="n"/>
      <c r="JN74" s="33" t="n"/>
      <c r="JO74" s="33" t="n"/>
      <c r="JP74" s="33" t="n"/>
      <c r="JQ74" s="33" t="n"/>
      <c r="JR74" s="33" t="n"/>
      <c r="JS74" s="33" t="n"/>
      <c r="JT74" s="33" t="n"/>
      <c r="JU74" s="33" t="n"/>
      <c r="JV74" s="33" t="n"/>
      <c r="JW74" s="33" t="n"/>
      <c r="JX74" s="33" t="n"/>
      <c r="JY74" s="33" t="n"/>
      <c r="JZ74" s="33" t="n"/>
      <c r="KA74" s="33" t="n"/>
      <c r="KB74" s="33" t="n"/>
      <c r="KC74" s="33" t="n"/>
      <c r="KD74" s="33" t="n"/>
      <c r="KE74" s="33" t="n"/>
      <c r="KF74" s="33" t="n"/>
      <c r="KG74" s="33" t="n"/>
      <c r="KH74" s="33" t="n"/>
      <c r="KI74" s="33" t="n"/>
      <c r="KJ74" s="33" t="n"/>
      <c r="KK74" s="33" t="n"/>
      <c r="KL74" s="33" t="n"/>
      <c r="KM74" s="33" t="n"/>
      <c r="KN74" s="33" t="n"/>
      <c r="KO74" s="33" t="n"/>
      <c r="KP74" s="33" t="n"/>
      <c r="KQ74" s="33" t="n"/>
      <c r="KR74" s="33" t="n"/>
      <c r="KS74" s="33" t="n"/>
      <c r="KT74" s="33" t="n"/>
      <c r="KU74" s="33" t="n"/>
      <c r="KV74" s="33" t="n"/>
      <c r="KW74" s="33" t="n"/>
      <c r="KX74" s="33" t="n"/>
      <c r="KY74" s="33" t="n"/>
      <c r="KZ74" s="33" t="n"/>
      <c r="LA74" s="33" t="n"/>
      <c r="LB74" s="33" t="n"/>
      <c r="LC74" s="33" t="n"/>
      <c r="LD74" s="33" t="n"/>
      <c r="LE74" s="33" t="n"/>
      <c r="LF74" s="33" t="n"/>
      <c r="LG74" s="33" t="n"/>
      <c r="LH74" s="33" t="n"/>
      <c r="LI74" s="33" t="n"/>
      <c r="LJ74" s="33" t="n"/>
      <c r="LK74" s="33" t="n"/>
      <c r="LL74" s="33" t="n"/>
      <c r="LM74" s="33" t="n"/>
      <c r="LN74" s="33" t="n"/>
      <c r="LO74" s="33" t="n"/>
      <c r="LP74" s="33" t="n"/>
      <c r="LQ74" s="33" t="n"/>
      <c r="LR74" s="33" t="n"/>
      <c r="LS74" s="33" t="n"/>
      <c r="LT74" s="33" t="n"/>
      <c r="LU74" s="33" t="n"/>
      <c r="LV74" s="33" t="n"/>
      <c r="LW74" s="33" t="n"/>
      <c r="LX74" s="33" t="n"/>
      <c r="LY74" s="33" t="n"/>
      <c r="LZ74" s="33" t="n"/>
      <c r="MA74" s="33" t="n"/>
      <c r="MB74" s="33" t="n"/>
      <c r="MC74" s="33" t="n"/>
      <c r="MD74" s="33" t="n"/>
      <c r="ME74" s="33" t="n"/>
      <c r="MF74" s="33" t="n"/>
      <c r="MG74" s="33" t="n"/>
      <c r="MH74" s="33" t="n"/>
      <c r="MI74" s="33" t="n"/>
      <c r="MJ74" s="33" t="n"/>
      <c r="MK74" s="33" t="n"/>
      <c r="ML74" s="33" t="n"/>
      <c r="MM74" s="33" t="n"/>
      <c r="MN74" s="33" t="n"/>
      <c r="MO74" s="33" t="n"/>
      <c r="MP74" s="33" t="n"/>
      <c r="MQ74" s="33" t="n"/>
      <c r="MR74" s="33" t="n"/>
      <c r="MS74" s="33" t="n"/>
      <c r="MT74" s="33" t="n"/>
      <c r="MU74" s="33" t="n"/>
      <c r="MV74" s="33" t="n"/>
      <c r="MW74" s="33" t="n"/>
      <c r="MX74" s="33" t="n"/>
      <c r="MY74" s="33" t="n"/>
      <c r="MZ74" s="33" t="n"/>
      <c r="NA74" s="33" t="n"/>
      <c r="NB74" s="33" t="n"/>
      <c r="NC74" s="33" t="n"/>
      <c r="ND74" s="33" t="n"/>
      <c r="NE74" s="33" t="n"/>
      <c r="NF74" s="33" t="n"/>
      <c r="NG74" s="33" t="n"/>
      <c r="NH74" s="33" t="n"/>
      <c r="NI74" s="33" t="n"/>
      <c r="NJ74" s="33" t="n"/>
      <c r="NK74" s="33" t="n"/>
      <c r="NL74" s="33" t="n"/>
      <c r="NM74" s="33" t="n"/>
      <c r="NN74" s="33" t="n"/>
      <c r="NO74" s="33" t="n"/>
      <c r="NP74" s="33" t="n"/>
      <c r="NQ74" s="33" t="n"/>
      <c r="NR74" s="33" t="n"/>
      <c r="NS74" s="33" t="n"/>
      <c r="NT74" s="33" t="n"/>
      <c r="NU74" s="33" t="n"/>
      <c r="NV74" s="33" t="n"/>
      <c r="NW74" s="33" t="n"/>
      <c r="NX74" s="33" t="n"/>
      <c r="NY74" s="33" t="n"/>
      <c r="NZ74" s="33" t="n"/>
      <c r="OA74" s="33" t="n"/>
      <c r="OB74" s="33" t="n"/>
      <c r="OC74" s="33" t="n"/>
      <c r="OD74" s="33" t="n"/>
      <c r="OE74" s="33" t="n"/>
      <c r="OF74" s="33" t="n"/>
      <c r="OG74" s="33" t="n"/>
      <c r="OH74" s="33" t="n"/>
      <c r="OI74" s="33" t="n"/>
      <c r="OJ74" s="33" t="n"/>
      <c r="OK74" s="33" t="n"/>
      <c r="OL74" s="33" t="n"/>
      <c r="OM74" s="33" t="n"/>
      <c r="ON74" s="33" t="n"/>
      <c r="OO74" s="33" t="n"/>
      <c r="OP74" s="33" t="n"/>
      <c r="OQ74" s="33" t="n"/>
      <c r="OR74" s="33" t="n"/>
      <c r="OS74" s="33" t="n"/>
      <c r="OT74" s="33" t="n"/>
      <c r="OU74" s="33" t="n"/>
      <c r="OV74" s="33" t="n"/>
      <c r="OW74" s="33" t="n"/>
      <c r="OX74" s="33" t="n"/>
      <c r="OY74" s="33" t="n"/>
      <c r="OZ74" s="33" t="n"/>
      <c r="PA74" s="33" t="n"/>
      <c r="PB74" s="33" t="n"/>
      <c r="PC74" s="33" t="n"/>
      <c r="PD74" s="33" t="n"/>
      <c r="PE74" s="33" t="n"/>
      <c r="PF74" s="33" t="n"/>
      <c r="PG74" s="33" t="n"/>
      <c r="PH74" s="33" t="n"/>
      <c r="PI74" s="33" t="n"/>
      <c r="PJ74" s="33" t="n"/>
      <c r="PK74" s="33" t="n"/>
      <c r="PL74" s="33" t="n"/>
      <c r="PM74" s="33" t="n"/>
      <c r="PN74" s="33" t="n"/>
      <c r="PO74" s="33" t="n"/>
      <c r="PP74" s="33" t="n"/>
      <c r="PQ74" s="33" t="n"/>
      <c r="PR74" s="33" t="n"/>
      <c r="PS74" s="33" t="n"/>
      <c r="PT74" s="33" t="n"/>
      <c r="PU74" s="33" t="n"/>
      <c r="PV74" s="33" t="n"/>
      <c r="PW74" s="33" t="n"/>
      <c r="PX74" s="33" t="n"/>
      <c r="PY74" s="33" t="n"/>
      <c r="PZ74" s="33" t="n"/>
      <c r="QA74" s="33" t="n"/>
      <c r="QB74" s="33" t="n"/>
      <c r="QC74" s="33" t="n"/>
      <c r="QD74" s="33" t="n"/>
      <c r="QE74" s="33" t="n"/>
      <c r="QF74" s="33" t="n"/>
      <c r="QG74" s="33" t="n"/>
      <c r="QH74" s="33" t="n"/>
      <c r="QI74" s="33" t="n"/>
      <c r="QJ74" s="33" t="n"/>
      <c r="QK74" s="33" t="n"/>
      <c r="QL74" s="33" t="n"/>
      <c r="QM74" s="33" t="n"/>
      <c r="QN74" s="33" t="n"/>
      <c r="QO74" s="33" t="n"/>
      <c r="QP74" s="33" t="n"/>
      <c r="QQ74" s="33" t="n"/>
      <c r="QR74" s="33" t="n"/>
      <c r="QS74" s="33" t="n"/>
      <c r="QT74" s="33" t="n"/>
      <c r="QU74" s="33" t="n"/>
      <c r="QV74" s="33" t="n"/>
      <c r="QW74" s="33" t="n"/>
      <c r="QX74" s="33" t="n"/>
      <c r="QY74" s="33" t="n"/>
      <c r="QZ74" s="33" t="n"/>
      <c r="RA74" s="33" t="n"/>
      <c r="RB74" s="33" t="n"/>
      <c r="RC74" s="33" t="n"/>
      <c r="RD74" s="33" t="n"/>
      <c r="RE74" s="33" t="n"/>
      <c r="RF74" s="33" t="n"/>
      <c r="RG74" s="33" t="n"/>
      <c r="RH74" s="33" t="n"/>
      <c r="RI74" s="33" t="n"/>
      <c r="RJ74" s="33" t="n"/>
      <c r="RK74" s="33" t="n"/>
      <c r="RL74" s="33" t="n"/>
      <c r="RM74" s="33" t="n"/>
      <c r="RN74" s="33" t="n"/>
      <c r="RO74" s="33" t="n"/>
      <c r="RP74" s="33" t="n"/>
      <c r="RQ74" s="33" t="n"/>
      <c r="RR74" s="33" t="n"/>
      <c r="RS74" s="33" t="n"/>
      <c r="RT74" s="33" t="n"/>
      <c r="RU74" s="33" t="n"/>
      <c r="RV74" s="33" t="n"/>
      <c r="RW74" s="33" t="n"/>
    </row>
    <row r="75" hidden="1" outlineLevel="1" ht="13.05" customHeight="1">
      <c r="E75" s="21" t="inlineStr">
        <is>
          <t>Total Drawdown</t>
        </is>
      </c>
      <c r="F75" s="29" t="n"/>
      <c r="G75" s="29" t="inlineStr">
        <is>
          <t>kEUR</t>
        </is>
      </c>
      <c r="H75" s="29" t="n"/>
      <c r="I75" s="29" t="n"/>
      <c r="J75" s="32" t="n"/>
      <c r="K75" s="29" t="n"/>
      <c r="L75" s="33" t="n"/>
      <c r="M75" s="33" t="n"/>
      <c r="N75" s="33" t="n"/>
      <c r="O75" s="33" t="n"/>
      <c r="P75" s="33" t="n"/>
      <c r="Q75" s="33" t="n"/>
      <c r="R75" s="33" t="n"/>
      <c r="S75" s="33" t="n"/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n"/>
      <c r="AS75" s="33" t="n"/>
      <c r="AT75" s="33" t="n"/>
      <c r="AU75" s="33" t="n"/>
      <c r="AV75" s="33" t="n"/>
      <c r="AW75" s="33" t="n"/>
      <c r="AX75" s="33" t="n"/>
      <c r="AY75" s="33" t="n"/>
      <c r="AZ75" s="33" t="n"/>
      <c r="BA75" s="33" t="n"/>
      <c r="BB75" s="33" t="n"/>
      <c r="BC75" s="33" t="n"/>
      <c r="BD75" s="33" t="n"/>
      <c r="BE75" s="33" t="n"/>
      <c r="BF75" s="33" t="n"/>
      <c r="BG75" s="33" t="n"/>
      <c r="BH75" s="33" t="n"/>
      <c r="BI75" s="33" t="n"/>
      <c r="BJ75" s="33" t="n"/>
      <c r="BK75" s="33" t="n"/>
      <c r="BL75" s="33" t="n"/>
      <c r="BM75" s="33" t="n"/>
      <c r="BN75" s="33" t="n"/>
      <c r="BO75" s="33" t="n"/>
      <c r="BP75" s="33" t="n"/>
      <c r="BQ75" s="33" t="n"/>
      <c r="BR75" s="33" t="n"/>
      <c r="BS75" s="33" t="n"/>
      <c r="BT75" s="33" t="n"/>
      <c r="BU75" s="33" t="n"/>
      <c r="BV75" s="33" t="n"/>
      <c r="BW75" s="33" t="n"/>
      <c r="BX75" s="33" t="n"/>
      <c r="BY75" s="33" t="n"/>
      <c r="BZ75" s="33" t="n"/>
      <c r="CA75" s="33" t="n"/>
      <c r="CB75" s="33" t="n"/>
      <c r="CC75" s="33" t="n"/>
      <c r="CD75" s="33" t="n"/>
      <c r="CE75" s="33" t="n"/>
      <c r="CF75" s="33" t="n"/>
      <c r="CG75" s="33" t="n"/>
      <c r="CH75" s="33" t="n"/>
      <c r="CI75" s="33" t="n"/>
      <c r="CJ75" s="33" t="n"/>
      <c r="CK75" s="33" t="n"/>
      <c r="CL75" s="33" t="n"/>
      <c r="CM75" s="33" t="n"/>
      <c r="CN75" s="33" t="n"/>
      <c r="CO75" s="33" t="n"/>
      <c r="CP75" s="33" t="n"/>
      <c r="CQ75" s="33" t="n"/>
      <c r="CR75" s="33" t="n"/>
      <c r="CS75" s="33" t="n"/>
      <c r="CT75" s="33" t="n"/>
      <c r="CU75" s="33" t="n"/>
      <c r="CV75" s="33" t="n"/>
      <c r="CW75" s="33" t="n"/>
      <c r="CX75" s="33" t="n"/>
      <c r="CY75" s="33" t="n"/>
      <c r="CZ75" s="33" t="n"/>
      <c r="DA75" s="33" t="n"/>
      <c r="DB75" s="33" t="n"/>
      <c r="DC75" s="33" t="n"/>
      <c r="DD75" s="33" t="n"/>
      <c r="DE75" s="33" t="n"/>
      <c r="DF75" s="33" t="n"/>
      <c r="DG75" s="33" t="n"/>
      <c r="DH75" s="33" t="n"/>
      <c r="DI75" s="33" t="n"/>
      <c r="DJ75" s="33" t="n"/>
      <c r="DK75" s="33" t="n"/>
      <c r="DL75" s="33" t="n"/>
      <c r="DM75" s="33" t="n"/>
      <c r="DN75" s="33" t="n"/>
      <c r="DO75" s="33" t="n"/>
      <c r="DP75" s="33" t="n"/>
      <c r="DQ75" s="33" t="n"/>
      <c r="DR75" s="33" t="n"/>
      <c r="DS75" s="33" t="n"/>
      <c r="DT75" s="33" t="n"/>
      <c r="DU75" s="33" t="n"/>
      <c r="DV75" s="33" t="n"/>
      <c r="DW75" s="33" t="n"/>
      <c r="DX75" s="33" t="n"/>
      <c r="DY75" s="33" t="n"/>
      <c r="DZ75" s="33" t="n"/>
      <c r="EA75" s="33" t="n"/>
      <c r="EB75" s="33" t="n"/>
      <c r="EC75" s="33" t="n"/>
      <c r="ED75" s="33" t="n"/>
      <c r="EE75" s="33" t="n"/>
      <c r="EF75" s="33" t="n"/>
      <c r="EG75" s="33" t="n"/>
      <c r="EH75" s="33" t="n"/>
      <c r="EI75" s="33" t="n"/>
      <c r="EJ75" s="33" t="n"/>
      <c r="EK75" s="33" t="n"/>
      <c r="EL75" s="33" t="n"/>
      <c r="EM75" s="33" t="n"/>
      <c r="EN75" s="33" t="n"/>
      <c r="EO75" s="33" t="n"/>
      <c r="EP75" s="33" t="n"/>
      <c r="EQ75" s="33" t="n"/>
      <c r="ER75" s="33" t="n"/>
      <c r="ES75" s="33" t="n"/>
      <c r="ET75" s="33" t="n"/>
      <c r="EU75" s="33" t="n"/>
      <c r="EV75" s="33" t="n"/>
      <c r="EW75" s="33" t="n"/>
      <c r="EX75" s="33" t="n"/>
      <c r="EY75" s="33" t="n"/>
      <c r="EZ75" s="33" t="n"/>
      <c r="FA75" s="33" t="n"/>
      <c r="FB75" s="33" t="n"/>
      <c r="FC75" s="33" t="n"/>
      <c r="FD75" s="33" t="n"/>
      <c r="FE75" s="33" t="n"/>
      <c r="FF75" s="33" t="n"/>
      <c r="FG75" s="33" t="n"/>
      <c r="FH75" s="33" t="n"/>
      <c r="FI75" s="33" t="n"/>
      <c r="FJ75" s="33" t="n"/>
      <c r="FK75" s="33" t="n"/>
      <c r="FL75" s="33" t="n"/>
      <c r="FM75" s="33" t="n"/>
      <c r="FN75" s="33" t="n"/>
      <c r="FO75" s="33" t="n"/>
      <c r="FP75" s="33" t="n"/>
      <c r="FQ75" s="33" t="n"/>
      <c r="FR75" s="33" t="n"/>
      <c r="FS75" s="33" t="n"/>
      <c r="FT75" s="33" t="n"/>
      <c r="FU75" s="33" t="n"/>
      <c r="FV75" s="33" t="n"/>
      <c r="FW75" s="33" t="n"/>
      <c r="FX75" s="33" t="n"/>
      <c r="FY75" s="33" t="n"/>
      <c r="FZ75" s="33" t="n"/>
      <c r="GA75" s="33" t="n"/>
      <c r="GB75" s="33" t="n"/>
      <c r="GC75" s="33" t="n"/>
      <c r="GD75" s="33" t="n"/>
      <c r="GE75" s="33" t="n"/>
      <c r="GF75" s="33" t="n"/>
      <c r="GG75" s="33" t="n"/>
      <c r="GH75" s="33" t="n"/>
      <c r="GI75" s="33" t="n"/>
      <c r="GJ75" s="33" t="n"/>
      <c r="GK75" s="33" t="n"/>
      <c r="GL75" s="33" t="n"/>
      <c r="GM75" s="33" t="n"/>
      <c r="GN75" s="33" t="n"/>
      <c r="GO75" s="33" t="n"/>
      <c r="GP75" s="33" t="n"/>
      <c r="GQ75" s="33" t="n"/>
      <c r="GR75" s="33" t="n"/>
      <c r="GS75" s="33" t="n"/>
      <c r="GT75" s="33" t="n"/>
      <c r="GU75" s="33" t="n"/>
      <c r="GV75" s="33" t="n"/>
      <c r="GW75" s="33" t="n"/>
      <c r="GX75" s="33" t="n"/>
      <c r="GY75" s="33" t="n"/>
      <c r="GZ75" s="33" t="n"/>
      <c r="HA75" s="33" t="n"/>
      <c r="HB75" s="33" t="n"/>
      <c r="HC75" s="33" t="n"/>
      <c r="HD75" s="33" t="n"/>
      <c r="HE75" s="33" t="n"/>
      <c r="HF75" s="33" t="n"/>
      <c r="HG75" s="33" t="n"/>
      <c r="HH75" s="33" t="n"/>
      <c r="HI75" s="33" t="n"/>
      <c r="HJ75" s="33" t="n"/>
      <c r="HK75" s="33" t="n"/>
      <c r="HL75" s="33" t="n"/>
      <c r="HM75" s="33" t="n"/>
      <c r="HN75" s="33" t="n"/>
      <c r="HO75" s="33" t="n"/>
      <c r="HP75" s="33" t="n"/>
      <c r="HQ75" s="33" t="n"/>
      <c r="HR75" s="33" t="n"/>
      <c r="HS75" s="33" t="n"/>
      <c r="HT75" s="33" t="n"/>
      <c r="HU75" s="33" t="n"/>
      <c r="HV75" s="33" t="n"/>
      <c r="HW75" s="33" t="n"/>
      <c r="HX75" s="33" t="n"/>
      <c r="HY75" s="33" t="n"/>
      <c r="HZ75" s="33" t="n"/>
      <c r="IA75" s="33" t="n"/>
      <c r="IB75" s="33" t="n"/>
      <c r="IC75" s="33" t="n"/>
      <c r="ID75" s="33" t="n"/>
      <c r="IE75" s="33" t="n"/>
      <c r="IF75" s="33" t="n"/>
      <c r="IG75" s="33" t="n"/>
      <c r="IH75" s="33" t="n"/>
      <c r="II75" s="33" t="n"/>
      <c r="IJ75" s="33" t="n"/>
      <c r="IK75" s="33" t="n"/>
      <c r="IL75" s="33" t="n"/>
      <c r="IM75" s="33" t="n"/>
      <c r="IN75" s="33" t="n"/>
      <c r="IO75" s="33" t="n"/>
      <c r="IP75" s="33" t="n"/>
      <c r="IQ75" s="33" t="n"/>
      <c r="IR75" s="33" t="n"/>
      <c r="IS75" s="33" t="n"/>
      <c r="IT75" s="33" t="n"/>
      <c r="IU75" s="33" t="n"/>
      <c r="IV75" s="33" t="n"/>
      <c r="IW75" s="33" t="n"/>
      <c r="IX75" s="33" t="n"/>
      <c r="IY75" s="33" t="n"/>
      <c r="IZ75" s="33" t="n"/>
      <c r="JA75" s="33" t="n"/>
      <c r="JB75" s="33" t="n"/>
      <c r="JC75" s="33" t="n"/>
      <c r="JD75" s="33" t="n"/>
      <c r="JE75" s="33" t="n"/>
      <c r="JF75" s="33" t="n"/>
      <c r="JG75" s="33" t="n"/>
      <c r="JH75" s="33" t="n"/>
      <c r="JI75" s="33" t="n"/>
      <c r="JJ75" s="33" t="n"/>
      <c r="JK75" s="33" t="n"/>
      <c r="JL75" s="33" t="n"/>
      <c r="JM75" s="33" t="n"/>
      <c r="JN75" s="33" t="n"/>
      <c r="JO75" s="33" t="n"/>
      <c r="JP75" s="33" t="n"/>
      <c r="JQ75" s="33" t="n"/>
      <c r="JR75" s="33" t="n"/>
      <c r="JS75" s="33" t="n"/>
      <c r="JT75" s="33" t="n"/>
      <c r="JU75" s="33" t="n"/>
      <c r="JV75" s="33" t="n"/>
      <c r="JW75" s="33" t="n"/>
      <c r="JX75" s="33" t="n"/>
      <c r="JY75" s="33" t="n"/>
      <c r="JZ75" s="33" t="n"/>
      <c r="KA75" s="33" t="n"/>
      <c r="KB75" s="33" t="n"/>
      <c r="KC75" s="33" t="n"/>
      <c r="KD75" s="33" t="n"/>
      <c r="KE75" s="33" t="n"/>
      <c r="KF75" s="33" t="n"/>
      <c r="KG75" s="33" t="n"/>
      <c r="KH75" s="33" t="n"/>
      <c r="KI75" s="33" t="n"/>
      <c r="KJ75" s="33" t="n"/>
      <c r="KK75" s="33" t="n"/>
      <c r="KL75" s="33" t="n"/>
      <c r="KM75" s="33" t="n"/>
      <c r="KN75" s="33" t="n"/>
      <c r="KO75" s="33" t="n"/>
      <c r="KP75" s="33" t="n"/>
      <c r="KQ75" s="33" t="n"/>
      <c r="KR75" s="33" t="n"/>
      <c r="KS75" s="33" t="n"/>
      <c r="KT75" s="33" t="n"/>
      <c r="KU75" s="33" t="n"/>
      <c r="KV75" s="33" t="n"/>
      <c r="KW75" s="33" t="n"/>
      <c r="KX75" s="33" t="n"/>
      <c r="KY75" s="33" t="n"/>
      <c r="KZ75" s="33" t="n"/>
      <c r="LA75" s="33" t="n"/>
      <c r="LB75" s="33" t="n"/>
      <c r="LC75" s="33" t="n"/>
      <c r="LD75" s="33" t="n"/>
      <c r="LE75" s="33" t="n"/>
      <c r="LF75" s="33" t="n"/>
      <c r="LG75" s="33" t="n"/>
      <c r="LH75" s="33" t="n"/>
      <c r="LI75" s="33" t="n"/>
      <c r="LJ75" s="33" t="n"/>
      <c r="LK75" s="33" t="n"/>
      <c r="LL75" s="33" t="n"/>
      <c r="LM75" s="33" t="n"/>
      <c r="LN75" s="33" t="n"/>
      <c r="LO75" s="33" t="n"/>
      <c r="LP75" s="33" t="n"/>
      <c r="LQ75" s="33" t="n"/>
      <c r="LR75" s="33" t="n"/>
      <c r="LS75" s="33" t="n"/>
      <c r="LT75" s="33" t="n"/>
      <c r="LU75" s="33" t="n"/>
      <c r="LV75" s="33" t="n"/>
      <c r="LW75" s="33" t="n"/>
      <c r="LX75" s="33" t="n"/>
      <c r="LY75" s="33" t="n"/>
      <c r="LZ75" s="33" t="n"/>
      <c r="MA75" s="33" t="n"/>
      <c r="MB75" s="33" t="n"/>
      <c r="MC75" s="33" t="n"/>
      <c r="MD75" s="33" t="n"/>
      <c r="ME75" s="33" t="n"/>
      <c r="MF75" s="33" t="n"/>
      <c r="MG75" s="33" t="n"/>
      <c r="MH75" s="33" t="n"/>
      <c r="MI75" s="33" t="n"/>
      <c r="MJ75" s="33" t="n"/>
      <c r="MK75" s="33" t="n"/>
      <c r="ML75" s="33" t="n"/>
      <c r="MM75" s="33" t="n"/>
      <c r="MN75" s="33" t="n"/>
      <c r="MO75" s="33" t="n"/>
      <c r="MP75" s="33" t="n"/>
      <c r="MQ75" s="33" t="n"/>
      <c r="MR75" s="33" t="n"/>
      <c r="MS75" s="33" t="n"/>
      <c r="MT75" s="33" t="n"/>
      <c r="MU75" s="33" t="n"/>
      <c r="MV75" s="33" t="n"/>
      <c r="MW75" s="33" t="n"/>
      <c r="MX75" s="33" t="n"/>
      <c r="MY75" s="33" t="n"/>
      <c r="MZ75" s="33" t="n"/>
      <c r="NA75" s="33" t="n"/>
      <c r="NB75" s="33" t="n"/>
      <c r="NC75" s="33" t="n"/>
      <c r="ND75" s="33" t="n"/>
      <c r="NE75" s="33" t="n"/>
      <c r="NF75" s="33" t="n"/>
      <c r="NG75" s="33" t="n"/>
      <c r="NH75" s="33" t="n"/>
      <c r="NI75" s="33" t="n"/>
      <c r="NJ75" s="33" t="n"/>
      <c r="NK75" s="33" t="n"/>
      <c r="NL75" s="33" t="n"/>
      <c r="NM75" s="33" t="n"/>
      <c r="NN75" s="33" t="n"/>
      <c r="NO75" s="33" t="n"/>
      <c r="NP75" s="33" t="n"/>
      <c r="NQ75" s="33" t="n"/>
      <c r="NR75" s="33" t="n"/>
      <c r="NS75" s="33" t="n"/>
      <c r="NT75" s="33" t="n"/>
      <c r="NU75" s="33" t="n"/>
      <c r="NV75" s="33" t="n"/>
      <c r="NW75" s="33" t="n"/>
      <c r="NX75" s="33" t="n"/>
      <c r="NY75" s="33" t="n"/>
      <c r="NZ75" s="33" t="n"/>
      <c r="OA75" s="33" t="n"/>
      <c r="OB75" s="33" t="n"/>
      <c r="OC75" s="33" t="n"/>
      <c r="OD75" s="33" t="n"/>
      <c r="OE75" s="33" t="n"/>
      <c r="OF75" s="33" t="n"/>
      <c r="OG75" s="33" t="n"/>
      <c r="OH75" s="33" t="n"/>
      <c r="OI75" s="33" t="n"/>
      <c r="OJ75" s="33" t="n"/>
      <c r="OK75" s="33" t="n"/>
      <c r="OL75" s="33" t="n"/>
      <c r="OM75" s="33" t="n"/>
      <c r="ON75" s="33" t="n"/>
      <c r="OO75" s="33" t="n"/>
      <c r="OP75" s="33" t="n"/>
      <c r="OQ75" s="33" t="n"/>
      <c r="OR75" s="33" t="n"/>
      <c r="OS75" s="33" t="n"/>
      <c r="OT75" s="33" t="n"/>
      <c r="OU75" s="33" t="n"/>
      <c r="OV75" s="33" t="n"/>
      <c r="OW75" s="33" t="n"/>
      <c r="OX75" s="33" t="n"/>
      <c r="OY75" s="33" t="n"/>
      <c r="OZ75" s="33" t="n"/>
      <c r="PA75" s="33" t="n"/>
      <c r="PB75" s="33" t="n"/>
      <c r="PC75" s="33" t="n"/>
      <c r="PD75" s="33" t="n"/>
      <c r="PE75" s="33" t="n"/>
      <c r="PF75" s="33" t="n"/>
      <c r="PG75" s="33" t="n"/>
      <c r="PH75" s="33" t="n"/>
      <c r="PI75" s="33" t="n"/>
      <c r="PJ75" s="33" t="n"/>
      <c r="PK75" s="33" t="n"/>
      <c r="PL75" s="33" t="n"/>
      <c r="PM75" s="33" t="n"/>
      <c r="PN75" s="33" t="n"/>
      <c r="PO75" s="33" t="n"/>
      <c r="PP75" s="33" t="n"/>
      <c r="PQ75" s="33" t="n"/>
      <c r="PR75" s="33" t="n"/>
      <c r="PS75" s="33" t="n"/>
      <c r="PT75" s="33" t="n"/>
      <c r="PU75" s="33" t="n"/>
      <c r="PV75" s="33" t="n"/>
      <c r="PW75" s="33" t="n"/>
      <c r="PX75" s="33" t="n"/>
      <c r="PY75" s="33" t="n"/>
      <c r="PZ75" s="33" t="n"/>
      <c r="QA75" s="33" t="n"/>
      <c r="QB75" s="33" t="n"/>
      <c r="QC75" s="33" t="n"/>
      <c r="QD75" s="33" t="n"/>
      <c r="QE75" s="33" t="n"/>
      <c r="QF75" s="33" t="n"/>
      <c r="QG75" s="33" t="n"/>
      <c r="QH75" s="33" t="n"/>
      <c r="QI75" s="33" t="n"/>
      <c r="QJ75" s="33" t="n"/>
      <c r="QK75" s="33" t="n"/>
      <c r="QL75" s="33" t="n"/>
      <c r="QM75" s="33" t="n"/>
      <c r="QN75" s="33" t="n"/>
      <c r="QO75" s="33" t="n"/>
      <c r="QP75" s="33" t="n"/>
      <c r="QQ75" s="33" t="n"/>
      <c r="QR75" s="33" t="n"/>
      <c r="QS75" s="33" t="n"/>
      <c r="QT75" s="33" t="n"/>
      <c r="QU75" s="33" t="n"/>
      <c r="QV75" s="33" t="n"/>
      <c r="QW75" s="33" t="n"/>
      <c r="QX75" s="33" t="n"/>
      <c r="QY75" s="33" t="n"/>
      <c r="QZ75" s="33" t="n"/>
      <c r="RA75" s="33" t="n"/>
      <c r="RB75" s="33" t="n"/>
      <c r="RC75" s="33" t="n"/>
      <c r="RD75" s="33" t="n"/>
      <c r="RE75" s="33" t="n"/>
      <c r="RF75" s="33" t="n"/>
      <c r="RG75" s="33" t="n"/>
      <c r="RH75" s="33" t="n"/>
      <c r="RI75" s="33" t="n"/>
      <c r="RJ75" s="33" t="n"/>
      <c r="RK75" s="33" t="n"/>
      <c r="RL75" s="33" t="n"/>
      <c r="RM75" s="33" t="n"/>
      <c r="RN75" s="33" t="n"/>
      <c r="RO75" s="33" t="n"/>
      <c r="RP75" s="33" t="n"/>
      <c r="RQ75" s="33" t="n"/>
      <c r="RR75" s="33" t="n"/>
      <c r="RS75" s="33" t="n"/>
      <c r="RT75" s="33" t="n"/>
      <c r="RU75" s="33" t="n"/>
      <c r="RV75" s="33" t="n"/>
      <c r="RW75" s="33" t="n"/>
    </row>
    <row r="76" hidden="1" outlineLevel="1" ht="13.05" customHeight="1">
      <c r="E76" s="21" t="inlineStr">
        <is>
          <t>total_interest</t>
        </is>
      </c>
      <c r="F76" s="29" t="n"/>
      <c r="G76" s="29" t="inlineStr">
        <is>
          <t>kEUR</t>
        </is>
      </c>
      <c r="H76" s="29" t="n"/>
      <c r="I76" s="29" t="n"/>
      <c r="J76" s="32" t="n"/>
      <c r="K76" s="29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33" t="n"/>
      <c r="AJ76" s="33" t="n"/>
      <c r="AK76" s="33" t="n"/>
      <c r="AL76" s="33" t="n"/>
      <c r="AM76" s="33" t="n"/>
      <c r="AN76" s="33" t="n"/>
      <c r="AO76" s="33" t="n"/>
      <c r="AP76" s="33" t="n"/>
      <c r="AQ76" s="33" t="n"/>
      <c r="AR76" s="33" t="n"/>
      <c r="AS76" s="33" t="n"/>
      <c r="AT76" s="33" t="n"/>
      <c r="AU76" s="33" t="n"/>
      <c r="AV76" s="33" t="n"/>
      <c r="AW76" s="33" t="n"/>
      <c r="AX76" s="33" t="n"/>
      <c r="AY76" s="33" t="n"/>
      <c r="AZ76" s="33" t="n"/>
      <c r="BA76" s="33" t="n"/>
      <c r="BB76" s="33" t="n"/>
      <c r="BC76" s="33" t="n"/>
      <c r="BD76" s="33" t="n"/>
      <c r="BE76" s="33" t="n"/>
      <c r="BF76" s="33" t="n"/>
      <c r="BG76" s="33" t="n"/>
      <c r="BH76" s="33" t="n"/>
      <c r="BI76" s="33" t="n"/>
      <c r="BJ76" s="33" t="n"/>
      <c r="BK76" s="33" t="n"/>
      <c r="BL76" s="33" t="n"/>
      <c r="BM76" s="33" t="n"/>
      <c r="BN76" s="33" t="n"/>
      <c r="BO76" s="33" t="n"/>
      <c r="BP76" s="33" t="n"/>
      <c r="BQ76" s="33" t="n"/>
      <c r="BR76" s="33" t="n"/>
      <c r="BS76" s="33" t="n"/>
      <c r="BT76" s="33" t="n"/>
      <c r="BU76" s="33" t="n"/>
      <c r="BV76" s="33" t="n"/>
      <c r="BW76" s="33" t="n"/>
      <c r="BX76" s="33" t="n"/>
      <c r="BY76" s="33" t="n"/>
      <c r="BZ76" s="33" t="n"/>
      <c r="CA76" s="33" t="n"/>
      <c r="CB76" s="33" t="n"/>
      <c r="CC76" s="33" t="n"/>
      <c r="CD76" s="33" t="n"/>
      <c r="CE76" s="33" t="n"/>
      <c r="CF76" s="33" t="n"/>
      <c r="CG76" s="33" t="n"/>
      <c r="CH76" s="33" t="n"/>
      <c r="CI76" s="33" t="n"/>
      <c r="CJ76" s="33" t="n"/>
      <c r="CK76" s="33" t="n"/>
      <c r="CL76" s="33" t="n"/>
      <c r="CM76" s="33" t="n"/>
      <c r="CN76" s="33" t="n"/>
      <c r="CO76" s="33" t="n"/>
      <c r="CP76" s="33" t="n"/>
      <c r="CQ76" s="33" t="n"/>
      <c r="CR76" s="33" t="n"/>
      <c r="CS76" s="33" t="n"/>
      <c r="CT76" s="33" t="n"/>
      <c r="CU76" s="33" t="n"/>
      <c r="CV76" s="33" t="n"/>
      <c r="CW76" s="33" t="n"/>
      <c r="CX76" s="33" t="n"/>
      <c r="CY76" s="33" t="n"/>
      <c r="CZ76" s="33" t="n"/>
      <c r="DA76" s="33" t="n"/>
      <c r="DB76" s="33" t="n"/>
      <c r="DC76" s="33" t="n"/>
      <c r="DD76" s="33" t="n"/>
      <c r="DE76" s="33" t="n"/>
      <c r="DF76" s="33" t="n"/>
      <c r="DG76" s="33" t="n"/>
      <c r="DH76" s="33" t="n"/>
      <c r="DI76" s="33" t="n"/>
      <c r="DJ76" s="33" t="n"/>
      <c r="DK76" s="33" t="n"/>
      <c r="DL76" s="33" t="n"/>
      <c r="DM76" s="33" t="n"/>
      <c r="DN76" s="33" t="n"/>
      <c r="DO76" s="33" t="n"/>
      <c r="DP76" s="33" t="n"/>
      <c r="DQ76" s="33" t="n"/>
      <c r="DR76" s="33" t="n"/>
      <c r="DS76" s="33" t="n"/>
      <c r="DT76" s="33" t="n"/>
      <c r="DU76" s="33" t="n"/>
      <c r="DV76" s="33" t="n"/>
      <c r="DW76" s="33" t="n"/>
      <c r="DX76" s="33" t="n"/>
      <c r="DY76" s="33" t="n"/>
      <c r="DZ76" s="33" t="n"/>
      <c r="EA76" s="33" t="n"/>
      <c r="EB76" s="33" t="n"/>
      <c r="EC76" s="33" t="n"/>
      <c r="ED76" s="33" t="n"/>
      <c r="EE76" s="33" t="n"/>
      <c r="EF76" s="33" t="n"/>
      <c r="EG76" s="33" t="n"/>
      <c r="EH76" s="33" t="n"/>
      <c r="EI76" s="33" t="n"/>
      <c r="EJ76" s="33" t="n"/>
      <c r="EK76" s="33" t="n"/>
      <c r="EL76" s="33" t="n"/>
      <c r="EM76" s="33" t="n"/>
      <c r="EN76" s="33" t="n"/>
      <c r="EO76" s="33" t="n"/>
      <c r="EP76" s="33" t="n"/>
      <c r="EQ76" s="33" t="n"/>
      <c r="ER76" s="33" t="n"/>
      <c r="ES76" s="33" t="n"/>
      <c r="ET76" s="33" t="n"/>
      <c r="EU76" s="33" t="n"/>
      <c r="EV76" s="33" t="n"/>
      <c r="EW76" s="33" t="n"/>
      <c r="EX76" s="33" t="n"/>
      <c r="EY76" s="33" t="n"/>
      <c r="EZ76" s="33" t="n"/>
      <c r="FA76" s="33" t="n"/>
      <c r="FB76" s="33" t="n"/>
      <c r="FC76" s="33" t="n"/>
      <c r="FD76" s="33" t="n"/>
      <c r="FE76" s="33" t="n"/>
      <c r="FF76" s="33" t="n"/>
      <c r="FG76" s="33" t="n"/>
      <c r="FH76" s="33" t="n"/>
      <c r="FI76" s="33" t="n"/>
      <c r="FJ76" s="33" t="n"/>
      <c r="FK76" s="33" t="n"/>
      <c r="FL76" s="33" t="n"/>
      <c r="FM76" s="33" t="n"/>
      <c r="FN76" s="33" t="n"/>
      <c r="FO76" s="33" t="n"/>
      <c r="FP76" s="33" t="n"/>
      <c r="FQ76" s="33" t="n"/>
      <c r="FR76" s="33" t="n"/>
      <c r="FS76" s="33" t="n"/>
      <c r="FT76" s="33" t="n"/>
      <c r="FU76" s="33" t="n"/>
      <c r="FV76" s="33" t="n"/>
      <c r="FW76" s="33" t="n"/>
      <c r="FX76" s="33" t="n"/>
      <c r="FY76" s="33" t="n"/>
      <c r="FZ76" s="33" t="n"/>
      <c r="GA76" s="33" t="n"/>
      <c r="GB76" s="33" t="n"/>
      <c r="GC76" s="33" t="n"/>
      <c r="GD76" s="33" t="n"/>
      <c r="GE76" s="33" t="n"/>
      <c r="GF76" s="33" t="n"/>
      <c r="GG76" s="33" t="n"/>
      <c r="GH76" s="33" t="n"/>
      <c r="GI76" s="33" t="n"/>
      <c r="GJ76" s="33" t="n"/>
      <c r="GK76" s="33" t="n"/>
      <c r="GL76" s="33" t="n"/>
      <c r="GM76" s="33" t="n"/>
      <c r="GN76" s="33" t="n"/>
      <c r="GO76" s="33" t="n"/>
      <c r="GP76" s="33" t="n"/>
      <c r="GQ76" s="33" t="n"/>
      <c r="GR76" s="33" t="n"/>
      <c r="GS76" s="33" t="n"/>
      <c r="GT76" s="33" t="n"/>
      <c r="GU76" s="33" t="n"/>
      <c r="GV76" s="33" t="n"/>
      <c r="GW76" s="33" t="n"/>
      <c r="GX76" s="33" t="n"/>
      <c r="GY76" s="33" t="n"/>
      <c r="GZ76" s="33" t="n"/>
      <c r="HA76" s="33" t="n"/>
      <c r="HB76" s="33" t="n"/>
      <c r="HC76" s="33" t="n"/>
      <c r="HD76" s="33" t="n"/>
      <c r="HE76" s="33" t="n"/>
      <c r="HF76" s="33" t="n"/>
      <c r="HG76" s="33" t="n"/>
      <c r="HH76" s="33" t="n"/>
      <c r="HI76" s="33" t="n"/>
      <c r="HJ76" s="33" t="n"/>
      <c r="HK76" s="33" t="n"/>
      <c r="HL76" s="33" t="n"/>
      <c r="HM76" s="33" t="n"/>
      <c r="HN76" s="33" t="n"/>
      <c r="HO76" s="33" t="n"/>
      <c r="HP76" s="33" t="n"/>
      <c r="HQ76" s="33" t="n"/>
      <c r="HR76" s="33" t="n"/>
      <c r="HS76" s="33" t="n"/>
      <c r="HT76" s="33" t="n"/>
      <c r="HU76" s="33" t="n"/>
      <c r="HV76" s="33" t="n"/>
      <c r="HW76" s="33" t="n"/>
      <c r="HX76" s="33" t="n"/>
      <c r="HY76" s="33" t="n"/>
      <c r="HZ76" s="33" t="n"/>
      <c r="IA76" s="33" t="n"/>
      <c r="IB76" s="33" t="n"/>
      <c r="IC76" s="33" t="n"/>
      <c r="ID76" s="33" t="n"/>
      <c r="IE76" s="33" t="n"/>
      <c r="IF76" s="33" t="n"/>
      <c r="IG76" s="33" t="n"/>
      <c r="IH76" s="33" t="n"/>
      <c r="II76" s="33" t="n"/>
      <c r="IJ76" s="33" t="n"/>
      <c r="IK76" s="33" t="n"/>
      <c r="IL76" s="33" t="n"/>
      <c r="IM76" s="33" t="n"/>
      <c r="IN76" s="33" t="n"/>
      <c r="IO76" s="33" t="n"/>
      <c r="IP76" s="33" t="n"/>
      <c r="IQ76" s="33" t="n"/>
      <c r="IR76" s="33" t="n"/>
      <c r="IS76" s="33" t="n"/>
      <c r="IT76" s="33" t="n"/>
      <c r="IU76" s="33" t="n"/>
      <c r="IV76" s="33" t="n"/>
      <c r="IW76" s="33" t="n"/>
      <c r="IX76" s="33" t="n"/>
      <c r="IY76" s="33" t="n"/>
      <c r="IZ76" s="33" t="n"/>
      <c r="JA76" s="33" t="n"/>
      <c r="JB76" s="33" t="n"/>
      <c r="JC76" s="33" t="n"/>
      <c r="JD76" s="33" t="n"/>
      <c r="JE76" s="33" t="n"/>
      <c r="JF76" s="33" t="n"/>
      <c r="JG76" s="33" t="n"/>
      <c r="JH76" s="33" t="n"/>
      <c r="JI76" s="33" t="n"/>
      <c r="JJ76" s="33" t="n"/>
      <c r="JK76" s="33" t="n"/>
      <c r="JL76" s="33" t="n"/>
      <c r="JM76" s="33" t="n"/>
      <c r="JN76" s="33" t="n"/>
      <c r="JO76" s="33" t="n"/>
      <c r="JP76" s="33" t="n"/>
      <c r="JQ76" s="33" t="n"/>
      <c r="JR76" s="33" t="n"/>
      <c r="JS76" s="33" t="n"/>
      <c r="JT76" s="33" t="n"/>
      <c r="JU76" s="33" t="n"/>
      <c r="JV76" s="33" t="n"/>
      <c r="JW76" s="33" t="n"/>
      <c r="JX76" s="33" t="n"/>
      <c r="JY76" s="33" t="n"/>
      <c r="JZ76" s="33" t="n"/>
      <c r="KA76" s="33" t="n"/>
      <c r="KB76" s="33" t="n"/>
      <c r="KC76" s="33" t="n"/>
      <c r="KD76" s="33" t="n"/>
      <c r="KE76" s="33" t="n"/>
      <c r="KF76" s="33" t="n"/>
      <c r="KG76" s="33" t="n"/>
      <c r="KH76" s="33" t="n"/>
      <c r="KI76" s="33" t="n"/>
      <c r="KJ76" s="33" t="n"/>
      <c r="KK76" s="33" t="n"/>
      <c r="KL76" s="33" t="n"/>
      <c r="KM76" s="33" t="n"/>
      <c r="KN76" s="33" t="n"/>
      <c r="KO76" s="33" t="n"/>
      <c r="KP76" s="33" t="n"/>
      <c r="KQ76" s="33" t="n"/>
      <c r="KR76" s="33" t="n"/>
      <c r="KS76" s="33" t="n"/>
      <c r="KT76" s="33" t="n"/>
      <c r="KU76" s="33" t="n"/>
      <c r="KV76" s="33" t="n"/>
      <c r="KW76" s="33" t="n"/>
      <c r="KX76" s="33" t="n"/>
      <c r="KY76" s="33" t="n"/>
      <c r="KZ76" s="33" t="n"/>
      <c r="LA76" s="33" t="n"/>
      <c r="LB76" s="33" t="n"/>
      <c r="LC76" s="33" t="n"/>
      <c r="LD76" s="33" t="n"/>
      <c r="LE76" s="33" t="n"/>
      <c r="LF76" s="33" t="n"/>
      <c r="LG76" s="33" t="n"/>
      <c r="LH76" s="33" t="n"/>
      <c r="LI76" s="33" t="n"/>
      <c r="LJ76" s="33" t="n"/>
      <c r="LK76" s="33" t="n"/>
      <c r="LL76" s="33" t="n"/>
      <c r="LM76" s="33" t="n"/>
      <c r="LN76" s="33" t="n"/>
      <c r="LO76" s="33" t="n"/>
      <c r="LP76" s="33" t="n"/>
      <c r="LQ76" s="33" t="n"/>
      <c r="LR76" s="33" t="n"/>
      <c r="LS76" s="33" t="n"/>
      <c r="LT76" s="33" t="n"/>
      <c r="LU76" s="33" t="n"/>
      <c r="LV76" s="33" t="n"/>
      <c r="LW76" s="33" t="n"/>
      <c r="LX76" s="33" t="n"/>
      <c r="LY76" s="33" t="n"/>
      <c r="LZ76" s="33" t="n"/>
      <c r="MA76" s="33" t="n"/>
      <c r="MB76" s="33" t="n"/>
      <c r="MC76" s="33" t="n"/>
      <c r="MD76" s="33" t="n"/>
      <c r="ME76" s="33" t="n"/>
      <c r="MF76" s="33" t="n"/>
      <c r="MG76" s="33" t="n"/>
      <c r="MH76" s="33" t="n"/>
      <c r="MI76" s="33" t="n"/>
      <c r="MJ76" s="33" t="n"/>
      <c r="MK76" s="33" t="n"/>
      <c r="ML76" s="33" t="n"/>
      <c r="MM76" s="33" t="n"/>
      <c r="MN76" s="33" t="n"/>
      <c r="MO76" s="33" t="n"/>
      <c r="MP76" s="33" t="n"/>
      <c r="MQ76" s="33" t="n"/>
      <c r="MR76" s="33" t="n"/>
      <c r="MS76" s="33" t="n"/>
      <c r="MT76" s="33" t="n"/>
      <c r="MU76" s="33" t="n"/>
      <c r="MV76" s="33" t="n"/>
      <c r="MW76" s="33" t="n"/>
      <c r="MX76" s="33" t="n"/>
      <c r="MY76" s="33" t="n"/>
      <c r="MZ76" s="33" t="n"/>
      <c r="NA76" s="33" t="n"/>
      <c r="NB76" s="33" t="n"/>
      <c r="NC76" s="33" t="n"/>
      <c r="ND76" s="33" t="n"/>
      <c r="NE76" s="33" t="n"/>
      <c r="NF76" s="33" t="n"/>
      <c r="NG76" s="33" t="n"/>
      <c r="NH76" s="33" t="n"/>
      <c r="NI76" s="33" t="n"/>
      <c r="NJ76" s="33" t="n"/>
      <c r="NK76" s="33" t="n"/>
      <c r="NL76" s="33" t="n"/>
      <c r="NM76" s="33" t="n"/>
      <c r="NN76" s="33" t="n"/>
      <c r="NO76" s="33" t="n"/>
      <c r="NP76" s="33" t="n"/>
      <c r="NQ76" s="33" t="n"/>
      <c r="NR76" s="33" t="n"/>
      <c r="NS76" s="33" t="n"/>
      <c r="NT76" s="33" t="n"/>
      <c r="NU76" s="33" t="n"/>
      <c r="NV76" s="33" t="n"/>
      <c r="NW76" s="33" t="n"/>
      <c r="NX76" s="33" t="n"/>
      <c r="NY76" s="33" t="n"/>
      <c r="NZ76" s="33" t="n"/>
      <c r="OA76" s="33" t="n"/>
      <c r="OB76" s="33" t="n"/>
      <c r="OC76" s="33" t="n"/>
      <c r="OD76" s="33" t="n"/>
      <c r="OE76" s="33" t="n"/>
      <c r="OF76" s="33" t="n"/>
      <c r="OG76" s="33" t="n"/>
      <c r="OH76" s="33" t="n"/>
      <c r="OI76" s="33" t="n"/>
      <c r="OJ76" s="33" t="n"/>
      <c r="OK76" s="33" t="n"/>
      <c r="OL76" s="33" t="n"/>
      <c r="OM76" s="33" t="n"/>
      <c r="ON76" s="33" t="n"/>
      <c r="OO76" s="33" t="n"/>
      <c r="OP76" s="33" t="n"/>
      <c r="OQ76" s="33" t="n"/>
      <c r="OR76" s="33" t="n"/>
      <c r="OS76" s="33" t="n"/>
      <c r="OT76" s="33" t="n"/>
      <c r="OU76" s="33" t="n"/>
      <c r="OV76" s="33" t="n"/>
      <c r="OW76" s="33" t="n"/>
      <c r="OX76" s="33" t="n"/>
      <c r="OY76" s="33" t="n"/>
      <c r="OZ76" s="33" t="n"/>
      <c r="PA76" s="33" t="n"/>
      <c r="PB76" s="33" t="n"/>
      <c r="PC76" s="33" t="n"/>
      <c r="PD76" s="33" t="n"/>
      <c r="PE76" s="33" t="n"/>
      <c r="PF76" s="33" t="n"/>
      <c r="PG76" s="33" t="n"/>
      <c r="PH76" s="33" t="n"/>
      <c r="PI76" s="33" t="n"/>
      <c r="PJ76" s="33" t="n"/>
      <c r="PK76" s="33" t="n"/>
      <c r="PL76" s="33" t="n"/>
      <c r="PM76" s="33" t="n"/>
      <c r="PN76" s="33" t="n"/>
      <c r="PO76" s="33" t="n"/>
      <c r="PP76" s="33" t="n"/>
      <c r="PQ76" s="33" t="n"/>
      <c r="PR76" s="33" t="n"/>
      <c r="PS76" s="33" t="n"/>
      <c r="PT76" s="33" t="n"/>
      <c r="PU76" s="33" t="n"/>
      <c r="PV76" s="33" t="n"/>
      <c r="PW76" s="33" t="n"/>
      <c r="PX76" s="33" t="n"/>
      <c r="PY76" s="33" t="n"/>
      <c r="PZ76" s="33" t="n"/>
      <c r="QA76" s="33" t="n"/>
      <c r="QB76" s="33" t="n"/>
      <c r="QC76" s="33" t="n"/>
      <c r="QD76" s="33" t="n"/>
      <c r="QE76" s="33" t="n"/>
      <c r="QF76" s="33" t="n"/>
      <c r="QG76" s="33" t="n"/>
      <c r="QH76" s="33" t="n"/>
      <c r="QI76" s="33" t="n"/>
      <c r="QJ76" s="33" t="n"/>
      <c r="QK76" s="33" t="n"/>
      <c r="QL76" s="33" t="n"/>
      <c r="QM76" s="33" t="n"/>
      <c r="QN76" s="33" t="n"/>
      <c r="QO76" s="33" t="n"/>
      <c r="QP76" s="33" t="n"/>
      <c r="QQ76" s="33" t="n"/>
      <c r="QR76" s="33" t="n"/>
      <c r="QS76" s="33" t="n"/>
      <c r="QT76" s="33" t="n"/>
      <c r="QU76" s="33" t="n"/>
      <c r="QV76" s="33" t="n"/>
      <c r="QW76" s="33" t="n"/>
      <c r="QX76" s="33" t="n"/>
      <c r="QY76" s="33" t="n"/>
      <c r="QZ76" s="33" t="n"/>
      <c r="RA76" s="33" t="n"/>
      <c r="RB76" s="33" t="n"/>
      <c r="RC76" s="33" t="n"/>
      <c r="RD76" s="33" t="n"/>
      <c r="RE76" s="33" t="n"/>
      <c r="RF76" s="33" t="n"/>
      <c r="RG76" s="33" t="n"/>
      <c r="RH76" s="33" t="n"/>
      <c r="RI76" s="33" t="n"/>
      <c r="RJ76" s="33" t="n"/>
      <c r="RK76" s="33" t="n"/>
      <c r="RL76" s="33" t="n"/>
      <c r="RM76" s="33" t="n"/>
      <c r="RN76" s="33" t="n"/>
      <c r="RO76" s="33" t="n"/>
      <c r="RP76" s="33" t="n"/>
      <c r="RQ76" s="33" t="n"/>
      <c r="RR76" s="33" t="n"/>
      <c r="RS76" s="33" t="n"/>
      <c r="RT76" s="33" t="n"/>
      <c r="RU76" s="33" t="n"/>
      <c r="RV76" s="33" t="n"/>
      <c r="RW76" s="33" t="n"/>
    </row>
    <row r="77" hidden="1" outlineLevel="1" ht="13.05" customHeight="1">
      <c r="E77" s="21" t="inlineStr">
        <is>
          <t>total_principal</t>
        </is>
      </c>
      <c r="F77" s="29" t="n"/>
      <c r="G77" s="29" t="inlineStr">
        <is>
          <t>kEUR</t>
        </is>
      </c>
      <c r="H77" s="29" t="n"/>
      <c r="I77" s="29" t="n"/>
      <c r="J77" s="32" t="n"/>
      <c r="K77" s="29" t="n"/>
      <c r="L77" s="33" t="n"/>
      <c r="M77" s="33" t="n"/>
      <c r="N77" s="33" t="n"/>
      <c r="O77" s="33" t="n"/>
      <c r="P77" s="33" t="n"/>
      <c r="Q77" s="33" t="n"/>
      <c r="R77" s="33" t="n"/>
      <c r="S77" s="33" t="n"/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n"/>
      <c r="AF77" s="33" t="n"/>
      <c r="AG77" s="33" t="n"/>
      <c r="AH77" s="33" t="n"/>
      <c r="AI77" s="33" t="n"/>
      <c r="AJ77" s="33" t="n"/>
      <c r="AK77" s="33" t="n"/>
      <c r="AL77" s="33" t="n"/>
      <c r="AM77" s="33" t="n"/>
      <c r="AN77" s="33" t="n"/>
      <c r="AO77" s="33" t="n"/>
      <c r="AP77" s="33" t="n"/>
      <c r="AQ77" s="33" t="n"/>
      <c r="AR77" s="33" t="n"/>
      <c r="AS77" s="33" t="n"/>
      <c r="AT77" s="33" t="n"/>
      <c r="AU77" s="33" t="n"/>
      <c r="AV77" s="33" t="n"/>
      <c r="AW77" s="33" t="n"/>
      <c r="AX77" s="33" t="n"/>
      <c r="AY77" s="33" t="n"/>
      <c r="AZ77" s="33" t="n"/>
      <c r="BA77" s="33" t="n"/>
      <c r="BB77" s="33" t="n"/>
      <c r="BC77" s="33" t="n"/>
      <c r="BD77" s="33" t="n"/>
      <c r="BE77" s="33" t="n"/>
      <c r="BF77" s="33" t="n"/>
      <c r="BG77" s="33" t="n"/>
      <c r="BH77" s="33" t="n"/>
      <c r="BI77" s="33" t="n"/>
      <c r="BJ77" s="33" t="n"/>
      <c r="BK77" s="33" t="n"/>
      <c r="BL77" s="33" t="n"/>
      <c r="BM77" s="33" t="n"/>
      <c r="BN77" s="33" t="n"/>
      <c r="BO77" s="33" t="n"/>
      <c r="BP77" s="33" t="n"/>
      <c r="BQ77" s="33" t="n"/>
      <c r="BR77" s="33" t="n"/>
      <c r="BS77" s="33" t="n"/>
      <c r="BT77" s="33" t="n"/>
      <c r="BU77" s="33" t="n"/>
      <c r="BV77" s="33" t="n"/>
      <c r="BW77" s="33" t="n"/>
      <c r="BX77" s="33" t="n"/>
      <c r="BY77" s="33" t="n"/>
      <c r="BZ77" s="33" t="n"/>
      <c r="CA77" s="33" t="n"/>
      <c r="CB77" s="33" t="n"/>
      <c r="CC77" s="33" t="n"/>
      <c r="CD77" s="33" t="n"/>
      <c r="CE77" s="33" t="n"/>
      <c r="CF77" s="33" t="n"/>
      <c r="CG77" s="33" t="n"/>
      <c r="CH77" s="33" t="n"/>
      <c r="CI77" s="33" t="n"/>
      <c r="CJ77" s="33" t="n"/>
      <c r="CK77" s="33" t="n"/>
      <c r="CL77" s="33" t="n"/>
      <c r="CM77" s="33" t="n"/>
      <c r="CN77" s="33" t="n"/>
      <c r="CO77" s="33" t="n"/>
      <c r="CP77" s="33" t="n"/>
      <c r="CQ77" s="33" t="n"/>
      <c r="CR77" s="33" t="n"/>
      <c r="CS77" s="33" t="n"/>
      <c r="CT77" s="33" t="n"/>
      <c r="CU77" s="33" t="n"/>
      <c r="CV77" s="33" t="n"/>
      <c r="CW77" s="33" t="n"/>
      <c r="CX77" s="33" t="n"/>
      <c r="CY77" s="33" t="n"/>
      <c r="CZ77" s="33" t="n"/>
      <c r="DA77" s="33" t="n"/>
      <c r="DB77" s="33" t="n"/>
      <c r="DC77" s="33" t="n"/>
      <c r="DD77" s="33" t="n"/>
      <c r="DE77" s="33" t="n"/>
      <c r="DF77" s="33" t="n"/>
      <c r="DG77" s="33" t="n"/>
      <c r="DH77" s="33" t="n"/>
      <c r="DI77" s="33" t="n"/>
      <c r="DJ77" s="33" t="n"/>
      <c r="DK77" s="33" t="n"/>
      <c r="DL77" s="33" t="n"/>
      <c r="DM77" s="33" t="n"/>
      <c r="DN77" s="33" t="n"/>
      <c r="DO77" s="33" t="n"/>
      <c r="DP77" s="33" t="n"/>
      <c r="DQ77" s="33" t="n"/>
      <c r="DR77" s="33" t="n"/>
      <c r="DS77" s="33" t="n"/>
      <c r="DT77" s="33" t="n"/>
      <c r="DU77" s="33" t="n"/>
      <c r="DV77" s="33" t="n"/>
      <c r="DW77" s="33" t="n"/>
      <c r="DX77" s="33" t="n"/>
      <c r="DY77" s="33" t="n"/>
      <c r="DZ77" s="33" t="n"/>
      <c r="EA77" s="33" t="n"/>
      <c r="EB77" s="33" t="n"/>
      <c r="EC77" s="33" t="n"/>
      <c r="ED77" s="33" t="n"/>
      <c r="EE77" s="33" t="n"/>
      <c r="EF77" s="33" t="n"/>
      <c r="EG77" s="33" t="n"/>
      <c r="EH77" s="33" t="n"/>
      <c r="EI77" s="33" t="n"/>
      <c r="EJ77" s="33" t="n"/>
      <c r="EK77" s="33" t="n"/>
      <c r="EL77" s="33" t="n"/>
      <c r="EM77" s="33" t="n"/>
      <c r="EN77" s="33" t="n"/>
      <c r="EO77" s="33" t="n"/>
      <c r="EP77" s="33" t="n"/>
      <c r="EQ77" s="33" t="n"/>
      <c r="ER77" s="33" t="n"/>
      <c r="ES77" s="33" t="n"/>
      <c r="ET77" s="33" t="n"/>
      <c r="EU77" s="33" t="n"/>
      <c r="EV77" s="33" t="n"/>
      <c r="EW77" s="33" t="n"/>
      <c r="EX77" s="33" t="n"/>
      <c r="EY77" s="33" t="n"/>
      <c r="EZ77" s="33" t="n"/>
      <c r="FA77" s="33" t="n"/>
      <c r="FB77" s="33" t="n"/>
      <c r="FC77" s="33" t="n"/>
      <c r="FD77" s="33" t="n"/>
      <c r="FE77" s="33" t="n"/>
      <c r="FF77" s="33" t="n"/>
      <c r="FG77" s="33" t="n"/>
      <c r="FH77" s="33" t="n"/>
      <c r="FI77" s="33" t="n"/>
      <c r="FJ77" s="33" t="n"/>
      <c r="FK77" s="33" t="n"/>
      <c r="FL77" s="33" t="n"/>
      <c r="FM77" s="33" t="n"/>
      <c r="FN77" s="33" t="n"/>
      <c r="FO77" s="33" t="n"/>
      <c r="FP77" s="33" t="n"/>
      <c r="FQ77" s="33" t="n"/>
      <c r="FR77" s="33" t="n"/>
      <c r="FS77" s="33" t="n"/>
      <c r="FT77" s="33" t="n"/>
      <c r="FU77" s="33" t="n"/>
      <c r="FV77" s="33" t="n"/>
      <c r="FW77" s="33" t="n"/>
      <c r="FX77" s="33" t="n"/>
      <c r="FY77" s="33" t="n"/>
      <c r="FZ77" s="33" t="n"/>
      <c r="GA77" s="33" t="n"/>
      <c r="GB77" s="33" t="n"/>
      <c r="GC77" s="33" t="n"/>
      <c r="GD77" s="33" t="n"/>
      <c r="GE77" s="33" t="n"/>
      <c r="GF77" s="33" t="n"/>
      <c r="GG77" s="33" t="n"/>
      <c r="GH77" s="33" t="n"/>
      <c r="GI77" s="33" t="n"/>
      <c r="GJ77" s="33" t="n"/>
      <c r="GK77" s="33" t="n"/>
      <c r="GL77" s="33" t="n"/>
      <c r="GM77" s="33" t="n"/>
      <c r="GN77" s="33" t="n"/>
      <c r="GO77" s="33" t="n"/>
      <c r="GP77" s="33" t="n"/>
      <c r="GQ77" s="33" t="n"/>
      <c r="GR77" s="33" t="n"/>
      <c r="GS77" s="33" t="n"/>
      <c r="GT77" s="33" t="n"/>
      <c r="GU77" s="33" t="n"/>
      <c r="GV77" s="33" t="n"/>
      <c r="GW77" s="33" t="n"/>
      <c r="GX77" s="33" t="n"/>
      <c r="GY77" s="33" t="n"/>
      <c r="GZ77" s="33" t="n"/>
      <c r="HA77" s="33" t="n"/>
      <c r="HB77" s="33" t="n"/>
      <c r="HC77" s="33" t="n"/>
      <c r="HD77" s="33" t="n"/>
      <c r="HE77" s="33" t="n"/>
      <c r="HF77" s="33" t="n"/>
      <c r="HG77" s="33" t="n"/>
      <c r="HH77" s="33" t="n"/>
      <c r="HI77" s="33" t="n"/>
      <c r="HJ77" s="33" t="n"/>
      <c r="HK77" s="33" t="n"/>
      <c r="HL77" s="33" t="n"/>
      <c r="HM77" s="33" t="n"/>
      <c r="HN77" s="33" t="n"/>
      <c r="HO77" s="33" t="n"/>
      <c r="HP77" s="33" t="n"/>
      <c r="HQ77" s="33" t="n"/>
      <c r="HR77" s="33" t="n"/>
      <c r="HS77" s="33" t="n"/>
      <c r="HT77" s="33" t="n"/>
      <c r="HU77" s="33" t="n"/>
      <c r="HV77" s="33" t="n"/>
      <c r="HW77" s="33" t="n"/>
      <c r="HX77" s="33" t="n"/>
      <c r="HY77" s="33" t="n"/>
      <c r="HZ77" s="33" t="n"/>
      <c r="IA77" s="33" t="n"/>
      <c r="IB77" s="33" t="n"/>
      <c r="IC77" s="33" t="n"/>
      <c r="ID77" s="33" t="n"/>
      <c r="IE77" s="33" t="n"/>
      <c r="IF77" s="33" t="n"/>
      <c r="IG77" s="33" t="n"/>
      <c r="IH77" s="33" t="n"/>
      <c r="II77" s="33" t="n"/>
      <c r="IJ77" s="33" t="n"/>
      <c r="IK77" s="33" t="n"/>
      <c r="IL77" s="33" t="n"/>
      <c r="IM77" s="33" t="n"/>
      <c r="IN77" s="33" t="n"/>
      <c r="IO77" s="33" t="n"/>
      <c r="IP77" s="33" t="n"/>
      <c r="IQ77" s="33" t="n"/>
      <c r="IR77" s="33" t="n"/>
      <c r="IS77" s="33" t="n"/>
      <c r="IT77" s="33" t="n"/>
      <c r="IU77" s="33" t="n"/>
      <c r="IV77" s="33" t="n"/>
      <c r="IW77" s="33" t="n"/>
      <c r="IX77" s="33" t="n"/>
      <c r="IY77" s="33" t="n"/>
      <c r="IZ77" s="33" t="n"/>
      <c r="JA77" s="33" t="n"/>
      <c r="JB77" s="33" t="n"/>
      <c r="JC77" s="33" t="n"/>
      <c r="JD77" s="33" t="n"/>
      <c r="JE77" s="33" t="n"/>
      <c r="JF77" s="33" t="n"/>
      <c r="JG77" s="33" t="n"/>
      <c r="JH77" s="33" t="n"/>
      <c r="JI77" s="33" t="n"/>
      <c r="JJ77" s="33" t="n"/>
      <c r="JK77" s="33" t="n"/>
      <c r="JL77" s="33" t="n"/>
      <c r="JM77" s="33" t="n"/>
      <c r="JN77" s="33" t="n"/>
      <c r="JO77" s="33" t="n"/>
      <c r="JP77" s="33" t="n"/>
      <c r="JQ77" s="33" t="n"/>
      <c r="JR77" s="33" t="n"/>
      <c r="JS77" s="33" t="n"/>
      <c r="JT77" s="33" t="n"/>
      <c r="JU77" s="33" t="n"/>
      <c r="JV77" s="33" t="n"/>
      <c r="JW77" s="33" t="n"/>
      <c r="JX77" s="33" t="n"/>
      <c r="JY77" s="33" t="n"/>
      <c r="JZ77" s="33" t="n"/>
      <c r="KA77" s="33" t="n"/>
      <c r="KB77" s="33" t="n"/>
      <c r="KC77" s="33" t="n"/>
      <c r="KD77" s="33" t="n"/>
      <c r="KE77" s="33" t="n"/>
      <c r="KF77" s="33" t="n"/>
      <c r="KG77" s="33" t="n"/>
      <c r="KH77" s="33" t="n"/>
      <c r="KI77" s="33" t="n"/>
      <c r="KJ77" s="33" t="n"/>
      <c r="KK77" s="33" t="n"/>
      <c r="KL77" s="33" t="n"/>
      <c r="KM77" s="33" t="n"/>
      <c r="KN77" s="33" t="n"/>
      <c r="KO77" s="33" t="n"/>
      <c r="KP77" s="33" t="n"/>
      <c r="KQ77" s="33" t="n"/>
      <c r="KR77" s="33" t="n"/>
      <c r="KS77" s="33" t="n"/>
      <c r="KT77" s="33" t="n"/>
      <c r="KU77" s="33" t="n"/>
      <c r="KV77" s="33" t="n"/>
      <c r="KW77" s="33" t="n"/>
      <c r="KX77" s="33" t="n"/>
      <c r="KY77" s="33" t="n"/>
      <c r="KZ77" s="33" t="n"/>
      <c r="LA77" s="33" t="n"/>
      <c r="LB77" s="33" t="n"/>
      <c r="LC77" s="33" t="n"/>
      <c r="LD77" s="33" t="n"/>
      <c r="LE77" s="33" t="n"/>
      <c r="LF77" s="33" t="n"/>
      <c r="LG77" s="33" t="n"/>
      <c r="LH77" s="33" t="n"/>
      <c r="LI77" s="33" t="n"/>
      <c r="LJ77" s="33" t="n"/>
      <c r="LK77" s="33" t="n"/>
      <c r="LL77" s="33" t="n"/>
      <c r="LM77" s="33" t="n"/>
      <c r="LN77" s="33" t="n"/>
      <c r="LO77" s="33" t="n"/>
      <c r="LP77" s="33" t="n"/>
      <c r="LQ77" s="33" t="n"/>
      <c r="LR77" s="33" t="n"/>
      <c r="LS77" s="33" t="n"/>
      <c r="LT77" s="33" t="n"/>
      <c r="LU77" s="33" t="n"/>
      <c r="LV77" s="33" t="n"/>
      <c r="LW77" s="33" t="n"/>
      <c r="LX77" s="33" t="n"/>
      <c r="LY77" s="33" t="n"/>
      <c r="LZ77" s="33" t="n"/>
      <c r="MA77" s="33" t="n"/>
      <c r="MB77" s="33" t="n"/>
      <c r="MC77" s="33" t="n"/>
      <c r="MD77" s="33" t="n"/>
      <c r="ME77" s="33" t="n"/>
      <c r="MF77" s="33" t="n"/>
      <c r="MG77" s="33" t="n"/>
      <c r="MH77" s="33" t="n"/>
      <c r="MI77" s="33" t="n"/>
      <c r="MJ77" s="33" t="n"/>
      <c r="MK77" s="33" t="n"/>
      <c r="ML77" s="33" t="n"/>
      <c r="MM77" s="33" t="n"/>
      <c r="MN77" s="33" t="n"/>
      <c r="MO77" s="33" t="n"/>
      <c r="MP77" s="33" t="n"/>
      <c r="MQ77" s="33" t="n"/>
      <c r="MR77" s="33" t="n"/>
      <c r="MS77" s="33" t="n"/>
      <c r="MT77" s="33" t="n"/>
      <c r="MU77" s="33" t="n"/>
      <c r="MV77" s="33" t="n"/>
      <c r="MW77" s="33" t="n"/>
      <c r="MX77" s="33" t="n"/>
      <c r="MY77" s="33" t="n"/>
      <c r="MZ77" s="33" t="n"/>
      <c r="NA77" s="33" t="n"/>
      <c r="NB77" s="33" t="n"/>
      <c r="NC77" s="33" t="n"/>
      <c r="ND77" s="33" t="n"/>
      <c r="NE77" s="33" t="n"/>
      <c r="NF77" s="33" t="n"/>
      <c r="NG77" s="33" t="n"/>
      <c r="NH77" s="33" t="n"/>
      <c r="NI77" s="33" t="n"/>
      <c r="NJ77" s="33" t="n"/>
      <c r="NK77" s="33" t="n"/>
      <c r="NL77" s="33" t="n"/>
      <c r="NM77" s="33" t="n"/>
      <c r="NN77" s="33" t="n"/>
      <c r="NO77" s="33" t="n"/>
      <c r="NP77" s="33" t="n"/>
      <c r="NQ77" s="33" t="n"/>
      <c r="NR77" s="33" t="n"/>
      <c r="NS77" s="33" t="n"/>
      <c r="NT77" s="33" t="n"/>
      <c r="NU77" s="33" t="n"/>
      <c r="NV77" s="33" t="n"/>
      <c r="NW77" s="33" t="n"/>
      <c r="NX77" s="33" t="n"/>
      <c r="NY77" s="33" t="n"/>
      <c r="NZ77" s="33" t="n"/>
      <c r="OA77" s="33" t="n"/>
      <c r="OB77" s="33" t="n"/>
      <c r="OC77" s="33" t="n"/>
      <c r="OD77" s="33" t="n"/>
      <c r="OE77" s="33" t="n"/>
      <c r="OF77" s="33" t="n"/>
      <c r="OG77" s="33" t="n"/>
      <c r="OH77" s="33" t="n"/>
      <c r="OI77" s="33" t="n"/>
      <c r="OJ77" s="33" t="n"/>
      <c r="OK77" s="33" t="n"/>
      <c r="OL77" s="33" t="n"/>
      <c r="OM77" s="33" t="n"/>
      <c r="ON77" s="33" t="n"/>
      <c r="OO77" s="33" t="n"/>
      <c r="OP77" s="33" t="n"/>
      <c r="OQ77" s="33" t="n"/>
      <c r="OR77" s="33" t="n"/>
      <c r="OS77" s="33" t="n"/>
      <c r="OT77" s="33" t="n"/>
      <c r="OU77" s="33" t="n"/>
      <c r="OV77" s="33" t="n"/>
      <c r="OW77" s="33" t="n"/>
      <c r="OX77" s="33" t="n"/>
      <c r="OY77" s="33" t="n"/>
      <c r="OZ77" s="33" t="n"/>
      <c r="PA77" s="33" t="n"/>
      <c r="PB77" s="33" t="n"/>
      <c r="PC77" s="33" t="n"/>
      <c r="PD77" s="33" t="n"/>
      <c r="PE77" s="33" t="n"/>
      <c r="PF77" s="33" t="n"/>
      <c r="PG77" s="33" t="n"/>
      <c r="PH77" s="33" t="n"/>
      <c r="PI77" s="33" t="n"/>
      <c r="PJ77" s="33" t="n"/>
      <c r="PK77" s="33" t="n"/>
      <c r="PL77" s="33" t="n"/>
      <c r="PM77" s="33" t="n"/>
      <c r="PN77" s="33" t="n"/>
      <c r="PO77" s="33" t="n"/>
      <c r="PP77" s="33" t="n"/>
      <c r="PQ77" s="33" t="n"/>
      <c r="PR77" s="33" t="n"/>
      <c r="PS77" s="33" t="n"/>
      <c r="PT77" s="33" t="n"/>
      <c r="PU77" s="33" t="n"/>
      <c r="PV77" s="33" t="n"/>
      <c r="PW77" s="33" t="n"/>
      <c r="PX77" s="33" t="n"/>
      <c r="PY77" s="33" t="n"/>
      <c r="PZ77" s="33" t="n"/>
      <c r="QA77" s="33" t="n"/>
      <c r="QB77" s="33" t="n"/>
      <c r="QC77" s="33" t="n"/>
      <c r="QD77" s="33" t="n"/>
      <c r="QE77" s="33" t="n"/>
      <c r="QF77" s="33" t="n"/>
      <c r="QG77" s="33" t="n"/>
      <c r="QH77" s="33" t="n"/>
      <c r="QI77" s="33" t="n"/>
      <c r="QJ77" s="33" t="n"/>
      <c r="QK77" s="33" t="n"/>
      <c r="QL77" s="33" t="n"/>
      <c r="QM77" s="33" t="n"/>
      <c r="QN77" s="33" t="n"/>
      <c r="QO77" s="33" t="n"/>
      <c r="QP77" s="33" t="n"/>
      <c r="QQ77" s="33" t="n"/>
      <c r="QR77" s="33" t="n"/>
      <c r="QS77" s="33" t="n"/>
      <c r="QT77" s="33" t="n"/>
      <c r="QU77" s="33" t="n"/>
      <c r="QV77" s="33" t="n"/>
      <c r="QW77" s="33" t="n"/>
      <c r="QX77" s="33" t="n"/>
      <c r="QY77" s="33" t="n"/>
      <c r="QZ77" s="33" t="n"/>
      <c r="RA77" s="33" t="n"/>
      <c r="RB77" s="33" t="n"/>
      <c r="RC77" s="33" t="n"/>
      <c r="RD77" s="33" t="n"/>
      <c r="RE77" s="33" t="n"/>
      <c r="RF77" s="33" t="n"/>
      <c r="RG77" s="33" t="n"/>
      <c r="RH77" s="33" t="n"/>
      <c r="RI77" s="33" t="n"/>
      <c r="RJ77" s="33" t="n"/>
      <c r="RK77" s="33" t="n"/>
      <c r="RL77" s="33" t="n"/>
      <c r="RM77" s="33" t="n"/>
      <c r="RN77" s="33" t="n"/>
      <c r="RO77" s="33" t="n"/>
      <c r="RP77" s="33" t="n"/>
      <c r="RQ77" s="33" t="n"/>
      <c r="RR77" s="33" t="n"/>
      <c r="RS77" s="33" t="n"/>
      <c r="RT77" s="33" t="n"/>
      <c r="RU77" s="33" t="n"/>
      <c r="RV77" s="33" t="n"/>
      <c r="RW77" s="33" t="n"/>
    </row>
    <row r="78" hidden="1" outlineLevel="1" ht="13.05" customHeight="1">
      <c r="E78" s="21" t="inlineStr">
        <is>
          <t>Total Closing Balance</t>
        </is>
      </c>
      <c r="F78" s="29" t="n"/>
      <c r="G78" s="29" t="inlineStr">
        <is>
          <t>kEUR</t>
        </is>
      </c>
      <c r="H78" s="29" t="n"/>
      <c r="I78" s="29" t="n"/>
      <c r="J78" s="32" t="n"/>
      <c r="K78" s="29" t="n"/>
      <c r="L78" s="33" t="n"/>
      <c r="M78" s="33" t="n"/>
      <c r="N78" s="33" t="n"/>
      <c r="O78" s="33" t="n"/>
      <c r="P78" s="33" t="n"/>
      <c r="Q78" s="33" t="n"/>
      <c r="R78" s="33" t="n"/>
      <c r="S78" s="33" t="n"/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n"/>
      <c r="AF78" s="33" t="n"/>
      <c r="AG78" s="33" t="n"/>
      <c r="AH78" s="33" t="n"/>
      <c r="AI78" s="33" t="n"/>
      <c r="AJ78" s="33" t="n"/>
      <c r="AK78" s="33" t="n"/>
      <c r="AL78" s="33" t="n"/>
      <c r="AM78" s="33" t="n"/>
      <c r="AN78" s="33" t="n"/>
      <c r="AO78" s="33" t="n"/>
      <c r="AP78" s="33" t="n"/>
      <c r="AQ78" s="33" t="n"/>
      <c r="AR78" s="33" t="n"/>
      <c r="AS78" s="33" t="n"/>
      <c r="AT78" s="33" t="n"/>
      <c r="AU78" s="33" t="n"/>
      <c r="AV78" s="33" t="n"/>
      <c r="AW78" s="33" t="n"/>
      <c r="AX78" s="33" t="n"/>
      <c r="AY78" s="33" t="n"/>
      <c r="AZ78" s="33" t="n"/>
      <c r="BA78" s="33" t="n"/>
      <c r="BB78" s="33" t="n"/>
      <c r="BC78" s="33" t="n"/>
      <c r="BD78" s="33" t="n"/>
      <c r="BE78" s="33" t="n"/>
      <c r="BF78" s="33" t="n"/>
      <c r="BG78" s="33" t="n"/>
      <c r="BH78" s="33" t="n"/>
      <c r="BI78" s="33" t="n"/>
      <c r="BJ78" s="33" t="n"/>
      <c r="BK78" s="33" t="n"/>
      <c r="BL78" s="33" t="n"/>
      <c r="BM78" s="33" t="n"/>
      <c r="BN78" s="33" t="n"/>
      <c r="BO78" s="33" t="n"/>
      <c r="BP78" s="33" t="n"/>
      <c r="BQ78" s="33" t="n"/>
      <c r="BR78" s="33" t="n"/>
      <c r="BS78" s="33" t="n"/>
      <c r="BT78" s="33" t="n"/>
      <c r="BU78" s="33" t="n"/>
      <c r="BV78" s="33" t="n"/>
      <c r="BW78" s="33" t="n"/>
      <c r="BX78" s="33" t="n"/>
      <c r="BY78" s="33" t="n"/>
      <c r="BZ78" s="33" t="n"/>
      <c r="CA78" s="33" t="n"/>
      <c r="CB78" s="33" t="n"/>
      <c r="CC78" s="33" t="n"/>
      <c r="CD78" s="33" t="n"/>
      <c r="CE78" s="33" t="n"/>
      <c r="CF78" s="33" t="n"/>
      <c r="CG78" s="33" t="n"/>
      <c r="CH78" s="33" t="n"/>
      <c r="CI78" s="33" t="n"/>
      <c r="CJ78" s="33" t="n"/>
      <c r="CK78" s="33" t="n"/>
      <c r="CL78" s="33" t="n"/>
      <c r="CM78" s="33" t="n"/>
      <c r="CN78" s="33" t="n"/>
      <c r="CO78" s="33" t="n"/>
      <c r="CP78" s="33" t="n"/>
      <c r="CQ78" s="33" t="n"/>
      <c r="CR78" s="33" t="n"/>
      <c r="CS78" s="33" t="n"/>
      <c r="CT78" s="33" t="n"/>
      <c r="CU78" s="33" t="n"/>
      <c r="CV78" s="33" t="n"/>
      <c r="CW78" s="33" t="n"/>
      <c r="CX78" s="33" t="n"/>
      <c r="CY78" s="33" t="n"/>
      <c r="CZ78" s="33" t="n"/>
      <c r="DA78" s="33" t="n"/>
      <c r="DB78" s="33" t="n"/>
      <c r="DC78" s="33" t="n"/>
      <c r="DD78" s="33" t="n"/>
      <c r="DE78" s="33" t="n"/>
      <c r="DF78" s="33" t="n"/>
      <c r="DG78" s="33" t="n"/>
      <c r="DH78" s="33" t="n"/>
      <c r="DI78" s="33" t="n"/>
      <c r="DJ78" s="33" t="n"/>
      <c r="DK78" s="33" t="n"/>
      <c r="DL78" s="33" t="n"/>
      <c r="DM78" s="33" t="n"/>
      <c r="DN78" s="33" t="n"/>
      <c r="DO78" s="33" t="n"/>
      <c r="DP78" s="33" t="n"/>
      <c r="DQ78" s="33" t="n"/>
      <c r="DR78" s="33" t="n"/>
      <c r="DS78" s="33" t="n"/>
      <c r="DT78" s="33" t="n"/>
      <c r="DU78" s="33" t="n"/>
      <c r="DV78" s="33" t="n"/>
      <c r="DW78" s="33" t="n"/>
      <c r="DX78" s="33" t="n"/>
      <c r="DY78" s="33" t="n"/>
      <c r="DZ78" s="33" t="n"/>
      <c r="EA78" s="33" t="n"/>
      <c r="EB78" s="33" t="n"/>
      <c r="EC78" s="33" t="n"/>
      <c r="ED78" s="33" t="n"/>
      <c r="EE78" s="33" t="n"/>
      <c r="EF78" s="33" t="n"/>
      <c r="EG78" s="33" t="n"/>
      <c r="EH78" s="33" t="n"/>
      <c r="EI78" s="33" t="n"/>
      <c r="EJ78" s="33" t="n"/>
      <c r="EK78" s="33" t="n"/>
      <c r="EL78" s="33" t="n"/>
      <c r="EM78" s="33" t="n"/>
      <c r="EN78" s="33" t="n"/>
      <c r="EO78" s="33" t="n"/>
      <c r="EP78" s="33" t="n"/>
      <c r="EQ78" s="33" t="n"/>
      <c r="ER78" s="33" t="n"/>
      <c r="ES78" s="33" t="n"/>
      <c r="ET78" s="33" t="n"/>
      <c r="EU78" s="33" t="n"/>
      <c r="EV78" s="33" t="n"/>
      <c r="EW78" s="33" t="n"/>
      <c r="EX78" s="33" t="n"/>
      <c r="EY78" s="33" t="n"/>
      <c r="EZ78" s="33" t="n"/>
      <c r="FA78" s="33" t="n"/>
      <c r="FB78" s="33" t="n"/>
      <c r="FC78" s="33" t="n"/>
      <c r="FD78" s="33" t="n"/>
      <c r="FE78" s="33" t="n"/>
      <c r="FF78" s="33" t="n"/>
      <c r="FG78" s="33" t="n"/>
      <c r="FH78" s="33" t="n"/>
      <c r="FI78" s="33" t="n"/>
      <c r="FJ78" s="33" t="n"/>
      <c r="FK78" s="33" t="n"/>
      <c r="FL78" s="33" t="n"/>
      <c r="FM78" s="33" t="n"/>
      <c r="FN78" s="33" t="n"/>
      <c r="FO78" s="33" t="n"/>
      <c r="FP78" s="33" t="n"/>
      <c r="FQ78" s="33" t="n"/>
      <c r="FR78" s="33" t="n"/>
      <c r="FS78" s="33" t="n"/>
      <c r="FT78" s="33" t="n"/>
      <c r="FU78" s="33" t="n"/>
      <c r="FV78" s="33" t="n"/>
      <c r="FW78" s="33" t="n"/>
      <c r="FX78" s="33" t="n"/>
      <c r="FY78" s="33" t="n"/>
      <c r="FZ78" s="33" t="n"/>
      <c r="GA78" s="33" t="n"/>
      <c r="GB78" s="33" t="n"/>
      <c r="GC78" s="33" t="n"/>
      <c r="GD78" s="33" t="n"/>
      <c r="GE78" s="33" t="n"/>
      <c r="GF78" s="33" t="n"/>
      <c r="GG78" s="33" t="n"/>
      <c r="GH78" s="33" t="n"/>
      <c r="GI78" s="33" t="n"/>
      <c r="GJ78" s="33" t="n"/>
      <c r="GK78" s="33" t="n"/>
      <c r="GL78" s="33" t="n"/>
      <c r="GM78" s="33" t="n"/>
      <c r="GN78" s="33" t="n"/>
      <c r="GO78" s="33" t="n"/>
      <c r="GP78" s="33" t="n"/>
      <c r="GQ78" s="33" t="n"/>
      <c r="GR78" s="33" t="n"/>
      <c r="GS78" s="33" t="n"/>
      <c r="GT78" s="33" t="n"/>
      <c r="GU78" s="33" t="n"/>
      <c r="GV78" s="33" t="n"/>
      <c r="GW78" s="33" t="n"/>
      <c r="GX78" s="33" t="n"/>
      <c r="GY78" s="33" t="n"/>
      <c r="GZ78" s="33" t="n"/>
      <c r="HA78" s="33" t="n"/>
      <c r="HB78" s="33" t="n"/>
      <c r="HC78" s="33" t="n"/>
      <c r="HD78" s="33" t="n"/>
      <c r="HE78" s="33" t="n"/>
      <c r="HF78" s="33" t="n"/>
      <c r="HG78" s="33" t="n"/>
      <c r="HH78" s="33" t="n"/>
      <c r="HI78" s="33" t="n"/>
      <c r="HJ78" s="33" t="n"/>
      <c r="HK78" s="33" t="n"/>
      <c r="HL78" s="33" t="n"/>
      <c r="HM78" s="33" t="n"/>
      <c r="HN78" s="33" t="n"/>
      <c r="HO78" s="33" t="n"/>
      <c r="HP78" s="33" t="n"/>
      <c r="HQ78" s="33" t="n"/>
      <c r="HR78" s="33" t="n"/>
      <c r="HS78" s="33" t="n"/>
      <c r="HT78" s="33" t="n"/>
      <c r="HU78" s="33" t="n"/>
      <c r="HV78" s="33" t="n"/>
      <c r="HW78" s="33" t="n"/>
      <c r="HX78" s="33" t="n"/>
      <c r="HY78" s="33" t="n"/>
      <c r="HZ78" s="33" t="n"/>
      <c r="IA78" s="33" t="n"/>
      <c r="IB78" s="33" t="n"/>
      <c r="IC78" s="33" t="n"/>
      <c r="ID78" s="33" t="n"/>
      <c r="IE78" s="33" t="n"/>
      <c r="IF78" s="33" t="n"/>
      <c r="IG78" s="33" t="n"/>
      <c r="IH78" s="33" t="n"/>
      <c r="II78" s="33" t="n"/>
      <c r="IJ78" s="33" t="n"/>
      <c r="IK78" s="33" t="n"/>
      <c r="IL78" s="33" t="n"/>
      <c r="IM78" s="33" t="n"/>
      <c r="IN78" s="33" t="n"/>
      <c r="IO78" s="33" t="n"/>
      <c r="IP78" s="33" t="n"/>
      <c r="IQ78" s="33" t="n"/>
      <c r="IR78" s="33" t="n"/>
      <c r="IS78" s="33" t="n"/>
      <c r="IT78" s="33" t="n"/>
      <c r="IU78" s="33" t="n"/>
      <c r="IV78" s="33" t="n"/>
      <c r="IW78" s="33" t="n"/>
      <c r="IX78" s="33" t="n"/>
      <c r="IY78" s="33" t="n"/>
      <c r="IZ78" s="33" t="n"/>
      <c r="JA78" s="33" t="n"/>
      <c r="JB78" s="33" t="n"/>
      <c r="JC78" s="33" t="n"/>
      <c r="JD78" s="33" t="n"/>
      <c r="JE78" s="33" t="n"/>
      <c r="JF78" s="33" t="n"/>
      <c r="JG78" s="33" t="n"/>
      <c r="JH78" s="33" t="n"/>
      <c r="JI78" s="33" t="n"/>
      <c r="JJ78" s="33" t="n"/>
      <c r="JK78" s="33" t="n"/>
      <c r="JL78" s="33" t="n"/>
      <c r="JM78" s="33" t="n"/>
      <c r="JN78" s="33" t="n"/>
      <c r="JO78" s="33" t="n"/>
      <c r="JP78" s="33" t="n"/>
      <c r="JQ78" s="33" t="n"/>
      <c r="JR78" s="33" t="n"/>
      <c r="JS78" s="33" t="n"/>
      <c r="JT78" s="33" t="n"/>
      <c r="JU78" s="33" t="n"/>
      <c r="JV78" s="33" t="n"/>
      <c r="JW78" s="33" t="n"/>
      <c r="JX78" s="33" t="n"/>
      <c r="JY78" s="33" t="n"/>
      <c r="JZ78" s="33" t="n"/>
      <c r="KA78" s="33" t="n"/>
      <c r="KB78" s="33" t="n"/>
      <c r="KC78" s="33" t="n"/>
      <c r="KD78" s="33" t="n"/>
      <c r="KE78" s="33" t="n"/>
      <c r="KF78" s="33" t="n"/>
      <c r="KG78" s="33" t="n"/>
      <c r="KH78" s="33" t="n"/>
      <c r="KI78" s="33" t="n"/>
      <c r="KJ78" s="33" t="n"/>
      <c r="KK78" s="33" t="n"/>
      <c r="KL78" s="33" t="n"/>
      <c r="KM78" s="33" t="n"/>
      <c r="KN78" s="33" t="n"/>
      <c r="KO78" s="33" t="n"/>
      <c r="KP78" s="33" t="n"/>
      <c r="KQ78" s="33" t="n"/>
      <c r="KR78" s="33" t="n"/>
      <c r="KS78" s="33" t="n"/>
      <c r="KT78" s="33" t="n"/>
      <c r="KU78" s="33" t="n"/>
      <c r="KV78" s="33" t="n"/>
      <c r="KW78" s="33" t="n"/>
      <c r="KX78" s="33" t="n"/>
      <c r="KY78" s="33" t="n"/>
      <c r="KZ78" s="33" t="n"/>
      <c r="LA78" s="33" t="n"/>
      <c r="LB78" s="33" t="n"/>
      <c r="LC78" s="33" t="n"/>
      <c r="LD78" s="33" t="n"/>
      <c r="LE78" s="33" t="n"/>
      <c r="LF78" s="33" t="n"/>
      <c r="LG78" s="33" t="n"/>
      <c r="LH78" s="33" t="n"/>
      <c r="LI78" s="33" t="n"/>
      <c r="LJ78" s="33" t="n"/>
      <c r="LK78" s="33" t="n"/>
      <c r="LL78" s="33" t="n"/>
      <c r="LM78" s="33" t="n"/>
      <c r="LN78" s="33" t="n"/>
      <c r="LO78" s="33" t="n"/>
      <c r="LP78" s="33" t="n"/>
      <c r="LQ78" s="33" t="n"/>
      <c r="LR78" s="33" t="n"/>
      <c r="LS78" s="33" t="n"/>
      <c r="LT78" s="33" t="n"/>
      <c r="LU78" s="33" t="n"/>
      <c r="LV78" s="33" t="n"/>
      <c r="LW78" s="33" t="n"/>
      <c r="LX78" s="33" t="n"/>
      <c r="LY78" s="33" t="n"/>
      <c r="LZ78" s="33" t="n"/>
      <c r="MA78" s="33" t="n"/>
      <c r="MB78" s="33" t="n"/>
      <c r="MC78" s="33" t="n"/>
      <c r="MD78" s="33" t="n"/>
      <c r="ME78" s="33" t="n"/>
      <c r="MF78" s="33" t="n"/>
      <c r="MG78" s="33" t="n"/>
      <c r="MH78" s="33" t="n"/>
      <c r="MI78" s="33" t="n"/>
      <c r="MJ78" s="33" t="n"/>
      <c r="MK78" s="33" t="n"/>
      <c r="ML78" s="33" t="n"/>
      <c r="MM78" s="33" t="n"/>
      <c r="MN78" s="33" t="n"/>
      <c r="MO78" s="33" t="n"/>
      <c r="MP78" s="33" t="n"/>
      <c r="MQ78" s="33" t="n"/>
      <c r="MR78" s="33" t="n"/>
      <c r="MS78" s="33" t="n"/>
      <c r="MT78" s="33" t="n"/>
      <c r="MU78" s="33" t="n"/>
      <c r="MV78" s="33" t="n"/>
      <c r="MW78" s="33" t="n"/>
      <c r="MX78" s="33" t="n"/>
      <c r="MY78" s="33" t="n"/>
      <c r="MZ78" s="33" t="n"/>
      <c r="NA78" s="33" t="n"/>
      <c r="NB78" s="33" t="n"/>
      <c r="NC78" s="33" t="n"/>
      <c r="ND78" s="33" t="n"/>
      <c r="NE78" s="33" t="n"/>
      <c r="NF78" s="33" t="n"/>
      <c r="NG78" s="33" t="n"/>
      <c r="NH78" s="33" t="n"/>
      <c r="NI78" s="33" t="n"/>
      <c r="NJ78" s="33" t="n"/>
      <c r="NK78" s="33" t="n"/>
      <c r="NL78" s="33" t="n"/>
      <c r="NM78" s="33" t="n"/>
      <c r="NN78" s="33" t="n"/>
      <c r="NO78" s="33" t="n"/>
      <c r="NP78" s="33" t="n"/>
      <c r="NQ78" s="33" t="n"/>
      <c r="NR78" s="33" t="n"/>
      <c r="NS78" s="33" t="n"/>
      <c r="NT78" s="33" t="n"/>
      <c r="NU78" s="33" t="n"/>
      <c r="NV78" s="33" t="n"/>
      <c r="NW78" s="33" t="n"/>
      <c r="NX78" s="33" t="n"/>
      <c r="NY78" s="33" t="n"/>
      <c r="NZ78" s="33" t="n"/>
      <c r="OA78" s="33" t="n"/>
      <c r="OB78" s="33" t="n"/>
      <c r="OC78" s="33" t="n"/>
      <c r="OD78" s="33" t="n"/>
      <c r="OE78" s="33" t="n"/>
      <c r="OF78" s="33" t="n"/>
      <c r="OG78" s="33" t="n"/>
      <c r="OH78" s="33" t="n"/>
      <c r="OI78" s="33" t="n"/>
      <c r="OJ78" s="33" t="n"/>
      <c r="OK78" s="33" t="n"/>
      <c r="OL78" s="33" t="n"/>
      <c r="OM78" s="33" t="n"/>
      <c r="ON78" s="33" t="n"/>
      <c r="OO78" s="33" t="n"/>
      <c r="OP78" s="33" t="n"/>
      <c r="OQ78" s="33" t="n"/>
      <c r="OR78" s="33" t="n"/>
      <c r="OS78" s="33" t="n"/>
      <c r="OT78" s="33" t="n"/>
      <c r="OU78" s="33" t="n"/>
      <c r="OV78" s="33" t="n"/>
      <c r="OW78" s="33" t="n"/>
      <c r="OX78" s="33" t="n"/>
      <c r="OY78" s="33" t="n"/>
      <c r="OZ78" s="33" t="n"/>
      <c r="PA78" s="33" t="n"/>
      <c r="PB78" s="33" t="n"/>
      <c r="PC78" s="33" t="n"/>
      <c r="PD78" s="33" t="n"/>
      <c r="PE78" s="33" t="n"/>
      <c r="PF78" s="33" t="n"/>
      <c r="PG78" s="33" t="n"/>
      <c r="PH78" s="33" t="n"/>
      <c r="PI78" s="33" t="n"/>
      <c r="PJ78" s="33" t="n"/>
      <c r="PK78" s="33" t="n"/>
      <c r="PL78" s="33" t="n"/>
      <c r="PM78" s="33" t="n"/>
      <c r="PN78" s="33" t="n"/>
      <c r="PO78" s="33" t="n"/>
      <c r="PP78" s="33" t="n"/>
      <c r="PQ78" s="33" t="n"/>
      <c r="PR78" s="33" t="n"/>
      <c r="PS78" s="33" t="n"/>
      <c r="PT78" s="33" t="n"/>
      <c r="PU78" s="33" t="n"/>
      <c r="PV78" s="33" t="n"/>
      <c r="PW78" s="33" t="n"/>
      <c r="PX78" s="33" t="n"/>
      <c r="PY78" s="33" t="n"/>
      <c r="PZ78" s="33" t="n"/>
      <c r="QA78" s="33" t="n"/>
      <c r="QB78" s="33" t="n"/>
      <c r="QC78" s="33" t="n"/>
      <c r="QD78" s="33" t="n"/>
      <c r="QE78" s="33" t="n"/>
      <c r="QF78" s="33" t="n"/>
      <c r="QG78" s="33" t="n"/>
      <c r="QH78" s="33" t="n"/>
      <c r="QI78" s="33" t="n"/>
      <c r="QJ78" s="33" t="n"/>
      <c r="QK78" s="33" t="n"/>
      <c r="QL78" s="33" t="n"/>
      <c r="QM78" s="33" t="n"/>
      <c r="QN78" s="33" t="n"/>
      <c r="QO78" s="33" t="n"/>
      <c r="QP78" s="33" t="n"/>
      <c r="QQ78" s="33" t="n"/>
      <c r="QR78" s="33" t="n"/>
      <c r="QS78" s="33" t="n"/>
      <c r="QT78" s="33" t="n"/>
      <c r="QU78" s="33" t="n"/>
      <c r="QV78" s="33" t="n"/>
      <c r="QW78" s="33" t="n"/>
      <c r="QX78" s="33" t="n"/>
      <c r="QY78" s="33" t="n"/>
      <c r="QZ78" s="33" t="n"/>
      <c r="RA78" s="33" t="n"/>
      <c r="RB78" s="33" t="n"/>
      <c r="RC78" s="33" t="n"/>
      <c r="RD78" s="33" t="n"/>
      <c r="RE78" s="33" t="n"/>
      <c r="RF78" s="33" t="n"/>
      <c r="RG78" s="33" t="n"/>
      <c r="RH78" s="33" t="n"/>
      <c r="RI78" s="33" t="n"/>
      <c r="RJ78" s="33" t="n"/>
      <c r="RK78" s="33" t="n"/>
      <c r="RL78" s="33" t="n"/>
      <c r="RM78" s="33" t="n"/>
      <c r="RN78" s="33" t="n"/>
      <c r="RO78" s="33" t="n"/>
      <c r="RP78" s="33" t="n"/>
      <c r="RQ78" s="33" t="n"/>
      <c r="RR78" s="33" t="n"/>
      <c r="RS78" s="33" t="n"/>
      <c r="RT78" s="33" t="n"/>
      <c r="RU78" s="33" t="n"/>
      <c r="RV78" s="33" t="n"/>
      <c r="RW78" s="33" t="n"/>
    </row>
    <row r="79" hidden="1" outlineLevel="1" ht="13.05" customHeight="1">
      <c r="E79" s="21" t="inlineStr">
        <is>
          <t>Total Debt Service</t>
        </is>
      </c>
      <c r="F79" s="29" t="n"/>
      <c r="G79" s="29" t="inlineStr">
        <is>
          <t>kEUR</t>
        </is>
      </c>
      <c r="H79" s="29" t="n"/>
      <c r="I79" s="29" t="n"/>
      <c r="J79" s="32" t="n"/>
      <c r="K79" s="29" t="n"/>
      <c r="L79" s="33" t="n"/>
      <c r="M79" s="33" t="n"/>
      <c r="N79" s="33" t="n"/>
      <c r="O79" s="33" t="n"/>
      <c r="P79" s="33" t="n"/>
      <c r="Q79" s="33" t="n"/>
      <c r="R79" s="33" t="n"/>
      <c r="S79" s="33" t="n"/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  <c r="AE79" s="33" t="n"/>
      <c r="AF79" s="33" t="n"/>
      <c r="AG79" s="33" t="n"/>
      <c r="AH79" s="33" t="n"/>
      <c r="AI79" s="33" t="n"/>
      <c r="AJ79" s="33" t="n"/>
      <c r="AK79" s="33" t="n"/>
      <c r="AL79" s="33" t="n"/>
      <c r="AM79" s="33" t="n"/>
      <c r="AN79" s="33" t="n"/>
      <c r="AO79" s="33" t="n"/>
      <c r="AP79" s="33" t="n"/>
      <c r="AQ79" s="33" t="n"/>
      <c r="AR79" s="33" t="n"/>
      <c r="AS79" s="33" t="n"/>
      <c r="AT79" s="33" t="n"/>
      <c r="AU79" s="33" t="n"/>
      <c r="AV79" s="33" t="n"/>
      <c r="AW79" s="33" t="n"/>
      <c r="AX79" s="33" t="n"/>
      <c r="AY79" s="33" t="n"/>
      <c r="AZ79" s="33" t="n"/>
      <c r="BA79" s="33" t="n"/>
      <c r="BB79" s="33" t="n"/>
      <c r="BC79" s="33" t="n"/>
      <c r="BD79" s="33" t="n"/>
      <c r="BE79" s="33" t="n"/>
      <c r="BF79" s="33" t="n"/>
      <c r="BG79" s="33" t="n"/>
      <c r="BH79" s="33" t="n"/>
      <c r="BI79" s="33" t="n"/>
      <c r="BJ79" s="33" t="n"/>
      <c r="BK79" s="33" t="n"/>
      <c r="BL79" s="33" t="n"/>
      <c r="BM79" s="33" t="n"/>
      <c r="BN79" s="33" t="n"/>
      <c r="BO79" s="33" t="n"/>
      <c r="BP79" s="33" t="n"/>
      <c r="BQ79" s="33" t="n"/>
      <c r="BR79" s="33" t="n"/>
      <c r="BS79" s="33" t="n"/>
      <c r="BT79" s="33" t="n"/>
      <c r="BU79" s="33" t="n"/>
      <c r="BV79" s="33" t="n"/>
      <c r="BW79" s="33" t="n"/>
      <c r="BX79" s="33" t="n"/>
      <c r="BY79" s="33" t="n"/>
      <c r="BZ79" s="33" t="n"/>
      <c r="CA79" s="33" t="n"/>
      <c r="CB79" s="33" t="n"/>
      <c r="CC79" s="33" t="n"/>
      <c r="CD79" s="33" t="n"/>
      <c r="CE79" s="33" t="n"/>
      <c r="CF79" s="33" t="n"/>
      <c r="CG79" s="33" t="n"/>
      <c r="CH79" s="33" t="n"/>
      <c r="CI79" s="33" t="n"/>
      <c r="CJ79" s="33" t="n"/>
      <c r="CK79" s="33" t="n"/>
      <c r="CL79" s="33" t="n"/>
      <c r="CM79" s="33" t="n"/>
      <c r="CN79" s="33" t="n"/>
      <c r="CO79" s="33" t="n"/>
      <c r="CP79" s="33" t="n"/>
      <c r="CQ79" s="33" t="n"/>
      <c r="CR79" s="33" t="n"/>
      <c r="CS79" s="33" t="n"/>
      <c r="CT79" s="33" t="n"/>
      <c r="CU79" s="33" t="n"/>
      <c r="CV79" s="33" t="n"/>
      <c r="CW79" s="33" t="n"/>
      <c r="CX79" s="33" t="n"/>
      <c r="CY79" s="33" t="n"/>
      <c r="CZ79" s="33" t="n"/>
      <c r="DA79" s="33" t="n"/>
      <c r="DB79" s="33" t="n"/>
      <c r="DC79" s="33" t="n"/>
      <c r="DD79" s="33" t="n"/>
      <c r="DE79" s="33" t="n"/>
      <c r="DF79" s="33" t="n"/>
      <c r="DG79" s="33" t="n"/>
      <c r="DH79" s="33" t="n"/>
      <c r="DI79" s="33" t="n"/>
      <c r="DJ79" s="33" t="n"/>
      <c r="DK79" s="33" t="n"/>
      <c r="DL79" s="33" t="n"/>
      <c r="DM79" s="33" t="n"/>
      <c r="DN79" s="33" t="n"/>
      <c r="DO79" s="33" t="n"/>
      <c r="DP79" s="33" t="n"/>
      <c r="DQ79" s="33" t="n"/>
      <c r="DR79" s="33" t="n"/>
      <c r="DS79" s="33" t="n"/>
      <c r="DT79" s="33" t="n"/>
      <c r="DU79" s="33" t="n"/>
      <c r="DV79" s="33" t="n"/>
      <c r="DW79" s="33" t="n"/>
      <c r="DX79" s="33" t="n"/>
      <c r="DY79" s="33" t="n"/>
      <c r="DZ79" s="33" t="n"/>
      <c r="EA79" s="33" t="n"/>
      <c r="EB79" s="33" t="n"/>
      <c r="EC79" s="33" t="n"/>
      <c r="ED79" s="33" t="n"/>
      <c r="EE79" s="33" t="n"/>
      <c r="EF79" s="33" t="n"/>
      <c r="EG79" s="33" t="n"/>
      <c r="EH79" s="33" t="n"/>
      <c r="EI79" s="33" t="n"/>
      <c r="EJ79" s="33" t="n"/>
      <c r="EK79" s="33" t="n"/>
      <c r="EL79" s="33" t="n"/>
      <c r="EM79" s="33" t="n"/>
      <c r="EN79" s="33" t="n"/>
      <c r="EO79" s="33" t="n"/>
      <c r="EP79" s="33" t="n"/>
      <c r="EQ79" s="33" t="n"/>
      <c r="ER79" s="33" t="n"/>
      <c r="ES79" s="33" t="n"/>
      <c r="ET79" s="33" t="n"/>
      <c r="EU79" s="33" t="n"/>
      <c r="EV79" s="33" t="n"/>
      <c r="EW79" s="33" t="n"/>
      <c r="EX79" s="33" t="n"/>
      <c r="EY79" s="33" t="n"/>
      <c r="EZ79" s="33" t="n"/>
      <c r="FA79" s="33" t="n"/>
      <c r="FB79" s="33" t="n"/>
      <c r="FC79" s="33" t="n"/>
      <c r="FD79" s="33" t="n"/>
      <c r="FE79" s="33" t="n"/>
      <c r="FF79" s="33" t="n"/>
      <c r="FG79" s="33" t="n"/>
      <c r="FH79" s="33" t="n"/>
      <c r="FI79" s="33" t="n"/>
      <c r="FJ79" s="33" t="n"/>
      <c r="FK79" s="33" t="n"/>
      <c r="FL79" s="33" t="n"/>
      <c r="FM79" s="33" t="n"/>
      <c r="FN79" s="33" t="n"/>
      <c r="FO79" s="33" t="n"/>
      <c r="FP79" s="33" t="n"/>
      <c r="FQ79" s="33" t="n"/>
      <c r="FR79" s="33" t="n"/>
      <c r="FS79" s="33" t="n"/>
      <c r="FT79" s="33" t="n"/>
      <c r="FU79" s="33" t="n"/>
      <c r="FV79" s="33" t="n"/>
      <c r="FW79" s="33" t="n"/>
      <c r="FX79" s="33" t="n"/>
      <c r="FY79" s="33" t="n"/>
      <c r="FZ79" s="33" t="n"/>
      <c r="GA79" s="33" t="n"/>
      <c r="GB79" s="33" t="n"/>
      <c r="GC79" s="33" t="n"/>
      <c r="GD79" s="33" t="n"/>
      <c r="GE79" s="33" t="n"/>
      <c r="GF79" s="33" t="n"/>
      <c r="GG79" s="33" t="n"/>
      <c r="GH79" s="33" t="n"/>
      <c r="GI79" s="33" t="n"/>
      <c r="GJ79" s="33" t="n"/>
      <c r="GK79" s="33" t="n"/>
      <c r="GL79" s="33" t="n"/>
      <c r="GM79" s="33" t="n"/>
      <c r="GN79" s="33" t="n"/>
      <c r="GO79" s="33" t="n"/>
      <c r="GP79" s="33" t="n"/>
      <c r="GQ79" s="33" t="n"/>
      <c r="GR79" s="33" t="n"/>
      <c r="GS79" s="33" t="n"/>
      <c r="GT79" s="33" t="n"/>
      <c r="GU79" s="33" t="n"/>
      <c r="GV79" s="33" t="n"/>
      <c r="GW79" s="33" t="n"/>
      <c r="GX79" s="33" t="n"/>
      <c r="GY79" s="33" t="n"/>
      <c r="GZ79" s="33" t="n"/>
      <c r="HA79" s="33" t="n"/>
      <c r="HB79" s="33" t="n"/>
      <c r="HC79" s="33" t="n"/>
      <c r="HD79" s="33" t="n"/>
      <c r="HE79" s="33" t="n"/>
      <c r="HF79" s="33" t="n"/>
      <c r="HG79" s="33" t="n"/>
      <c r="HH79" s="33" t="n"/>
      <c r="HI79" s="33" t="n"/>
      <c r="HJ79" s="33" t="n"/>
      <c r="HK79" s="33" t="n"/>
      <c r="HL79" s="33" t="n"/>
      <c r="HM79" s="33" t="n"/>
      <c r="HN79" s="33" t="n"/>
      <c r="HO79" s="33" t="n"/>
      <c r="HP79" s="33" t="n"/>
      <c r="HQ79" s="33" t="n"/>
      <c r="HR79" s="33" t="n"/>
      <c r="HS79" s="33" t="n"/>
      <c r="HT79" s="33" t="n"/>
      <c r="HU79" s="33" t="n"/>
      <c r="HV79" s="33" t="n"/>
      <c r="HW79" s="33" t="n"/>
      <c r="HX79" s="33" t="n"/>
      <c r="HY79" s="33" t="n"/>
      <c r="HZ79" s="33" t="n"/>
      <c r="IA79" s="33" t="n"/>
      <c r="IB79" s="33" t="n"/>
      <c r="IC79" s="33" t="n"/>
      <c r="ID79" s="33" t="n"/>
      <c r="IE79" s="33" t="n"/>
      <c r="IF79" s="33" t="n"/>
      <c r="IG79" s="33" t="n"/>
      <c r="IH79" s="33" t="n"/>
      <c r="II79" s="33" t="n"/>
      <c r="IJ79" s="33" t="n"/>
      <c r="IK79" s="33" t="n"/>
      <c r="IL79" s="33" t="n"/>
      <c r="IM79" s="33" t="n"/>
      <c r="IN79" s="33" t="n"/>
      <c r="IO79" s="33" t="n"/>
      <c r="IP79" s="33" t="n"/>
      <c r="IQ79" s="33" t="n"/>
      <c r="IR79" s="33" t="n"/>
      <c r="IS79" s="33" t="n"/>
      <c r="IT79" s="33" t="n"/>
      <c r="IU79" s="33" t="n"/>
      <c r="IV79" s="33" t="n"/>
      <c r="IW79" s="33" t="n"/>
      <c r="IX79" s="33" t="n"/>
      <c r="IY79" s="33" t="n"/>
      <c r="IZ79" s="33" t="n"/>
      <c r="JA79" s="33" t="n"/>
      <c r="JB79" s="33" t="n"/>
      <c r="JC79" s="33" t="n"/>
      <c r="JD79" s="33" t="n"/>
      <c r="JE79" s="33" t="n"/>
      <c r="JF79" s="33" t="n"/>
      <c r="JG79" s="33" t="n"/>
      <c r="JH79" s="33" t="n"/>
      <c r="JI79" s="33" t="n"/>
      <c r="JJ79" s="33" t="n"/>
      <c r="JK79" s="33" t="n"/>
      <c r="JL79" s="33" t="n"/>
      <c r="JM79" s="33" t="n"/>
      <c r="JN79" s="33" t="n"/>
      <c r="JO79" s="33" t="n"/>
      <c r="JP79" s="33" t="n"/>
      <c r="JQ79" s="33" t="n"/>
      <c r="JR79" s="33" t="n"/>
      <c r="JS79" s="33" t="n"/>
      <c r="JT79" s="33" t="n"/>
      <c r="JU79" s="33" t="n"/>
      <c r="JV79" s="33" t="n"/>
      <c r="JW79" s="33" t="n"/>
      <c r="JX79" s="33" t="n"/>
      <c r="JY79" s="33" t="n"/>
      <c r="JZ79" s="33" t="n"/>
      <c r="KA79" s="33" t="n"/>
      <c r="KB79" s="33" t="n"/>
      <c r="KC79" s="33" t="n"/>
      <c r="KD79" s="33" t="n"/>
      <c r="KE79" s="33" t="n"/>
      <c r="KF79" s="33" t="n"/>
      <c r="KG79" s="33" t="n"/>
      <c r="KH79" s="33" t="n"/>
      <c r="KI79" s="33" t="n"/>
      <c r="KJ79" s="33" t="n"/>
      <c r="KK79" s="33" t="n"/>
      <c r="KL79" s="33" t="n"/>
      <c r="KM79" s="33" t="n"/>
      <c r="KN79" s="33" t="n"/>
      <c r="KO79" s="33" t="n"/>
      <c r="KP79" s="33" t="n"/>
      <c r="KQ79" s="33" t="n"/>
      <c r="KR79" s="33" t="n"/>
      <c r="KS79" s="33" t="n"/>
      <c r="KT79" s="33" t="n"/>
      <c r="KU79" s="33" t="n"/>
      <c r="KV79" s="33" t="n"/>
      <c r="KW79" s="33" t="n"/>
      <c r="KX79" s="33" t="n"/>
      <c r="KY79" s="33" t="n"/>
      <c r="KZ79" s="33" t="n"/>
      <c r="LA79" s="33" t="n"/>
      <c r="LB79" s="33" t="n"/>
      <c r="LC79" s="33" t="n"/>
      <c r="LD79" s="33" t="n"/>
      <c r="LE79" s="33" t="n"/>
      <c r="LF79" s="33" t="n"/>
      <c r="LG79" s="33" t="n"/>
      <c r="LH79" s="33" t="n"/>
      <c r="LI79" s="33" t="n"/>
      <c r="LJ79" s="33" t="n"/>
      <c r="LK79" s="33" t="n"/>
      <c r="LL79" s="33" t="n"/>
      <c r="LM79" s="33" t="n"/>
      <c r="LN79" s="33" t="n"/>
      <c r="LO79" s="33" t="n"/>
      <c r="LP79" s="33" t="n"/>
      <c r="LQ79" s="33" t="n"/>
      <c r="LR79" s="33" t="n"/>
      <c r="LS79" s="33" t="n"/>
      <c r="LT79" s="33" t="n"/>
      <c r="LU79" s="33" t="n"/>
      <c r="LV79" s="33" t="n"/>
      <c r="LW79" s="33" t="n"/>
      <c r="LX79" s="33" t="n"/>
      <c r="LY79" s="33" t="n"/>
      <c r="LZ79" s="33" t="n"/>
      <c r="MA79" s="33" t="n"/>
      <c r="MB79" s="33" t="n"/>
      <c r="MC79" s="33" t="n"/>
      <c r="MD79" s="33" t="n"/>
      <c r="ME79" s="33" t="n"/>
      <c r="MF79" s="33" t="n"/>
      <c r="MG79" s="33" t="n"/>
      <c r="MH79" s="33" t="n"/>
      <c r="MI79" s="33" t="n"/>
      <c r="MJ79" s="33" t="n"/>
      <c r="MK79" s="33" t="n"/>
      <c r="ML79" s="33" t="n"/>
      <c r="MM79" s="33" t="n"/>
      <c r="MN79" s="33" t="n"/>
      <c r="MO79" s="33" t="n"/>
      <c r="MP79" s="33" t="n"/>
      <c r="MQ79" s="33" t="n"/>
      <c r="MR79" s="33" t="n"/>
      <c r="MS79" s="33" t="n"/>
      <c r="MT79" s="33" t="n"/>
      <c r="MU79" s="33" t="n"/>
      <c r="MV79" s="33" t="n"/>
      <c r="MW79" s="33" t="n"/>
      <c r="MX79" s="33" t="n"/>
      <c r="MY79" s="33" t="n"/>
      <c r="MZ79" s="33" t="n"/>
      <c r="NA79" s="33" t="n"/>
      <c r="NB79" s="33" t="n"/>
      <c r="NC79" s="33" t="n"/>
      <c r="ND79" s="33" t="n"/>
      <c r="NE79" s="33" t="n"/>
      <c r="NF79" s="33" t="n"/>
      <c r="NG79" s="33" t="n"/>
      <c r="NH79" s="33" t="n"/>
      <c r="NI79" s="33" t="n"/>
      <c r="NJ79" s="33" t="n"/>
      <c r="NK79" s="33" t="n"/>
      <c r="NL79" s="33" t="n"/>
      <c r="NM79" s="33" t="n"/>
      <c r="NN79" s="33" t="n"/>
      <c r="NO79" s="33" t="n"/>
      <c r="NP79" s="33" t="n"/>
      <c r="NQ79" s="33" t="n"/>
      <c r="NR79" s="33" t="n"/>
      <c r="NS79" s="33" t="n"/>
      <c r="NT79" s="33" t="n"/>
      <c r="NU79" s="33" t="n"/>
      <c r="NV79" s="33" t="n"/>
      <c r="NW79" s="33" t="n"/>
      <c r="NX79" s="33" t="n"/>
      <c r="NY79" s="33" t="n"/>
      <c r="NZ79" s="33" t="n"/>
      <c r="OA79" s="33" t="n"/>
      <c r="OB79" s="33" t="n"/>
      <c r="OC79" s="33" t="n"/>
      <c r="OD79" s="33" t="n"/>
      <c r="OE79" s="33" t="n"/>
      <c r="OF79" s="33" t="n"/>
      <c r="OG79" s="33" t="n"/>
      <c r="OH79" s="33" t="n"/>
      <c r="OI79" s="33" t="n"/>
      <c r="OJ79" s="33" t="n"/>
      <c r="OK79" s="33" t="n"/>
      <c r="OL79" s="33" t="n"/>
      <c r="OM79" s="33" t="n"/>
      <c r="ON79" s="33" t="n"/>
      <c r="OO79" s="33" t="n"/>
      <c r="OP79" s="33" t="n"/>
      <c r="OQ79" s="33" t="n"/>
      <c r="OR79" s="33" t="n"/>
      <c r="OS79" s="33" t="n"/>
      <c r="OT79" s="33" t="n"/>
      <c r="OU79" s="33" t="n"/>
      <c r="OV79" s="33" t="n"/>
      <c r="OW79" s="33" t="n"/>
      <c r="OX79" s="33" t="n"/>
      <c r="OY79" s="33" t="n"/>
      <c r="OZ79" s="33" t="n"/>
      <c r="PA79" s="33" t="n"/>
      <c r="PB79" s="33" t="n"/>
      <c r="PC79" s="33" t="n"/>
      <c r="PD79" s="33" t="n"/>
      <c r="PE79" s="33" t="n"/>
      <c r="PF79" s="33" t="n"/>
      <c r="PG79" s="33" t="n"/>
      <c r="PH79" s="33" t="n"/>
      <c r="PI79" s="33" t="n"/>
      <c r="PJ79" s="33" t="n"/>
      <c r="PK79" s="33" t="n"/>
      <c r="PL79" s="33" t="n"/>
      <c r="PM79" s="33" t="n"/>
      <c r="PN79" s="33" t="n"/>
      <c r="PO79" s="33" t="n"/>
      <c r="PP79" s="33" t="n"/>
      <c r="PQ79" s="33" t="n"/>
      <c r="PR79" s="33" t="n"/>
      <c r="PS79" s="33" t="n"/>
      <c r="PT79" s="33" t="n"/>
      <c r="PU79" s="33" t="n"/>
      <c r="PV79" s="33" t="n"/>
      <c r="PW79" s="33" t="n"/>
      <c r="PX79" s="33" t="n"/>
      <c r="PY79" s="33" t="n"/>
      <c r="PZ79" s="33" t="n"/>
      <c r="QA79" s="33" t="n"/>
      <c r="QB79" s="33" t="n"/>
      <c r="QC79" s="33" t="n"/>
      <c r="QD79" s="33" t="n"/>
      <c r="QE79" s="33" t="n"/>
      <c r="QF79" s="33" t="n"/>
      <c r="QG79" s="33" t="n"/>
      <c r="QH79" s="33" t="n"/>
      <c r="QI79" s="33" t="n"/>
      <c r="QJ79" s="33" t="n"/>
      <c r="QK79" s="33" t="n"/>
      <c r="QL79" s="33" t="n"/>
      <c r="QM79" s="33" t="n"/>
      <c r="QN79" s="33" t="n"/>
      <c r="QO79" s="33" t="n"/>
      <c r="QP79" s="33" t="n"/>
      <c r="QQ79" s="33" t="n"/>
      <c r="QR79" s="33" t="n"/>
      <c r="QS79" s="33" t="n"/>
      <c r="QT79" s="33" t="n"/>
      <c r="QU79" s="33" t="n"/>
      <c r="QV79" s="33" t="n"/>
      <c r="QW79" s="33" t="n"/>
      <c r="QX79" s="33" t="n"/>
      <c r="QY79" s="33" t="n"/>
      <c r="QZ79" s="33" t="n"/>
      <c r="RA79" s="33" t="n"/>
      <c r="RB79" s="33" t="n"/>
      <c r="RC79" s="33" t="n"/>
      <c r="RD79" s="33" t="n"/>
      <c r="RE79" s="33" t="n"/>
      <c r="RF79" s="33" t="n"/>
      <c r="RG79" s="33" t="n"/>
      <c r="RH79" s="33" t="n"/>
      <c r="RI79" s="33" t="n"/>
      <c r="RJ79" s="33" t="n"/>
      <c r="RK79" s="33" t="n"/>
      <c r="RL79" s="33" t="n"/>
      <c r="RM79" s="33" t="n"/>
      <c r="RN79" s="33" t="n"/>
      <c r="RO79" s="33" t="n"/>
      <c r="RP79" s="33" t="n"/>
      <c r="RQ79" s="33" t="n"/>
      <c r="RR79" s="33" t="n"/>
      <c r="RS79" s="33" t="n"/>
      <c r="RT79" s="33" t="n"/>
      <c r="RU79" s="33" t="n"/>
      <c r="RV79" s="33" t="n"/>
      <c r="RW79" s="33" t="n"/>
    </row>
    <row r="80" ht="13.05" customHeight="1">
      <c r="E80" s="21" t="inlineStr">
        <is>
          <t>Total Arrangement Fees</t>
        </is>
      </c>
      <c r="F80" s="29" t="n"/>
      <c r="G80" s="29" t="inlineStr">
        <is>
          <t>kEUR</t>
        </is>
      </c>
      <c r="H80" s="29" t="n"/>
      <c r="I80" s="29" t="n"/>
      <c r="J80" s="32" t="n"/>
      <c r="K80" s="29" t="n"/>
      <c r="L80" s="33" t="n"/>
      <c r="M80" s="33" t="n"/>
      <c r="N80" s="33" t="n"/>
      <c r="O80" s="33" t="n"/>
      <c r="P80" s="33" t="n"/>
      <c r="Q80" s="33" t="n"/>
      <c r="R80" s="33" t="n"/>
      <c r="S80" s="33" t="n"/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n"/>
      <c r="AI80" s="33" t="n"/>
      <c r="AJ80" s="33" t="n"/>
      <c r="AK80" s="33" t="n"/>
      <c r="AL80" s="33" t="n"/>
      <c r="AM80" s="33" t="n"/>
      <c r="AN80" s="33" t="n"/>
      <c r="AO80" s="33" t="n"/>
      <c r="AP80" s="33" t="n"/>
      <c r="AQ80" s="33" t="n"/>
      <c r="AR80" s="33" t="n"/>
      <c r="AS80" s="33" t="n"/>
      <c r="AT80" s="33" t="n"/>
      <c r="AU80" s="33" t="n"/>
      <c r="AV80" s="33" t="n"/>
      <c r="AW80" s="33" t="n"/>
      <c r="AX80" s="33" t="n"/>
      <c r="AY80" s="33" t="n"/>
      <c r="AZ80" s="33" t="n"/>
      <c r="BA80" s="33" t="n"/>
      <c r="BB80" s="33" t="n"/>
      <c r="BC80" s="33" t="n"/>
      <c r="BD80" s="33" t="n"/>
      <c r="BE80" s="33" t="n"/>
      <c r="BF80" s="33" t="n"/>
      <c r="BG80" s="33" t="n"/>
      <c r="BH80" s="33" t="n"/>
      <c r="BI80" s="33" t="n"/>
      <c r="BJ80" s="33" t="n"/>
      <c r="BK80" s="33" t="n"/>
      <c r="BL80" s="33" t="n"/>
      <c r="BM80" s="33" t="n"/>
      <c r="BN80" s="33" t="n"/>
      <c r="BO80" s="33" t="n"/>
      <c r="BP80" s="33" t="n"/>
      <c r="BQ80" s="33" t="n"/>
      <c r="BR80" s="33" t="n"/>
      <c r="BS80" s="33" t="n"/>
      <c r="BT80" s="33" t="n"/>
      <c r="BU80" s="33" t="n"/>
      <c r="BV80" s="33" t="n"/>
      <c r="BW80" s="33" t="n"/>
      <c r="BX80" s="33" t="n"/>
      <c r="BY80" s="33" t="n"/>
      <c r="BZ80" s="33" t="n"/>
      <c r="CA80" s="33" t="n"/>
      <c r="CB80" s="33" t="n"/>
      <c r="CC80" s="33" t="n"/>
      <c r="CD80" s="33" t="n"/>
      <c r="CE80" s="33" t="n"/>
      <c r="CF80" s="33" t="n"/>
      <c r="CG80" s="33" t="n"/>
      <c r="CH80" s="33" t="n"/>
      <c r="CI80" s="33" t="n"/>
      <c r="CJ80" s="33" t="n"/>
      <c r="CK80" s="33" t="n"/>
      <c r="CL80" s="33" t="n"/>
      <c r="CM80" s="33" t="n"/>
      <c r="CN80" s="33" t="n"/>
      <c r="CO80" s="33" t="n"/>
      <c r="CP80" s="33" t="n"/>
      <c r="CQ80" s="33" t="n"/>
      <c r="CR80" s="33" t="n"/>
      <c r="CS80" s="33" t="n"/>
      <c r="CT80" s="33" t="n"/>
      <c r="CU80" s="33" t="n"/>
      <c r="CV80" s="33" t="n"/>
      <c r="CW80" s="33" t="n"/>
      <c r="CX80" s="33" t="n"/>
      <c r="CY80" s="33" t="n"/>
      <c r="CZ80" s="33" t="n"/>
      <c r="DA80" s="33" t="n"/>
      <c r="DB80" s="33" t="n"/>
      <c r="DC80" s="33" t="n"/>
      <c r="DD80" s="33" t="n"/>
      <c r="DE80" s="33" t="n"/>
      <c r="DF80" s="33" t="n"/>
      <c r="DG80" s="33" t="n"/>
      <c r="DH80" s="33" t="n"/>
      <c r="DI80" s="33" t="n"/>
      <c r="DJ80" s="33" t="n"/>
      <c r="DK80" s="33" t="n"/>
      <c r="DL80" s="33" t="n"/>
      <c r="DM80" s="33" t="n"/>
      <c r="DN80" s="33" t="n"/>
      <c r="DO80" s="33" t="n"/>
      <c r="DP80" s="33" t="n"/>
      <c r="DQ80" s="33" t="n"/>
      <c r="DR80" s="33" t="n"/>
      <c r="DS80" s="33" t="n"/>
      <c r="DT80" s="33" t="n"/>
      <c r="DU80" s="33" t="n"/>
      <c r="DV80" s="33" t="n"/>
      <c r="DW80" s="33" t="n"/>
      <c r="DX80" s="33" t="n"/>
      <c r="DY80" s="33" t="n"/>
      <c r="DZ80" s="33" t="n"/>
      <c r="EA80" s="33" t="n"/>
      <c r="EB80" s="33" t="n"/>
      <c r="EC80" s="33" t="n"/>
      <c r="ED80" s="33" t="n"/>
      <c r="EE80" s="33" t="n"/>
      <c r="EF80" s="33" t="n"/>
      <c r="EG80" s="33" t="n"/>
      <c r="EH80" s="33" t="n"/>
      <c r="EI80" s="33" t="n"/>
      <c r="EJ80" s="33" t="n"/>
      <c r="EK80" s="33" t="n"/>
      <c r="EL80" s="33" t="n"/>
      <c r="EM80" s="33" t="n"/>
      <c r="EN80" s="33" t="n"/>
      <c r="EO80" s="33" t="n"/>
      <c r="EP80" s="33" t="n"/>
      <c r="EQ80" s="33" t="n"/>
      <c r="ER80" s="33" t="n"/>
      <c r="ES80" s="33" t="n"/>
      <c r="ET80" s="33" t="n"/>
      <c r="EU80" s="33" t="n"/>
      <c r="EV80" s="33" t="n"/>
      <c r="EW80" s="33" t="n"/>
      <c r="EX80" s="33" t="n"/>
      <c r="EY80" s="33" t="n"/>
      <c r="EZ80" s="33" t="n"/>
      <c r="FA80" s="33" t="n"/>
      <c r="FB80" s="33" t="n"/>
      <c r="FC80" s="33" t="n"/>
      <c r="FD80" s="33" t="n"/>
      <c r="FE80" s="33" t="n"/>
      <c r="FF80" s="33" t="n"/>
      <c r="FG80" s="33" t="n"/>
      <c r="FH80" s="33" t="n"/>
      <c r="FI80" s="33" t="n"/>
      <c r="FJ80" s="33" t="n"/>
      <c r="FK80" s="33" t="n"/>
      <c r="FL80" s="33" t="n"/>
      <c r="FM80" s="33" t="n"/>
      <c r="FN80" s="33" t="n"/>
      <c r="FO80" s="33" t="n"/>
      <c r="FP80" s="33" t="n"/>
      <c r="FQ80" s="33" t="n"/>
      <c r="FR80" s="33" t="n"/>
      <c r="FS80" s="33" t="n"/>
      <c r="FT80" s="33" t="n"/>
      <c r="FU80" s="33" t="n"/>
      <c r="FV80" s="33" t="n"/>
      <c r="FW80" s="33" t="n"/>
      <c r="FX80" s="33" t="n"/>
      <c r="FY80" s="33" t="n"/>
      <c r="FZ80" s="33" t="n"/>
      <c r="GA80" s="33" t="n"/>
      <c r="GB80" s="33" t="n"/>
      <c r="GC80" s="33" t="n"/>
      <c r="GD80" s="33" t="n"/>
      <c r="GE80" s="33" t="n"/>
      <c r="GF80" s="33" t="n"/>
      <c r="GG80" s="33" t="n"/>
      <c r="GH80" s="33" t="n"/>
      <c r="GI80" s="33" t="n"/>
      <c r="GJ80" s="33" t="n"/>
      <c r="GK80" s="33" t="n"/>
      <c r="GL80" s="33" t="n"/>
      <c r="GM80" s="33" t="n"/>
      <c r="GN80" s="33" t="n"/>
      <c r="GO80" s="33" t="n"/>
      <c r="GP80" s="33" t="n"/>
      <c r="GQ80" s="33" t="n"/>
      <c r="GR80" s="33" t="n"/>
      <c r="GS80" s="33" t="n"/>
      <c r="GT80" s="33" t="n"/>
      <c r="GU80" s="33" t="n"/>
      <c r="GV80" s="33" t="n"/>
      <c r="GW80" s="33" t="n"/>
      <c r="GX80" s="33" t="n"/>
      <c r="GY80" s="33" t="n"/>
      <c r="GZ80" s="33" t="n"/>
      <c r="HA80" s="33" t="n"/>
      <c r="HB80" s="33" t="n"/>
      <c r="HC80" s="33" t="n"/>
      <c r="HD80" s="33" t="n"/>
      <c r="HE80" s="33" t="n"/>
      <c r="HF80" s="33" t="n"/>
      <c r="HG80" s="33" t="n"/>
      <c r="HH80" s="33" t="n"/>
      <c r="HI80" s="33" t="n"/>
      <c r="HJ80" s="33" t="n"/>
      <c r="HK80" s="33" t="n"/>
      <c r="HL80" s="33" t="n"/>
      <c r="HM80" s="33" t="n"/>
      <c r="HN80" s="33" t="n"/>
      <c r="HO80" s="33" t="n"/>
      <c r="HP80" s="33" t="n"/>
      <c r="HQ80" s="33" t="n"/>
      <c r="HR80" s="33" t="n"/>
      <c r="HS80" s="33" t="n"/>
      <c r="HT80" s="33" t="n"/>
      <c r="HU80" s="33" t="n"/>
      <c r="HV80" s="33" t="n"/>
      <c r="HW80" s="33" t="n"/>
      <c r="HX80" s="33" t="n"/>
      <c r="HY80" s="33" t="n"/>
      <c r="HZ80" s="33" t="n"/>
      <c r="IA80" s="33" t="n"/>
      <c r="IB80" s="33" t="n"/>
      <c r="IC80" s="33" t="n"/>
      <c r="ID80" s="33" t="n"/>
      <c r="IE80" s="33" t="n"/>
      <c r="IF80" s="33" t="n"/>
      <c r="IG80" s="33" t="n"/>
      <c r="IH80" s="33" t="n"/>
      <c r="II80" s="33" t="n"/>
      <c r="IJ80" s="33" t="n"/>
      <c r="IK80" s="33" t="n"/>
      <c r="IL80" s="33" t="n"/>
      <c r="IM80" s="33" t="n"/>
      <c r="IN80" s="33" t="n"/>
      <c r="IO80" s="33" t="n"/>
      <c r="IP80" s="33" t="n"/>
      <c r="IQ80" s="33" t="n"/>
      <c r="IR80" s="33" t="n"/>
      <c r="IS80" s="33" t="n"/>
      <c r="IT80" s="33" t="n"/>
      <c r="IU80" s="33" t="n"/>
      <c r="IV80" s="33" t="n"/>
      <c r="IW80" s="33" t="n"/>
      <c r="IX80" s="33" t="n"/>
      <c r="IY80" s="33" t="n"/>
      <c r="IZ80" s="33" t="n"/>
      <c r="JA80" s="33" t="n"/>
      <c r="JB80" s="33" t="n"/>
      <c r="JC80" s="33" t="n"/>
      <c r="JD80" s="33" t="n"/>
      <c r="JE80" s="33" t="n"/>
      <c r="JF80" s="33" t="n"/>
      <c r="JG80" s="33" t="n"/>
      <c r="JH80" s="33" t="n"/>
      <c r="JI80" s="33" t="n"/>
      <c r="JJ80" s="33" t="n"/>
      <c r="JK80" s="33" t="n"/>
      <c r="JL80" s="33" t="n"/>
      <c r="JM80" s="33" t="n"/>
      <c r="JN80" s="33" t="n"/>
      <c r="JO80" s="33" t="n"/>
      <c r="JP80" s="33" t="n"/>
      <c r="JQ80" s="33" t="n"/>
      <c r="JR80" s="33" t="n"/>
      <c r="JS80" s="33" t="n"/>
      <c r="JT80" s="33" t="n"/>
      <c r="JU80" s="33" t="n"/>
      <c r="JV80" s="33" t="n"/>
      <c r="JW80" s="33" t="n"/>
      <c r="JX80" s="33" t="n"/>
      <c r="JY80" s="33" t="n"/>
      <c r="JZ80" s="33" t="n"/>
      <c r="KA80" s="33" t="n"/>
      <c r="KB80" s="33" t="n"/>
      <c r="KC80" s="33" t="n"/>
      <c r="KD80" s="33" t="n"/>
      <c r="KE80" s="33" t="n"/>
      <c r="KF80" s="33" t="n"/>
      <c r="KG80" s="33" t="n"/>
      <c r="KH80" s="33" t="n"/>
      <c r="KI80" s="33" t="n"/>
      <c r="KJ80" s="33" t="n"/>
      <c r="KK80" s="33" t="n"/>
      <c r="KL80" s="33" t="n"/>
      <c r="KM80" s="33" t="n"/>
      <c r="KN80" s="33" t="n"/>
      <c r="KO80" s="33" t="n"/>
      <c r="KP80" s="33" t="n"/>
      <c r="KQ80" s="33" t="n"/>
      <c r="KR80" s="33" t="n"/>
      <c r="KS80" s="33" t="n"/>
      <c r="KT80" s="33" t="n"/>
      <c r="KU80" s="33" t="n"/>
      <c r="KV80" s="33" t="n"/>
      <c r="KW80" s="33" t="n"/>
      <c r="KX80" s="33" t="n"/>
      <c r="KY80" s="33" t="n"/>
      <c r="KZ80" s="33" t="n"/>
      <c r="LA80" s="33" t="n"/>
      <c r="LB80" s="33" t="n"/>
      <c r="LC80" s="33" t="n"/>
      <c r="LD80" s="33" t="n"/>
      <c r="LE80" s="33" t="n"/>
      <c r="LF80" s="33" t="n"/>
      <c r="LG80" s="33" t="n"/>
      <c r="LH80" s="33" t="n"/>
      <c r="LI80" s="33" t="n"/>
      <c r="LJ80" s="33" t="n"/>
      <c r="LK80" s="33" t="n"/>
      <c r="LL80" s="33" t="n"/>
      <c r="LM80" s="33" t="n"/>
      <c r="LN80" s="33" t="n"/>
      <c r="LO80" s="33" t="n"/>
      <c r="LP80" s="33" t="n"/>
      <c r="LQ80" s="33" t="n"/>
      <c r="LR80" s="33" t="n"/>
      <c r="LS80" s="33" t="n"/>
      <c r="LT80" s="33" t="n"/>
      <c r="LU80" s="33" t="n"/>
      <c r="LV80" s="33" t="n"/>
      <c r="LW80" s="33" t="n"/>
      <c r="LX80" s="33" t="n"/>
      <c r="LY80" s="33" t="n"/>
      <c r="LZ80" s="33" t="n"/>
      <c r="MA80" s="33" t="n"/>
      <c r="MB80" s="33" t="n"/>
      <c r="MC80" s="33" t="n"/>
      <c r="MD80" s="33" t="n"/>
      <c r="ME80" s="33" t="n"/>
      <c r="MF80" s="33" t="n"/>
      <c r="MG80" s="33" t="n"/>
      <c r="MH80" s="33" t="n"/>
      <c r="MI80" s="33" t="n"/>
      <c r="MJ80" s="33" t="n"/>
      <c r="MK80" s="33" t="n"/>
      <c r="ML80" s="33" t="n"/>
      <c r="MM80" s="33" t="n"/>
      <c r="MN80" s="33" t="n"/>
      <c r="MO80" s="33" t="n"/>
      <c r="MP80" s="33" t="n"/>
      <c r="MQ80" s="33" t="n"/>
      <c r="MR80" s="33" t="n"/>
      <c r="MS80" s="33" t="n"/>
      <c r="MT80" s="33" t="n"/>
      <c r="MU80" s="33" t="n"/>
      <c r="MV80" s="33" t="n"/>
      <c r="MW80" s="33" t="n"/>
      <c r="MX80" s="33" t="n"/>
      <c r="MY80" s="33" t="n"/>
      <c r="MZ80" s="33" t="n"/>
      <c r="NA80" s="33" t="n"/>
      <c r="NB80" s="33" t="n"/>
      <c r="NC80" s="33" t="n"/>
      <c r="ND80" s="33" t="n"/>
      <c r="NE80" s="33" t="n"/>
      <c r="NF80" s="33" t="n"/>
      <c r="NG80" s="33" t="n"/>
      <c r="NH80" s="33" t="n"/>
      <c r="NI80" s="33" t="n"/>
      <c r="NJ80" s="33" t="n"/>
      <c r="NK80" s="33" t="n"/>
      <c r="NL80" s="33" t="n"/>
      <c r="NM80" s="33" t="n"/>
      <c r="NN80" s="33" t="n"/>
      <c r="NO80" s="33" t="n"/>
      <c r="NP80" s="33" t="n"/>
      <c r="NQ80" s="33" t="n"/>
      <c r="NR80" s="33" t="n"/>
      <c r="NS80" s="33" t="n"/>
      <c r="NT80" s="33" t="n"/>
      <c r="NU80" s="33" t="n"/>
      <c r="NV80" s="33" t="n"/>
      <c r="NW80" s="33" t="n"/>
      <c r="NX80" s="33" t="n"/>
      <c r="NY80" s="33" t="n"/>
      <c r="NZ80" s="33" t="n"/>
      <c r="OA80" s="33" t="n"/>
      <c r="OB80" s="33" t="n"/>
      <c r="OC80" s="33" t="n"/>
      <c r="OD80" s="33" t="n"/>
      <c r="OE80" s="33" t="n"/>
      <c r="OF80" s="33" t="n"/>
      <c r="OG80" s="33" t="n"/>
      <c r="OH80" s="33" t="n"/>
      <c r="OI80" s="33" t="n"/>
      <c r="OJ80" s="33" t="n"/>
      <c r="OK80" s="33" t="n"/>
      <c r="OL80" s="33" t="n"/>
      <c r="OM80" s="33" t="n"/>
      <c r="ON80" s="33" t="n"/>
      <c r="OO80" s="33" t="n"/>
      <c r="OP80" s="33" t="n"/>
      <c r="OQ80" s="33" t="n"/>
      <c r="OR80" s="33" t="n"/>
      <c r="OS80" s="33" t="n"/>
      <c r="OT80" s="33" t="n"/>
      <c r="OU80" s="33" t="n"/>
      <c r="OV80" s="33" t="n"/>
      <c r="OW80" s="33" t="n"/>
      <c r="OX80" s="33" t="n"/>
      <c r="OY80" s="33" t="n"/>
      <c r="OZ80" s="33" t="n"/>
      <c r="PA80" s="33" t="n"/>
      <c r="PB80" s="33" t="n"/>
      <c r="PC80" s="33" t="n"/>
      <c r="PD80" s="33" t="n"/>
      <c r="PE80" s="33" t="n"/>
      <c r="PF80" s="33" t="n"/>
      <c r="PG80" s="33" t="n"/>
      <c r="PH80" s="33" t="n"/>
      <c r="PI80" s="33" t="n"/>
      <c r="PJ80" s="33" t="n"/>
      <c r="PK80" s="33" t="n"/>
      <c r="PL80" s="33" t="n"/>
      <c r="PM80" s="33" t="n"/>
      <c r="PN80" s="33" t="n"/>
      <c r="PO80" s="33" t="n"/>
      <c r="PP80" s="33" t="n"/>
      <c r="PQ80" s="33" t="n"/>
      <c r="PR80" s="33" t="n"/>
      <c r="PS80" s="33" t="n"/>
      <c r="PT80" s="33" t="n"/>
      <c r="PU80" s="33" t="n"/>
      <c r="PV80" s="33" t="n"/>
      <c r="PW80" s="33" t="n"/>
      <c r="PX80" s="33" t="n"/>
      <c r="PY80" s="33" t="n"/>
      <c r="PZ80" s="33" t="n"/>
      <c r="QA80" s="33" t="n"/>
      <c r="QB80" s="33" t="n"/>
      <c r="QC80" s="33" t="n"/>
      <c r="QD80" s="33" t="n"/>
      <c r="QE80" s="33" t="n"/>
      <c r="QF80" s="33" t="n"/>
      <c r="QG80" s="33" t="n"/>
      <c r="QH80" s="33" t="n"/>
      <c r="QI80" s="33" t="n"/>
      <c r="QJ80" s="33" t="n"/>
      <c r="QK80" s="33" t="n"/>
      <c r="QL80" s="33" t="n"/>
      <c r="QM80" s="33" t="n"/>
      <c r="QN80" s="33" t="n"/>
      <c r="QO80" s="33" t="n"/>
      <c r="QP80" s="33" t="n"/>
      <c r="QQ80" s="33" t="n"/>
      <c r="QR80" s="33" t="n"/>
      <c r="QS80" s="33" t="n"/>
      <c r="QT80" s="33" t="n"/>
      <c r="QU80" s="33" t="n"/>
      <c r="QV80" s="33" t="n"/>
      <c r="QW80" s="33" t="n"/>
      <c r="QX80" s="33" t="n"/>
      <c r="QY80" s="33" t="n"/>
      <c r="QZ80" s="33" t="n"/>
      <c r="RA80" s="33" t="n"/>
      <c r="RB80" s="33" t="n"/>
      <c r="RC80" s="33" t="n"/>
      <c r="RD80" s="33" t="n"/>
      <c r="RE80" s="33" t="n"/>
      <c r="RF80" s="33" t="n"/>
      <c r="RG80" s="33" t="n"/>
      <c r="RH80" s="33" t="n"/>
      <c r="RI80" s="33" t="n"/>
      <c r="RJ80" s="33" t="n"/>
      <c r="RK80" s="33" t="n"/>
      <c r="RL80" s="33" t="n"/>
      <c r="RM80" s="33" t="n"/>
      <c r="RN80" s="33" t="n"/>
      <c r="RO80" s="33" t="n"/>
      <c r="RP80" s="33" t="n"/>
      <c r="RQ80" s="33" t="n"/>
      <c r="RR80" s="33" t="n"/>
      <c r="RS80" s="33" t="n"/>
      <c r="RT80" s="33" t="n"/>
      <c r="RU80" s="33" t="n"/>
      <c r="RV80" s="33" t="n"/>
      <c r="RW80" s="33" t="n"/>
    </row>
    <row r="81" ht="5.25" customHeight="1"/>
    <row r="82" ht="13.05" customHeight="1">
      <c r="E82" s="21" t="inlineStr">
        <is>
          <t>Opening Balance</t>
        </is>
      </c>
      <c r="F82" s="29" t="n"/>
      <c r="G82" s="29" t="inlineStr">
        <is>
          <t>kEUR</t>
        </is>
      </c>
      <c r="H82" s="29" t="n"/>
      <c r="I82" s="29" t="n"/>
      <c r="J82" s="32" t="n"/>
      <c r="K82" s="29" t="n"/>
      <c r="L82" s="33" t="n"/>
      <c r="M82" s="33" t="n"/>
      <c r="N82" s="33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n"/>
      <c r="AF82" s="33" t="n"/>
      <c r="AG82" s="33" t="n"/>
      <c r="AH82" s="33" t="n"/>
      <c r="AI82" s="33" t="n"/>
      <c r="AJ82" s="33" t="n"/>
      <c r="AK82" s="33" t="n"/>
      <c r="AL82" s="33" t="n"/>
      <c r="AM82" s="33" t="n"/>
      <c r="AN82" s="33" t="n"/>
      <c r="AO82" s="33" t="n"/>
      <c r="AP82" s="33" t="n"/>
      <c r="AQ82" s="33" t="n"/>
      <c r="AR82" s="33" t="n"/>
      <c r="AS82" s="33" t="n"/>
      <c r="AT82" s="33" t="n"/>
      <c r="AU82" s="33" t="n"/>
      <c r="AV82" s="33" t="n"/>
      <c r="AW82" s="33" t="n"/>
      <c r="AX82" s="33" t="n"/>
      <c r="AY82" s="33" t="n"/>
      <c r="AZ82" s="33" t="n"/>
      <c r="BA82" s="33" t="n"/>
      <c r="BB82" s="33" t="n"/>
      <c r="BC82" s="33" t="n"/>
      <c r="BD82" s="33" t="n"/>
      <c r="BE82" s="33" t="n"/>
      <c r="BF82" s="33" t="n"/>
      <c r="BG82" s="33" t="n"/>
      <c r="BH82" s="33" t="n"/>
      <c r="BI82" s="33" t="n"/>
      <c r="BJ82" s="33" t="n"/>
      <c r="BK82" s="33" t="n"/>
      <c r="BL82" s="33" t="n"/>
      <c r="BM82" s="33" t="n"/>
      <c r="BN82" s="33" t="n"/>
      <c r="BO82" s="33" t="n"/>
      <c r="BP82" s="33" t="n"/>
      <c r="BQ82" s="33" t="n"/>
      <c r="BR82" s="33" t="n"/>
      <c r="BS82" s="33" t="n"/>
      <c r="BT82" s="33" t="n"/>
      <c r="BU82" s="33" t="n"/>
      <c r="BV82" s="33" t="n"/>
      <c r="BW82" s="33" t="n"/>
      <c r="BX82" s="33" t="n"/>
      <c r="BY82" s="33" t="n"/>
      <c r="BZ82" s="33" t="n"/>
      <c r="CA82" s="33" t="n"/>
      <c r="CB82" s="33" t="n"/>
      <c r="CC82" s="33" t="n"/>
      <c r="CD82" s="33" t="n"/>
      <c r="CE82" s="33" t="n"/>
      <c r="CF82" s="33" t="n"/>
      <c r="CG82" s="33" t="n"/>
      <c r="CH82" s="33" t="n"/>
      <c r="CI82" s="33" t="n"/>
      <c r="CJ82" s="33" t="n"/>
      <c r="CK82" s="33" t="n"/>
      <c r="CL82" s="33" t="n"/>
      <c r="CM82" s="33" t="n"/>
      <c r="CN82" s="33" t="n"/>
      <c r="CO82" s="33" t="n"/>
      <c r="CP82" s="33" t="n"/>
      <c r="CQ82" s="33" t="n"/>
      <c r="CR82" s="33" t="n"/>
      <c r="CS82" s="33" t="n"/>
      <c r="CT82" s="33" t="n"/>
      <c r="CU82" s="33" t="n"/>
      <c r="CV82" s="33" t="n"/>
      <c r="CW82" s="33" t="n"/>
      <c r="CX82" s="33" t="n"/>
      <c r="CY82" s="33" t="n"/>
      <c r="CZ82" s="33" t="n"/>
      <c r="DA82" s="33" t="n"/>
      <c r="DB82" s="33" t="n"/>
      <c r="DC82" s="33" t="n"/>
      <c r="DD82" s="33" t="n"/>
      <c r="DE82" s="33" t="n"/>
      <c r="DF82" s="33" t="n"/>
      <c r="DG82" s="33" t="n"/>
      <c r="DH82" s="33" t="n"/>
      <c r="DI82" s="33" t="n"/>
      <c r="DJ82" s="33" t="n"/>
      <c r="DK82" s="33" t="n"/>
      <c r="DL82" s="33" t="n"/>
      <c r="DM82" s="33" t="n"/>
      <c r="DN82" s="33" t="n"/>
      <c r="DO82" s="33" t="n"/>
      <c r="DP82" s="33" t="n"/>
      <c r="DQ82" s="33" t="n"/>
      <c r="DR82" s="33" t="n"/>
      <c r="DS82" s="33" t="n"/>
      <c r="DT82" s="33" t="n"/>
      <c r="DU82" s="33" t="n"/>
      <c r="DV82" s="33" t="n"/>
      <c r="DW82" s="33" t="n"/>
      <c r="DX82" s="33" t="n"/>
      <c r="DY82" s="33" t="n"/>
      <c r="DZ82" s="33" t="n"/>
      <c r="EA82" s="33" t="n"/>
      <c r="EB82" s="33" t="n"/>
      <c r="EC82" s="33" t="n"/>
      <c r="ED82" s="33" t="n"/>
      <c r="EE82" s="33" t="n"/>
      <c r="EF82" s="33" t="n"/>
      <c r="EG82" s="33" t="n"/>
      <c r="EH82" s="33" t="n"/>
      <c r="EI82" s="33" t="n"/>
      <c r="EJ82" s="33" t="n"/>
      <c r="EK82" s="33" t="n"/>
      <c r="EL82" s="33" t="n"/>
      <c r="EM82" s="33" t="n"/>
      <c r="EN82" s="33" t="n"/>
      <c r="EO82" s="33" t="n"/>
      <c r="EP82" s="33" t="n"/>
      <c r="EQ82" s="33" t="n"/>
      <c r="ER82" s="33" t="n"/>
      <c r="ES82" s="33" t="n"/>
      <c r="ET82" s="33" t="n"/>
      <c r="EU82" s="33" t="n"/>
      <c r="EV82" s="33" t="n"/>
      <c r="EW82" s="33" t="n"/>
      <c r="EX82" s="33" t="n"/>
      <c r="EY82" s="33" t="n"/>
      <c r="EZ82" s="33" t="n"/>
      <c r="FA82" s="33" t="n"/>
      <c r="FB82" s="33" t="n"/>
      <c r="FC82" s="33" t="n"/>
      <c r="FD82" s="33" t="n"/>
      <c r="FE82" s="33" t="n"/>
      <c r="FF82" s="33" t="n"/>
      <c r="FG82" s="33" t="n"/>
      <c r="FH82" s="33" t="n"/>
      <c r="FI82" s="33" t="n"/>
      <c r="FJ82" s="33" t="n"/>
      <c r="FK82" s="33" t="n"/>
      <c r="FL82" s="33" t="n"/>
      <c r="FM82" s="33" t="n"/>
      <c r="FN82" s="33" t="n"/>
      <c r="FO82" s="33" t="n"/>
      <c r="FP82" s="33" t="n"/>
      <c r="FQ82" s="33" t="n"/>
      <c r="FR82" s="33" t="n"/>
      <c r="FS82" s="33" t="n"/>
      <c r="FT82" s="33" t="n"/>
      <c r="FU82" s="33" t="n"/>
      <c r="FV82" s="33" t="n"/>
      <c r="FW82" s="33" t="n"/>
      <c r="FX82" s="33" t="n"/>
      <c r="FY82" s="33" t="n"/>
      <c r="FZ82" s="33" t="n"/>
      <c r="GA82" s="33" t="n"/>
      <c r="GB82" s="33" t="n"/>
      <c r="GC82" s="33" t="n"/>
      <c r="GD82" s="33" t="n"/>
      <c r="GE82" s="33" t="n"/>
      <c r="GF82" s="33" t="n"/>
      <c r="GG82" s="33" t="n"/>
      <c r="GH82" s="33" t="n"/>
      <c r="GI82" s="33" t="n"/>
      <c r="GJ82" s="33" t="n"/>
      <c r="GK82" s="33" t="n"/>
      <c r="GL82" s="33" t="n"/>
      <c r="GM82" s="33" t="n"/>
      <c r="GN82" s="33" t="n"/>
      <c r="GO82" s="33" t="n"/>
      <c r="GP82" s="33" t="n"/>
      <c r="GQ82" s="33" t="n"/>
      <c r="GR82" s="33" t="n"/>
      <c r="GS82" s="33" t="n"/>
      <c r="GT82" s="33" t="n"/>
      <c r="GU82" s="33" t="n"/>
      <c r="GV82" s="33" t="n"/>
      <c r="GW82" s="33" t="n"/>
      <c r="GX82" s="33" t="n"/>
      <c r="GY82" s="33" t="n"/>
      <c r="GZ82" s="33" t="n"/>
      <c r="HA82" s="33" t="n"/>
      <c r="HB82" s="33" t="n"/>
      <c r="HC82" s="33" t="n"/>
      <c r="HD82" s="33" t="n"/>
      <c r="HE82" s="33" t="n"/>
      <c r="HF82" s="33" t="n"/>
      <c r="HG82" s="33" t="n"/>
      <c r="HH82" s="33" t="n"/>
      <c r="HI82" s="33" t="n"/>
      <c r="HJ82" s="33" t="n"/>
      <c r="HK82" s="33" t="n"/>
      <c r="HL82" s="33" t="n"/>
      <c r="HM82" s="33" t="n"/>
      <c r="HN82" s="33" t="n"/>
      <c r="HO82" s="33" t="n"/>
      <c r="HP82" s="33" t="n"/>
      <c r="HQ82" s="33" t="n"/>
      <c r="HR82" s="33" t="n"/>
      <c r="HS82" s="33" t="n"/>
      <c r="HT82" s="33" t="n"/>
      <c r="HU82" s="33" t="n"/>
      <c r="HV82" s="33" t="n"/>
      <c r="HW82" s="33" t="n"/>
      <c r="HX82" s="33" t="n"/>
      <c r="HY82" s="33" t="n"/>
      <c r="HZ82" s="33" t="n"/>
      <c r="IA82" s="33" t="n"/>
      <c r="IB82" s="33" t="n"/>
      <c r="IC82" s="33" t="n"/>
      <c r="ID82" s="33" t="n"/>
      <c r="IE82" s="33" t="n"/>
      <c r="IF82" s="33" t="n"/>
      <c r="IG82" s="33" t="n"/>
      <c r="IH82" s="33" t="n"/>
      <c r="II82" s="33" t="n"/>
      <c r="IJ82" s="33" t="n"/>
      <c r="IK82" s="33" t="n"/>
      <c r="IL82" s="33" t="n"/>
      <c r="IM82" s="33" t="n"/>
      <c r="IN82" s="33" t="n"/>
      <c r="IO82" s="33" t="n"/>
      <c r="IP82" s="33" t="n"/>
      <c r="IQ82" s="33" t="n"/>
      <c r="IR82" s="33" t="n"/>
      <c r="IS82" s="33" t="n"/>
      <c r="IT82" s="33" t="n"/>
      <c r="IU82" s="33" t="n"/>
      <c r="IV82" s="33" t="n"/>
      <c r="IW82" s="33" t="n"/>
      <c r="IX82" s="33" t="n"/>
      <c r="IY82" s="33" t="n"/>
      <c r="IZ82" s="33" t="n"/>
      <c r="JA82" s="33" t="n"/>
      <c r="JB82" s="33" t="n"/>
      <c r="JC82" s="33" t="n"/>
      <c r="JD82" s="33" t="n"/>
      <c r="JE82" s="33" t="n"/>
      <c r="JF82" s="33" t="n"/>
      <c r="JG82" s="33" t="n"/>
      <c r="JH82" s="33" t="n"/>
      <c r="JI82" s="33" t="n"/>
      <c r="JJ82" s="33" t="n"/>
      <c r="JK82" s="33" t="n"/>
      <c r="JL82" s="33" t="n"/>
      <c r="JM82" s="33" t="n"/>
      <c r="JN82" s="33" t="n"/>
      <c r="JO82" s="33" t="n"/>
      <c r="JP82" s="33" t="n"/>
      <c r="JQ82" s="33" t="n"/>
      <c r="JR82" s="33" t="n"/>
      <c r="JS82" s="33" t="n"/>
      <c r="JT82" s="33" t="n"/>
      <c r="JU82" s="33" t="n"/>
      <c r="JV82" s="33" t="n"/>
      <c r="JW82" s="33" t="n"/>
      <c r="JX82" s="33" t="n"/>
      <c r="JY82" s="33" t="n"/>
      <c r="JZ82" s="33" t="n"/>
      <c r="KA82" s="33" t="n"/>
      <c r="KB82" s="33" t="n"/>
      <c r="KC82" s="33" t="n"/>
      <c r="KD82" s="33" t="n"/>
      <c r="KE82" s="33" t="n"/>
      <c r="KF82" s="33" t="n"/>
      <c r="KG82" s="33" t="n"/>
      <c r="KH82" s="33" t="n"/>
      <c r="KI82" s="33" t="n"/>
      <c r="KJ82" s="33" t="n"/>
      <c r="KK82" s="33" t="n"/>
      <c r="KL82" s="33" t="n"/>
      <c r="KM82" s="33" t="n"/>
      <c r="KN82" s="33" t="n"/>
      <c r="KO82" s="33" t="n"/>
      <c r="KP82" s="33" t="n"/>
      <c r="KQ82" s="33" t="n"/>
      <c r="KR82" s="33" t="n"/>
      <c r="KS82" s="33" t="n"/>
      <c r="KT82" s="33" t="n"/>
      <c r="KU82" s="33" t="n"/>
      <c r="KV82" s="33" t="n"/>
      <c r="KW82" s="33" t="n"/>
      <c r="KX82" s="33" t="n"/>
      <c r="KY82" s="33" t="n"/>
      <c r="KZ82" s="33" t="n"/>
      <c r="LA82" s="33" t="n"/>
      <c r="LB82" s="33" t="n"/>
      <c r="LC82" s="33" t="n"/>
      <c r="LD82" s="33" t="n"/>
      <c r="LE82" s="33" t="n"/>
      <c r="LF82" s="33" t="n"/>
      <c r="LG82" s="33" t="n"/>
      <c r="LH82" s="33" t="n"/>
      <c r="LI82" s="33" t="n"/>
      <c r="LJ82" s="33" t="n"/>
      <c r="LK82" s="33" t="n"/>
      <c r="LL82" s="33" t="n"/>
      <c r="LM82" s="33" t="n"/>
      <c r="LN82" s="33" t="n"/>
      <c r="LO82" s="33" t="n"/>
      <c r="LP82" s="33" t="n"/>
      <c r="LQ82" s="33" t="n"/>
      <c r="LR82" s="33" t="n"/>
      <c r="LS82" s="33" t="n"/>
      <c r="LT82" s="33" t="n"/>
      <c r="LU82" s="33" t="n"/>
      <c r="LV82" s="33" t="n"/>
      <c r="LW82" s="33" t="n"/>
      <c r="LX82" s="33" t="n"/>
      <c r="LY82" s="33" t="n"/>
      <c r="LZ82" s="33" t="n"/>
      <c r="MA82" s="33" t="n"/>
      <c r="MB82" s="33" t="n"/>
      <c r="MC82" s="33" t="n"/>
      <c r="MD82" s="33" t="n"/>
      <c r="ME82" s="33" t="n"/>
      <c r="MF82" s="33" t="n"/>
      <c r="MG82" s="33" t="n"/>
      <c r="MH82" s="33" t="n"/>
      <c r="MI82" s="33" t="n"/>
      <c r="MJ82" s="33" t="n"/>
      <c r="MK82" s="33" t="n"/>
      <c r="ML82" s="33" t="n"/>
      <c r="MM82" s="33" t="n"/>
      <c r="MN82" s="33" t="n"/>
      <c r="MO82" s="33" t="n"/>
      <c r="MP82" s="33" t="n"/>
      <c r="MQ82" s="33" t="n"/>
      <c r="MR82" s="33" t="n"/>
      <c r="MS82" s="33" t="n"/>
      <c r="MT82" s="33" t="n"/>
      <c r="MU82" s="33" t="n"/>
      <c r="MV82" s="33" t="n"/>
      <c r="MW82" s="33" t="n"/>
      <c r="MX82" s="33" t="n"/>
      <c r="MY82" s="33" t="n"/>
      <c r="MZ82" s="33" t="n"/>
      <c r="NA82" s="33" t="n"/>
      <c r="NB82" s="33" t="n"/>
      <c r="NC82" s="33" t="n"/>
      <c r="ND82" s="33" t="n"/>
      <c r="NE82" s="33" t="n"/>
      <c r="NF82" s="33" t="n"/>
      <c r="NG82" s="33" t="n"/>
      <c r="NH82" s="33" t="n"/>
      <c r="NI82" s="33" t="n"/>
      <c r="NJ82" s="33" t="n"/>
      <c r="NK82" s="33" t="n"/>
      <c r="NL82" s="33" t="n"/>
      <c r="NM82" s="33" t="n"/>
      <c r="NN82" s="33" t="n"/>
      <c r="NO82" s="33" t="n"/>
      <c r="NP82" s="33" t="n"/>
      <c r="NQ82" s="33" t="n"/>
      <c r="NR82" s="33" t="n"/>
      <c r="NS82" s="33" t="n"/>
      <c r="NT82" s="33" t="n"/>
      <c r="NU82" s="33" t="n"/>
      <c r="NV82" s="33" t="n"/>
      <c r="NW82" s="33" t="n"/>
      <c r="NX82" s="33" t="n"/>
      <c r="NY82" s="33" t="n"/>
      <c r="NZ82" s="33" t="n"/>
      <c r="OA82" s="33" t="n"/>
      <c r="OB82" s="33" t="n"/>
      <c r="OC82" s="33" t="n"/>
      <c r="OD82" s="33" t="n"/>
      <c r="OE82" s="33" t="n"/>
      <c r="OF82" s="33" t="n"/>
      <c r="OG82" s="33" t="n"/>
      <c r="OH82" s="33" t="n"/>
      <c r="OI82" s="33" t="n"/>
      <c r="OJ82" s="33" t="n"/>
      <c r="OK82" s="33" t="n"/>
      <c r="OL82" s="33" t="n"/>
      <c r="OM82" s="33" t="n"/>
      <c r="ON82" s="33" t="n"/>
      <c r="OO82" s="33" t="n"/>
      <c r="OP82" s="33" t="n"/>
      <c r="OQ82" s="33" t="n"/>
      <c r="OR82" s="33" t="n"/>
      <c r="OS82" s="33" t="n"/>
      <c r="OT82" s="33" t="n"/>
      <c r="OU82" s="33" t="n"/>
      <c r="OV82" s="33" t="n"/>
      <c r="OW82" s="33" t="n"/>
      <c r="OX82" s="33" t="n"/>
      <c r="OY82" s="33" t="n"/>
      <c r="OZ82" s="33" t="n"/>
      <c r="PA82" s="33" t="n"/>
      <c r="PB82" s="33" t="n"/>
      <c r="PC82" s="33" t="n"/>
      <c r="PD82" s="33" t="n"/>
      <c r="PE82" s="33" t="n"/>
      <c r="PF82" s="33" t="n"/>
      <c r="PG82" s="33" t="n"/>
      <c r="PH82" s="33" t="n"/>
      <c r="PI82" s="33" t="n"/>
      <c r="PJ82" s="33" t="n"/>
      <c r="PK82" s="33" t="n"/>
      <c r="PL82" s="33" t="n"/>
      <c r="PM82" s="33" t="n"/>
      <c r="PN82" s="33" t="n"/>
      <c r="PO82" s="33" t="n"/>
      <c r="PP82" s="33" t="n"/>
      <c r="PQ82" s="33" t="n"/>
      <c r="PR82" s="33" t="n"/>
      <c r="PS82" s="33" t="n"/>
      <c r="PT82" s="33" t="n"/>
      <c r="PU82" s="33" t="n"/>
      <c r="PV82" s="33" t="n"/>
      <c r="PW82" s="33" t="n"/>
      <c r="PX82" s="33" t="n"/>
      <c r="PY82" s="33" t="n"/>
      <c r="PZ82" s="33" t="n"/>
      <c r="QA82" s="33" t="n"/>
      <c r="QB82" s="33" t="n"/>
      <c r="QC82" s="33" t="n"/>
      <c r="QD82" s="33" t="n"/>
      <c r="QE82" s="33" t="n"/>
      <c r="QF82" s="33" t="n"/>
      <c r="QG82" s="33" t="n"/>
      <c r="QH82" s="33" t="n"/>
      <c r="QI82" s="33" t="n"/>
      <c r="QJ82" s="33" t="n"/>
      <c r="QK82" s="33" t="n"/>
      <c r="QL82" s="33" t="n"/>
      <c r="QM82" s="33" t="n"/>
      <c r="QN82" s="33" t="n"/>
      <c r="QO82" s="33" t="n"/>
      <c r="QP82" s="33" t="n"/>
      <c r="QQ82" s="33" t="n"/>
      <c r="QR82" s="33" t="n"/>
      <c r="QS82" s="33" t="n"/>
      <c r="QT82" s="33" t="n"/>
      <c r="QU82" s="33" t="n"/>
      <c r="QV82" s="33" t="n"/>
      <c r="QW82" s="33" t="n"/>
      <c r="QX82" s="33" t="n"/>
      <c r="QY82" s="33" t="n"/>
      <c r="QZ82" s="33" t="n"/>
      <c r="RA82" s="33" t="n"/>
      <c r="RB82" s="33" t="n"/>
      <c r="RC82" s="33" t="n"/>
      <c r="RD82" s="33" t="n"/>
      <c r="RE82" s="33" t="n"/>
      <c r="RF82" s="33" t="n"/>
      <c r="RG82" s="33" t="n"/>
      <c r="RH82" s="33" t="n"/>
      <c r="RI82" s="33" t="n"/>
      <c r="RJ82" s="33" t="n"/>
      <c r="RK82" s="33" t="n"/>
      <c r="RL82" s="33" t="n"/>
      <c r="RM82" s="33" t="n"/>
      <c r="RN82" s="33" t="n"/>
      <c r="RO82" s="33" t="n"/>
      <c r="RP82" s="33" t="n"/>
      <c r="RQ82" s="33" t="n"/>
      <c r="RR82" s="33" t="n"/>
      <c r="RS82" s="33" t="n"/>
      <c r="RT82" s="33" t="n"/>
      <c r="RU82" s="33" t="n"/>
      <c r="RV82" s="33" t="n"/>
      <c r="RW82" s="33" t="n"/>
    </row>
    <row r="83" hidden="1" outlineLevel="1" ht="13.05" customHeight="1">
      <c r="E83" s="21" t="inlineStr">
        <is>
          <t>Drawdown</t>
        </is>
      </c>
      <c r="F83" s="29" t="n"/>
      <c r="G83" s="29" t="inlineStr">
        <is>
          <t>kEUR</t>
        </is>
      </c>
      <c r="H83" s="29" t="n"/>
      <c r="I83" s="29" t="n"/>
      <c r="J83" s="32" t="n"/>
      <c r="K83" s="29" t="n"/>
      <c r="L83" s="33" t="n"/>
      <c r="M83" s="33" t="n"/>
      <c r="N83" s="33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n"/>
      <c r="AF83" s="33" t="n"/>
      <c r="AG83" s="33" t="n"/>
      <c r="AH83" s="33" t="n"/>
      <c r="AI83" s="33" t="n"/>
      <c r="AJ83" s="33" t="n"/>
      <c r="AK83" s="33" t="n"/>
      <c r="AL83" s="33" t="n"/>
      <c r="AM83" s="33" t="n"/>
      <c r="AN83" s="33" t="n"/>
      <c r="AO83" s="33" t="n"/>
      <c r="AP83" s="33" t="n"/>
      <c r="AQ83" s="33" t="n"/>
      <c r="AR83" s="33" t="n"/>
      <c r="AS83" s="33" t="n"/>
      <c r="AT83" s="33" t="n"/>
      <c r="AU83" s="33" t="n"/>
      <c r="AV83" s="33" t="n"/>
      <c r="AW83" s="33" t="n"/>
      <c r="AX83" s="33" t="n"/>
      <c r="AY83" s="33" t="n"/>
      <c r="AZ83" s="33" t="n"/>
      <c r="BA83" s="33" t="n"/>
      <c r="BB83" s="33" t="n"/>
      <c r="BC83" s="33" t="n"/>
      <c r="BD83" s="33" t="n"/>
      <c r="BE83" s="33" t="n"/>
      <c r="BF83" s="33" t="n"/>
      <c r="BG83" s="33" t="n"/>
      <c r="BH83" s="33" t="n"/>
      <c r="BI83" s="33" t="n"/>
      <c r="BJ83" s="33" t="n"/>
      <c r="BK83" s="33" t="n"/>
      <c r="BL83" s="33" t="n"/>
      <c r="BM83" s="33" t="n"/>
      <c r="BN83" s="33" t="n"/>
      <c r="BO83" s="33" t="n"/>
      <c r="BP83" s="33" t="n"/>
      <c r="BQ83" s="33" t="n"/>
      <c r="BR83" s="33" t="n"/>
      <c r="BS83" s="33" t="n"/>
      <c r="BT83" s="33" t="n"/>
      <c r="BU83" s="33" t="n"/>
      <c r="BV83" s="33" t="n"/>
      <c r="BW83" s="33" t="n"/>
      <c r="BX83" s="33" t="n"/>
      <c r="BY83" s="33" t="n"/>
      <c r="BZ83" s="33" t="n"/>
      <c r="CA83" s="33" t="n"/>
      <c r="CB83" s="33" t="n"/>
      <c r="CC83" s="33" t="n"/>
      <c r="CD83" s="33" t="n"/>
      <c r="CE83" s="33" t="n"/>
      <c r="CF83" s="33" t="n"/>
      <c r="CG83" s="33" t="n"/>
      <c r="CH83" s="33" t="n"/>
      <c r="CI83" s="33" t="n"/>
      <c r="CJ83" s="33" t="n"/>
      <c r="CK83" s="33" t="n"/>
      <c r="CL83" s="33" t="n"/>
      <c r="CM83" s="33" t="n"/>
      <c r="CN83" s="33" t="n"/>
      <c r="CO83" s="33" t="n"/>
      <c r="CP83" s="33" t="n"/>
      <c r="CQ83" s="33" t="n"/>
      <c r="CR83" s="33" t="n"/>
      <c r="CS83" s="33" t="n"/>
      <c r="CT83" s="33" t="n"/>
      <c r="CU83" s="33" t="n"/>
      <c r="CV83" s="33" t="n"/>
      <c r="CW83" s="33" t="n"/>
      <c r="CX83" s="33" t="n"/>
      <c r="CY83" s="33" t="n"/>
      <c r="CZ83" s="33" t="n"/>
      <c r="DA83" s="33" t="n"/>
      <c r="DB83" s="33" t="n"/>
      <c r="DC83" s="33" t="n"/>
      <c r="DD83" s="33" t="n"/>
      <c r="DE83" s="33" t="n"/>
      <c r="DF83" s="33" t="n"/>
      <c r="DG83" s="33" t="n"/>
      <c r="DH83" s="33" t="n"/>
      <c r="DI83" s="33" t="n"/>
      <c r="DJ83" s="33" t="n"/>
      <c r="DK83" s="33" t="n"/>
      <c r="DL83" s="33" t="n"/>
      <c r="DM83" s="33" t="n"/>
      <c r="DN83" s="33" t="n"/>
      <c r="DO83" s="33" t="n"/>
      <c r="DP83" s="33" t="n"/>
      <c r="DQ83" s="33" t="n"/>
      <c r="DR83" s="33" t="n"/>
      <c r="DS83" s="33" t="n"/>
      <c r="DT83" s="33" t="n"/>
      <c r="DU83" s="33" t="n"/>
      <c r="DV83" s="33" t="n"/>
      <c r="DW83" s="33" t="n"/>
      <c r="DX83" s="33" t="n"/>
      <c r="DY83" s="33" t="n"/>
      <c r="DZ83" s="33" t="n"/>
      <c r="EA83" s="33" t="n"/>
      <c r="EB83" s="33" t="n"/>
      <c r="EC83" s="33" t="n"/>
      <c r="ED83" s="33" t="n"/>
      <c r="EE83" s="33" t="n"/>
      <c r="EF83" s="33" t="n"/>
      <c r="EG83" s="33" t="n"/>
      <c r="EH83" s="33" t="n"/>
      <c r="EI83" s="33" t="n"/>
      <c r="EJ83" s="33" t="n"/>
      <c r="EK83" s="33" t="n"/>
      <c r="EL83" s="33" t="n"/>
      <c r="EM83" s="33" t="n"/>
      <c r="EN83" s="33" t="n"/>
      <c r="EO83" s="33" t="n"/>
      <c r="EP83" s="33" t="n"/>
      <c r="EQ83" s="33" t="n"/>
      <c r="ER83" s="33" t="n"/>
      <c r="ES83" s="33" t="n"/>
      <c r="ET83" s="33" t="n"/>
      <c r="EU83" s="33" t="n"/>
      <c r="EV83" s="33" t="n"/>
      <c r="EW83" s="33" t="n"/>
      <c r="EX83" s="33" t="n"/>
      <c r="EY83" s="33" t="n"/>
      <c r="EZ83" s="33" t="n"/>
      <c r="FA83" s="33" t="n"/>
      <c r="FB83" s="33" t="n"/>
      <c r="FC83" s="33" t="n"/>
      <c r="FD83" s="33" t="n"/>
      <c r="FE83" s="33" t="n"/>
      <c r="FF83" s="33" t="n"/>
      <c r="FG83" s="33" t="n"/>
      <c r="FH83" s="33" t="n"/>
      <c r="FI83" s="33" t="n"/>
      <c r="FJ83" s="33" t="n"/>
      <c r="FK83" s="33" t="n"/>
      <c r="FL83" s="33" t="n"/>
      <c r="FM83" s="33" t="n"/>
      <c r="FN83" s="33" t="n"/>
      <c r="FO83" s="33" t="n"/>
      <c r="FP83" s="33" t="n"/>
      <c r="FQ83" s="33" t="n"/>
      <c r="FR83" s="33" t="n"/>
      <c r="FS83" s="33" t="n"/>
      <c r="FT83" s="33" t="n"/>
      <c r="FU83" s="33" t="n"/>
      <c r="FV83" s="33" t="n"/>
      <c r="FW83" s="33" t="n"/>
      <c r="FX83" s="33" t="n"/>
      <c r="FY83" s="33" t="n"/>
      <c r="FZ83" s="33" t="n"/>
      <c r="GA83" s="33" t="n"/>
      <c r="GB83" s="33" t="n"/>
      <c r="GC83" s="33" t="n"/>
      <c r="GD83" s="33" t="n"/>
      <c r="GE83" s="33" t="n"/>
      <c r="GF83" s="33" t="n"/>
      <c r="GG83" s="33" t="n"/>
      <c r="GH83" s="33" t="n"/>
      <c r="GI83" s="33" t="n"/>
      <c r="GJ83" s="33" t="n"/>
      <c r="GK83" s="33" t="n"/>
      <c r="GL83" s="33" t="n"/>
      <c r="GM83" s="33" t="n"/>
      <c r="GN83" s="33" t="n"/>
      <c r="GO83" s="33" t="n"/>
      <c r="GP83" s="33" t="n"/>
      <c r="GQ83" s="33" t="n"/>
      <c r="GR83" s="33" t="n"/>
      <c r="GS83" s="33" t="n"/>
      <c r="GT83" s="33" t="n"/>
      <c r="GU83" s="33" t="n"/>
      <c r="GV83" s="33" t="n"/>
      <c r="GW83" s="33" t="n"/>
      <c r="GX83" s="33" t="n"/>
      <c r="GY83" s="33" t="n"/>
      <c r="GZ83" s="33" t="n"/>
      <c r="HA83" s="33" t="n"/>
      <c r="HB83" s="33" t="n"/>
      <c r="HC83" s="33" t="n"/>
      <c r="HD83" s="33" t="n"/>
      <c r="HE83" s="33" t="n"/>
      <c r="HF83" s="33" t="n"/>
      <c r="HG83" s="33" t="n"/>
      <c r="HH83" s="33" t="n"/>
      <c r="HI83" s="33" t="n"/>
      <c r="HJ83" s="33" t="n"/>
      <c r="HK83" s="33" t="n"/>
      <c r="HL83" s="33" t="n"/>
      <c r="HM83" s="33" t="n"/>
      <c r="HN83" s="33" t="n"/>
      <c r="HO83" s="33" t="n"/>
      <c r="HP83" s="33" t="n"/>
      <c r="HQ83" s="33" t="n"/>
      <c r="HR83" s="33" t="n"/>
      <c r="HS83" s="33" t="n"/>
      <c r="HT83" s="33" t="n"/>
      <c r="HU83" s="33" t="n"/>
      <c r="HV83" s="33" t="n"/>
      <c r="HW83" s="33" t="n"/>
      <c r="HX83" s="33" t="n"/>
      <c r="HY83" s="33" t="n"/>
      <c r="HZ83" s="33" t="n"/>
      <c r="IA83" s="33" t="n"/>
      <c r="IB83" s="33" t="n"/>
      <c r="IC83" s="33" t="n"/>
      <c r="ID83" s="33" t="n"/>
      <c r="IE83" s="33" t="n"/>
      <c r="IF83" s="33" t="n"/>
      <c r="IG83" s="33" t="n"/>
      <c r="IH83" s="33" t="n"/>
      <c r="II83" s="33" t="n"/>
      <c r="IJ83" s="33" t="n"/>
      <c r="IK83" s="33" t="n"/>
      <c r="IL83" s="33" t="n"/>
      <c r="IM83" s="33" t="n"/>
      <c r="IN83" s="33" t="n"/>
      <c r="IO83" s="33" t="n"/>
      <c r="IP83" s="33" t="n"/>
      <c r="IQ83" s="33" t="n"/>
      <c r="IR83" s="33" t="n"/>
      <c r="IS83" s="33" t="n"/>
      <c r="IT83" s="33" t="n"/>
      <c r="IU83" s="33" t="n"/>
      <c r="IV83" s="33" t="n"/>
      <c r="IW83" s="33" t="n"/>
      <c r="IX83" s="33" t="n"/>
      <c r="IY83" s="33" t="n"/>
      <c r="IZ83" s="33" t="n"/>
      <c r="JA83" s="33" t="n"/>
      <c r="JB83" s="33" t="n"/>
      <c r="JC83" s="33" t="n"/>
      <c r="JD83" s="33" t="n"/>
      <c r="JE83" s="33" t="n"/>
      <c r="JF83" s="33" t="n"/>
      <c r="JG83" s="33" t="n"/>
      <c r="JH83" s="33" t="n"/>
      <c r="JI83" s="33" t="n"/>
      <c r="JJ83" s="33" t="n"/>
      <c r="JK83" s="33" t="n"/>
      <c r="JL83" s="33" t="n"/>
      <c r="JM83" s="33" t="n"/>
      <c r="JN83" s="33" t="n"/>
      <c r="JO83" s="33" t="n"/>
      <c r="JP83" s="33" t="n"/>
      <c r="JQ83" s="33" t="n"/>
      <c r="JR83" s="33" t="n"/>
      <c r="JS83" s="33" t="n"/>
      <c r="JT83" s="33" t="n"/>
      <c r="JU83" s="33" t="n"/>
      <c r="JV83" s="33" t="n"/>
      <c r="JW83" s="33" t="n"/>
      <c r="JX83" s="33" t="n"/>
      <c r="JY83" s="33" t="n"/>
      <c r="JZ83" s="33" t="n"/>
      <c r="KA83" s="33" t="n"/>
      <c r="KB83" s="33" t="n"/>
      <c r="KC83" s="33" t="n"/>
      <c r="KD83" s="33" t="n"/>
      <c r="KE83" s="33" t="n"/>
      <c r="KF83" s="33" t="n"/>
      <c r="KG83" s="33" t="n"/>
      <c r="KH83" s="33" t="n"/>
      <c r="KI83" s="33" t="n"/>
      <c r="KJ83" s="33" t="n"/>
      <c r="KK83" s="33" t="n"/>
      <c r="KL83" s="33" t="n"/>
      <c r="KM83" s="33" t="n"/>
      <c r="KN83" s="33" t="n"/>
      <c r="KO83" s="33" t="n"/>
      <c r="KP83" s="33" t="n"/>
      <c r="KQ83" s="33" t="n"/>
      <c r="KR83" s="33" t="n"/>
      <c r="KS83" s="33" t="n"/>
      <c r="KT83" s="33" t="n"/>
      <c r="KU83" s="33" t="n"/>
      <c r="KV83" s="33" t="n"/>
      <c r="KW83" s="33" t="n"/>
      <c r="KX83" s="33" t="n"/>
      <c r="KY83" s="33" t="n"/>
      <c r="KZ83" s="33" t="n"/>
      <c r="LA83" s="33" t="n"/>
      <c r="LB83" s="33" t="n"/>
      <c r="LC83" s="33" t="n"/>
      <c r="LD83" s="33" t="n"/>
      <c r="LE83" s="33" t="n"/>
      <c r="LF83" s="33" t="n"/>
      <c r="LG83" s="33" t="n"/>
      <c r="LH83" s="33" t="n"/>
      <c r="LI83" s="33" t="n"/>
      <c r="LJ83" s="33" t="n"/>
      <c r="LK83" s="33" t="n"/>
      <c r="LL83" s="33" t="n"/>
      <c r="LM83" s="33" t="n"/>
      <c r="LN83" s="33" t="n"/>
      <c r="LO83" s="33" t="n"/>
      <c r="LP83" s="33" t="n"/>
      <c r="LQ83" s="33" t="n"/>
      <c r="LR83" s="33" t="n"/>
      <c r="LS83" s="33" t="n"/>
      <c r="LT83" s="33" t="n"/>
      <c r="LU83" s="33" t="n"/>
      <c r="LV83" s="33" t="n"/>
      <c r="LW83" s="33" t="n"/>
      <c r="LX83" s="33" t="n"/>
      <c r="LY83" s="33" t="n"/>
      <c r="LZ83" s="33" t="n"/>
      <c r="MA83" s="33" t="n"/>
      <c r="MB83" s="33" t="n"/>
      <c r="MC83" s="33" t="n"/>
      <c r="MD83" s="33" t="n"/>
      <c r="ME83" s="33" t="n"/>
      <c r="MF83" s="33" t="n"/>
      <c r="MG83" s="33" t="n"/>
      <c r="MH83" s="33" t="n"/>
      <c r="MI83" s="33" t="n"/>
      <c r="MJ83" s="33" t="n"/>
      <c r="MK83" s="33" t="n"/>
      <c r="ML83" s="33" t="n"/>
      <c r="MM83" s="33" t="n"/>
      <c r="MN83" s="33" t="n"/>
      <c r="MO83" s="33" t="n"/>
      <c r="MP83" s="33" t="n"/>
      <c r="MQ83" s="33" t="n"/>
      <c r="MR83" s="33" t="n"/>
      <c r="MS83" s="33" t="n"/>
      <c r="MT83" s="33" t="n"/>
      <c r="MU83" s="33" t="n"/>
      <c r="MV83" s="33" t="n"/>
      <c r="MW83" s="33" t="n"/>
      <c r="MX83" s="33" t="n"/>
      <c r="MY83" s="33" t="n"/>
      <c r="MZ83" s="33" t="n"/>
      <c r="NA83" s="33" t="n"/>
      <c r="NB83" s="33" t="n"/>
      <c r="NC83" s="33" t="n"/>
      <c r="ND83" s="33" t="n"/>
      <c r="NE83" s="33" t="n"/>
      <c r="NF83" s="33" t="n"/>
      <c r="NG83" s="33" t="n"/>
      <c r="NH83" s="33" t="n"/>
      <c r="NI83" s="33" t="n"/>
      <c r="NJ83" s="33" t="n"/>
      <c r="NK83" s="33" t="n"/>
      <c r="NL83" s="33" t="n"/>
      <c r="NM83" s="33" t="n"/>
      <c r="NN83" s="33" t="n"/>
      <c r="NO83" s="33" t="n"/>
      <c r="NP83" s="33" t="n"/>
      <c r="NQ83" s="33" t="n"/>
      <c r="NR83" s="33" t="n"/>
      <c r="NS83" s="33" t="n"/>
      <c r="NT83" s="33" t="n"/>
      <c r="NU83" s="33" t="n"/>
      <c r="NV83" s="33" t="n"/>
      <c r="NW83" s="33" t="n"/>
      <c r="NX83" s="33" t="n"/>
      <c r="NY83" s="33" t="n"/>
      <c r="NZ83" s="33" t="n"/>
      <c r="OA83" s="33" t="n"/>
      <c r="OB83" s="33" t="n"/>
      <c r="OC83" s="33" t="n"/>
      <c r="OD83" s="33" t="n"/>
      <c r="OE83" s="33" t="n"/>
      <c r="OF83" s="33" t="n"/>
      <c r="OG83" s="33" t="n"/>
      <c r="OH83" s="33" t="n"/>
      <c r="OI83" s="33" t="n"/>
      <c r="OJ83" s="33" t="n"/>
      <c r="OK83" s="33" t="n"/>
      <c r="OL83" s="33" t="n"/>
      <c r="OM83" s="33" t="n"/>
      <c r="ON83" s="33" t="n"/>
      <c r="OO83" s="33" t="n"/>
      <c r="OP83" s="33" t="n"/>
      <c r="OQ83" s="33" t="n"/>
      <c r="OR83" s="33" t="n"/>
      <c r="OS83" s="33" t="n"/>
      <c r="OT83" s="33" t="n"/>
      <c r="OU83" s="33" t="n"/>
      <c r="OV83" s="33" t="n"/>
      <c r="OW83" s="33" t="n"/>
      <c r="OX83" s="33" t="n"/>
      <c r="OY83" s="33" t="n"/>
      <c r="OZ83" s="33" t="n"/>
      <c r="PA83" s="33" t="n"/>
      <c r="PB83" s="33" t="n"/>
      <c r="PC83" s="33" t="n"/>
      <c r="PD83" s="33" t="n"/>
      <c r="PE83" s="33" t="n"/>
      <c r="PF83" s="33" t="n"/>
      <c r="PG83" s="33" t="n"/>
      <c r="PH83" s="33" t="n"/>
      <c r="PI83" s="33" t="n"/>
      <c r="PJ83" s="33" t="n"/>
      <c r="PK83" s="33" t="n"/>
      <c r="PL83" s="33" t="n"/>
      <c r="PM83" s="33" t="n"/>
      <c r="PN83" s="33" t="n"/>
      <c r="PO83" s="33" t="n"/>
      <c r="PP83" s="33" t="n"/>
      <c r="PQ83" s="33" t="n"/>
      <c r="PR83" s="33" t="n"/>
      <c r="PS83" s="33" t="n"/>
      <c r="PT83" s="33" t="n"/>
      <c r="PU83" s="33" t="n"/>
      <c r="PV83" s="33" t="n"/>
      <c r="PW83" s="33" t="n"/>
      <c r="PX83" s="33" t="n"/>
      <c r="PY83" s="33" t="n"/>
      <c r="PZ83" s="33" t="n"/>
      <c r="QA83" s="33" t="n"/>
      <c r="QB83" s="33" t="n"/>
      <c r="QC83" s="33" t="n"/>
      <c r="QD83" s="33" t="n"/>
      <c r="QE83" s="33" t="n"/>
      <c r="QF83" s="33" t="n"/>
      <c r="QG83" s="33" t="n"/>
      <c r="QH83" s="33" t="n"/>
      <c r="QI83" s="33" t="n"/>
      <c r="QJ83" s="33" t="n"/>
      <c r="QK83" s="33" t="n"/>
      <c r="QL83" s="33" t="n"/>
      <c r="QM83" s="33" t="n"/>
      <c r="QN83" s="33" t="n"/>
      <c r="QO83" s="33" t="n"/>
      <c r="QP83" s="33" t="n"/>
      <c r="QQ83" s="33" t="n"/>
      <c r="QR83" s="33" t="n"/>
      <c r="QS83" s="33" t="n"/>
      <c r="QT83" s="33" t="n"/>
      <c r="QU83" s="33" t="n"/>
      <c r="QV83" s="33" t="n"/>
      <c r="QW83" s="33" t="n"/>
      <c r="QX83" s="33" t="n"/>
      <c r="QY83" s="33" t="n"/>
      <c r="QZ83" s="33" t="n"/>
      <c r="RA83" s="33" t="n"/>
      <c r="RB83" s="33" t="n"/>
      <c r="RC83" s="33" t="n"/>
      <c r="RD83" s="33" t="n"/>
      <c r="RE83" s="33" t="n"/>
      <c r="RF83" s="33" t="n"/>
      <c r="RG83" s="33" t="n"/>
      <c r="RH83" s="33" t="n"/>
      <c r="RI83" s="33" t="n"/>
      <c r="RJ83" s="33" t="n"/>
      <c r="RK83" s="33" t="n"/>
      <c r="RL83" s="33" t="n"/>
      <c r="RM83" s="33" t="n"/>
      <c r="RN83" s="33" t="n"/>
      <c r="RO83" s="33" t="n"/>
      <c r="RP83" s="33" t="n"/>
      <c r="RQ83" s="33" t="n"/>
      <c r="RR83" s="33" t="n"/>
      <c r="RS83" s="33" t="n"/>
      <c r="RT83" s="33" t="n"/>
      <c r="RU83" s="33" t="n"/>
      <c r="RV83" s="33" t="n"/>
      <c r="RW83" s="33" t="n"/>
    </row>
    <row r="84" hidden="1" outlineLevel="1" ht="13.05" customHeight="1">
      <c r="E84" s="21" t="inlineStr">
        <is>
          <t>SHL Repayment</t>
        </is>
      </c>
      <c r="F84" s="29" t="n"/>
      <c r="G84" s="29" t="inlineStr">
        <is>
          <t>kEUR</t>
        </is>
      </c>
      <c r="H84" s="29" t="n"/>
      <c r="I84" s="29" t="n"/>
      <c r="J84" s="32" t="n"/>
      <c r="K84" s="29" t="n"/>
      <c r="L84" s="33" t="n"/>
      <c r="M84" s="33" t="n"/>
      <c r="N84" s="33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n"/>
      <c r="AF84" s="33" t="n"/>
      <c r="AG84" s="33" t="n"/>
      <c r="AH84" s="33" t="n"/>
      <c r="AI84" s="33" t="n"/>
      <c r="AJ84" s="33" t="n"/>
      <c r="AK84" s="33" t="n"/>
      <c r="AL84" s="33" t="n"/>
      <c r="AM84" s="33" t="n"/>
      <c r="AN84" s="33" t="n"/>
      <c r="AO84" s="33" t="n"/>
      <c r="AP84" s="33" t="n"/>
      <c r="AQ84" s="33" t="n"/>
      <c r="AR84" s="33" t="n"/>
      <c r="AS84" s="33" t="n"/>
      <c r="AT84" s="33" t="n"/>
      <c r="AU84" s="33" t="n"/>
      <c r="AV84" s="33" t="n"/>
      <c r="AW84" s="33" t="n"/>
      <c r="AX84" s="33" t="n"/>
      <c r="AY84" s="33" t="n"/>
      <c r="AZ84" s="33" t="n"/>
      <c r="BA84" s="33" t="n"/>
      <c r="BB84" s="33" t="n"/>
      <c r="BC84" s="33" t="n"/>
      <c r="BD84" s="33" t="n"/>
      <c r="BE84" s="33" t="n"/>
      <c r="BF84" s="33" t="n"/>
      <c r="BG84" s="33" t="n"/>
      <c r="BH84" s="33" t="n"/>
      <c r="BI84" s="33" t="n"/>
      <c r="BJ84" s="33" t="n"/>
      <c r="BK84" s="33" t="n"/>
      <c r="BL84" s="33" t="n"/>
      <c r="BM84" s="33" t="n"/>
      <c r="BN84" s="33" t="n"/>
      <c r="BO84" s="33" t="n"/>
      <c r="BP84" s="33" t="n"/>
      <c r="BQ84" s="33" t="n"/>
      <c r="BR84" s="33" t="n"/>
      <c r="BS84" s="33" t="n"/>
      <c r="BT84" s="33" t="n"/>
      <c r="BU84" s="33" t="n"/>
      <c r="BV84" s="33" t="n"/>
      <c r="BW84" s="33" t="n"/>
      <c r="BX84" s="33" t="n"/>
      <c r="BY84" s="33" t="n"/>
      <c r="BZ84" s="33" t="n"/>
      <c r="CA84" s="33" t="n"/>
      <c r="CB84" s="33" t="n"/>
      <c r="CC84" s="33" t="n"/>
      <c r="CD84" s="33" t="n"/>
      <c r="CE84" s="33" t="n"/>
      <c r="CF84" s="33" t="n"/>
      <c r="CG84" s="33" t="n"/>
      <c r="CH84" s="33" t="n"/>
      <c r="CI84" s="33" t="n"/>
      <c r="CJ84" s="33" t="n"/>
      <c r="CK84" s="33" t="n"/>
      <c r="CL84" s="33" t="n"/>
      <c r="CM84" s="33" t="n"/>
      <c r="CN84" s="33" t="n"/>
      <c r="CO84" s="33" t="n"/>
      <c r="CP84" s="33" t="n"/>
      <c r="CQ84" s="33" t="n"/>
      <c r="CR84" s="33" t="n"/>
      <c r="CS84" s="33" t="n"/>
      <c r="CT84" s="33" t="n"/>
      <c r="CU84" s="33" t="n"/>
      <c r="CV84" s="33" t="n"/>
      <c r="CW84" s="33" t="n"/>
      <c r="CX84" s="33" t="n"/>
      <c r="CY84" s="33" t="n"/>
      <c r="CZ84" s="33" t="n"/>
      <c r="DA84" s="33" t="n"/>
      <c r="DB84" s="33" t="n"/>
      <c r="DC84" s="33" t="n"/>
      <c r="DD84" s="33" t="n"/>
      <c r="DE84" s="33" t="n"/>
      <c r="DF84" s="33" t="n"/>
      <c r="DG84" s="33" t="n"/>
      <c r="DH84" s="33" t="n"/>
      <c r="DI84" s="33" t="n"/>
      <c r="DJ84" s="33" t="n"/>
      <c r="DK84" s="33" t="n"/>
      <c r="DL84" s="33" t="n"/>
      <c r="DM84" s="33" t="n"/>
      <c r="DN84" s="33" t="n"/>
      <c r="DO84" s="33" t="n"/>
      <c r="DP84" s="33" t="n"/>
      <c r="DQ84" s="33" t="n"/>
      <c r="DR84" s="33" t="n"/>
      <c r="DS84" s="33" t="n"/>
      <c r="DT84" s="33" t="n"/>
      <c r="DU84" s="33" t="n"/>
      <c r="DV84" s="33" t="n"/>
      <c r="DW84" s="33" t="n"/>
      <c r="DX84" s="33" t="n"/>
      <c r="DY84" s="33" t="n"/>
      <c r="DZ84" s="33" t="n"/>
      <c r="EA84" s="33" t="n"/>
      <c r="EB84" s="33" t="n"/>
      <c r="EC84" s="33" t="n"/>
      <c r="ED84" s="33" t="n"/>
      <c r="EE84" s="33" t="n"/>
      <c r="EF84" s="33" t="n"/>
      <c r="EG84" s="33" t="n"/>
      <c r="EH84" s="33" t="n"/>
      <c r="EI84" s="33" t="n"/>
      <c r="EJ84" s="33" t="n"/>
      <c r="EK84" s="33" t="n"/>
      <c r="EL84" s="33" t="n"/>
      <c r="EM84" s="33" t="n"/>
      <c r="EN84" s="33" t="n"/>
      <c r="EO84" s="33" t="n"/>
      <c r="EP84" s="33" t="n"/>
      <c r="EQ84" s="33" t="n"/>
      <c r="ER84" s="33" t="n"/>
      <c r="ES84" s="33" t="n"/>
      <c r="ET84" s="33" t="n"/>
      <c r="EU84" s="33" t="n"/>
      <c r="EV84" s="33" t="n"/>
      <c r="EW84" s="33" t="n"/>
      <c r="EX84" s="33" t="n"/>
      <c r="EY84" s="33" t="n"/>
      <c r="EZ84" s="33" t="n"/>
      <c r="FA84" s="33" t="n"/>
      <c r="FB84" s="33" t="n"/>
      <c r="FC84" s="33" t="n"/>
      <c r="FD84" s="33" t="n"/>
      <c r="FE84" s="33" t="n"/>
      <c r="FF84" s="33" t="n"/>
      <c r="FG84" s="33" t="n"/>
      <c r="FH84" s="33" t="n"/>
      <c r="FI84" s="33" t="n"/>
      <c r="FJ84" s="33" t="n"/>
      <c r="FK84" s="33" t="n"/>
      <c r="FL84" s="33" t="n"/>
      <c r="FM84" s="33" t="n"/>
      <c r="FN84" s="33" t="n"/>
      <c r="FO84" s="33" t="n"/>
      <c r="FP84" s="33" t="n"/>
      <c r="FQ84" s="33" t="n"/>
      <c r="FR84" s="33" t="n"/>
      <c r="FS84" s="33" t="n"/>
      <c r="FT84" s="33" t="n"/>
      <c r="FU84" s="33" t="n"/>
      <c r="FV84" s="33" t="n"/>
      <c r="FW84" s="33" t="n"/>
      <c r="FX84" s="33" t="n"/>
      <c r="FY84" s="33" t="n"/>
      <c r="FZ84" s="33" t="n"/>
      <c r="GA84" s="33" t="n"/>
      <c r="GB84" s="33" t="n"/>
      <c r="GC84" s="33" t="n"/>
      <c r="GD84" s="33" t="n"/>
      <c r="GE84" s="33" t="n"/>
      <c r="GF84" s="33" t="n"/>
      <c r="GG84" s="33" t="n"/>
      <c r="GH84" s="33" t="n"/>
      <c r="GI84" s="33" t="n"/>
      <c r="GJ84" s="33" t="n"/>
      <c r="GK84" s="33" t="n"/>
      <c r="GL84" s="33" t="n"/>
      <c r="GM84" s="33" t="n"/>
      <c r="GN84" s="33" t="n"/>
      <c r="GO84" s="33" t="n"/>
      <c r="GP84" s="33" t="n"/>
      <c r="GQ84" s="33" t="n"/>
      <c r="GR84" s="33" t="n"/>
      <c r="GS84" s="33" t="n"/>
      <c r="GT84" s="33" t="n"/>
      <c r="GU84" s="33" t="n"/>
      <c r="GV84" s="33" t="n"/>
      <c r="GW84" s="33" t="n"/>
      <c r="GX84" s="33" t="n"/>
      <c r="GY84" s="33" t="n"/>
      <c r="GZ84" s="33" t="n"/>
      <c r="HA84" s="33" t="n"/>
      <c r="HB84" s="33" t="n"/>
      <c r="HC84" s="33" t="n"/>
      <c r="HD84" s="33" t="n"/>
      <c r="HE84" s="33" t="n"/>
      <c r="HF84" s="33" t="n"/>
      <c r="HG84" s="33" t="n"/>
      <c r="HH84" s="33" t="n"/>
      <c r="HI84" s="33" t="n"/>
      <c r="HJ84" s="33" t="n"/>
      <c r="HK84" s="33" t="n"/>
      <c r="HL84" s="33" t="n"/>
      <c r="HM84" s="33" t="n"/>
      <c r="HN84" s="33" t="n"/>
      <c r="HO84" s="33" t="n"/>
      <c r="HP84" s="33" t="n"/>
      <c r="HQ84" s="33" t="n"/>
      <c r="HR84" s="33" t="n"/>
      <c r="HS84" s="33" t="n"/>
      <c r="HT84" s="33" t="n"/>
      <c r="HU84" s="33" t="n"/>
      <c r="HV84" s="33" t="n"/>
      <c r="HW84" s="33" t="n"/>
      <c r="HX84" s="33" t="n"/>
      <c r="HY84" s="33" t="n"/>
      <c r="HZ84" s="33" t="n"/>
      <c r="IA84" s="33" t="n"/>
      <c r="IB84" s="33" t="n"/>
      <c r="IC84" s="33" t="n"/>
      <c r="ID84" s="33" t="n"/>
      <c r="IE84" s="33" t="n"/>
      <c r="IF84" s="33" t="n"/>
      <c r="IG84" s="33" t="n"/>
      <c r="IH84" s="33" t="n"/>
      <c r="II84" s="33" t="n"/>
      <c r="IJ84" s="33" t="n"/>
      <c r="IK84" s="33" t="n"/>
      <c r="IL84" s="33" t="n"/>
      <c r="IM84" s="33" t="n"/>
      <c r="IN84" s="33" t="n"/>
      <c r="IO84" s="33" t="n"/>
      <c r="IP84" s="33" t="n"/>
      <c r="IQ84" s="33" t="n"/>
      <c r="IR84" s="33" t="n"/>
      <c r="IS84" s="33" t="n"/>
      <c r="IT84" s="33" t="n"/>
      <c r="IU84" s="33" t="n"/>
      <c r="IV84" s="33" t="n"/>
      <c r="IW84" s="33" t="n"/>
      <c r="IX84" s="33" t="n"/>
      <c r="IY84" s="33" t="n"/>
      <c r="IZ84" s="33" t="n"/>
      <c r="JA84" s="33" t="n"/>
      <c r="JB84" s="33" t="n"/>
      <c r="JC84" s="33" t="n"/>
      <c r="JD84" s="33" t="n"/>
      <c r="JE84" s="33" t="n"/>
      <c r="JF84" s="33" t="n"/>
      <c r="JG84" s="33" t="n"/>
      <c r="JH84" s="33" t="n"/>
      <c r="JI84" s="33" t="n"/>
      <c r="JJ84" s="33" t="n"/>
      <c r="JK84" s="33" t="n"/>
      <c r="JL84" s="33" t="n"/>
      <c r="JM84" s="33" t="n"/>
      <c r="JN84" s="33" t="n"/>
      <c r="JO84" s="33" t="n"/>
      <c r="JP84" s="33" t="n"/>
      <c r="JQ84" s="33" t="n"/>
      <c r="JR84" s="33" t="n"/>
      <c r="JS84" s="33" t="n"/>
      <c r="JT84" s="33" t="n"/>
      <c r="JU84" s="33" t="n"/>
      <c r="JV84" s="33" t="n"/>
      <c r="JW84" s="33" t="n"/>
      <c r="JX84" s="33" t="n"/>
      <c r="JY84" s="33" t="n"/>
      <c r="JZ84" s="33" t="n"/>
      <c r="KA84" s="33" t="n"/>
      <c r="KB84" s="33" t="n"/>
      <c r="KC84" s="33" t="n"/>
      <c r="KD84" s="33" t="n"/>
      <c r="KE84" s="33" t="n"/>
      <c r="KF84" s="33" t="n"/>
      <c r="KG84" s="33" t="n"/>
      <c r="KH84" s="33" t="n"/>
      <c r="KI84" s="33" t="n"/>
      <c r="KJ84" s="33" t="n"/>
      <c r="KK84" s="33" t="n"/>
      <c r="KL84" s="33" t="n"/>
      <c r="KM84" s="33" t="n"/>
      <c r="KN84" s="33" t="n"/>
      <c r="KO84" s="33" t="n"/>
      <c r="KP84" s="33" t="n"/>
      <c r="KQ84" s="33" t="n"/>
      <c r="KR84" s="33" t="n"/>
      <c r="KS84" s="33" t="n"/>
      <c r="KT84" s="33" t="n"/>
      <c r="KU84" s="33" t="n"/>
      <c r="KV84" s="33" t="n"/>
      <c r="KW84" s="33" t="n"/>
      <c r="KX84" s="33" t="n"/>
      <c r="KY84" s="33" t="n"/>
      <c r="KZ84" s="33" t="n"/>
      <c r="LA84" s="33" t="n"/>
      <c r="LB84" s="33" t="n"/>
      <c r="LC84" s="33" t="n"/>
      <c r="LD84" s="33" t="n"/>
      <c r="LE84" s="33" t="n"/>
      <c r="LF84" s="33" t="n"/>
      <c r="LG84" s="33" t="n"/>
      <c r="LH84" s="33" t="n"/>
      <c r="LI84" s="33" t="n"/>
      <c r="LJ84" s="33" t="n"/>
      <c r="LK84" s="33" t="n"/>
      <c r="LL84" s="33" t="n"/>
      <c r="LM84" s="33" t="n"/>
      <c r="LN84" s="33" t="n"/>
      <c r="LO84" s="33" t="n"/>
      <c r="LP84" s="33" t="n"/>
      <c r="LQ84" s="33" t="n"/>
      <c r="LR84" s="33" t="n"/>
      <c r="LS84" s="33" t="n"/>
      <c r="LT84" s="33" t="n"/>
      <c r="LU84" s="33" t="n"/>
      <c r="LV84" s="33" t="n"/>
      <c r="LW84" s="33" t="n"/>
      <c r="LX84" s="33" t="n"/>
      <c r="LY84" s="33" t="n"/>
      <c r="LZ84" s="33" t="n"/>
      <c r="MA84" s="33" t="n"/>
      <c r="MB84" s="33" t="n"/>
      <c r="MC84" s="33" t="n"/>
      <c r="MD84" s="33" t="n"/>
      <c r="ME84" s="33" t="n"/>
      <c r="MF84" s="33" t="n"/>
      <c r="MG84" s="33" t="n"/>
      <c r="MH84" s="33" t="n"/>
      <c r="MI84" s="33" t="n"/>
      <c r="MJ84" s="33" t="n"/>
      <c r="MK84" s="33" t="n"/>
      <c r="ML84" s="33" t="n"/>
      <c r="MM84" s="33" t="n"/>
      <c r="MN84" s="33" t="n"/>
      <c r="MO84" s="33" t="n"/>
      <c r="MP84" s="33" t="n"/>
      <c r="MQ84" s="33" t="n"/>
      <c r="MR84" s="33" t="n"/>
      <c r="MS84" s="33" t="n"/>
      <c r="MT84" s="33" t="n"/>
      <c r="MU84" s="33" t="n"/>
      <c r="MV84" s="33" t="n"/>
      <c r="MW84" s="33" t="n"/>
      <c r="MX84" s="33" t="n"/>
      <c r="MY84" s="33" t="n"/>
      <c r="MZ84" s="33" t="n"/>
      <c r="NA84" s="33" t="n"/>
      <c r="NB84" s="33" t="n"/>
      <c r="NC84" s="33" t="n"/>
      <c r="ND84" s="33" t="n"/>
      <c r="NE84" s="33" t="n"/>
      <c r="NF84" s="33" t="n"/>
      <c r="NG84" s="33" t="n"/>
      <c r="NH84" s="33" t="n"/>
      <c r="NI84" s="33" t="n"/>
      <c r="NJ84" s="33" t="n"/>
      <c r="NK84" s="33" t="n"/>
      <c r="NL84" s="33" t="n"/>
      <c r="NM84" s="33" t="n"/>
      <c r="NN84" s="33" t="n"/>
      <c r="NO84" s="33" t="n"/>
      <c r="NP84" s="33" t="n"/>
      <c r="NQ84" s="33" t="n"/>
      <c r="NR84" s="33" t="n"/>
      <c r="NS84" s="33" t="n"/>
      <c r="NT84" s="33" t="n"/>
      <c r="NU84" s="33" t="n"/>
      <c r="NV84" s="33" t="n"/>
      <c r="NW84" s="33" t="n"/>
      <c r="NX84" s="33" t="n"/>
      <c r="NY84" s="33" t="n"/>
      <c r="NZ84" s="33" t="n"/>
      <c r="OA84" s="33" t="n"/>
      <c r="OB84" s="33" t="n"/>
      <c r="OC84" s="33" t="n"/>
      <c r="OD84" s="33" t="n"/>
      <c r="OE84" s="33" t="n"/>
      <c r="OF84" s="33" t="n"/>
      <c r="OG84" s="33" t="n"/>
      <c r="OH84" s="33" t="n"/>
      <c r="OI84" s="33" t="n"/>
      <c r="OJ84" s="33" t="n"/>
      <c r="OK84" s="33" t="n"/>
      <c r="OL84" s="33" t="n"/>
      <c r="OM84" s="33" t="n"/>
      <c r="ON84" s="33" t="n"/>
      <c r="OO84" s="33" t="n"/>
      <c r="OP84" s="33" t="n"/>
      <c r="OQ84" s="33" t="n"/>
      <c r="OR84" s="33" t="n"/>
      <c r="OS84" s="33" t="n"/>
      <c r="OT84" s="33" t="n"/>
      <c r="OU84" s="33" t="n"/>
      <c r="OV84" s="33" t="n"/>
      <c r="OW84" s="33" t="n"/>
      <c r="OX84" s="33" t="n"/>
      <c r="OY84" s="33" t="n"/>
      <c r="OZ84" s="33" t="n"/>
      <c r="PA84" s="33" t="n"/>
      <c r="PB84" s="33" t="n"/>
      <c r="PC84" s="33" t="n"/>
      <c r="PD84" s="33" t="n"/>
      <c r="PE84" s="33" t="n"/>
      <c r="PF84" s="33" t="n"/>
      <c r="PG84" s="33" t="n"/>
      <c r="PH84" s="33" t="n"/>
      <c r="PI84" s="33" t="n"/>
      <c r="PJ84" s="33" t="n"/>
      <c r="PK84" s="33" t="n"/>
      <c r="PL84" s="33" t="n"/>
      <c r="PM84" s="33" t="n"/>
      <c r="PN84" s="33" t="n"/>
      <c r="PO84" s="33" t="n"/>
      <c r="PP84" s="33" t="n"/>
      <c r="PQ84" s="33" t="n"/>
      <c r="PR84" s="33" t="n"/>
      <c r="PS84" s="33" t="n"/>
      <c r="PT84" s="33" t="n"/>
      <c r="PU84" s="33" t="n"/>
      <c r="PV84" s="33" t="n"/>
      <c r="PW84" s="33" t="n"/>
      <c r="PX84" s="33" t="n"/>
      <c r="PY84" s="33" t="n"/>
      <c r="PZ84" s="33" t="n"/>
      <c r="QA84" s="33" t="n"/>
      <c r="QB84" s="33" t="n"/>
      <c r="QC84" s="33" t="n"/>
      <c r="QD84" s="33" t="n"/>
      <c r="QE84" s="33" t="n"/>
      <c r="QF84" s="33" t="n"/>
      <c r="QG84" s="33" t="n"/>
      <c r="QH84" s="33" t="n"/>
      <c r="QI84" s="33" t="n"/>
      <c r="QJ84" s="33" t="n"/>
      <c r="QK84" s="33" t="n"/>
      <c r="QL84" s="33" t="n"/>
      <c r="QM84" s="33" t="n"/>
      <c r="QN84" s="33" t="n"/>
      <c r="QO84" s="33" t="n"/>
      <c r="QP84" s="33" t="n"/>
      <c r="QQ84" s="33" t="n"/>
      <c r="QR84" s="33" t="n"/>
      <c r="QS84" s="33" t="n"/>
      <c r="QT84" s="33" t="n"/>
      <c r="QU84" s="33" t="n"/>
      <c r="QV84" s="33" t="n"/>
      <c r="QW84" s="33" t="n"/>
      <c r="QX84" s="33" t="n"/>
      <c r="QY84" s="33" t="n"/>
      <c r="QZ84" s="33" t="n"/>
      <c r="RA84" s="33" t="n"/>
      <c r="RB84" s="33" t="n"/>
      <c r="RC84" s="33" t="n"/>
      <c r="RD84" s="33" t="n"/>
      <c r="RE84" s="33" t="n"/>
      <c r="RF84" s="33" t="n"/>
      <c r="RG84" s="33" t="n"/>
      <c r="RH84" s="33" t="n"/>
      <c r="RI84" s="33" t="n"/>
      <c r="RJ84" s="33" t="n"/>
      <c r="RK84" s="33" t="n"/>
      <c r="RL84" s="33" t="n"/>
      <c r="RM84" s="33" t="n"/>
      <c r="RN84" s="33" t="n"/>
      <c r="RO84" s="33" t="n"/>
      <c r="RP84" s="33" t="n"/>
      <c r="RQ84" s="33" t="n"/>
      <c r="RR84" s="33" t="n"/>
      <c r="RS84" s="33" t="n"/>
      <c r="RT84" s="33" t="n"/>
      <c r="RU84" s="33" t="n"/>
      <c r="RV84" s="33" t="n"/>
      <c r="RW84" s="33" t="n"/>
    </row>
    <row r="85" hidden="1" outlineLevel="1" ht="13.05" customHeight="1">
      <c r="E85" s="25" t="inlineStr">
        <is>
          <t>Closing Balance</t>
        </is>
      </c>
      <c r="F85" s="26" t="n"/>
      <c r="G85" s="26" t="inlineStr">
        <is>
          <t>kEUR</t>
        </is>
      </c>
      <c r="H85" s="26" t="n"/>
      <c r="I85" s="26" t="n"/>
      <c r="J85" s="27" t="n"/>
      <c r="K85" s="26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  <c r="AP85" s="28" t="n"/>
      <c r="AQ85" s="28" t="n"/>
      <c r="AR85" s="28" t="n"/>
      <c r="AS85" s="28" t="n"/>
      <c r="AT85" s="28" t="n"/>
      <c r="AU85" s="28" t="n"/>
      <c r="AV85" s="28" t="n"/>
      <c r="AW85" s="28" t="n"/>
      <c r="AX85" s="28" t="n"/>
      <c r="AY85" s="28" t="n"/>
      <c r="AZ85" s="28" t="n"/>
      <c r="BA85" s="28" t="n"/>
      <c r="BB85" s="28" t="n"/>
      <c r="BC85" s="28" t="n"/>
      <c r="BD85" s="28" t="n"/>
      <c r="BE85" s="28" t="n"/>
      <c r="BF85" s="28" t="n"/>
      <c r="BG85" s="28" t="n"/>
      <c r="BH85" s="28" t="n"/>
      <c r="BI85" s="28" t="n"/>
      <c r="BJ85" s="28" t="n"/>
      <c r="BK85" s="28" t="n"/>
      <c r="BL85" s="28" t="n"/>
      <c r="BM85" s="28" t="n"/>
      <c r="BN85" s="28" t="n"/>
      <c r="BO85" s="28" t="n"/>
      <c r="BP85" s="28" t="n"/>
      <c r="BQ85" s="28" t="n"/>
      <c r="BR85" s="28" t="n"/>
      <c r="BS85" s="28" t="n"/>
      <c r="BT85" s="28" t="n"/>
      <c r="BU85" s="28" t="n"/>
      <c r="BV85" s="28" t="n"/>
      <c r="BW85" s="28" t="n"/>
      <c r="BX85" s="28" t="n"/>
      <c r="BY85" s="28" t="n"/>
      <c r="BZ85" s="28" t="n"/>
      <c r="CA85" s="28" t="n"/>
      <c r="CB85" s="28" t="n"/>
      <c r="CC85" s="28" t="n"/>
      <c r="CD85" s="28" t="n"/>
      <c r="CE85" s="28" t="n"/>
      <c r="CF85" s="28" t="n"/>
      <c r="CG85" s="28" t="n"/>
      <c r="CH85" s="28" t="n"/>
      <c r="CI85" s="28" t="n"/>
      <c r="CJ85" s="28" t="n"/>
      <c r="CK85" s="28" t="n"/>
      <c r="CL85" s="28" t="n"/>
      <c r="CM85" s="28" t="n"/>
      <c r="CN85" s="28" t="n"/>
      <c r="CO85" s="28" t="n"/>
      <c r="CP85" s="28" t="n"/>
      <c r="CQ85" s="28" t="n"/>
      <c r="CR85" s="28" t="n"/>
      <c r="CS85" s="28" t="n"/>
      <c r="CT85" s="28" t="n"/>
      <c r="CU85" s="28" t="n"/>
      <c r="CV85" s="28" t="n"/>
      <c r="CW85" s="28" t="n"/>
      <c r="CX85" s="28" t="n"/>
      <c r="CY85" s="28" t="n"/>
      <c r="CZ85" s="28" t="n"/>
      <c r="DA85" s="28" t="n"/>
      <c r="DB85" s="28" t="n"/>
      <c r="DC85" s="28" t="n"/>
      <c r="DD85" s="28" t="n"/>
      <c r="DE85" s="28" t="n"/>
      <c r="DF85" s="28" t="n"/>
      <c r="DG85" s="28" t="n"/>
      <c r="DH85" s="28" t="n"/>
      <c r="DI85" s="28" t="n"/>
      <c r="DJ85" s="28" t="n"/>
      <c r="DK85" s="28" t="n"/>
      <c r="DL85" s="28" t="n"/>
      <c r="DM85" s="28" t="n"/>
      <c r="DN85" s="28" t="n"/>
      <c r="DO85" s="28" t="n"/>
      <c r="DP85" s="28" t="n"/>
      <c r="DQ85" s="28" t="n"/>
      <c r="DR85" s="28" t="n"/>
      <c r="DS85" s="28" t="n"/>
      <c r="DT85" s="28" t="n"/>
      <c r="DU85" s="28" t="n"/>
      <c r="DV85" s="28" t="n"/>
      <c r="DW85" s="28" t="n"/>
      <c r="DX85" s="28" t="n"/>
      <c r="DY85" s="28" t="n"/>
      <c r="DZ85" s="28" t="n"/>
      <c r="EA85" s="28" t="n"/>
      <c r="EB85" s="28" t="n"/>
      <c r="EC85" s="28" t="n"/>
      <c r="ED85" s="28" t="n"/>
      <c r="EE85" s="28" t="n"/>
      <c r="EF85" s="28" t="n"/>
      <c r="EG85" s="28" t="n"/>
      <c r="EH85" s="28" t="n"/>
      <c r="EI85" s="28" t="n"/>
      <c r="EJ85" s="28" t="n"/>
      <c r="EK85" s="28" t="n"/>
      <c r="EL85" s="28" t="n"/>
      <c r="EM85" s="28" t="n"/>
      <c r="EN85" s="28" t="n"/>
      <c r="EO85" s="28" t="n"/>
      <c r="EP85" s="28" t="n"/>
      <c r="EQ85" s="28" t="n"/>
      <c r="ER85" s="28" t="n"/>
      <c r="ES85" s="28" t="n"/>
      <c r="ET85" s="28" t="n"/>
      <c r="EU85" s="28" t="n"/>
      <c r="EV85" s="28" t="n"/>
      <c r="EW85" s="28" t="n"/>
      <c r="EX85" s="28" t="n"/>
      <c r="EY85" s="28" t="n"/>
      <c r="EZ85" s="28" t="n"/>
      <c r="FA85" s="28" t="n"/>
      <c r="FB85" s="28" t="n"/>
      <c r="FC85" s="28" t="n"/>
      <c r="FD85" s="28" t="n"/>
      <c r="FE85" s="28" t="n"/>
      <c r="FF85" s="28" t="n"/>
      <c r="FG85" s="28" t="n"/>
      <c r="FH85" s="28" t="n"/>
      <c r="FI85" s="28" t="n"/>
      <c r="FJ85" s="28" t="n"/>
      <c r="FK85" s="28" t="n"/>
      <c r="FL85" s="28" t="n"/>
      <c r="FM85" s="28" t="n"/>
      <c r="FN85" s="28" t="n"/>
      <c r="FO85" s="28" t="n"/>
      <c r="FP85" s="28" t="n"/>
      <c r="FQ85" s="28" t="n"/>
      <c r="FR85" s="28" t="n"/>
      <c r="FS85" s="28" t="n"/>
      <c r="FT85" s="28" t="n"/>
      <c r="FU85" s="28" t="n"/>
      <c r="FV85" s="28" t="n"/>
      <c r="FW85" s="28" t="n"/>
      <c r="FX85" s="28" t="n"/>
      <c r="FY85" s="28" t="n"/>
      <c r="FZ85" s="28" t="n"/>
      <c r="GA85" s="28" t="n"/>
      <c r="GB85" s="28" t="n"/>
      <c r="GC85" s="28" t="n"/>
      <c r="GD85" s="28" t="n"/>
      <c r="GE85" s="28" t="n"/>
      <c r="GF85" s="28" t="n"/>
      <c r="GG85" s="28" t="n"/>
      <c r="GH85" s="28" t="n"/>
      <c r="GI85" s="28" t="n"/>
      <c r="GJ85" s="28" t="n"/>
      <c r="GK85" s="28" t="n"/>
      <c r="GL85" s="28" t="n"/>
      <c r="GM85" s="28" t="n"/>
      <c r="GN85" s="28" t="n"/>
      <c r="GO85" s="28" t="n"/>
      <c r="GP85" s="28" t="n"/>
      <c r="GQ85" s="28" t="n"/>
      <c r="GR85" s="28" t="n"/>
      <c r="GS85" s="28" t="n"/>
      <c r="GT85" s="28" t="n"/>
      <c r="GU85" s="28" t="n"/>
      <c r="GV85" s="28" t="n"/>
      <c r="GW85" s="28" t="n"/>
      <c r="GX85" s="28" t="n"/>
      <c r="GY85" s="28" t="n"/>
      <c r="GZ85" s="28" t="n"/>
      <c r="HA85" s="28" t="n"/>
      <c r="HB85" s="28" t="n"/>
      <c r="HC85" s="28" t="n"/>
      <c r="HD85" s="28" t="n"/>
      <c r="HE85" s="28" t="n"/>
      <c r="HF85" s="28" t="n"/>
      <c r="HG85" s="28" t="n"/>
      <c r="HH85" s="28" t="n"/>
      <c r="HI85" s="28" t="n"/>
      <c r="HJ85" s="28" t="n"/>
      <c r="HK85" s="28" t="n"/>
      <c r="HL85" s="28" t="n"/>
      <c r="HM85" s="28" t="n"/>
      <c r="HN85" s="28" t="n"/>
      <c r="HO85" s="28" t="n"/>
      <c r="HP85" s="28" t="n"/>
      <c r="HQ85" s="28" t="n"/>
      <c r="HR85" s="28" t="n"/>
      <c r="HS85" s="28" t="n"/>
      <c r="HT85" s="28" t="n"/>
      <c r="HU85" s="28" t="n"/>
      <c r="HV85" s="28" t="n"/>
      <c r="HW85" s="28" t="n"/>
      <c r="HX85" s="28" t="n"/>
      <c r="HY85" s="28" t="n"/>
      <c r="HZ85" s="28" t="n"/>
      <c r="IA85" s="28" t="n"/>
      <c r="IB85" s="28" t="n"/>
      <c r="IC85" s="28" t="n"/>
      <c r="ID85" s="28" t="n"/>
      <c r="IE85" s="28" t="n"/>
      <c r="IF85" s="28" t="n"/>
      <c r="IG85" s="28" t="n"/>
      <c r="IH85" s="28" t="n"/>
      <c r="II85" s="28" t="n"/>
      <c r="IJ85" s="28" t="n"/>
      <c r="IK85" s="28" t="n"/>
      <c r="IL85" s="28" t="n"/>
      <c r="IM85" s="28" t="n"/>
      <c r="IN85" s="28" t="n"/>
      <c r="IO85" s="28" t="n"/>
      <c r="IP85" s="28" t="n"/>
      <c r="IQ85" s="28" t="n"/>
      <c r="IR85" s="28" t="n"/>
      <c r="IS85" s="28" t="n"/>
      <c r="IT85" s="28" t="n"/>
      <c r="IU85" s="28" t="n"/>
      <c r="IV85" s="28" t="n"/>
      <c r="IW85" s="28" t="n"/>
      <c r="IX85" s="28" t="n"/>
      <c r="IY85" s="28" t="n"/>
      <c r="IZ85" s="28" t="n"/>
      <c r="JA85" s="28" t="n"/>
      <c r="JB85" s="28" t="n"/>
      <c r="JC85" s="28" t="n"/>
      <c r="JD85" s="28" t="n"/>
      <c r="JE85" s="28" t="n"/>
      <c r="JF85" s="28" t="n"/>
      <c r="JG85" s="28" t="n"/>
      <c r="JH85" s="28" t="n"/>
      <c r="JI85" s="28" t="n"/>
      <c r="JJ85" s="28" t="n"/>
      <c r="JK85" s="28" t="n"/>
      <c r="JL85" s="28" t="n"/>
      <c r="JM85" s="28" t="n"/>
      <c r="JN85" s="28" t="n"/>
      <c r="JO85" s="28" t="n"/>
      <c r="JP85" s="28" t="n"/>
      <c r="JQ85" s="28" t="n"/>
      <c r="JR85" s="28" t="n"/>
      <c r="JS85" s="28" t="n"/>
      <c r="JT85" s="28" t="n"/>
      <c r="JU85" s="28" t="n"/>
      <c r="JV85" s="28" t="n"/>
      <c r="JW85" s="28" t="n"/>
      <c r="JX85" s="28" t="n"/>
      <c r="JY85" s="28" t="n"/>
      <c r="JZ85" s="28" t="n"/>
      <c r="KA85" s="28" t="n"/>
      <c r="KB85" s="28" t="n"/>
      <c r="KC85" s="28" t="n"/>
      <c r="KD85" s="28" t="n"/>
      <c r="KE85" s="28" t="n"/>
      <c r="KF85" s="28" t="n"/>
      <c r="KG85" s="28" t="n"/>
      <c r="KH85" s="28" t="n"/>
      <c r="KI85" s="28" t="n"/>
      <c r="KJ85" s="28" t="n"/>
      <c r="KK85" s="28" t="n"/>
      <c r="KL85" s="28" t="n"/>
      <c r="KM85" s="28" t="n"/>
      <c r="KN85" s="28" t="n"/>
      <c r="KO85" s="28" t="n"/>
      <c r="KP85" s="28" t="n"/>
      <c r="KQ85" s="28" t="n"/>
      <c r="KR85" s="28" t="n"/>
      <c r="KS85" s="28" t="n"/>
      <c r="KT85" s="28" t="n"/>
      <c r="KU85" s="28" t="n"/>
      <c r="KV85" s="28" t="n"/>
      <c r="KW85" s="28" t="n"/>
      <c r="KX85" s="28" t="n"/>
      <c r="KY85" s="28" t="n"/>
      <c r="KZ85" s="28" t="n"/>
      <c r="LA85" s="28" t="n"/>
      <c r="LB85" s="28" t="n"/>
      <c r="LC85" s="28" t="n"/>
      <c r="LD85" s="28" t="n"/>
      <c r="LE85" s="28" t="n"/>
      <c r="LF85" s="28" t="n"/>
      <c r="LG85" s="28" t="n"/>
      <c r="LH85" s="28" t="n"/>
      <c r="LI85" s="28" t="n"/>
      <c r="LJ85" s="28" t="n"/>
      <c r="LK85" s="28" t="n"/>
      <c r="LL85" s="28" t="n"/>
      <c r="LM85" s="28" t="n"/>
      <c r="LN85" s="28" t="n"/>
      <c r="LO85" s="28" t="n"/>
      <c r="LP85" s="28" t="n"/>
      <c r="LQ85" s="28" t="n"/>
      <c r="LR85" s="28" t="n"/>
      <c r="LS85" s="28" t="n"/>
      <c r="LT85" s="28" t="n"/>
      <c r="LU85" s="28" t="n"/>
      <c r="LV85" s="28" t="n"/>
      <c r="LW85" s="28" t="n"/>
      <c r="LX85" s="28" t="n"/>
      <c r="LY85" s="28" t="n"/>
      <c r="LZ85" s="28" t="n"/>
      <c r="MA85" s="28" t="n"/>
      <c r="MB85" s="28" t="n"/>
      <c r="MC85" s="28" t="n"/>
      <c r="MD85" s="28" t="n"/>
      <c r="ME85" s="28" t="n"/>
      <c r="MF85" s="28" t="n"/>
      <c r="MG85" s="28" t="n"/>
      <c r="MH85" s="28" t="n"/>
      <c r="MI85" s="28" t="n"/>
      <c r="MJ85" s="28" t="n"/>
      <c r="MK85" s="28" t="n"/>
      <c r="ML85" s="28" t="n"/>
      <c r="MM85" s="28" t="n"/>
      <c r="MN85" s="28" t="n"/>
      <c r="MO85" s="28" t="n"/>
      <c r="MP85" s="28" t="n"/>
      <c r="MQ85" s="28" t="n"/>
      <c r="MR85" s="28" t="n"/>
      <c r="MS85" s="28" t="n"/>
      <c r="MT85" s="28" t="n"/>
      <c r="MU85" s="28" t="n"/>
      <c r="MV85" s="28" t="n"/>
      <c r="MW85" s="28" t="n"/>
      <c r="MX85" s="28" t="n"/>
      <c r="MY85" s="28" t="n"/>
      <c r="MZ85" s="28" t="n"/>
      <c r="NA85" s="28" t="n"/>
      <c r="NB85" s="28" t="n"/>
      <c r="NC85" s="28" t="n"/>
      <c r="ND85" s="28" t="n"/>
      <c r="NE85" s="28" t="n"/>
      <c r="NF85" s="28" t="n"/>
      <c r="NG85" s="28" t="n"/>
      <c r="NH85" s="28" t="n"/>
      <c r="NI85" s="28" t="n"/>
      <c r="NJ85" s="28" t="n"/>
      <c r="NK85" s="28" t="n"/>
      <c r="NL85" s="28" t="n"/>
      <c r="NM85" s="28" t="n"/>
      <c r="NN85" s="28" t="n"/>
      <c r="NO85" s="28" t="n"/>
      <c r="NP85" s="28" t="n"/>
      <c r="NQ85" s="28" t="n"/>
      <c r="NR85" s="28" t="n"/>
      <c r="NS85" s="28" t="n"/>
      <c r="NT85" s="28" t="n"/>
      <c r="NU85" s="28" t="n"/>
      <c r="NV85" s="28" t="n"/>
      <c r="NW85" s="28" t="n"/>
      <c r="NX85" s="28" t="n"/>
      <c r="NY85" s="28" t="n"/>
      <c r="NZ85" s="28" t="n"/>
      <c r="OA85" s="28" t="n"/>
      <c r="OB85" s="28" t="n"/>
      <c r="OC85" s="28" t="n"/>
      <c r="OD85" s="28" t="n"/>
      <c r="OE85" s="28" t="n"/>
      <c r="OF85" s="28" t="n"/>
      <c r="OG85" s="28" t="n"/>
      <c r="OH85" s="28" t="n"/>
      <c r="OI85" s="28" t="n"/>
      <c r="OJ85" s="28" t="n"/>
      <c r="OK85" s="28" t="n"/>
      <c r="OL85" s="28" t="n"/>
      <c r="OM85" s="28" t="n"/>
      <c r="ON85" s="28" t="n"/>
      <c r="OO85" s="28" t="n"/>
      <c r="OP85" s="28" t="n"/>
      <c r="OQ85" s="28" t="n"/>
      <c r="OR85" s="28" t="n"/>
      <c r="OS85" s="28" t="n"/>
      <c r="OT85" s="28" t="n"/>
      <c r="OU85" s="28" t="n"/>
      <c r="OV85" s="28" t="n"/>
      <c r="OW85" s="28" t="n"/>
      <c r="OX85" s="28" t="n"/>
      <c r="OY85" s="28" t="n"/>
      <c r="OZ85" s="28" t="n"/>
      <c r="PA85" s="28" t="n"/>
      <c r="PB85" s="28" t="n"/>
      <c r="PC85" s="28" t="n"/>
      <c r="PD85" s="28" t="n"/>
      <c r="PE85" s="28" t="n"/>
      <c r="PF85" s="28" t="n"/>
      <c r="PG85" s="28" t="n"/>
      <c r="PH85" s="28" t="n"/>
      <c r="PI85" s="28" t="n"/>
      <c r="PJ85" s="28" t="n"/>
      <c r="PK85" s="28" t="n"/>
      <c r="PL85" s="28" t="n"/>
      <c r="PM85" s="28" t="n"/>
      <c r="PN85" s="28" t="n"/>
      <c r="PO85" s="28" t="n"/>
      <c r="PP85" s="28" t="n"/>
      <c r="PQ85" s="28" t="n"/>
      <c r="PR85" s="28" t="n"/>
      <c r="PS85" s="28" t="n"/>
      <c r="PT85" s="28" t="n"/>
      <c r="PU85" s="28" t="n"/>
      <c r="PV85" s="28" t="n"/>
      <c r="PW85" s="28" t="n"/>
      <c r="PX85" s="28" t="n"/>
      <c r="PY85" s="28" t="n"/>
      <c r="PZ85" s="28" t="n"/>
      <c r="QA85" s="28" t="n"/>
      <c r="QB85" s="28" t="n"/>
      <c r="QC85" s="28" t="n"/>
      <c r="QD85" s="28" t="n"/>
      <c r="QE85" s="28" t="n"/>
      <c r="QF85" s="28" t="n"/>
      <c r="QG85" s="28" t="n"/>
      <c r="QH85" s="28" t="n"/>
      <c r="QI85" s="28" t="n"/>
      <c r="QJ85" s="28" t="n"/>
      <c r="QK85" s="28" t="n"/>
      <c r="QL85" s="28" t="n"/>
      <c r="QM85" s="28" t="n"/>
      <c r="QN85" s="28" t="n"/>
      <c r="QO85" s="28" t="n"/>
      <c r="QP85" s="28" t="n"/>
      <c r="QQ85" s="28" t="n"/>
      <c r="QR85" s="28" t="n"/>
      <c r="QS85" s="28" t="n"/>
      <c r="QT85" s="28" t="n"/>
      <c r="QU85" s="28" t="n"/>
      <c r="QV85" s="28" t="n"/>
      <c r="QW85" s="28" t="n"/>
      <c r="QX85" s="28" t="n"/>
      <c r="QY85" s="28" t="n"/>
      <c r="QZ85" s="28" t="n"/>
      <c r="RA85" s="28" t="n"/>
      <c r="RB85" s="28" t="n"/>
      <c r="RC85" s="28" t="n"/>
      <c r="RD85" s="28" t="n"/>
      <c r="RE85" s="28" t="n"/>
      <c r="RF85" s="28" t="n"/>
      <c r="RG85" s="28" t="n"/>
      <c r="RH85" s="28" t="n"/>
      <c r="RI85" s="28" t="n"/>
      <c r="RJ85" s="28" t="n"/>
      <c r="RK85" s="28" t="n"/>
      <c r="RL85" s="28" t="n"/>
      <c r="RM85" s="28" t="n"/>
      <c r="RN85" s="28" t="n"/>
      <c r="RO85" s="28" t="n"/>
      <c r="RP85" s="28" t="n"/>
      <c r="RQ85" s="28" t="n"/>
      <c r="RR85" s="28" t="n"/>
      <c r="RS85" s="28" t="n"/>
      <c r="RT85" s="28" t="n"/>
      <c r="RU85" s="28" t="n"/>
      <c r="RV85" s="28" t="n"/>
      <c r="RW85" s="28" t="n"/>
    </row>
    <row r="86" hidden="1" outlineLevel="1" ht="13.05" customHeight="1">
      <c r="E86" s="25" t="inlineStr">
        <is>
          <t>Interest</t>
        </is>
      </c>
      <c r="F86" s="26" t="n"/>
      <c r="G86" s="26" t="inlineStr">
        <is>
          <t>kEUR</t>
        </is>
      </c>
      <c r="H86" s="26" t="n"/>
      <c r="I86" s="26" t="n"/>
      <c r="J86" s="27" t="n"/>
      <c r="K86" s="26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  <c r="AP86" s="28" t="n"/>
      <c r="AQ86" s="28" t="n"/>
      <c r="AR86" s="28" t="n"/>
      <c r="AS86" s="28" t="n"/>
      <c r="AT86" s="28" t="n"/>
      <c r="AU86" s="28" t="n"/>
      <c r="AV86" s="28" t="n"/>
      <c r="AW86" s="28" t="n"/>
      <c r="AX86" s="28" t="n"/>
      <c r="AY86" s="28" t="n"/>
      <c r="AZ86" s="28" t="n"/>
      <c r="BA86" s="28" t="n"/>
      <c r="BB86" s="28" t="n"/>
      <c r="BC86" s="28" t="n"/>
      <c r="BD86" s="28" t="n"/>
      <c r="BE86" s="28" t="n"/>
      <c r="BF86" s="28" t="n"/>
      <c r="BG86" s="28" t="n"/>
      <c r="BH86" s="28" t="n"/>
      <c r="BI86" s="28" t="n"/>
      <c r="BJ86" s="28" t="n"/>
      <c r="BK86" s="28" t="n"/>
      <c r="BL86" s="28" t="n"/>
      <c r="BM86" s="28" t="n"/>
      <c r="BN86" s="28" t="n"/>
      <c r="BO86" s="28" t="n"/>
      <c r="BP86" s="28" t="n"/>
      <c r="BQ86" s="28" t="n"/>
      <c r="BR86" s="28" t="n"/>
      <c r="BS86" s="28" t="n"/>
      <c r="BT86" s="28" t="n"/>
      <c r="BU86" s="28" t="n"/>
      <c r="BV86" s="28" t="n"/>
      <c r="BW86" s="28" t="n"/>
      <c r="BX86" s="28" t="n"/>
      <c r="BY86" s="28" t="n"/>
      <c r="BZ86" s="28" t="n"/>
      <c r="CA86" s="28" t="n"/>
      <c r="CB86" s="28" t="n"/>
      <c r="CC86" s="28" t="n"/>
      <c r="CD86" s="28" t="n"/>
      <c r="CE86" s="28" t="n"/>
      <c r="CF86" s="28" t="n"/>
      <c r="CG86" s="28" t="n"/>
      <c r="CH86" s="28" t="n"/>
      <c r="CI86" s="28" t="n"/>
      <c r="CJ86" s="28" t="n"/>
      <c r="CK86" s="28" t="n"/>
      <c r="CL86" s="28" t="n"/>
      <c r="CM86" s="28" t="n"/>
      <c r="CN86" s="28" t="n"/>
      <c r="CO86" s="28" t="n"/>
      <c r="CP86" s="28" t="n"/>
      <c r="CQ86" s="28" t="n"/>
      <c r="CR86" s="28" t="n"/>
      <c r="CS86" s="28" t="n"/>
      <c r="CT86" s="28" t="n"/>
      <c r="CU86" s="28" t="n"/>
      <c r="CV86" s="28" t="n"/>
      <c r="CW86" s="28" t="n"/>
      <c r="CX86" s="28" t="n"/>
      <c r="CY86" s="28" t="n"/>
      <c r="CZ86" s="28" t="n"/>
      <c r="DA86" s="28" t="n"/>
      <c r="DB86" s="28" t="n"/>
      <c r="DC86" s="28" t="n"/>
      <c r="DD86" s="28" t="n"/>
      <c r="DE86" s="28" t="n"/>
      <c r="DF86" s="28" t="n"/>
      <c r="DG86" s="28" t="n"/>
      <c r="DH86" s="28" t="n"/>
      <c r="DI86" s="28" t="n"/>
      <c r="DJ86" s="28" t="n"/>
      <c r="DK86" s="28" t="n"/>
      <c r="DL86" s="28" t="n"/>
      <c r="DM86" s="28" t="n"/>
      <c r="DN86" s="28" t="n"/>
      <c r="DO86" s="28" t="n"/>
      <c r="DP86" s="28" t="n"/>
      <c r="DQ86" s="28" t="n"/>
      <c r="DR86" s="28" t="n"/>
      <c r="DS86" s="28" t="n"/>
      <c r="DT86" s="28" t="n"/>
      <c r="DU86" s="28" t="n"/>
      <c r="DV86" s="28" t="n"/>
      <c r="DW86" s="28" t="n"/>
      <c r="DX86" s="28" t="n"/>
      <c r="DY86" s="28" t="n"/>
      <c r="DZ86" s="28" t="n"/>
      <c r="EA86" s="28" t="n"/>
      <c r="EB86" s="28" t="n"/>
      <c r="EC86" s="28" t="n"/>
      <c r="ED86" s="28" t="n"/>
      <c r="EE86" s="28" t="n"/>
      <c r="EF86" s="28" t="n"/>
      <c r="EG86" s="28" t="n"/>
      <c r="EH86" s="28" t="n"/>
      <c r="EI86" s="28" t="n"/>
      <c r="EJ86" s="28" t="n"/>
      <c r="EK86" s="28" t="n"/>
      <c r="EL86" s="28" t="n"/>
      <c r="EM86" s="28" t="n"/>
      <c r="EN86" s="28" t="n"/>
      <c r="EO86" s="28" t="n"/>
      <c r="EP86" s="28" t="n"/>
      <c r="EQ86" s="28" t="n"/>
      <c r="ER86" s="28" t="n"/>
      <c r="ES86" s="28" t="n"/>
      <c r="ET86" s="28" t="n"/>
      <c r="EU86" s="28" t="n"/>
      <c r="EV86" s="28" t="n"/>
      <c r="EW86" s="28" t="n"/>
      <c r="EX86" s="28" t="n"/>
      <c r="EY86" s="28" t="n"/>
      <c r="EZ86" s="28" t="n"/>
      <c r="FA86" s="28" t="n"/>
      <c r="FB86" s="28" t="n"/>
      <c r="FC86" s="28" t="n"/>
      <c r="FD86" s="28" t="n"/>
      <c r="FE86" s="28" t="n"/>
      <c r="FF86" s="28" t="n"/>
      <c r="FG86" s="28" t="n"/>
      <c r="FH86" s="28" t="n"/>
      <c r="FI86" s="28" t="n"/>
      <c r="FJ86" s="28" t="n"/>
      <c r="FK86" s="28" t="n"/>
      <c r="FL86" s="28" t="n"/>
      <c r="FM86" s="28" t="n"/>
      <c r="FN86" s="28" t="n"/>
      <c r="FO86" s="28" t="n"/>
      <c r="FP86" s="28" t="n"/>
      <c r="FQ86" s="28" t="n"/>
      <c r="FR86" s="28" t="n"/>
      <c r="FS86" s="28" t="n"/>
      <c r="FT86" s="28" t="n"/>
      <c r="FU86" s="28" t="n"/>
      <c r="FV86" s="28" t="n"/>
      <c r="FW86" s="28" t="n"/>
      <c r="FX86" s="28" t="n"/>
      <c r="FY86" s="28" t="n"/>
      <c r="FZ86" s="28" t="n"/>
      <c r="GA86" s="28" t="n"/>
      <c r="GB86" s="28" t="n"/>
      <c r="GC86" s="28" t="n"/>
      <c r="GD86" s="28" t="n"/>
      <c r="GE86" s="28" t="n"/>
      <c r="GF86" s="28" t="n"/>
      <c r="GG86" s="28" t="n"/>
      <c r="GH86" s="28" t="n"/>
      <c r="GI86" s="28" t="n"/>
      <c r="GJ86" s="28" t="n"/>
      <c r="GK86" s="28" t="n"/>
      <c r="GL86" s="28" t="n"/>
      <c r="GM86" s="28" t="n"/>
      <c r="GN86" s="28" t="n"/>
      <c r="GO86" s="28" t="n"/>
      <c r="GP86" s="28" t="n"/>
      <c r="GQ86" s="28" t="n"/>
      <c r="GR86" s="28" t="n"/>
      <c r="GS86" s="28" t="n"/>
      <c r="GT86" s="28" t="n"/>
      <c r="GU86" s="28" t="n"/>
      <c r="GV86" s="28" t="n"/>
      <c r="GW86" s="28" t="n"/>
      <c r="GX86" s="28" t="n"/>
      <c r="GY86" s="28" t="n"/>
      <c r="GZ86" s="28" t="n"/>
      <c r="HA86" s="28" t="n"/>
      <c r="HB86" s="28" t="n"/>
      <c r="HC86" s="28" t="n"/>
      <c r="HD86" s="28" t="n"/>
      <c r="HE86" s="28" t="n"/>
      <c r="HF86" s="28" t="n"/>
      <c r="HG86" s="28" t="n"/>
      <c r="HH86" s="28" t="n"/>
      <c r="HI86" s="28" t="n"/>
      <c r="HJ86" s="28" t="n"/>
      <c r="HK86" s="28" t="n"/>
      <c r="HL86" s="28" t="n"/>
      <c r="HM86" s="28" t="n"/>
      <c r="HN86" s="28" t="n"/>
      <c r="HO86" s="28" t="n"/>
      <c r="HP86" s="28" t="n"/>
      <c r="HQ86" s="28" t="n"/>
      <c r="HR86" s="28" t="n"/>
      <c r="HS86" s="28" t="n"/>
      <c r="HT86" s="28" t="n"/>
      <c r="HU86" s="28" t="n"/>
      <c r="HV86" s="28" t="n"/>
      <c r="HW86" s="28" t="n"/>
      <c r="HX86" s="28" t="n"/>
      <c r="HY86" s="28" t="n"/>
      <c r="HZ86" s="28" t="n"/>
      <c r="IA86" s="28" t="n"/>
      <c r="IB86" s="28" t="n"/>
      <c r="IC86" s="28" t="n"/>
      <c r="ID86" s="28" t="n"/>
      <c r="IE86" s="28" t="n"/>
      <c r="IF86" s="28" t="n"/>
      <c r="IG86" s="28" t="n"/>
      <c r="IH86" s="28" t="n"/>
      <c r="II86" s="28" t="n"/>
      <c r="IJ86" s="28" t="n"/>
      <c r="IK86" s="28" t="n"/>
      <c r="IL86" s="28" t="n"/>
      <c r="IM86" s="28" t="n"/>
      <c r="IN86" s="28" t="n"/>
      <c r="IO86" s="28" t="n"/>
      <c r="IP86" s="28" t="n"/>
      <c r="IQ86" s="28" t="n"/>
      <c r="IR86" s="28" t="n"/>
      <c r="IS86" s="28" t="n"/>
      <c r="IT86" s="28" t="n"/>
      <c r="IU86" s="28" t="n"/>
      <c r="IV86" s="28" t="n"/>
      <c r="IW86" s="28" t="n"/>
      <c r="IX86" s="28" t="n"/>
      <c r="IY86" s="28" t="n"/>
      <c r="IZ86" s="28" t="n"/>
      <c r="JA86" s="28" t="n"/>
      <c r="JB86" s="28" t="n"/>
      <c r="JC86" s="28" t="n"/>
      <c r="JD86" s="28" t="n"/>
      <c r="JE86" s="28" t="n"/>
      <c r="JF86" s="28" t="n"/>
      <c r="JG86" s="28" t="n"/>
      <c r="JH86" s="28" t="n"/>
      <c r="JI86" s="28" t="n"/>
      <c r="JJ86" s="28" t="n"/>
      <c r="JK86" s="28" t="n"/>
      <c r="JL86" s="28" t="n"/>
      <c r="JM86" s="28" t="n"/>
      <c r="JN86" s="28" t="n"/>
      <c r="JO86" s="28" t="n"/>
      <c r="JP86" s="28" t="n"/>
      <c r="JQ86" s="28" t="n"/>
      <c r="JR86" s="28" t="n"/>
      <c r="JS86" s="28" t="n"/>
      <c r="JT86" s="28" t="n"/>
      <c r="JU86" s="28" t="n"/>
      <c r="JV86" s="28" t="n"/>
      <c r="JW86" s="28" t="n"/>
      <c r="JX86" s="28" t="n"/>
      <c r="JY86" s="28" t="n"/>
      <c r="JZ86" s="28" t="n"/>
      <c r="KA86" s="28" t="n"/>
      <c r="KB86" s="28" t="n"/>
      <c r="KC86" s="28" t="n"/>
      <c r="KD86" s="28" t="n"/>
      <c r="KE86" s="28" t="n"/>
      <c r="KF86" s="28" t="n"/>
      <c r="KG86" s="28" t="n"/>
      <c r="KH86" s="28" t="n"/>
      <c r="KI86" s="28" t="n"/>
      <c r="KJ86" s="28" t="n"/>
      <c r="KK86" s="28" t="n"/>
      <c r="KL86" s="28" t="n"/>
      <c r="KM86" s="28" t="n"/>
      <c r="KN86" s="28" t="n"/>
      <c r="KO86" s="28" t="n"/>
      <c r="KP86" s="28" t="n"/>
      <c r="KQ86" s="28" t="n"/>
      <c r="KR86" s="28" t="n"/>
      <c r="KS86" s="28" t="n"/>
      <c r="KT86" s="28" t="n"/>
      <c r="KU86" s="28" t="n"/>
      <c r="KV86" s="28" t="n"/>
      <c r="KW86" s="28" t="n"/>
      <c r="KX86" s="28" t="n"/>
      <c r="KY86" s="28" t="n"/>
      <c r="KZ86" s="28" t="n"/>
      <c r="LA86" s="28" t="n"/>
      <c r="LB86" s="28" t="n"/>
      <c r="LC86" s="28" t="n"/>
      <c r="LD86" s="28" t="n"/>
      <c r="LE86" s="28" t="n"/>
      <c r="LF86" s="28" t="n"/>
      <c r="LG86" s="28" t="n"/>
      <c r="LH86" s="28" t="n"/>
      <c r="LI86" s="28" t="n"/>
      <c r="LJ86" s="28" t="n"/>
      <c r="LK86" s="28" t="n"/>
      <c r="LL86" s="28" t="n"/>
      <c r="LM86" s="28" t="n"/>
      <c r="LN86" s="28" t="n"/>
      <c r="LO86" s="28" t="n"/>
      <c r="LP86" s="28" t="n"/>
      <c r="LQ86" s="28" t="n"/>
      <c r="LR86" s="28" t="n"/>
      <c r="LS86" s="28" t="n"/>
      <c r="LT86" s="28" t="n"/>
      <c r="LU86" s="28" t="n"/>
      <c r="LV86" s="28" t="n"/>
      <c r="LW86" s="28" t="n"/>
      <c r="LX86" s="28" t="n"/>
      <c r="LY86" s="28" t="n"/>
      <c r="LZ86" s="28" t="n"/>
      <c r="MA86" s="28" t="n"/>
      <c r="MB86" s="28" t="n"/>
      <c r="MC86" s="28" t="n"/>
      <c r="MD86" s="28" t="n"/>
      <c r="ME86" s="28" t="n"/>
      <c r="MF86" s="28" t="n"/>
      <c r="MG86" s="28" t="n"/>
      <c r="MH86" s="28" t="n"/>
      <c r="MI86" s="28" t="n"/>
      <c r="MJ86" s="28" t="n"/>
      <c r="MK86" s="28" t="n"/>
      <c r="ML86" s="28" t="n"/>
      <c r="MM86" s="28" t="n"/>
      <c r="MN86" s="28" t="n"/>
      <c r="MO86" s="28" t="n"/>
      <c r="MP86" s="28" t="n"/>
      <c r="MQ86" s="28" t="n"/>
      <c r="MR86" s="28" t="n"/>
      <c r="MS86" s="28" t="n"/>
      <c r="MT86" s="28" t="n"/>
      <c r="MU86" s="28" t="n"/>
      <c r="MV86" s="28" t="n"/>
      <c r="MW86" s="28" t="n"/>
      <c r="MX86" s="28" t="n"/>
      <c r="MY86" s="28" t="n"/>
      <c r="MZ86" s="28" t="n"/>
      <c r="NA86" s="28" t="n"/>
      <c r="NB86" s="28" t="n"/>
      <c r="NC86" s="28" t="n"/>
      <c r="ND86" s="28" t="n"/>
      <c r="NE86" s="28" t="n"/>
      <c r="NF86" s="28" t="n"/>
      <c r="NG86" s="28" t="n"/>
      <c r="NH86" s="28" t="n"/>
      <c r="NI86" s="28" t="n"/>
      <c r="NJ86" s="28" t="n"/>
      <c r="NK86" s="28" t="n"/>
      <c r="NL86" s="28" t="n"/>
      <c r="NM86" s="28" t="n"/>
      <c r="NN86" s="28" t="n"/>
      <c r="NO86" s="28" t="n"/>
      <c r="NP86" s="28" t="n"/>
      <c r="NQ86" s="28" t="n"/>
      <c r="NR86" s="28" t="n"/>
      <c r="NS86" s="28" t="n"/>
      <c r="NT86" s="28" t="n"/>
      <c r="NU86" s="28" t="n"/>
      <c r="NV86" s="28" t="n"/>
      <c r="NW86" s="28" t="n"/>
      <c r="NX86" s="28" t="n"/>
      <c r="NY86" s="28" t="n"/>
      <c r="NZ86" s="28" t="n"/>
      <c r="OA86" s="28" t="n"/>
      <c r="OB86" s="28" t="n"/>
      <c r="OC86" s="28" t="n"/>
      <c r="OD86" s="28" t="n"/>
      <c r="OE86" s="28" t="n"/>
      <c r="OF86" s="28" t="n"/>
      <c r="OG86" s="28" t="n"/>
      <c r="OH86" s="28" t="n"/>
      <c r="OI86" s="28" t="n"/>
      <c r="OJ86" s="28" t="n"/>
      <c r="OK86" s="28" t="n"/>
      <c r="OL86" s="28" t="n"/>
      <c r="OM86" s="28" t="n"/>
      <c r="ON86" s="28" t="n"/>
      <c r="OO86" s="28" t="n"/>
      <c r="OP86" s="28" t="n"/>
      <c r="OQ86" s="28" t="n"/>
      <c r="OR86" s="28" t="n"/>
      <c r="OS86" s="28" t="n"/>
      <c r="OT86" s="28" t="n"/>
      <c r="OU86" s="28" t="n"/>
      <c r="OV86" s="28" t="n"/>
      <c r="OW86" s="28" t="n"/>
      <c r="OX86" s="28" t="n"/>
      <c r="OY86" s="28" t="n"/>
      <c r="OZ86" s="28" t="n"/>
      <c r="PA86" s="28" t="n"/>
      <c r="PB86" s="28" t="n"/>
      <c r="PC86" s="28" t="n"/>
      <c r="PD86" s="28" t="n"/>
      <c r="PE86" s="28" t="n"/>
      <c r="PF86" s="28" t="n"/>
      <c r="PG86" s="28" t="n"/>
      <c r="PH86" s="28" t="n"/>
      <c r="PI86" s="28" t="n"/>
      <c r="PJ86" s="28" t="n"/>
      <c r="PK86" s="28" t="n"/>
      <c r="PL86" s="28" t="n"/>
      <c r="PM86" s="28" t="n"/>
      <c r="PN86" s="28" t="n"/>
      <c r="PO86" s="28" t="n"/>
      <c r="PP86" s="28" t="n"/>
      <c r="PQ86" s="28" t="n"/>
      <c r="PR86" s="28" t="n"/>
      <c r="PS86" s="28" t="n"/>
      <c r="PT86" s="28" t="n"/>
      <c r="PU86" s="28" t="n"/>
      <c r="PV86" s="28" t="n"/>
      <c r="PW86" s="28" t="n"/>
      <c r="PX86" s="28" t="n"/>
      <c r="PY86" s="28" t="n"/>
      <c r="PZ86" s="28" t="n"/>
      <c r="QA86" s="28" t="n"/>
      <c r="QB86" s="28" t="n"/>
      <c r="QC86" s="28" t="n"/>
      <c r="QD86" s="28" t="n"/>
      <c r="QE86" s="28" t="n"/>
      <c r="QF86" s="28" t="n"/>
      <c r="QG86" s="28" t="n"/>
      <c r="QH86" s="28" t="n"/>
      <c r="QI86" s="28" t="n"/>
      <c r="QJ86" s="28" t="n"/>
      <c r="QK86" s="28" t="n"/>
      <c r="QL86" s="28" t="n"/>
      <c r="QM86" s="28" t="n"/>
      <c r="QN86" s="28" t="n"/>
      <c r="QO86" s="28" t="n"/>
      <c r="QP86" s="28" t="n"/>
      <c r="QQ86" s="28" t="n"/>
      <c r="QR86" s="28" t="n"/>
      <c r="QS86" s="28" t="n"/>
      <c r="QT86" s="28" t="n"/>
      <c r="QU86" s="28" t="n"/>
      <c r="QV86" s="28" t="n"/>
      <c r="QW86" s="28" t="n"/>
      <c r="QX86" s="28" t="n"/>
      <c r="QY86" s="28" t="n"/>
      <c r="QZ86" s="28" t="n"/>
      <c r="RA86" s="28" t="n"/>
      <c r="RB86" s="28" t="n"/>
      <c r="RC86" s="28" t="n"/>
      <c r="RD86" s="28" t="n"/>
      <c r="RE86" s="28" t="n"/>
      <c r="RF86" s="28" t="n"/>
      <c r="RG86" s="28" t="n"/>
      <c r="RH86" s="28" t="n"/>
      <c r="RI86" s="28" t="n"/>
      <c r="RJ86" s="28" t="n"/>
      <c r="RK86" s="28" t="n"/>
      <c r="RL86" s="28" t="n"/>
      <c r="RM86" s="28" t="n"/>
      <c r="RN86" s="28" t="n"/>
      <c r="RO86" s="28" t="n"/>
      <c r="RP86" s="28" t="n"/>
      <c r="RQ86" s="28" t="n"/>
      <c r="RR86" s="28" t="n"/>
      <c r="RS86" s="28" t="n"/>
      <c r="RT86" s="28" t="n"/>
      <c r="RU86" s="28" t="n"/>
      <c r="RV86" s="28" t="n"/>
      <c r="RW86" s="28" t="n"/>
    </row>
    <row r="87" hidden="1" outlineLevel="1" ht="13.05" customHeight="1">
      <c r="E87" s="21" t="inlineStr">
        <is>
          <t>DSRF Commitment Fee</t>
        </is>
      </c>
      <c r="F87" s="29" t="n"/>
      <c r="G87" s="29" t="inlineStr">
        <is>
          <t>kEUR</t>
        </is>
      </c>
      <c r="H87" s="29" t="n"/>
      <c r="I87" s="29" t="n"/>
      <c r="J87" s="32" t="n"/>
      <c r="K87" s="29" t="n"/>
      <c r="L87" s="33" t="n"/>
      <c r="M87" s="33" t="n"/>
      <c r="N87" s="33" t="n"/>
      <c r="O87" s="33" t="n"/>
      <c r="P87" s="33" t="n"/>
      <c r="Q87" s="33" t="n"/>
      <c r="R87" s="33" t="n"/>
      <c r="S87" s="33" t="n"/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n"/>
      <c r="AF87" s="33" t="n"/>
      <c r="AG87" s="33" t="n"/>
      <c r="AH87" s="33" t="n"/>
      <c r="AI87" s="33" t="n"/>
      <c r="AJ87" s="33" t="n"/>
      <c r="AK87" s="33" t="n"/>
      <c r="AL87" s="33" t="n"/>
      <c r="AM87" s="33" t="n"/>
      <c r="AN87" s="33" t="n"/>
      <c r="AO87" s="33" t="n"/>
      <c r="AP87" s="33" t="n"/>
      <c r="AQ87" s="33" t="n"/>
      <c r="AR87" s="33" t="n"/>
      <c r="AS87" s="33" t="n"/>
      <c r="AT87" s="33" t="n"/>
      <c r="AU87" s="33" t="n"/>
      <c r="AV87" s="33" t="n"/>
      <c r="AW87" s="33" t="n"/>
      <c r="AX87" s="33" t="n"/>
      <c r="AY87" s="33" t="n"/>
      <c r="AZ87" s="33" t="n"/>
      <c r="BA87" s="33" t="n"/>
      <c r="BB87" s="33" t="n"/>
      <c r="BC87" s="33" t="n"/>
      <c r="BD87" s="33" t="n"/>
      <c r="BE87" s="33" t="n"/>
      <c r="BF87" s="33" t="n"/>
      <c r="BG87" s="33" t="n"/>
      <c r="BH87" s="33" t="n"/>
      <c r="BI87" s="33" t="n"/>
      <c r="BJ87" s="33" t="n"/>
      <c r="BK87" s="33" t="n"/>
      <c r="BL87" s="33" t="n"/>
      <c r="BM87" s="33" t="n"/>
      <c r="BN87" s="33" t="n"/>
      <c r="BO87" s="33" t="n"/>
      <c r="BP87" s="33" t="n"/>
      <c r="BQ87" s="33" t="n"/>
      <c r="BR87" s="33" t="n"/>
      <c r="BS87" s="33" t="n"/>
      <c r="BT87" s="33" t="n"/>
      <c r="BU87" s="33" t="n"/>
      <c r="BV87" s="33" t="n"/>
      <c r="BW87" s="33" t="n"/>
      <c r="BX87" s="33" t="n"/>
      <c r="BY87" s="33" t="n"/>
      <c r="BZ87" s="33" t="n"/>
      <c r="CA87" s="33" t="n"/>
      <c r="CB87" s="33" t="n"/>
      <c r="CC87" s="33" t="n"/>
      <c r="CD87" s="33" t="n"/>
      <c r="CE87" s="33" t="n"/>
      <c r="CF87" s="33" t="n"/>
      <c r="CG87" s="33" t="n"/>
      <c r="CH87" s="33" t="n"/>
      <c r="CI87" s="33" t="n"/>
      <c r="CJ87" s="33" t="n"/>
      <c r="CK87" s="33" t="n"/>
      <c r="CL87" s="33" t="n"/>
      <c r="CM87" s="33" t="n"/>
      <c r="CN87" s="33" t="n"/>
      <c r="CO87" s="33" t="n"/>
      <c r="CP87" s="33" t="n"/>
      <c r="CQ87" s="33" t="n"/>
      <c r="CR87" s="33" t="n"/>
      <c r="CS87" s="33" t="n"/>
      <c r="CT87" s="33" t="n"/>
      <c r="CU87" s="33" t="n"/>
      <c r="CV87" s="33" t="n"/>
      <c r="CW87" s="33" t="n"/>
      <c r="CX87" s="33" t="n"/>
      <c r="CY87" s="33" t="n"/>
      <c r="CZ87" s="33" t="n"/>
      <c r="DA87" s="33" t="n"/>
      <c r="DB87" s="33" t="n"/>
      <c r="DC87" s="33" t="n"/>
      <c r="DD87" s="33" t="n"/>
      <c r="DE87" s="33" t="n"/>
      <c r="DF87" s="33" t="n"/>
      <c r="DG87" s="33" t="n"/>
      <c r="DH87" s="33" t="n"/>
      <c r="DI87" s="33" t="n"/>
      <c r="DJ87" s="33" t="n"/>
      <c r="DK87" s="33" t="n"/>
      <c r="DL87" s="33" t="n"/>
      <c r="DM87" s="33" t="n"/>
      <c r="DN87" s="33" t="n"/>
      <c r="DO87" s="33" t="n"/>
      <c r="DP87" s="33" t="n"/>
      <c r="DQ87" s="33" t="n"/>
      <c r="DR87" s="33" t="n"/>
      <c r="DS87" s="33" t="n"/>
      <c r="DT87" s="33" t="n"/>
      <c r="DU87" s="33" t="n"/>
      <c r="DV87" s="33" t="n"/>
      <c r="DW87" s="33" t="n"/>
      <c r="DX87" s="33" t="n"/>
      <c r="DY87" s="33" t="n"/>
      <c r="DZ87" s="33" t="n"/>
      <c r="EA87" s="33" t="n"/>
      <c r="EB87" s="33" t="n"/>
      <c r="EC87" s="33" t="n"/>
      <c r="ED87" s="33" t="n"/>
      <c r="EE87" s="33" t="n"/>
      <c r="EF87" s="33" t="n"/>
      <c r="EG87" s="33" t="n"/>
      <c r="EH87" s="33" t="n"/>
      <c r="EI87" s="33" t="n"/>
      <c r="EJ87" s="33" t="n"/>
      <c r="EK87" s="33" t="n"/>
      <c r="EL87" s="33" t="n"/>
      <c r="EM87" s="33" t="n"/>
      <c r="EN87" s="33" t="n"/>
      <c r="EO87" s="33" t="n"/>
      <c r="EP87" s="33" t="n"/>
      <c r="EQ87" s="33" t="n"/>
      <c r="ER87" s="33" t="n"/>
      <c r="ES87" s="33" t="n"/>
      <c r="ET87" s="33" t="n"/>
      <c r="EU87" s="33" t="n"/>
      <c r="EV87" s="33" t="n"/>
      <c r="EW87" s="33" t="n"/>
      <c r="EX87" s="33" t="n"/>
      <c r="EY87" s="33" t="n"/>
      <c r="EZ87" s="33" t="n"/>
      <c r="FA87" s="33" t="n"/>
      <c r="FB87" s="33" t="n"/>
      <c r="FC87" s="33" t="n"/>
      <c r="FD87" s="33" t="n"/>
      <c r="FE87" s="33" t="n"/>
      <c r="FF87" s="33" t="n"/>
      <c r="FG87" s="33" t="n"/>
      <c r="FH87" s="33" t="n"/>
      <c r="FI87" s="33" t="n"/>
      <c r="FJ87" s="33" t="n"/>
      <c r="FK87" s="33" t="n"/>
      <c r="FL87" s="33" t="n"/>
      <c r="FM87" s="33" t="n"/>
      <c r="FN87" s="33" t="n"/>
      <c r="FO87" s="33" t="n"/>
      <c r="FP87" s="33" t="n"/>
      <c r="FQ87" s="33" t="n"/>
      <c r="FR87" s="33" t="n"/>
      <c r="FS87" s="33" t="n"/>
      <c r="FT87" s="33" t="n"/>
      <c r="FU87" s="33" t="n"/>
      <c r="FV87" s="33" t="n"/>
      <c r="FW87" s="33" t="n"/>
      <c r="FX87" s="33" t="n"/>
      <c r="FY87" s="33" t="n"/>
      <c r="FZ87" s="33" t="n"/>
      <c r="GA87" s="33" t="n"/>
      <c r="GB87" s="33" t="n"/>
      <c r="GC87" s="33" t="n"/>
      <c r="GD87" s="33" t="n"/>
      <c r="GE87" s="33" t="n"/>
      <c r="GF87" s="33" t="n"/>
      <c r="GG87" s="33" t="n"/>
      <c r="GH87" s="33" t="n"/>
      <c r="GI87" s="33" t="n"/>
      <c r="GJ87" s="33" t="n"/>
      <c r="GK87" s="33" t="n"/>
      <c r="GL87" s="33" t="n"/>
      <c r="GM87" s="33" t="n"/>
      <c r="GN87" s="33" t="n"/>
      <c r="GO87" s="33" t="n"/>
      <c r="GP87" s="33" t="n"/>
      <c r="GQ87" s="33" t="n"/>
      <c r="GR87" s="33" t="n"/>
      <c r="GS87" s="33" t="n"/>
      <c r="GT87" s="33" t="n"/>
      <c r="GU87" s="33" t="n"/>
      <c r="GV87" s="33" t="n"/>
      <c r="GW87" s="33" t="n"/>
      <c r="GX87" s="33" t="n"/>
      <c r="GY87" s="33" t="n"/>
      <c r="GZ87" s="33" t="n"/>
      <c r="HA87" s="33" t="n"/>
      <c r="HB87" s="33" t="n"/>
      <c r="HC87" s="33" t="n"/>
      <c r="HD87" s="33" t="n"/>
      <c r="HE87" s="33" t="n"/>
      <c r="HF87" s="33" t="n"/>
      <c r="HG87" s="33" t="n"/>
      <c r="HH87" s="33" t="n"/>
      <c r="HI87" s="33" t="n"/>
      <c r="HJ87" s="33" t="n"/>
      <c r="HK87" s="33" t="n"/>
      <c r="HL87" s="33" t="n"/>
      <c r="HM87" s="33" t="n"/>
      <c r="HN87" s="33" t="n"/>
      <c r="HO87" s="33" t="n"/>
      <c r="HP87" s="33" t="n"/>
      <c r="HQ87" s="33" t="n"/>
      <c r="HR87" s="33" t="n"/>
      <c r="HS87" s="33" t="n"/>
      <c r="HT87" s="33" t="n"/>
      <c r="HU87" s="33" t="n"/>
      <c r="HV87" s="33" t="n"/>
      <c r="HW87" s="33" t="n"/>
      <c r="HX87" s="33" t="n"/>
      <c r="HY87" s="33" t="n"/>
      <c r="HZ87" s="33" t="n"/>
      <c r="IA87" s="33" t="n"/>
      <c r="IB87" s="33" t="n"/>
      <c r="IC87" s="33" t="n"/>
      <c r="ID87" s="33" t="n"/>
      <c r="IE87" s="33" t="n"/>
      <c r="IF87" s="33" t="n"/>
      <c r="IG87" s="33" t="n"/>
      <c r="IH87" s="33" t="n"/>
      <c r="II87" s="33" t="n"/>
      <c r="IJ87" s="33" t="n"/>
      <c r="IK87" s="33" t="n"/>
      <c r="IL87" s="33" t="n"/>
      <c r="IM87" s="33" t="n"/>
      <c r="IN87" s="33" t="n"/>
      <c r="IO87" s="33" t="n"/>
      <c r="IP87" s="33" t="n"/>
      <c r="IQ87" s="33" t="n"/>
      <c r="IR87" s="33" t="n"/>
      <c r="IS87" s="33" t="n"/>
      <c r="IT87" s="33" t="n"/>
      <c r="IU87" s="33" t="n"/>
      <c r="IV87" s="33" t="n"/>
      <c r="IW87" s="33" t="n"/>
      <c r="IX87" s="33" t="n"/>
      <c r="IY87" s="33" t="n"/>
      <c r="IZ87" s="33" t="n"/>
      <c r="JA87" s="33" t="n"/>
      <c r="JB87" s="33" t="n"/>
      <c r="JC87" s="33" t="n"/>
      <c r="JD87" s="33" t="n"/>
      <c r="JE87" s="33" t="n"/>
      <c r="JF87" s="33" t="n"/>
      <c r="JG87" s="33" t="n"/>
      <c r="JH87" s="33" t="n"/>
      <c r="JI87" s="33" t="n"/>
      <c r="JJ87" s="33" t="n"/>
      <c r="JK87" s="33" t="n"/>
      <c r="JL87" s="33" t="n"/>
      <c r="JM87" s="33" t="n"/>
      <c r="JN87" s="33" t="n"/>
      <c r="JO87" s="33" t="n"/>
      <c r="JP87" s="33" t="n"/>
      <c r="JQ87" s="33" t="n"/>
      <c r="JR87" s="33" t="n"/>
      <c r="JS87" s="33" t="n"/>
      <c r="JT87" s="33" t="n"/>
      <c r="JU87" s="33" t="n"/>
      <c r="JV87" s="33" t="n"/>
      <c r="JW87" s="33" t="n"/>
      <c r="JX87" s="33" t="n"/>
      <c r="JY87" s="33" t="n"/>
      <c r="JZ87" s="33" t="n"/>
      <c r="KA87" s="33" t="n"/>
      <c r="KB87" s="33" t="n"/>
      <c r="KC87" s="33" t="n"/>
      <c r="KD87" s="33" t="n"/>
      <c r="KE87" s="33" t="n"/>
      <c r="KF87" s="33" t="n"/>
      <c r="KG87" s="33" t="n"/>
      <c r="KH87" s="33" t="n"/>
      <c r="KI87" s="33" t="n"/>
      <c r="KJ87" s="33" t="n"/>
      <c r="KK87" s="33" t="n"/>
      <c r="KL87" s="33" t="n"/>
      <c r="KM87" s="33" t="n"/>
      <c r="KN87" s="33" t="n"/>
      <c r="KO87" s="33" t="n"/>
      <c r="KP87" s="33" t="n"/>
      <c r="KQ87" s="33" t="n"/>
      <c r="KR87" s="33" t="n"/>
      <c r="KS87" s="33" t="n"/>
      <c r="KT87" s="33" t="n"/>
      <c r="KU87" s="33" t="n"/>
      <c r="KV87" s="33" t="n"/>
      <c r="KW87" s="33" t="n"/>
      <c r="KX87" s="33" t="n"/>
      <c r="KY87" s="33" t="n"/>
      <c r="KZ87" s="33" t="n"/>
      <c r="LA87" s="33" t="n"/>
      <c r="LB87" s="33" t="n"/>
      <c r="LC87" s="33" t="n"/>
      <c r="LD87" s="33" t="n"/>
      <c r="LE87" s="33" t="n"/>
      <c r="LF87" s="33" t="n"/>
      <c r="LG87" s="33" t="n"/>
      <c r="LH87" s="33" t="n"/>
      <c r="LI87" s="33" t="n"/>
      <c r="LJ87" s="33" t="n"/>
      <c r="LK87" s="33" t="n"/>
      <c r="LL87" s="33" t="n"/>
      <c r="LM87" s="33" t="n"/>
      <c r="LN87" s="33" t="n"/>
      <c r="LO87" s="33" t="n"/>
      <c r="LP87" s="33" t="n"/>
      <c r="LQ87" s="33" t="n"/>
      <c r="LR87" s="33" t="n"/>
      <c r="LS87" s="33" t="n"/>
      <c r="LT87" s="33" t="n"/>
      <c r="LU87" s="33" t="n"/>
      <c r="LV87" s="33" t="n"/>
      <c r="LW87" s="33" t="n"/>
      <c r="LX87" s="33" t="n"/>
      <c r="LY87" s="33" t="n"/>
      <c r="LZ87" s="33" t="n"/>
      <c r="MA87" s="33" t="n"/>
      <c r="MB87" s="33" t="n"/>
      <c r="MC87" s="33" t="n"/>
      <c r="MD87" s="33" t="n"/>
      <c r="ME87" s="33" t="n"/>
      <c r="MF87" s="33" t="n"/>
      <c r="MG87" s="33" t="n"/>
      <c r="MH87" s="33" t="n"/>
      <c r="MI87" s="33" t="n"/>
      <c r="MJ87" s="33" t="n"/>
      <c r="MK87" s="33" t="n"/>
      <c r="ML87" s="33" t="n"/>
      <c r="MM87" s="33" t="n"/>
      <c r="MN87" s="33" t="n"/>
      <c r="MO87" s="33" t="n"/>
      <c r="MP87" s="33" t="n"/>
      <c r="MQ87" s="33" t="n"/>
      <c r="MR87" s="33" t="n"/>
      <c r="MS87" s="33" t="n"/>
      <c r="MT87" s="33" t="n"/>
      <c r="MU87" s="33" t="n"/>
      <c r="MV87" s="33" t="n"/>
      <c r="MW87" s="33" t="n"/>
      <c r="MX87" s="33" t="n"/>
      <c r="MY87" s="33" t="n"/>
      <c r="MZ87" s="33" t="n"/>
      <c r="NA87" s="33" t="n"/>
      <c r="NB87" s="33" t="n"/>
      <c r="NC87" s="33" t="n"/>
      <c r="ND87" s="33" t="n"/>
      <c r="NE87" s="33" t="n"/>
      <c r="NF87" s="33" t="n"/>
      <c r="NG87" s="33" t="n"/>
      <c r="NH87" s="33" t="n"/>
      <c r="NI87" s="33" t="n"/>
      <c r="NJ87" s="33" t="n"/>
      <c r="NK87" s="33" t="n"/>
      <c r="NL87" s="33" t="n"/>
      <c r="NM87" s="33" t="n"/>
      <c r="NN87" s="33" t="n"/>
      <c r="NO87" s="33" t="n"/>
      <c r="NP87" s="33" t="n"/>
      <c r="NQ87" s="33" t="n"/>
      <c r="NR87" s="33" t="n"/>
      <c r="NS87" s="33" t="n"/>
      <c r="NT87" s="33" t="n"/>
      <c r="NU87" s="33" t="n"/>
      <c r="NV87" s="33" t="n"/>
      <c r="NW87" s="33" t="n"/>
      <c r="NX87" s="33" t="n"/>
      <c r="NY87" s="33" t="n"/>
      <c r="NZ87" s="33" t="n"/>
      <c r="OA87" s="33" t="n"/>
      <c r="OB87" s="33" t="n"/>
      <c r="OC87" s="33" t="n"/>
      <c r="OD87" s="33" t="n"/>
      <c r="OE87" s="33" t="n"/>
      <c r="OF87" s="33" t="n"/>
      <c r="OG87" s="33" t="n"/>
      <c r="OH87" s="33" t="n"/>
      <c r="OI87" s="33" t="n"/>
      <c r="OJ87" s="33" t="n"/>
      <c r="OK87" s="33" t="n"/>
      <c r="OL87" s="33" t="n"/>
      <c r="OM87" s="33" t="n"/>
      <c r="ON87" s="33" t="n"/>
      <c r="OO87" s="33" t="n"/>
      <c r="OP87" s="33" t="n"/>
      <c r="OQ87" s="33" t="n"/>
      <c r="OR87" s="33" t="n"/>
      <c r="OS87" s="33" t="n"/>
      <c r="OT87" s="33" t="n"/>
      <c r="OU87" s="33" t="n"/>
      <c r="OV87" s="33" t="n"/>
      <c r="OW87" s="33" t="n"/>
      <c r="OX87" s="33" t="n"/>
      <c r="OY87" s="33" t="n"/>
      <c r="OZ87" s="33" t="n"/>
      <c r="PA87" s="33" t="n"/>
      <c r="PB87" s="33" t="n"/>
      <c r="PC87" s="33" t="n"/>
      <c r="PD87" s="33" t="n"/>
      <c r="PE87" s="33" t="n"/>
      <c r="PF87" s="33" t="n"/>
      <c r="PG87" s="33" t="n"/>
      <c r="PH87" s="33" t="n"/>
      <c r="PI87" s="33" t="n"/>
      <c r="PJ87" s="33" t="n"/>
      <c r="PK87" s="33" t="n"/>
      <c r="PL87" s="33" t="n"/>
      <c r="PM87" s="33" t="n"/>
      <c r="PN87" s="33" t="n"/>
      <c r="PO87" s="33" t="n"/>
      <c r="PP87" s="33" t="n"/>
      <c r="PQ87" s="33" t="n"/>
      <c r="PR87" s="33" t="n"/>
      <c r="PS87" s="33" t="n"/>
      <c r="PT87" s="33" t="n"/>
      <c r="PU87" s="33" t="n"/>
      <c r="PV87" s="33" t="n"/>
      <c r="PW87" s="33" t="n"/>
      <c r="PX87" s="33" t="n"/>
      <c r="PY87" s="33" t="n"/>
      <c r="PZ87" s="33" t="n"/>
      <c r="QA87" s="33" t="n"/>
      <c r="QB87" s="33" t="n"/>
      <c r="QC87" s="33" t="n"/>
      <c r="QD87" s="33" t="n"/>
      <c r="QE87" s="33" t="n"/>
      <c r="QF87" s="33" t="n"/>
      <c r="QG87" s="33" t="n"/>
      <c r="QH87" s="33" t="n"/>
      <c r="QI87" s="33" t="n"/>
      <c r="QJ87" s="33" t="n"/>
      <c r="QK87" s="33" t="n"/>
      <c r="QL87" s="33" t="n"/>
      <c r="QM87" s="33" t="n"/>
      <c r="QN87" s="33" t="n"/>
      <c r="QO87" s="33" t="n"/>
      <c r="QP87" s="33" t="n"/>
      <c r="QQ87" s="33" t="n"/>
      <c r="QR87" s="33" t="n"/>
      <c r="QS87" s="33" t="n"/>
      <c r="QT87" s="33" t="n"/>
      <c r="QU87" s="33" t="n"/>
      <c r="QV87" s="33" t="n"/>
      <c r="QW87" s="33" t="n"/>
      <c r="QX87" s="33" t="n"/>
      <c r="QY87" s="33" t="n"/>
      <c r="QZ87" s="33" t="n"/>
      <c r="RA87" s="33" t="n"/>
      <c r="RB87" s="33" t="n"/>
      <c r="RC87" s="33" t="n"/>
      <c r="RD87" s="33" t="n"/>
      <c r="RE87" s="33" t="n"/>
      <c r="RF87" s="33" t="n"/>
      <c r="RG87" s="33" t="n"/>
      <c r="RH87" s="33" t="n"/>
      <c r="RI87" s="33" t="n"/>
      <c r="RJ87" s="33" t="n"/>
      <c r="RK87" s="33" t="n"/>
      <c r="RL87" s="33" t="n"/>
      <c r="RM87" s="33" t="n"/>
      <c r="RN87" s="33" t="n"/>
      <c r="RO87" s="33" t="n"/>
      <c r="RP87" s="33" t="n"/>
      <c r="RQ87" s="33" t="n"/>
      <c r="RR87" s="33" t="n"/>
      <c r="RS87" s="33" t="n"/>
      <c r="RT87" s="33" t="n"/>
      <c r="RU87" s="33" t="n"/>
      <c r="RV87" s="33" t="n"/>
      <c r="RW87" s="33" t="n"/>
    </row>
    <row r="88" hidden="1" outlineLevel="1" ht="13.05" customHeight="1">
      <c r="E88" s="21" t="inlineStr">
        <is>
          <t>Equity Drawn</t>
        </is>
      </c>
      <c r="F88" s="29" t="n"/>
      <c r="G88" s="29" t="inlineStr">
        <is>
          <t>kEUR</t>
        </is>
      </c>
      <c r="H88" s="29" t="n"/>
      <c r="I88" s="29" t="n"/>
      <c r="J88" s="32" t="n"/>
      <c r="K88" s="29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  <c r="AE88" s="33" t="n"/>
      <c r="AF88" s="33" t="n"/>
      <c r="AG88" s="33" t="n"/>
      <c r="AH88" s="33" t="n"/>
      <c r="AI88" s="33" t="n"/>
      <c r="AJ88" s="33" t="n"/>
      <c r="AK88" s="33" t="n"/>
      <c r="AL88" s="33" t="n"/>
      <c r="AM88" s="33" t="n"/>
      <c r="AN88" s="33" t="n"/>
      <c r="AO88" s="33" t="n"/>
      <c r="AP88" s="33" t="n"/>
      <c r="AQ88" s="33" t="n"/>
      <c r="AR88" s="33" t="n"/>
      <c r="AS88" s="33" t="n"/>
      <c r="AT88" s="33" t="n"/>
      <c r="AU88" s="33" t="n"/>
      <c r="AV88" s="33" t="n"/>
      <c r="AW88" s="33" t="n"/>
      <c r="AX88" s="33" t="n"/>
      <c r="AY88" s="33" t="n"/>
      <c r="AZ88" s="33" t="n"/>
      <c r="BA88" s="33" t="n"/>
      <c r="BB88" s="33" t="n"/>
      <c r="BC88" s="33" t="n"/>
      <c r="BD88" s="33" t="n"/>
      <c r="BE88" s="33" t="n"/>
      <c r="BF88" s="33" t="n"/>
      <c r="BG88" s="33" t="n"/>
      <c r="BH88" s="33" t="n"/>
      <c r="BI88" s="33" t="n"/>
      <c r="BJ88" s="33" t="n"/>
      <c r="BK88" s="33" t="n"/>
      <c r="BL88" s="33" t="n"/>
      <c r="BM88" s="33" t="n"/>
      <c r="BN88" s="33" t="n"/>
      <c r="BO88" s="33" t="n"/>
      <c r="BP88" s="33" t="n"/>
      <c r="BQ88" s="33" t="n"/>
      <c r="BR88" s="33" t="n"/>
      <c r="BS88" s="33" t="n"/>
      <c r="BT88" s="33" t="n"/>
      <c r="BU88" s="33" t="n"/>
      <c r="BV88" s="33" t="n"/>
      <c r="BW88" s="33" t="n"/>
      <c r="BX88" s="33" t="n"/>
      <c r="BY88" s="33" t="n"/>
      <c r="BZ88" s="33" t="n"/>
      <c r="CA88" s="33" t="n"/>
      <c r="CB88" s="33" t="n"/>
      <c r="CC88" s="33" t="n"/>
      <c r="CD88" s="33" t="n"/>
      <c r="CE88" s="33" t="n"/>
      <c r="CF88" s="33" t="n"/>
      <c r="CG88" s="33" t="n"/>
      <c r="CH88" s="33" t="n"/>
      <c r="CI88" s="33" t="n"/>
      <c r="CJ88" s="33" t="n"/>
      <c r="CK88" s="33" t="n"/>
      <c r="CL88" s="33" t="n"/>
      <c r="CM88" s="33" t="n"/>
      <c r="CN88" s="33" t="n"/>
      <c r="CO88" s="33" t="n"/>
      <c r="CP88" s="33" t="n"/>
      <c r="CQ88" s="33" t="n"/>
      <c r="CR88" s="33" t="n"/>
      <c r="CS88" s="33" t="n"/>
      <c r="CT88" s="33" t="n"/>
      <c r="CU88" s="33" t="n"/>
      <c r="CV88" s="33" t="n"/>
      <c r="CW88" s="33" t="n"/>
      <c r="CX88" s="33" t="n"/>
      <c r="CY88" s="33" t="n"/>
      <c r="CZ88" s="33" t="n"/>
      <c r="DA88" s="33" t="n"/>
      <c r="DB88" s="33" t="n"/>
      <c r="DC88" s="33" t="n"/>
      <c r="DD88" s="33" t="n"/>
      <c r="DE88" s="33" t="n"/>
      <c r="DF88" s="33" t="n"/>
      <c r="DG88" s="33" t="n"/>
      <c r="DH88" s="33" t="n"/>
      <c r="DI88" s="33" t="n"/>
      <c r="DJ88" s="33" t="n"/>
      <c r="DK88" s="33" t="n"/>
      <c r="DL88" s="33" t="n"/>
      <c r="DM88" s="33" t="n"/>
      <c r="DN88" s="33" t="n"/>
      <c r="DO88" s="33" t="n"/>
      <c r="DP88" s="33" t="n"/>
      <c r="DQ88" s="33" t="n"/>
      <c r="DR88" s="33" t="n"/>
      <c r="DS88" s="33" t="n"/>
      <c r="DT88" s="33" t="n"/>
      <c r="DU88" s="33" t="n"/>
      <c r="DV88" s="33" t="n"/>
      <c r="DW88" s="33" t="n"/>
      <c r="DX88" s="33" t="n"/>
      <c r="DY88" s="33" t="n"/>
      <c r="DZ88" s="33" t="n"/>
      <c r="EA88" s="33" t="n"/>
      <c r="EB88" s="33" t="n"/>
      <c r="EC88" s="33" t="n"/>
      <c r="ED88" s="33" t="n"/>
      <c r="EE88" s="33" t="n"/>
      <c r="EF88" s="33" t="n"/>
      <c r="EG88" s="33" t="n"/>
      <c r="EH88" s="33" t="n"/>
      <c r="EI88" s="33" t="n"/>
      <c r="EJ88" s="33" t="n"/>
      <c r="EK88" s="33" t="n"/>
      <c r="EL88" s="33" t="n"/>
      <c r="EM88" s="33" t="n"/>
      <c r="EN88" s="33" t="n"/>
      <c r="EO88" s="33" t="n"/>
      <c r="EP88" s="33" t="n"/>
      <c r="EQ88" s="33" t="n"/>
      <c r="ER88" s="33" t="n"/>
      <c r="ES88" s="33" t="n"/>
      <c r="ET88" s="33" t="n"/>
      <c r="EU88" s="33" t="n"/>
      <c r="EV88" s="33" t="n"/>
      <c r="EW88" s="33" t="n"/>
      <c r="EX88" s="33" t="n"/>
      <c r="EY88" s="33" t="n"/>
      <c r="EZ88" s="33" t="n"/>
      <c r="FA88" s="33" t="n"/>
      <c r="FB88" s="33" t="n"/>
      <c r="FC88" s="33" t="n"/>
      <c r="FD88" s="33" t="n"/>
      <c r="FE88" s="33" t="n"/>
      <c r="FF88" s="33" t="n"/>
      <c r="FG88" s="33" t="n"/>
      <c r="FH88" s="33" t="n"/>
      <c r="FI88" s="33" t="n"/>
      <c r="FJ88" s="33" t="n"/>
      <c r="FK88" s="33" t="n"/>
      <c r="FL88" s="33" t="n"/>
      <c r="FM88" s="33" t="n"/>
      <c r="FN88" s="33" t="n"/>
      <c r="FO88" s="33" t="n"/>
      <c r="FP88" s="33" t="n"/>
      <c r="FQ88" s="33" t="n"/>
      <c r="FR88" s="33" t="n"/>
      <c r="FS88" s="33" t="n"/>
      <c r="FT88" s="33" t="n"/>
      <c r="FU88" s="33" t="n"/>
      <c r="FV88" s="33" t="n"/>
      <c r="FW88" s="33" t="n"/>
      <c r="FX88" s="33" t="n"/>
      <c r="FY88" s="33" t="n"/>
      <c r="FZ88" s="33" t="n"/>
      <c r="GA88" s="33" t="n"/>
      <c r="GB88" s="33" t="n"/>
      <c r="GC88" s="33" t="n"/>
      <c r="GD88" s="33" t="n"/>
      <c r="GE88" s="33" t="n"/>
      <c r="GF88" s="33" t="n"/>
      <c r="GG88" s="33" t="n"/>
      <c r="GH88" s="33" t="n"/>
      <c r="GI88" s="33" t="n"/>
      <c r="GJ88" s="33" t="n"/>
      <c r="GK88" s="33" t="n"/>
      <c r="GL88" s="33" t="n"/>
      <c r="GM88" s="33" t="n"/>
      <c r="GN88" s="33" t="n"/>
      <c r="GO88" s="33" t="n"/>
      <c r="GP88" s="33" t="n"/>
      <c r="GQ88" s="33" t="n"/>
      <c r="GR88" s="33" t="n"/>
      <c r="GS88" s="33" t="n"/>
      <c r="GT88" s="33" t="n"/>
      <c r="GU88" s="33" t="n"/>
      <c r="GV88" s="33" t="n"/>
      <c r="GW88" s="33" t="n"/>
      <c r="GX88" s="33" t="n"/>
      <c r="GY88" s="33" t="n"/>
      <c r="GZ88" s="33" t="n"/>
      <c r="HA88" s="33" t="n"/>
      <c r="HB88" s="33" t="n"/>
      <c r="HC88" s="33" t="n"/>
      <c r="HD88" s="33" t="n"/>
      <c r="HE88" s="33" t="n"/>
      <c r="HF88" s="33" t="n"/>
      <c r="HG88" s="33" t="n"/>
      <c r="HH88" s="33" t="n"/>
      <c r="HI88" s="33" t="n"/>
      <c r="HJ88" s="33" t="n"/>
      <c r="HK88" s="33" t="n"/>
      <c r="HL88" s="33" t="n"/>
      <c r="HM88" s="33" t="n"/>
      <c r="HN88" s="33" t="n"/>
      <c r="HO88" s="33" t="n"/>
      <c r="HP88" s="33" t="n"/>
      <c r="HQ88" s="33" t="n"/>
      <c r="HR88" s="33" t="n"/>
      <c r="HS88" s="33" t="n"/>
      <c r="HT88" s="33" t="n"/>
      <c r="HU88" s="33" t="n"/>
      <c r="HV88" s="33" t="n"/>
      <c r="HW88" s="33" t="n"/>
      <c r="HX88" s="33" t="n"/>
      <c r="HY88" s="33" t="n"/>
      <c r="HZ88" s="33" t="n"/>
      <c r="IA88" s="33" t="n"/>
      <c r="IB88" s="33" t="n"/>
      <c r="IC88" s="33" t="n"/>
      <c r="ID88" s="33" t="n"/>
      <c r="IE88" s="33" t="n"/>
      <c r="IF88" s="33" t="n"/>
      <c r="IG88" s="33" t="n"/>
      <c r="IH88" s="33" t="n"/>
      <c r="II88" s="33" t="n"/>
      <c r="IJ88" s="33" t="n"/>
      <c r="IK88" s="33" t="n"/>
      <c r="IL88" s="33" t="n"/>
      <c r="IM88" s="33" t="n"/>
      <c r="IN88" s="33" t="n"/>
      <c r="IO88" s="33" t="n"/>
      <c r="IP88" s="33" t="n"/>
      <c r="IQ88" s="33" t="n"/>
      <c r="IR88" s="33" t="n"/>
      <c r="IS88" s="33" t="n"/>
      <c r="IT88" s="33" t="n"/>
      <c r="IU88" s="33" t="n"/>
      <c r="IV88" s="33" t="n"/>
      <c r="IW88" s="33" t="n"/>
      <c r="IX88" s="33" t="n"/>
      <c r="IY88" s="33" t="n"/>
      <c r="IZ88" s="33" t="n"/>
      <c r="JA88" s="33" t="n"/>
      <c r="JB88" s="33" t="n"/>
      <c r="JC88" s="33" t="n"/>
      <c r="JD88" s="33" t="n"/>
      <c r="JE88" s="33" t="n"/>
      <c r="JF88" s="33" t="n"/>
      <c r="JG88" s="33" t="n"/>
      <c r="JH88" s="33" t="n"/>
      <c r="JI88" s="33" t="n"/>
      <c r="JJ88" s="33" t="n"/>
      <c r="JK88" s="33" t="n"/>
      <c r="JL88" s="33" t="n"/>
      <c r="JM88" s="33" t="n"/>
      <c r="JN88" s="33" t="n"/>
      <c r="JO88" s="33" t="n"/>
      <c r="JP88" s="33" t="n"/>
      <c r="JQ88" s="33" t="n"/>
      <c r="JR88" s="33" t="n"/>
      <c r="JS88" s="33" t="n"/>
      <c r="JT88" s="33" t="n"/>
      <c r="JU88" s="33" t="n"/>
      <c r="JV88" s="33" t="n"/>
      <c r="JW88" s="33" t="n"/>
      <c r="JX88" s="33" t="n"/>
      <c r="JY88" s="33" t="n"/>
      <c r="JZ88" s="33" t="n"/>
      <c r="KA88" s="33" t="n"/>
      <c r="KB88" s="33" t="n"/>
      <c r="KC88" s="33" t="n"/>
      <c r="KD88" s="33" t="n"/>
      <c r="KE88" s="33" t="n"/>
      <c r="KF88" s="33" t="n"/>
      <c r="KG88" s="33" t="n"/>
      <c r="KH88" s="33" t="n"/>
      <c r="KI88" s="33" t="n"/>
      <c r="KJ88" s="33" t="n"/>
      <c r="KK88" s="33" t="n"/>
      <c r="KL88" s="33" t="n"/>
      <c r="KM88" s="33" t="n"/>
      <c r="KN88" s="33" t="n"/>
      <c r="KO88" s="33" t="n"/>
      <c r="KP88" s="33" t="n"/>
      <c r="KQ88" s="33" t="n"/>
      <c r="KR88" s="33" t="n"/>
      <c r="KS88" s="33" t="n"/>
      <c r="KT88" s="33" t="n"/>
      <c r="KU88" s="33" t="n"/>
      <c r="KV88" s="33" t="n"/>
      <c r="KW88" s="33" t="n"/>
      <c r="KX88" s="33" t="n"/>
      <c r="KY88" s="33" t="n"/>
      <c r="KZ88" s="33" t="n"/>
      <c r="LA88" s="33" t="n"/>
      <c r="LB88" s="33" t="n"/>
      <c r="LC88" s="33" t="n"/>
      <c r="LD88" s="33" t="n"/>
      <c r="LE88" s="33" t="n"/>
      <c r="LF88" s="33" t="n"/>
      <c r="LG88" s="33" t="n"/>
      <c r="LH88" s="33" t="n"/>
      <c r="LI88" s="33" t="n"/>
      <c r="LJ88" s="33" t="n"/>
      <c r="LK88" s="33" t="n"/>
      <c r="LL88" s="33" t="n"/>
      <c r="LM88" s="33" t="n"/>
      <c r="LN88" s="33" t="n"/>
      <c r="LO88" s="33" t="n"/>
      <c r="LP88" s="33" t="n"/>
      <c r="LQ88" s="33" t="n"/>
      <c r="LR88" s="33" t="n"/>
      <c r="LS88" s="33" t="n"/>
      <c r="LT88" s="33" t="n"/>
      <c r="LU88" s="33" t="n"/>
      <c r="LV88" s="33" t="n"/>
      <c r="LW88" s="33" t="n"/>
      <c r="LX88" s="33" t="n"/>
      <c r="LY88" s="33" t="n"/>
      <c r="LZ88" s="33" t="n"/>
      <c r="MA88" s="33" t="n"/>
      <c r="MB88" s="33" t="n"/>
      <c r="MC88" s="33" t="n"/>
      <c r="MD88" s="33" t="n"/>
      <c r="ME88" s="33" t="n"/>
      <c r="MF88" s="33" t="n"/>
      <c r="MG88" s="33" t="n"/>
      <c r="MH88" s="33" t="n"/>
      <c r="MI88" s="33" t="n"/>
      <c r="MJ88" s="33" t="n"/>
      <c r="MK88" s="33" t="n"/>
      <c r="ML88" s="33" t="n"/>
      <c r="MM88" s="33" t="n"/>
      <c r="MN88" s="33" t="n"/>
      <c r="MO88" s="33" t="n"/>
      <c r="MP88" s="33" t="n"/>
      <c r="MQ88" s="33" t="n"/>
      <c r="MR88" s="33" t="n"/>
      <c r="MS88" s="33" t="n"/>
      <c r="MT88" s="33" t="n"/>
      <c r="MU88" s="33" t="n"/>
      <c r="MV88" s="33" t="n"/>
      <c r="MW88" s="33" t="n"/>
      <c r="MX88" s="33" t="n"/>
      <c r="MY88" s="33" t="n"/>
      <c r="MZ88" s="33" t="n"/>
      <c r="NA88" s="33" t="n"/>
      <c r="NB88" s="33" t="n"/>
      <c r="NC88" s="33" t="n"/>
      <c r="ND88" s="33" t="n"/>
      <c r="NE88" s="33" t="n"/>
      <c r="NF88" s="33" t="n"/>
      <c r="NG88" s="33" t="n"/>
      <c r="NH88" s="33" t="n"/>
      <c r="NI88" s="33" t="n"/>
      <c r="NJ88" s="33" t="n"/>
      <c r="NK88" s="33" t="n"/>
      <c r="NL88" s="33" t="n"/>
      <c r="NM88" s="33" t="n"/>
      <c r="NN88" s="33" t="n"/>
      <c r="NO88" s="33" t="n"/>
      <c r="NP88" s="33" t="n"/>
      <c r="NQ88" s="33" t="n"/>
      <c r="NR88" s="33" t="n"/>
      <c r="NS88" s="33" t="n"/>
      <c r="NT88" s="33" t="n"/>
      <c r="NU88" s="33" t="n"/>
      <c r="NV88" s="33" t="n"/>
      <c r="NW88" s="33" t="n"/>
      <c r="NX88" s="33" t="n"/>
      <c r="NY88" s="33" t="n"/>
      <c r="NZ88" s="33" t="n"/>
      <c r="OA88" s="33" t="n"/>
      <c r="OB88" s="33" t="n"/>
      <c r="OC88" s="33" t="n"/>
      <c r="OD88" s="33" t="n"/>
      <c r="OE88" s="33" t="n"/>
      <c r="OF88" s="33" t="n"/>
      <c r="OG88" s="33" t="n"/>
      <c r="OH88" s="33" t="n"/>
      <c r="OI88" s="33" t="n"/>
      <c r="OJ88" s="33" t="n"/>
      <c r="OK88" s="33" t="n"/>
      <c r="OL88" s="33" t="n"/>
      <c r="OM88" s="33" t="n"/>
      <c r="ON88" s="33" t="n"/>
      <c r="OO88" s="33" t="n"/>
      <c r="OP88" s="33" t="n"/>
      <c r="OQ88" s="33" t="n"/>
      <c r="OR88" s="33" t="n"/>
      <c r="OS88" s="33" t="n"/>
      <c r="OT88" s="33" t="n"/>
      <c r="OU88" s="33" t="n"/>
      <c r="OV88" s="33" t="n"/>
      <c r="OW88" s="33" t="n"/>
      <c r="OX88" s="33" t="n"/>
      <c r="OY88" s="33" t="n"/>
      <c r="OZ88" s="33" t="n"/>
      <c r="PA88" s="33" t="n"/>
      <c r="PB88" s="33" t="n"/>
      <c r="PC88" s="33" t="n"/>
      <c r="PD88" s="33" t="n"/>
      <c r="PE88" s="33" t="n"/>
      <c r="PF88" s="33" t="n"/>
      <c r="PG88" s="33" t="n"/>
      <c r="PH88" s="33" t="n"/>
      <c r="PI88" s="33" t="n"/>
      <c r="PJ88" s="33" t="n"/>
      <c r="PK88" s="33" t="n"/>
      <c r="PL88" s="33" t="n"/>
      <c r="PM88" s="33" t="n"/>
      <c r="PN88" s="33" t="n"/>
      <c r="PO88" s="33" t="n"/>
      <c r="PP88" s="33" t="n"/>
      <c r="PQ88" s="33" t="n"/>
      <c r="PR88" s="33" t="n"/>
      <c r="PS88" s="33" t="n"/>
      <c r="PT88" s="33" t="n"/>
      <c r="PU88" s="33" t="n"/>
      <c r="PV88" s="33" t="n"/>
      <c r="PW88" s="33" t="n"/>
      <c r="PX88" s="33" t="n"/>
      <c r="PY88" s="33" t="n"/>
      <c r="PZ88" s="33" t="n"/>
      <c r="QA88" s="33" t="n"/>
      <c r="QB88" s="33" t="n"/>
      <c r="QC88" s="33" t="n"/>
      <c r="QD88" s="33" t="n"/>
      <c r="QE88" s="33" t="n"/>
      <c r="QF88" s="33" t="n"/>
      <c r="QG88" s="33" t="n"/>
      <c r="QH88" s="33" t="n"/>
      <c r="QI88" s="33" t="n"/>
      <c r="QJ88" s="33" t="n"/>
      <c r="QK88" s="33" t="n"/>
      <c r="QL88" s="33" t="n"/>
      <c r="QM88" s="33" t="n"/>
      <c r="QN88" s="33" t="n"/>
      <c r="QO88" s="33" t="n"/>
      <c r="QP88" s="33" t="n"/>
      <c r="QQ88" s="33" t="n"/>
      <c r="QR88" s="33" t="n"/>
      <c r="QS88" s="33" t="n"/>
      <c r="QT88" s="33" t="n"/>
      <c r="QU88" s="33" t="n"/>
      <c r="QV88" s="33" t="n"/>
      <c r="QW88" s="33" t="n"/>
      <c r="QX88" s="33" t="n"/>
      <c r="QY88" s="33" t="n"/>
      <c r="QZ88" s="33" t="n"/>
      <c r="RA88" s="33" t="n"/>
      <c r="RB88" s="33" t="n"/>
      <c r="RC88" s="33" t="n"/>
      <c r="RD88" s="33" t="n"/>
      <c r="RE88" s="33" t="n"/>
      <c r="RF88" s="33" t="n"/>
      <c r="RG88" s="33" t="n"/>
      <c r="RH88" s="33" t="n"/>
      <c r="RI88" s="33" t="n"/>
      <c r="RJ88" s="33" t="n"/>
      <c r="RK88" s="33" t="n"/>
      <c r="RL88" s="33" t="n"/>
      <c r="RM88" s="33" t="n"/>
      <c r="RN88" s="33" t="n"/>
      <c r="RO88" s="33" t="n"/>
      <c r="RP88" s="33" t="n"/>
      <c r="RQ88" s="33" t="n"/>
      <c r="RR88" s="33" t="n"/>
      <c r="RS88" s="33" t="n"/>
      <c r="RT88" s="33" t="n"/>
      <c r="RU88" s="33" t="n"/>
      <c r="RV88" s="33" t="n"/>
      <c r="RW88" s="33" t="n"/>
    </row>
    <row r="89" ht="13.05" customHeight="1">
      <c r="E89" s="21" t="inlineStr">
        <is>
          <t>IDC Cumulative</t>
        </is>
      </c>
      <c r="F89" s="29" t="n"/>
      <c r="G89" s="29" t="inlineStr">
        <is>
          <t>kEUR</t>
        </is>
      </c>
      <c r="H89" s="29" t="n"/>
      <c r="I89" s="29" t="n"/>
      <c r="J89" s="32" t="n"/>
      <c r="K89" s="29" t="n"/>
      <c r="L89" s="33" t="n"/>
      <c r="M89" s="33" t="n"/>
      <c r="N89" s="33" t="n"/>
      <c r="O89" s="33" t="n"/>
      <c r="P89" s="33" t="n"/>
      <c r="Q89" s="33" t="n"/>
      <c r="R89" s="33" t="n"/>
      <c r="S89" s="33" t="n"/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n"/>
      <c r="AF89" s="33" t="n"/>
      <c r="AG89" s="33" t="n"/>
      <c r="AH89" s="33" t="n"/>
      <c r="AI89" s="33" t="n"/>
      <c r="AJ89" s="33" t="n"/>
      <c r="AK89" s="33" t="n"/>
      <c r="AL89" s="33" t="n"/>
      <c r="AM89" s="33" t="n"/>
      <c r="AN89" s="33" t="n"/>
      <c r="AO89" s="33" t="n"/>
      <c r="AP89" s="33" t="n"/>
      <c r="AQ89" s="33" t="n"/>
      <c r="AR89" s="33" t="n"/>
      <c r="AS89" s="33" t="n"/>
      <c r="AT89" s="33" t="n"/>
      <c r="AU89" s="33" t="n"/>
      <c r="AV89" s="33" t="n"/>
      <c r="AW89" s="33" t="n"/>
      <c r="AX89" s="33" t="n"/>
      <c r="AY89" s="33" t="n"/>
      <c r="AZ89" s="33" t="n"/>
      <c r="BA89" s="33" t="n"/>
      <c r="BB89" s="33" t="n"/>
      <c r="BC89" s="33" t="n"/>
      <c r="BD89" s="33" t="n"/>
      <c r="BE89" s="33" t="n"/>
      <c r="BF89" s="33" t="n"/>
      <c r="BG89" s="33" t="n"/>
      <c r="BH89" s="33" t="n"/>
      <c r="BI89" s="33" t="n"/>
      <c r="BJ89" s="33" t="n"/>
      <c r="BK89" s="33" t="n"/>
      <c r="BL89" s="33" t="n"/>
      <c r="BM89" s="33" t="n"/>
      <c r="BN89" s="33" t="n"/>
      <c r="BO89" s="33" t="n"/>
      <c r="BP89" s="33" t="n"/>
      <c r="BQ89" s="33" t="n"/>
      <c r="BR89" s="33" t="n"/>
      <c r="BS89" s="33" t="n"/>
      <c r="BT89" s="33" t="n"/>
      <c r="BU89" s="33" t="n"/>
      <c r="BV89" s="33" t="n"/>
      <c r="BW89" s="33" t="n"/>
      <c r="BX89" s="33" t="n"/>
      <c r="BY89" s="33" t="n"/>
      <c r="BZ89" s="33" t="n"/>
      <c r="CA89" s="33" t="n"/>
      <c r="CB89" s="33" t="n"/>
      <c r="CC89" s="33" t="n"/>
      <c r="CD89" s="33" t="n"/>
      <c r="CE89" s="33" t="n"/>
      <c r="CF89" s="33" t="n"/>
      <c r="CG89" s="33" t="n"/>
      <c r="CH89" s="33" t="n"/>
      <c r="CI89" s="33" t="n"/>
      <c r="CJ89" s="33" t="n"/>
      <c r="CK89" s="33" t="n"/>
      <c r="CL89" s="33" t="n"/>
      <c r="CM89" s="33" t="n"/>
      <c r="CN89" s="33" t="n"/>
      <c r="CO89" s="33" t="n"/>
      <c r="CP89" s="33" t="n"/>
      <c r="CQ89" s="33" t="n"/>
      <c r="CR89" s="33" t="n"/>
      <c r="CS89" s="33" t="n"/>
      <c r="CT89" s="33" t="n"/>
      <c r="CU89" s="33" t="n"/>
      <c r="CV89" s="33" t="n"/>
      <c r="CW89" s="33" t="n"/>
      <c r="CX89" s="33" t="n"/>
      <c r="CY89" s="33" t="n"/>
      <c r="CZ89" s="33" t="n"/>
      <c r="DA89" s="33" t="n"/>
      <c r="DB89" s="33" t="n"/>
      <c r="DC89" s="33" t="n"/>
      <c r="DD89" s="33" t="n"/>
      <c r="DE89" s="33" t="n"/>
      <c r="DF89" s="33" t="n"/>
      <c r="DG89" s="33" t="n"/>
      <c r="DH89" s="33" t="n"/>
      <c r="DI89" s="33" t="n"/>
      <c r="DJ89" s="33" t="n"/>
      <c r="DK89" s="33" t="n"/>
      <c r="DL89" s="33" t="n"/>
      <c r="DM89" s="33" t="n"/>
      <c r="DN89" s="33" t="n"/>
      <c r="DO89" s="33" t="n"/>
      <c r="DP89" s="33" t="n"/>
      <c r="DQ89" s="33" t="n"/>
      <c r="DR89" s="33" t="n"/>
      <c r="DS89" s="33" t="n"/>
      <c r="DT89" s="33" t="n"/>
      <c r="DU89" s="33" t="n"/>
      <c r="DV89" s="33" t="n"/>
      <c r="DW89" s="33" t="n"/>
      <c r="DX89" s="33" t="n"/>
      <c r="DY89" s="33" t="n"/>
      <c r="DZ89" s="33" t="n"/>
      <c r="EA89" s="33" t="n"/>
      <c r="EB89" s="33" t="n"/>
      <c r="EC89" s="33" t="n"/>
      <c r="ED89" s="33" t="n"/>
      <c r="EE89" s="33" t="n"/>
      <c r="EF89" s="33" t="n"/>
      <c r="EG89" s="33" t="n"/>
      <c r="EH89" s="33" t="n"/>
      <c r="EI89" s="33" t="n"/>
      <c r="EJ89" s="33" t="n"/>
      <c r="EK89" s="33" t="n"/>
      <c r="EL89" s="33" t="n"/>
      <c r="EM89" s="33" t="n"/>
      <c r="EN89" s="33" t="n"/>
      <c r="EO89" s="33" t="n"/>
      <c r="EP89" s="33" t="n"/>
      <c r="EQ89" s="33" t="n"/>
      <c r="ER89" s="33" t="n"/>
      <c r="ES89" s="33" t="n"/>
      <c r="ET89" s="33" t="n"/>
      <c r="EU89" s="33" t="n"/>
      <c r="EV89" s="33" t="n"/>
      <c r="EW89" s="33" t="n"/>
      <c r="EX89" s="33" t="n"/>
      <c r="EY89" s="33" t="n"/>
      <c r="EZ89" s="33" t="n"/>
      <c r="FA89" s="33" t="n"/>
      <c r="FB89" s="33" t="n"/>
      <c r="FC89" s="33" t="n"/>
      <c r="FD89" s="33" t="n"/>
      <c r="FE89" s="33" t="n"/>
      <c r="FF89" s="33" t="n"/>
      <c r="FG89" s="33" t="n"/>
      <c r="FH89" s="33" t="n"/>
      <c r="FI89" s="33" t="n"/>
      <c r="FJ89" s="33" t="n"/>
      <c r="FK89" s="33" t="n"/>
      <c r="FL89" s="33" t="n"/>
      <c r="FM89" s="33" t="n"/>
      <c r="FN89" s="33" t="n"/>
      <c r="FO89" s="33" t="n"/>
      <c r="FP89" s="33" t="n"/>
      <c r="FQ89" s="33" t="n"/>
      <c r="FR89" s="33" t="n"/>
      <c r="FS89" s="33" t="n"/>
      <c r="FT89" s="33" t="n"/>
      <c r="FU89" s="33" t="n"/>
      <c r="FV89" s="33" t="n"/>
      <c r="FW89" s="33" t="n"/>
      <c r="FX89" s="33" t="n"/>
      <c r="FY89" s="33" t="n"/>
      <c r="FZ89" s="33" t="n"/>
      <c r="GA89" s="33" t="n"/>
      <c r="GB89" s="33" t="n"/>
      <c r="GC89" s="33" t="n"/>
      <c r="GD89" s="33" t="n"/>
      <c r="GE89" s="33" t="n"/>
      <c r="GF89" s="33" t="n"/>
      <c r="GG89" s="33" t="n"/>
      <c r="GH89" s="33" t="n"/>
      <c r="GI89" s="33" t="n"/>
      <c r="GJ89" s="33" t="n"/>
      <c r="GK89" s="33" t="n"/>
      <c r="GL89" s="33" t="n"/>
      <c r="GM89" s="33" t="n"/>
      <c r="GN89" s="33" t="n"/>
      <c r="GO89" s="33" t="n"/>
      <c r="GP89" s="33" t="n"/>
      <c r="GQ89" s="33" t="n"/>
      <c r="GR89" s="33" t="n"/>
      <c r="GS89" s="33" t="n"/>
      <c r="GT89" s="33" t="n"/>
      <c r="GU89" s="33" t="n"/>
      <c r="GV89" s="33" t="n"/>
      <c r="GW89" s="33" t="n"/>
      <c r="GX89" s="33" t="n"/>
      <c r="GY89" s="33" t="n"/>
      <c r="GZ89" s="33" t="n"/>
      <c r="HA89" s="33" t="n"/>
      <c r="HB89" s="33" t="n"/>
      <c r="HC89" s="33" t="n"/>
      <c r="HD89" s="33" t="n"/>
      <c r="HE89" s="33" t="n"/>
      <c r="HF89" s="33" t="n"/>
      <c r="HG89" s="33" t="n"/>
      <c r="HH89" s="33" t="n"/>
      <c r="HI89" s="33" t="n"/>
      <c r="HJ89" s="33" t="n"/>
      <c r="HK89" s="33" t="n"/>
      <c r="HL89" s="33" t="n"/>
      <c r="HM89" s="33" t="n"/>
      <c r="HN89" s="33" t="n"/>
      <c r="HO89" s="33" t="n"/>
      <c r="HP89" s="33" t="n"/>
      <c r="HQ89" s="33" t="n"/>
      <c r="HR89" s="33" t="n"/>
      <c r="HS89" s="33" t="n"/>
      <c r="HT89" s="33" t="n"/>
      <c r="HU89" s="33" t="n"/>
      <c r="HV89" s="33" t="n"/>
      <c r="HW89" s="33" t="n"/>
      <c r="HX89" s="33" t="n"/>
      <c r="HY89" s="33" t="n"/>
      <c r="HZ89" s="33" t="n"/>
      <c r="IA89" s="33" t="n"/>
      <c r="IB89" s="33" t="n"/>
      <c r="IC89" s="33" t="n"/>
      <c r="ID89" s="33" t="n"/>
      <c r="IE89" s="33" t="n"/>
      <c r="IF89" s="33" t="n"/>
      <c r="IG89" s="33" t="n"/>
      <c r="IH89" s="33" t="n"/>
      <c r="II89" s="33" t="n"/>
      <c r="IJ89" s="33" t="n"/>
      <c r="IK89" s="33" t="n"/>
      <c r="IL89" s="33" t="n"/>
      <c r="IM89" s="33" t="n"/>
      <c r="IN89" s="33" t="n"/>
      <c r="IO89" s="33" t="n"/>
      <c r="IP89" s="33" t="n"/>
      <c r="IQ89" s="33" t="n"/>
      <c r="IR89" s="33" t="n"/>
      <c r="IS89" s="33" t="n"/>
      <c r="IT89" s="33" t="n"/>
      <c r="IU89" s="33" t="n"/>
      <c r="IV89" s="33" t="n"/>
      <c r="IW89" s="33" t="n"/>
      <c r="IX89" s="33" t="n"/>
      <c r="IY89" s="33" t="n"/>
      <c r="IZ89" s="33" t="n"/>
      <c r="JA89" s="33" t="n"/>
      <c r="JB89" s="33" t="n"/>
      <c r="JC89" s="33" t="n"/>
      <c r="JD89" s="33" t="n"/>
      <c r="JE89" s="33" t="n"/>
      <c r="JF89" s="33" t="n"/>
      <c r="JG89" s="33" t="n"/>
      <c r="JH89" s="33" t="n"/>
      <c r="JI89" s="33" t="n"/>
      <c r="JJ89" s="33" t="n"/>
      <c r="JK89" s="33" t="n"/>
      <c r="JL89" s="33" t="n"/>
      <c r="JM89" s="33" t="n"/>
      <c r="JN89" s="33" t="n"/>
      <c r="JO89" s="33" t="n"/>
      <c r="JP89" s="33" t="n"/>
      <c r="JQ89" s="33" t="n"/>
      <c r="JR89" s="33" t="n"/>
      <c r="JS89" s="33" t="n"/>
      <c r="JT89" s="33" t="n"/>
      <c r="JU89" s="33" t="n"/>
      <c r="JV89" s="33" t="n"/>
      <c r="JW89" s="33" t="n"/>
      <c r="JX89" s="33" t="n"/>
      <c r="JY89" s="33" t="n"/>
      <c r="JZ89" s="33" t="n"/>
      <c r="KA89" s="33" t="n"/>
      <c r="KB89" s="33" t="n"/>
      <c r="KC89" s="33" t="n"/>
      <c r="KD89" s="33" t="n"/>
      <c r="KE89" s="33" t="n"/>
      <c r="KF89" s="33" t="n"/>
      <c r="KG89" s="33" t="n"/>
      <c r="KH89" s="33" t="n"/>
      <c r="KI89" s="33" t="n"/>
      <c r="KJ89" s="33" t="n"/>
      <c r="KK89" s="33" t="n"/>
      <c r="KL89" s="33" t="n"/>
      <c r="KM89" s="33" t="n"/>
      <c r="KN89" s="33" t="n"/>
      <c r="KO89" s="33" t="n"/>
      <c r="KP89" s="33" t="n"/>
      <c r="KQ89" s="33" t="n"/>
      <c r="KR89" s="33" t="n"/>
      <c r="KS89" s="33" t="n"/>
      <c r="KT89" s="33" t="n"/>
      <c r="KU89" s="33" t="n"/>
      <c r="KV89" s="33" t="n"/>
      <c r="KW89" s="33" t="n"/>
      <c r="KX89" s="33" t="n"/>
      <c r="KY89" s="33" t="n"/>
      <c r="KZ89" s="33" t="n"/>
      <c r="LA89" s="33" t="n"/>
      <c r="LB89" s="33" t="n"/>
      <c r="LC89" s="33" t="n"/>
      <c r="LD89" s="33" t="n"/>
      <c r="LE89" s="33" t="n"/>
      <c r="LF89" s="33" t="n"/>
      <c r="LG89" s="33" t="n"/>
      <c r="LH89" s="33" t="n"/>
      <c r="LI89" s="33" t="n"/>
      <c r="LJ89" s="33" t="n"/>
      <c r="LK89" s="33" t="n"/>
      <c r="LL89" s="33" t="n"/>
      <c r="LM89" s="33" t="n"/>
      <c r="LN89" s="33" t="n"/>
      <c r="LO89" s="33" t="n"/>
      <c r="LP89" s="33" t="n"/>
      <c r="LQ89" s="33" t="n"/>
      <c r="LR89" s="33" t="n"/>
      <c r="LS89" s="33" t="n"/>
      <c r="LT89" s="33" t="n"/>
      <c r="LU89" s="33" t="n"/>
      <c r="LV89" s="33" t="n"/>
      <c r="LW89" s="33" t="n"/>
      <c r="LX89" s="33" t="n"/>
      <c r="LY89" s="33" t="n"/>
      <c r="LZ89" s="33" t="n"/>
      <c r="MA89" s="33" t="n"/>
      <c r="MB89" s="33" t="n"/>
      <c r="MC89" s="33" t="n"/>
      <c r="MD89" s="33" t="n"/>
      <c r="ME89" s="33" t="n"/>
      <c r="MF89" s="33" t="n"/>
      <c r="MG89" s="33" t="n"/>
      <c r="MH89" s="33" t="n"/>
      <c r="MI89" s="33" t="n"/>
      <c r="MJ89" s="33" t="n"/>
      <c r="MK89" s="33" t="n"/>
      <c r="ML89" s="33" t="n"/>
      <c r="MM89" s="33" t="n"/>
      <c r="MN89" s="33" t="n"/>
      <c r="MO89" s="33" t="n"/>
      <c r="MP89" s="33" t="n"/>
      <c r="MQ89" s="33" t="n"/>
      <c r="MR89" s="33" t="n"/>
      <c r="MS89" s="33" t="n"/>
      <c r="MT89" s="33" t="n"/>
      <c r="MU89" s="33" t="n"/>
      <c r="MV89" s="33" t="n"/>
      <c r="MW89" s="33" t="n"/>
      <c r="MX89" s="33" t="n"/>
      <c r="MY89" s="33" t="n"/>
      <c r="MZ89" s="33" t="n"/>
      <c r="NA89" s="33" t="n"/>
      <c r="NB89" s="33" t="n"/>
      <c r="NC89" s="33" t="n"/>
      <c r="ND89" s="33" t="n"/>
      <c r="NE89" s="33" t="n"/>
      <c r="NF89" s="33" t="n"/>
      <c r="NG89" s="33" t="n"/>
      <c r="NH89" s="33" t="n"/>
      <c r="NI89" s="33" t="n"/>
      <c r="NJ89" s="33" t="n"/>
      <c r="NK89" s="33" t="n"/>
      <c r="NL89" s="33" t="n"/>
      <c r="NM89" s="33" t="n"/>
      <c r="NN89" s="33" t="n"/>
      <c r="NO89" s="33" t="n"/>
      <c r="NP89" s="33" t="n"/>
      <c r="NQ89" s="33" t="n"/>
      <c r="NR89" s="33" t="n"/>
      <c r="NS89" s="33" t="n"/>
      <c r="NT89" s="33" t="n"/>
      <c r="NU89" s="33" t="n"/>
      <c r="NV89" s="33" t="n"/>
      <c r="NW89" s="33" t="n"/>
      <c r="NX89" s="33" t="n"/>
      <c r="NY89" s="33" t="n"/>
      <c r="NZ89" s="33" t="n"/>
      <c r="OA89" s="33" t="n"/>
      <c r="OB89" s="33" t="n"/>
      <c r="OC89" s="33" t="n"/>
      <c r="OD89" s="33" t="n"/>
      <c r="OE89" s="33" t="n"/>
      <c r="OF89" s="33" t="n"/>
      <c r="OG89" s="33" t="n"/>
      <c r="OH89" s="33" t="n"/>
      <c r="OI89" s="33" t="n"/>
      <c r="OJ89" s="33" t="n"/>
      <c r="OK89" s="33" t="n"/>
      <c r="OL89" s="33" t="n"/>
      <c r="OM89" s="33" t="n"/>
      <c r="ON89" s="33" t="n"/>
      <c r="OO89" s="33" t="n"/>
      <c r="OP89" s="33" t="n"/>
      <c r="OQ89" s="33" t="n"/>
      <c r="OR89" s="33" t="n"/>
      <c r="OS89" s="33" t="n"/>
      <c r="OT89" s="33" t="n"/>
      <c r="OU89" s="33" t="n"/>
      <c r="OV89" s="33" t="n"/>
      <c r="OW89" s="33" t="n"/>
      <c r="OX89" s="33" t="n"/>
      <c r="OY89" s="33" t="n"/>
      <c r="OZ89" s="33" t="n"/>
      <c r="PA89" s="33" t="n"/>
      <c r="PB89" s="33" t="n"/>
      <c r="PC89" s="33" t="n"/>
      <c r="PD89" s="33" t="n"/>
      <c r="PE89" s="33" t="n"/>
      <c r="PF89" s="33" t="n"/>
      <c r="PG89" s="33" t="n"/>
      <c r="PH89" s="33" t="n"/>
      <c r="PI89" s="33" t="n"/>
      <c r="PJ89" s="33" t="n"/>
      <c r="PK89" s="33" t="n"/>
      <c r="PL89" s="33" t="n"/>
      <c r="PM89" s="33" t="n"/>
      <c r="PN89" s="33" t="n"/>
      <c r="PO89" s="33" t="n"/>
      <c r="PP89" s="33" t="n"/>
      <c r="PQ89" s="33" t="n"/>
      <c r="PR89" s="33" t="n"/>
      <c r="PS89" s="33" t="n"/>
      <c r="PT89" s="33" t="n"/>
      <c r="PU89" s="33" t="n"/>
      <c r="PV89" s="33" t="n"/>
      <c r="PW89" s="33" t="n"/>
      <c r="PX89" s="33" t="n"/>
      <c r="PY89" s="33" t="n"/>
      <c r="PZ89" s="33" t="n"/>
      <c r="QA89" s="33" t="n"/>
      <c r="QB89" s="33" t="n"/>
      <c r="QC89" s="33" t="n"/>
      <c r="QD89" s="33" t="n"/>
      <c r="QE89" s="33" t="n"/>
      <c r="QF89" s="33" t="n"/>
      <c r="QG89" s="33" t="n"/>
      <c r="QH89" s="33" t="n"/>
      <c r="QI89" s="33" t="n"/>
      <c r="QJ89" s="33" t="n"/>
      <c r="QK89" s="33" t="n"/>
      <c r="QL89" s="33" t="n"/>
      <c r="QM89" s="33" t="n"/>
      <c r="QN89" s="33" t="n"/>
      <c r="QO89" s="33" t="n"/>
      <c r="QP89" s="33" t="n"/>
      <c r="QQ89" s="33" t="n"/>
      <c r="QR89" s="33" t="n"/>
      <c r="QS89" s="33" t="n"/>
      <c r="QT89" s="33" t="n"/>
      <c r="QU89" s="33" t="n"/>
      <c r="QV89" s="33" t="n"/>
      <c r="QW89" s="33" t="n"/>
      <c r="QX89" s="33" t="n"/>
      <c r="QY89" s="33" t="n"/>
      <c r="QZ89" s="33" t="n"/>
      <c r="RA89" s="33" t="n"/>
      <c r="RB89" s="33" t="n"/>
      <c r="RC89" s="33" t="n"/>
      <c r="RD89" s="33" t="n"/>
      <c r="RE89" s="33" t="n"/>
      <c r="RF89" s="33" t="n"/>
      <c r="RG89" s="33" t="n"/>
      <c r="RH89" s="33" t="n"/>
      <c r="RI89" s="33" t="n"/>
      <c r="RJ89" s="33" t="n"/>
      <c r="RK89" s="33" t="n"/>
      <c r="RL89" s="33" t="n"/>
      <c r="RM89" s="33" t="n"/>
      <c r="RN89" s="33" t="n"/>
      <c r="RO89" s="33" t="n"/>
      <c r="RP89" s="33" t="n"/>
      <c r="RQ89" s="33" t="n"/>
      <c r="RR89" s="33" t="n"/>
      <c r="RS89" s="33" t="n"/>
      <c r="RT89" s="33" t="n"/>
      <c r="RU89" s="33" t="n"/>
      <c r="RV89" s="33" t="n"/>
      <c r="RW89" s="33" t="n"/>
    </row>
    <row r="90" ht="5.25" customHeight="1"/>
    <row r="91" ht="13.05" customHeight="1">
      <c r="E91" s="25" t="inlineStr">
        <is>
          <t>Tax Depreciation</t>
        </is>
      </c>
      <c r="F91" s="26" t="n"/>
      <c r="G91" s="26" t="inlineStr">
        <is>
          <t>kEUR</t>
        </is>
      </c>
      <c r="H91" s="26" t="n"/>
      <c r="I91" s="26" t="n"/>
      <c r="J91" s="27" t="n"/>
      <c r="K91" s="26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  <c r="AP91" s="28" t="n"/>
      <c r="AQ91" s="28" t="n"/>
      <c r="AR91" s="28" t="n"/>
      <c r="AS91" s="28" t="n"/>
      <c r="AT91" s="28" t="n"/>
      <c r="AU91" s="28" t="n"/>
      <c r="AV91" s="28" t="n"/>
      <c r="AW91" s="28" t="n"/>
      <c r="AX91" s="28" t="n"/>
      <c r="AY91" s="28" t="n"/>
      <c r="AZ91" s="28" t="n"/>
      <c r="BA91" s="28" t="n"/>
      <c r="BB91" s="28" t="n"/>
      <c r="BC91" s="28" t="n"/>
      <c r="BD91" s="28" t="n"/>
      <c r="BE91" s="28" t="n"/>
      <c r="BF91" s="28" t="n"/>
      <c r="BG91" s="28" t="n"/>
      <c r="BH91" s="28" t="n"/>
      <c r="BI91" s="28" t="n"/>
      <c r="BJ91" s="28" t="n"/>
      <c r="BK91" s="28" t="n"/>
      <c r="BL91" s="28" t="n"/>
      <c r="BM91" s="28" t="n"/>
      <c r="BN91" s="28" t="n"/>
      <c r="BO91" s="28" t="n"/>
      <c r="BP91" s="28" t="n"/>
      <c r="BQ91" s="28" t="n"/>
      <c r="BR91" s="28" t="n"/>
      <c r="BS91" s="28" t="n"/>
      <c r="BT91" s="28" t="n"/>
      <c r="BU91" s="28" t="n"/>
      <c r="BV91" s="28" t="n"/>
      <c r="BW91" s="28" t="n"/>
      <c r="BX91" s="28" t="n"/>
      <c r="BY91" s="28" t="n"/>
      <c r="BZ91" s="28" t="n"/>
      <c r="CA91" s="28" t="n"/>
      <c r="CB91" s="28" t="n"/>
      <c r="CC91" s="28" t="n"/>
      <c r="CD91" s="28" t="n"/>
      <c r="CE91" s="28" t="n"/>
      <c r="CF91" s="28" t="n"/>
      <c r="CG91" s="28" t="n"/>
      <c r="CH91" s="28" t="n"/>
      <c r="CI91" s="28" t="n"/>
      <c r="CJ91" s="28" t="n"/>
      <c r="CK91" s="28" t="n"/>
      <c r="CL91" s="28" t="n"/>
      <c r="CM91" s="28" t="n"/>
      <c r="CN91" s="28" t="n"/>
      <c r="CO91" s="28" t="n"/>
      <c r="CP91" s="28" t="n"/>
      <c r="CQ91" s="28" t="n"/>
      <c r="CR91" s="28" t="n"/>
      <c r="CS91" s="28" t="n"/>
      <c r="CT91" s="28" t="n"/>
      <c r="CU91" s="28" t="n"/>
      <c r="CV91" s="28" t="n"/>
      <c r="CW91" s="28" t="n"/>
      <c r="CX91" s="28" t="n"/>
      <c r="CY91" s="28" t="n"/>
      <c r="CZ91" s="28" t="n"/>
      <c r="DA91" s="28" t="n"/>
      <c r="DB91" s="28" t="n"/>
      <c r="DC91" s="28" t="n"/>
      <c r="DD91" s="28" t="n"/>
      <c r="DE91" s="28" t="n"/>
      <c r="DF91" s="28" t="n"/>
      <c r="DG91" s="28" t="n"/>
      <c r="DH91" s="28" t="n"/>
      <c r="DI91" s="28" t="n"/>
      <c r="DJ91" s="28" t="n"/>
      <c r="DK91" s="28" t="n"/>
      <c r="DL91" s="28" t="n"/>
      <c r="DM91" s="28" t="n"/>
      <c r="DN91" s="28" t="n"/>
      <c r="DO91" s="28" t="n"/>
      <c r="DP91" s="28" t="n"/>
      <c r="DQ91" s="28" t="n"/>
      <c r="DR91" s="28" t="n"/>
      <c r="DS91" s="28" t="n"/>
      <c r="DT91" s="28" t="n"/>
      <c r="DU91" s="28" t="n"/>
      <c r="DV91" s="28" t="n"/>
      <c r="DW91" s="28" t="n"/>
      <c r="DX91" s="28" t="n"/>
      <c r="DY91" s="28" t="n"/>
      <c r="DZ91" s="28" t="n"/>
      <c r="EA91" s="28" t="n"/>
      <c r="EB91" s="28" t="n"/>
      <c r="EC91" s="28" t="n"/>
      <c r="ED91" s="28" t="n"/>
      <c r="EE91" s="28" t="n"/>
      <c r="EF91" s="28" t="n"/>
      <c r="EG91" s="28" t="n"/>
      <c r="EH91" s="28" t="n"/>
      <c r="EI91" s="28" t="n"/>
      <c r="EJ91" s="28" t="n"/>
      <c r="EK91" s="28" t="n"/>
      <c r="EL91" s="28" t="n"/>
      <c r="EM91" s="28" t="n"/>
      <c r="EN91" s="28" t="n"/>
      <c r="EO91" s="28" t="n"/>
      <c r="EP91" s="28" t="n"/>
      <c r="EQ91" s="28" t="n"/>
      <c r="ER91" s="28" t="n"/>
      <c r="ES91" s="28" t="n"/>
      <c r="ET91" s="28" t="n"/>
      <c r="EU91" s="28" t="n"/>
      <c r="EV91" s="28" t="n"/>
      <c r="EW91" s="28" t="n"/>
      <c r="EX91" s="28" t="n"/>
      <c r="EY91" s="28" t="n"/>
      <c r="EZ91" s="28" t="n"/>
      <c r="FA91" s="28" t="n"/>
      <c r="FB91" s="28" t="n"/>
      <c r="FC91" s="28" t="n"/>
      <c r="FD91" s="28" t="n"/>
      <c r="FE91" s="28" t="n"/>
      <c r="FF91" s="28" t="n"/>
      <c r="FG91" s="28" t="n"/>
      <c r="FH91" s="28" t="n"/>
      <c r="FI91" s="28" t="n"/>
      <c r="FJ91" s="28" t="n"/>
      <c r="FK91" s="28" t="n"/>
      <c r="FL91" s="28" t="n"/>
      <c r="FM91" s="28" t="n"/>
      <c r="FN91" s="28" t="n"/>
      <c r="FO91" s="28" t="n"/>
      <c r="FP91" s="28" t="n"/>
      <c r="FQ91" s="28" t="n"/>
      <c r="FR91" s="28" t="n"/>
      <c r="FS91" s="28" t="n"/>
      <c r="FT91" s="28" t="n"/>
      <c r="FU91" s="28" t="n"/>
      <c r="FV91" s="28" t="n"/>
      <c r="FW91" s="28" t="n"/>
      <c r="FX91" s="28" t="n"/>
      <c r="FY91" s="28" t="n"/>
      <c r="FZ91" s="28" t="n"/>
      <c r="GA91" s="28" t="n"/>
      <c r="GB91" s="28" t="n"/>
      <c r="GC91" s="28" t="n"/>
      <c r="GD91" s="28" t="n"/>
      <c r="GE91" s="28" t="n"/>
      <c r="GF91" s="28" t="n"/>
      <c r="GG91" s="28" t="n"/>
      <c r="GH91" s="28" t="n"/>
      <c r="GI91" s="28" t="n"/>
      <c r="GJ91" s="28" t="n"/>
      <c r="GK91" s="28" t="n"/>
      <c r="GL91" s="28" t="n"/>
      <c r="GM91" s="28" t="n"/>
      <c r="GN91" s="28" t="n"/>
      <c r="GO91" s="28" t="n"/>
      <c r="GP91" s="28" t="n"/>
      <c r="GQ91" s="28" t="n"/>
      <c r="GR91" s="28" t="n"/>
      <c r="GS91" s="28" t="n"/>
      <c r="GT91" s="28" t="n"/>
      <c r="GU91" s="28" t="n"/>
      <c r="GV91" s="28" t="n"/>
      <c r="GW91" s="28" t="n"/>
      <c r="GX91" s="28" t="n"/>
      <c r="GY91" s="28" t="n"/>
      <c r="GZ91" s="28" t="n"/>
      <c r="HA91" s="28" t="n"/>
      <c r="HB91" s="28" t="n"/>
      <c r="HC91" s="28" t="n"/>
      <c r="HD91" s="28" t="n"/>
      <c r="HE91" s="28" t="n"/>
      <c r="HF91" s="28" t="n"/>
      <c r="HG91" s="28" t="n"/>
      <c r="HH91" s="28" t="n"/>
      <c r="HI91" s="28" t="n"/>
      <c r="HJ91" s="28" t="n"/>
      <c r="HK91" s="28" t="n"/>
      <c r="HL91" s="28" t="n"/>
      <c r="HM91" s="28" t="n"/>
      <c r="HN91" s="28" t="n"/>
      <c r="HO91" s="28" t="n"/>
      <c r="HP91" s="28" t="n"/>
      <c r="HQ91" s="28" t="n"/>
      <c r="HR91" s="28" t="n"/>
      <c r="HS91" s="28" t="n"/>
      <c r="HT91" s="28" t="n"/>
      <c r="HU91" s="28" t="n"/>
      <c r="HV91" s="28" t="n"/>
      <c r="HW91" s="28" t="n"/>
      <c r="HX91" s="28" t="n"/>
      <c r="HY91" s="28" t="n"/>
      <c r="HZ91" s="28" t="n"/>
      <c r="IA91" s="28" t="n"/>
      <c r="IB91" s="28" t="n"/>
      <c r="IC91" s="28" t="n"/>
      <c r="ID91" s="28" t="n"/>
      <c r="IE91" s="28" t="n"/>
      <c r="IF91" s="28" t="n"/>
      <c r="IG91" s="28" t="n"/>
      <c r="IH91" s="28" t="n"/>
      <c r="II91" s="28" t="n"/>
      <c r="IJ91" s="28" t="n"/>
      <c r="IK91" s="28" t="n"/>
      <c r="IL91" s="28" t="n"/>
      <c r="IM91" s="28" t="n"/>
      <c r="IN91" s="28" t="n"/>
      <c r="IO91" s="28" t="n"/>
      <c r="IP91" s="28" t="n"/>
      <c r="IQ91" s="28" t="n"/>
      <c r="IR91" s="28" t="n"/>
      <c r="IS91" s="28" t="n"/>
      <c r="IT91" s="28" t="n"/>
      <c r="IU91" s="28" t="n"/>
      <c r="IV91" s="28" t="n"/>
      <c r="IW91" s="28" t="n"/>
      <c r="IX91" s="28" t="n"/>
      <c r="IY91" s="28" t="n"/>
      <c r="IZ91" s="28" t="n"/>
      <c r="JA91" s="28" t="n"/>
      <c r="JB91" s="28" t="n"/>
      <c r="JC91" s="28" t="n"/>
      <c r="JD91" s="28" t="n"/>
      <c r="JE91" s="28" t="n"/>
      <c r="JF91" s="28" t="n"/>
      <c r="JG91" s="28" t="n"/>
      <c r="JH91" s="28" t="n"/>
      <c r="JI91" s="28" t="n"/>
      <c r="JJ91" s="28" t="n"/>
      <c r="JK91" s="28" t="n"/>
      <c r="JL91" s="28" t="n"/>
      <c r="JM91" s="28" t="n"/>
      <c r="JN91" s="28" t="n"/>
      <c r="JO91" s="28" t="n"/>
      <c r="JP91" s="28" t="n"/>
      <c r="JQ91" s="28" t="n"/>
      <c r="JR91" s="28" t="n"/>
      <c r="JS91" s="28" t="n"/>
      <c r="JT91" s="28" t="n"/>
      <c r="JU91" s="28" t="n"/>
      <c r="JV91" s="28" t="n"/>
      <c r="JW91" s="28" t="n"/>
      <c r="JX91" s="28" t="n"/>
      <c r="JY91" s="28" t="n"/>
      <c r="JZ91" s="28" t="n"/>
      <c r="KA91" s="28" t="n"/>
      <c r="KB91" s="28" t="n"/>
      <c r="KC91" s="28" t="n"/>
      <c r="KD91" s="28" t="n"/>
      <c r="KE91" s="28" t="n"/>
      <c r="KF91" s="28" t="n"/>
      <c r="KG91" s="28" t="n"/>
      <c r="KH91" s="28" t="n"/>
      <c r="KI91" s="28" t="n"/>
      <c r="KJ91" s="28" t="n"/>
      <c r="KK91" s="28" t="n"/>
      <c r="KL91" s="28" t="n"/>
      <c r="KM91" s="28" t="n"/>
      <c r="KN91" s="28" t="n"/>
      <c r="KO91" s="28" t="n"/>
      <c r="KP91" s="28" t="n"/>
      <c r="KQ91" s="28" t="n"/>
      <c r="KR91" s="28" t="n"/>
      <c r="KS91" s="28" t="n"/>
      <c r="KT91" s="28" t="n"/>
      <c r="KU91" s="28" t="n"/>
      <c r="KV91" s="28" t="n"/>
      <c r="KW91" s="28" t="n"/>
      <c r="KX91" s="28" t="n"/>
      <c r="KY91" s="28" t="n"/>
      <c r="KZ91" s="28" t="n"/>
      <c r="LA91" s="28" t="n"/>
      <c r="LB91" s="28" t="n"/>
      <c r="LC91" s="28" t="n"/>
      <c r="LD91" s="28" t="n"/>
      <c r="LE91" s="28" t="n"/>
      <c r="LF91" s="28" t="n"/>
      <c r="LG91" s="28" t="n"/>
      <c r="LH91" s="28" t="n"/>
      <c r="LI91" s="28" t="n"/>
      <c r="LJ91" s="28" t="n"/>
      <c r="LK91" s="28" t="n"/>
      <c r="LL91" s="28" t="n"/>
      <c r="LM91" s="28" t="n"/>
      <c r="LN91" s="28" t="n"/>
      <c r="LO91" s="28" t="n"/>
      <c r="LP91" s="28" t="n"/>
      <c r="LQ91" s="28" t="n"/>
      <c r="LR91" s="28" t="n"/>
      <c r="LS91" s="28" t="n"/>
      <c r="LT91" s="28" t="n"/>
      <c r="LU91" s="28" t="n"/>
      <c r="LV91" s="28" t="n"/>
      <c r="LW91" s="28" t="n"/>
      <c r="LX91" s="28" t="n"/>
      <c r="LY91" s="28" t="n"/>
      <c r="LZ91" s="28" t="n"/>
      <c r="MA91" s="28" t="n"/>
      <c r="MB91" s="28" t="n"/>
      <c r="MC91" s="28" t="n"/>
      <c r="MD91" s="28" t="n"/>
      <c r="ME91" s="28" t="n"/>
      <c r="MF91" s="28" t="n"/>
      <c r="MG91" s="28" t="n"/>
      <c r="MH91" s="28" t="n"/>
      <c r="MI91" s="28" t="n"/>
      <c r="MJ91" s="28" t="n"/>
      <c r="MK91" s="28" t="n"/>
      <c r="ML91" s="28" t="n"/>
      <c r="MM91" s="28" t="n"/>
      <c r="MN91" s="28" t="n"/>
      <c r="MO91" s="28" t="n"/>
      <c r="MP91" s="28" t="n"/>
      <c r="MQ91" s="28" t="n"/>
      <c r="MR91" s="28" t="n"/>
      <c r="MS91" s="28" t="n"/>
      <c r="MT91" s="28" t="n"/>
      <c r="MU91" s="28" t="n"/>
      <c r="MV91" s="28" t="n"/>
      <c r="MW91" s="28" t="n"/>
      <c r="MX91" s="28" t="n"/>
      <c r="MY91" s="28" t="n"/>
      <c r="MZ91" s="28" t="n"/>
      <c r="NA91" s="28" t="n"/>
      <c r="NB91" s="28" t="n"/>
      <c r="NC91" s="28" t="n"/>
      <c r="ND91" s="28" t="n"/>
      <c r="NE91" s="28" t="n"/>
      <c r="NF91" s="28" t="n"/>
      <c r="NG91" s="28" t="n"/>
      <c r="NH91" s="28" t="n"/>
      <c r="NI91" s="28" t="n"/>
      <c r="NJ91" s="28" t="n"/>
      <c r="NK91" s="28" t="n"/>
      <c r="NL91" s="28" t="n"/>
      <c r="NM91" s="28" t="n"/>
      <c r="NN91" s="28" t="n"/>
      <c r="NO91" s="28" t="n"/>
      <c r="NP91" s="28" t="n"/>
      <c r="NQ91" s="28" t="n"/>
      <c r="NR91" s="28" t="n"/>
      <c r="NS91" s="28" t="n"/>
      <c r="NT91" s="28" t="n"/>
      <c r="NU91" s="28" t="n"/>
      <c r="NV91" s="28" t="n"/>
      <c r="NW91" s="28" t="n"/>
      <c r="NX91" s="28" t="n"/>
      <c r="NY91" s="28" t="n"/>
      <c r="NZ91" s="28" t="n"/>
      <c r="OA91" s="28" t="n"/>
      <c r="OB91" s="28" t="n"/>
      <c r="OC91" s="28" t="n"/>
      <c r="OD91" s="28" t="n"/>
      <c r="OE91" s="28" t="n"/>
      <c r="OF91" s="28" t="n"/>
      <c r="OG91" s="28" t="n"/>
      <c r="OH91" s="28" t="n"/>
      <c r="OI91" s="28" t="n"/>
      <c r="OJ91" s="28" t="n"/>
      <c r="OK91" s="28" t="n"/>
      <c r="OL91" s="28" t="n"/>
      <c r="OM91" s="28" t="n"/>
      <c r="ON91" s="28" t="n"/>
      <c r="OO91" s="28" t="n"/>
      <c r="OP91" s="28" t="n"/>
      <c r="OQ91" s="28" t="n"/>
      <c r="OR91" s="28" t="n"/>
      <c r="OS91" s="28" t="n"/>
      <c r="OT91" s="28" t="n"/>
      <c r="OU91" s="28" t="n"/>
      <c r="OV91" s="28" t="n"/>
      <c r="OW91" s="28" t="n"/>
      <c r="OX91" s="28" t="n"/>
      <c r="OY91" s="28" t="n"/>
      <c r="OZ91" s="28" t="n"/>
      <c r="PA91" s="28" t="n"/>
      <c r="PB91" s="28" t="n"/>
      <c r="PC91" s="28" t="n"/>
      <c r="PD91" s="28" t="n"/>
      <c r="PE91" s="28" t="n"/>
      <c r="PF91" s="28" t="n"/>
      <c r="PG91" s="28" t="n"/>
      <c r="PH91" s="28" t="n"/>
      <c r="PI91" s="28" t="n"/>
      <c r="PJ91" s="28" t="n"/>
      <c r="PK91" s="28" t="n"/>
      <c r="PL91" s="28" t="n"/>
      <c r="PM91" s="28" t="n"/>
      <c r="PN91" s="28" t="n"/>
      <c r="PO91" s="28" t="n"/>
      <c r="PP91" s="28" t="n"/>
      <c r="PQ91" s="28" t="n"/>
      <c r="PR91" s="28" t="n"/>
      <c r="PS91" s="28" t="n"/>
      <c r="PT91" s="28" t="n"/>
      <c r="PU91" s="28" t="n"/>
      <c r="PV91" s="28" t="n"/>
      <c r="PW91" s="28" t="n"/>
      <c r="PX91" s="28" t="n"/>
      <c r="PY91" s="28" t="n"/>
      <c r="PZ91" s="28" t="n"/>
      <c r="QA91" s="28" t="n"/>
      <c r="QB91" s="28" t="n"/>
      <c r="QC91" s="28" t="n"/>
      <c r="QD91" s="28" t="n"/>
      <c r="QE91" s="28" t="n"/>
      <c r="QF91" s="28" t="n"/>
      <c r="QG91" s="28" t="n"/>
      <c r="QH91" s="28" t="n"/>
      <c r="QI91" s="28" t="n"/>
      <c r="QJ91" s="28" t="n"/>
      <c r="QK91" s="28" t="n"/>
      <c r="QL91" s="28" t="n"/>
      <c r="QM91" s="28" t="n"/>
      <c r="QN91" s="28" t="n"/>
      <c r="QO91" s="28" t="n"/>
      <c r="QP91" s="28" t="n"/>
      <c r="QQ91" s="28" t="n"/>
      <c r="QR91" s="28" t="n"/>
      <c r="QS91" s="28" t="n"/>
      <c r="QT91" s="28" t="n"/>
      <c r="QU91" s="28" t="n"/>
      <c r="QV91" s="28" t="n"/>
      <c r="QW91" s="28" t="n"/>
      <c r="QX91" s="28" t="n"/>
      <c r="QY91" s="28" t="n"/>
      <c r="QZ91" s="28" t="n"/>
      <c r="RA91" s="28" t="n"/>
      <c r="RB91" s="28" t="n"/>
      <c r="RC91" s="28" t="n"/>
      <c r="RD91" s="28" t="n"/>
      <c r="RE91" s="28" t="n"/>
      <c r="RF91" s="28" t="n"/>
      <c r="RG91" s="28" t="n"/>
      <c r="RH91" s="28" t="n"/>
      <c r="RI91" s="28" t="n"/>
      <c r="RJ91" s="28" t="n"/>
      <c r="RK91" s="28" t="n"/>
      <c r="RL91" s="28" t="n"/>
      <c r="RM91" s="28" t="n"/>
      <c r="RN91" s="28" t="n"/>
      <c r="RO91" s="28" t="n"/>
      <c r="RP91" s="28" t="n"/>
      <c r="RQ91" s="28" t="n"/>
      <c r="RR91" s="28" t="n"/>
      <c r="RS91" s="28" t="n"/>
      <c r="RT91" s="28" t="n"/>
      <c r="RU91" s="28" t="n"/>
      <c r="RV91" s="28" t="n"/>
      <c r="RW91" s="28" t="n"/>
    </row>
    <row r="92" hidden="1" outlineLevel="1" ht="13.05" customHeight="1">
      <c r="E92" s="21" t="inlineStr">
        <is>
          <t>Deductible Interest</t>
        </is>
      </c>
      <c r="F92" s="29" t="n"/>
      <c r="G92" s="29" t="inlineStr">
        <is>
          <t>kEUR</t>
        </is>
      </c>
      <c r="H92" s="29" t="n"/>
      <c r="I92" s="29" t="n"/>
      <c r="J92" s="32" t="n"/>
      <c r="K92" s="29" t="n"/>
      <c r="L92" s="33" t="n"/>
      <c r="M92" s="33" t="n"/>
      <c r="N92" s="33" t="n"/>
      <c r="O92" s="33" t="n"/>
      <c r="P92" s="33" t="n"/>
      <c r="Q92" s="33" t="n"/>
      <c r="R92" s="33" t="n"/>
      <c r="S92" s="33" t="n"/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n"/>
      <c r="AF92" s="33" t="n"/>
      <c r="AG92" s="33" t="n"/>
      <c r="AH92" s="33" t="n"/>
      <c r="AI92" s="33" t="n"/>
      <c r="AJ92" s="33" t="n"/>
      <c r="AK92" s="33" t="n"/>
      <c r="AL92" s="33" t="n"/>
      <c r="AM92" s="33" t="n"/>
      <c r="AN92" s="33" t="n"/>
      <c r="AO92" s="33" t="n"/>
      <c r="AP92" s="33" t="n"/>
      <c r="AQ92" s="33" t="n"/>
      <c r="AR92" s="33" t="n"/>
      <c r="AS92" s="33" t="n"/>
      <c r="AT92" s="33" t="n"/>
      <c r="AU92" s="33" t="n"/>
      <c r="AV92" s="33" t="n"/>
      <c r="AW92" s="33" t="n"/>
      <c r="AX92" s="33" t="n"/>
      <c r="AY92" s="33" t="n"/>
      <c r="AZ92" s="33" t="n"/>
      <c r="BA92" s="33" t="n"/>
      <c r="BB92" s="33" t="n"/>
      <c r="BC92" s="33" t="n"/>
      <c r="BD92" s="33" t="n"/>
      <c r="BE92" s="33" t="n"/>
      <c r="BF92" s="33" t="n"/>
      <c r="BG92" s="33" t="n"/>
      <c r="BH92" s="33" t="n"/>
      <c r="BI92" s="33" t="n"/>
      <c r="BJ92" s="33" t="n"/>
      <c r="BK92" s="33" t="n"/>
      <c r="BL92" s="33" t="n"/>
      <c r="BM92" s="33" t="n"/>
      <c r="BN92" s="33" t="n"/>
      <c r="BO92" s="33" t="n"/>
      <c r="BP92" s="33" t="n"/>
      <c r="BQ92" s="33" t="n"/>
      <c r="BR92" s="33" t="n"/>
      <c r="BS92" s="33" t="n"/>
      <c r="BT92" s="33" t="n"/>
      <c r="BU92" s="33" t="n"/>
      <c r="BV92" s="33" t="n"/>
      <c r="BW92" s="33" t="n"/>
      <c r="BX92" s="33" t="n"/>
      <c r="BY92" s="33" t="n"/>
      <c r="BZ92" s="33" t="n"/>
      <c r="CA92" s="33" t="n"/>
      <c r="CB92" s="33" t="n"/>
      <c r="CC92" s="33" t="n"/>
      <c r="CD92" s="33" t="n"/>
      <c r="CE92" s="33" t="n"/>
      <c r="CF92" s="33" t="n"/>
      <c r="CG92" s="33" t="n"/>
      <c r="CH92" s="33" t="n"/>
      <c r="CI92" s="33" t="n"/>
      <c r="CJ92" s="33" t="n"/>
      <c r="CK92" s="33" t="n"/>
      <c r="CL92" s="33" t="n"/>
      <c r="CM92" s="33" t="n"/>
      <c r="CN92" s="33" t="n"/>
      <c r="CO92" s="33" t="n"/>
      <c r="CP92" s="33" t="n"/>
      <c r="CQ92" s="33" t="n"/>
      <c r="CR92" s="33" t="n"/>
      <c r="CS92" s="33" t="n"/>
      <c r="CT92" s="33" t="n"/>
      <c r="CU92" s="33" t="n"/>
      <c r="CV92" s="33" t="n"/>
      <c r="CW92" s="33" t="n"/>
      <c r="CX92" s="33" t="n"/>
      <c r="CY92" s="33" t="n"/>
      <c r="CZ92" s="33" t="n"/>
      <c r="DA92" s="33" t="n"/>
      <c r="DB92" s="33" t="n"/>
      <c r="DC92" s="33" t="n"/>
      <c r="DD92" s="33" t="n"/>
      <c r="DE92" s="33" t="n"/>
      <c r="DF92" s="33" t="n"/>
      <c r="DG92" s="33" t="n"/>
      <c r="DH92" s="33" t="n"/>
      <c r="DI92" s="33" t="n"/>
      <c r="DJ92" s="33" t="n"/>
      <c r="DK92" s="33" t="n"/>
      <c r="DL92" s="33" t="n"/>
      <c r="DM92" s="33" t="n"/>
      <c r="DN92" s="33" t="n"/>
      <c r="DO92" s="33" t="n"/>
      <c r="DP92" s="33" t="n"/>
      <c r="DQ92" s="33" t="n"/>
      <c r="DR92" s="33" t="n"/>
      <c r="DS92" s="33" t="n"/>
      <c r="DT92" s="33" t="n"/>
      <c r="DU92" s="33" t="n"/>
      <c r="DV92" s="33" t="n"/>
      <c r="DW92" s="33" t="n"/>
      <c r="DX92" s="33" t="n"/>
      <c r="DY92" s="33" t="n"/>
      <c r="DZ92" s="33" t="n"/>
      <c r="EA92" s="33" t="n"/>
      <c r="EB92" s="33" t="n"/>
      <c r="EC92" s="33" t="n"/>
      <c r="ED92" s="33" t="n"/>
      <c r="EE92" s="33" t="n"/>
      <c r="EF92" s="33" t="n"/>
      <c r="EG92" s="33" t="n"/>
      <c r="EH92" s="33" t="n"/>
      <c r="EI92" s="33" t="n"/>
      <c r="EJ92" s="33" t="n"/>
      <c r="EK92" s="33" t="n"/>
      <c r="EL92" s="33" t="n"/>
      <c r="EM92" s="33" t="n"/>
      <c r="EN92" s="33" t="n"/>
      <c r="EO92" s="33" t="n"/>
      <c r="EP92" s="33" t="n"/>
      <c r="EQ92" s="33" t="n"/>
      <c r="ER92" s="33" t="n"/>
      <c r="ES92" s="33" t="n"/>
      <c r="ET92" s="33" t="n"/>
      <c r="EU92" s="33" t="n"/>
      <c r="EV92" s="33" t="n"/>
      <c r="EW92" s="33" t="n"/>
      <c r="EX92" s="33" t="n"/>
      <c r="EY92" s="33" t="n"/>
      <c r="EZ92" s="33" t="n"/>
      <c r="FA92" s="33" t="n"/>
      <c r="FB92" s="33" t="n"/>
      <c r="FC92" s="33" t="n"/>
      <c r="FD92" s="33" t="n"/>
      <c r="FE92" s="33" t="n"/>
      <c r="FF92" s="33" t="n"/>
      <c r="FG92" s="33" t="n"/>
      <c r="FH92" s="33" t="n"/>
      <c r="FI92" s="33" t="n"/>
      <c r="FJ92" s="33" t="n"/>
      <c r="FK92" s="33" t="n"/>
      <c r="FL92" s="33" t="n"/>
      <c r="FM92" s="33" t="n"/>
      <c r="FN92" s="33" t="n"/>
      <c r="FO92" s="33" t="n"/>
      <c r="FP92" s="33" t="n"/>
      <c r="FQ92" s="33" t="n"/>
      <c r="FR92" s="33" t="n"/>
      <c r="FS92" s="33" t="n"/>
      <c r="FT92" s="33" t="n"/>
      <c r="FU92" s="33" t="n"/>
      <c r="FV92" s="33" t="n"/>
      <c r="FW92" s="33" t="n"/>
      <c r="FX92" s="33" t="n"/>
      <c r="FY92" s="33" t="n"/>
      <c r="FZ92" s="33" t="n"/>
      <c r="GA92" s="33" t="n"/>
      <c r="GB92" s="33" t="n"/>
      <c r="GC92" s="33" t="n"/>
      <c r="GD92" s="33" t="n"/>
      <c r="GE92" s="33" t="n"/>
      <c r="GF92" s="33" t="n"/>
      <c r="GG92" s="33" t="n"/>
      <c r="GH92" s="33" t="n"/>
      <c r="GI92" s="33" t="n"/>
      <c r="GJ92" s="33" t="n"/>
      <c r="GK92" s="33" t="n"/>
      <c r="GL92" s="33" t="n"/>
      <c r="GM92" s="33" t="n"/>
      <c r="GN92" s="33" t="n"/>
      <c r="GO92" s="33" t="n"/>
      <c r="GP92" s="33" t="n"/>
      <c r="GQ92" s="33" t="n"/>
      <c r="GR92" s="33" t="n"/>
      <c r="GS92" s="33" t="n"/>
      <c r="GT92" s="33" t="n"/>
      <c r="GU92" s="33" t="n"/>
      <c r="GV92" s="33" t="n"/>
      <c r="GW92" s="33" t="n"/>
      <c r="GX92" s="33" t="n"/>
      <c r="GY92" s="33" t="n"/>
      <c r="GZ92" s="33" t="n"/>
      <c r="HA92" s="33" t="n"/>
      <c r="HB92" s="33" t="n"/>
      <c r="HC92" s="33" t="n"/>
      <c r="HD92" s="33" t="n"/>
      <c r="HE92" s="33" t="n"/>
      <c r="HF92" s="33" t="n"/>
      <c r="HG92" s="33" t="n"/>
      <c r="HH92" s="33" t="n"/>
      <c r="HI92" s="33" t="n"/>
      <c r="HJ92" s="33" t="n"/>
      <c r="HK92" s="33" t="n"/>
      <c r="HL92" s="33" t="n"/>
      <c r="HM92" s="33" t="n"/>
      <c r="HN92" s="33" t="n"/>
      <c r="HO92" s="33" t="n"/>
      <c r="HP92" s="33" t="n"/>
      <c r="HQ92" s="33" t="n"/>
      <c r="HR92" s="33" t="n"/>
      <c r="HS92" s="33" t="n"/>
      <c r="HT92" s="33" t="n"/>
      <c r="HU92" s="33" t="n"/>
      <c r="HV92" s="33" t="n"/>
      <c r="HW92" s="33" t="n"/>
      <c r="HX92" s="33" t="n"/>
      <c r="HY92" s="33" t="n"/>
      <c r="HZ92" s="33" t="n"/>
      <c r="IA92" s="33" t="n"/>
      <c r="IB92" s="33" t="n"/>
      <c r="IC92" s="33" t="n"/>
      <c r="ID92" s="33" t="n"/>
      <c r="IE92" s="33" t="n"/>
      <c r="IF92" s="33" t="n"/>
      <c r="IG92" s="33" t="n"/>
      <c r="IH92" s="33" t="n"/>
      <c r="II92" s="33" t="n"/>
      <c r="IJ92" s="33" t="n"/>
      <c r="IK92" s="33" t="n"/>
      <c r="IL92" s="33" t="n"/>
      <c r="IM92" s="33" t="n"/>
      <c r="IN92" s="33" t="n"/>
      <c r="IO92" s="33" t="n"/>
      <c r="IP92" s="33" t="n"/>
      <c r="IQ92" s="33" t="n"/>
      <c r="IR92" s="33" t="n"/>
      <c r="IS92" s="33" t="n"/>
      <c r="IT92" s="33" t="n"/>
      <c r="IU92" s="33" t="n"/>
      <c r="IV92" s="33" t="n"/>
      <c r="IW92" s="33" t="n"/>
      <c r="IX92" s="33" t="n"/>
      <c r="IY92" s="33" t="n"/>
      <c r="IZ92" s="33" t="n"/>
      <c r="JA92" s="33" t="n"/>
      <c r="JB92" s="33" t="n"/>
      <c r="JC92" s="33" t="n"/>
      <c r="JD92" s="33" t="n"/>
      <c r="JE92" s="33" t="n"/>
      <c r="JF92" s="33" t="n"/>
      <c r="JG92" s="33" t="n"/>
      <c r="JH92" s="33" t="n"/>
      <c r="JI92" s="33" t="n"/>
      <c r="JJ92" s="33" t="n"/>
      <c r="JK92" s="33" t="n"/>
      <c r="JL92" s="33" t="n"/>
      <c r="JM92" s="33" t="n"/>
      <c r="JN92" s="33" t="n"/>
      <c r="JO92" s="33" t="n"/>
      <c r="JP92" s="33" t="n"/>
      <c r="JQ92" s="33" t="n"/>
      <c r="JR92" s="33" t="n"/>
      <c r="JS92" s="33" t="n"/>
      <c r="JT92" s="33" t="n"/>
      <c r="JU92" s="33" t="n"/>
      <c r="JV92" s="33" t="n"/>
      <c r="JW92" s="33" t="n"/>
      <c r="JX92" s="33" t="n"/>
      <c r="JY92" s="33" t="n"/>
      <c r="JZ92" s="33" t="n"/>
      <c r="KA92" s="33" t="n"/>
      <c r="KB92" s="33" t="n"/>
      <c r="KC92" s="33" t="n"/>
      <c r="KD92" s="33" t="n"/>
      <c r="KE92" s="33" t="n"/>
      <c r="KF92" s="33" t="n"/>
      <c r="KG92" s="33" t="n"/>
      <c r="KH92" s="33" t="n"/>
      <c r="KI92" s="33" t="n"/>
      <c r="KJ92" s="33" t="n"/>
      <c r="KK92" s="33" t="n"/>
      <c r="KL92" s="33" t="n"/>
      <c r="KM92" s="33" t="n"/>
      <c r="KN92" s="33" t="n"/>
      <c r="KO92" s="33" t="n"/>
      <c r="KP92" s="33" t="n"/>
      <c r="KQ92" s="33" t="n"/>
      <c r="KR92" s="33" t="n"/>
      <c r="KS92" s="33" t="n"/>
      <c r="KT92" s="33" t="n"/>
      <c r="KU92" s="33" t="n"/>
      <c r="KV92" s="33" t="n"/>
      <c r="KW92" s="33" t="n"/>
      <c r="KX92" s="33" t="n"/>
      <c r="KY92" s="33" t="n"/>
      <c r="KZ92" s="33" t="n"/>
      <c r="LA92" s="33" t="n"/>
      <c r="LB92" s="33" t="n"/>
      <c r="LC92" s="33" t="n"/>
      <c r="LD92" s="33" t="n"/>
      <c r="LE92" s="33" t="n"/>
      <c r="LF92" s="33" t="n"/>
      <c r="LG92" s="33" t="n"/>
      <c r="LH92" s="33" t="n"/>
      <c r="LI92" s="33" t="n"/>
      <c r="LJ92" s="33" t="n"/>
      <c r="LK92" s="33" t="n"/>
      <c r="LL92" s="33" t="n"/>
      <c r="LM92" s="33" t="n"/>
      <c r="LN92" s="33" t="n"/>
      <c r="LO92" s="33" t="n"/>
      <c r="LP92" s="33" t="n"/>
      <c r="LQ92" s="33" t="n"/>
      <c r="LR92" s="33" t="n"/>
      <c r="LS92" s="33" t="n"/>
      <c r="LT92" s="33" t="n"/>
      <c r="LU92" s="33" t="n"/>
      <c r="LV92" s="33" t="n"/>
      <c r="LW92" s="33" t="n"/>
      <c r="LX92" s="33" t="n"/>
      <c r="LY92" s="33" t="n"/>
      <c r="LZ92" s="33" t="n"/>
      <c r="MA92" s="33" t="n"/>
      <c r="MB92" s="33" t="n"/>
      <c r="MC92" s="33" t="n"/>
      <c r="MD92" s="33" t="n"/>
      <c r="ME92" s="33" t="n"/>
      <c r="MF92" s="33" t="n"/>
      <c r="MG92" s="33" t="n"/>
      <c r="MH92" s="33" t="n"/>
      <c r="MI92" s="33" t="n"/>
      <c r="MJ92" s="33" t="n"/>
      <c r="MK92" s="33" t="n"/>
      <c r="ML92" s="33" t="n"/>
      <c r="MM92" s="33" t="n"/>
      <c r="MN92" s="33" t="n"/>
      <c r="MO92" s="33" t="n"/>
      <c r="MP92" s="33" t="n"/>
      <c r="MQ92" s="33" t="n"/>
      <c r="MR92" s="33" t="n"/>
      <c r="MS92" s="33" t="n"/>
      <c r="MT92" s="33" t="n"/>
      <c r="MU92" s="33" t="n"/>
      <c r="MV92" s="33" t="n"/>
      <c r="MW92" s="33" t="n"/>
      <c r="MX92" s="33" t="n"/>
      <c r="MY92" s="33" t="n"/>
      <c r="MZ92" s="33" t="n"/>
      <c r="NA92" s="33" t="n"/>
      <c r="NB92" s="33" t="n"/>
      <c r="NC92" s="33" t="n"/>
      <c r="ND92" s="33" t="n"/>
      <c r="NE92" s="33" t="n"/>
      <c r="NF92" s="33" t="n"/>
      <c r="NG92" s="33" t="n"/>
      <c r="NH92" s="33" t="n"/>
      <c r="NI92" s="33" t="n"/>
      <c r="NJ92" s="33" t="n"/>
      <c r="NK92" s="33" t="n"/>
      <c r="NL92" s="33" t="n"/>
      <c r="NM92" s="33" t="n"/>
      <c r="NN92" s="33" t="n"/>
      <c r="NO92" s="33" t="n"/>
      <c r="NP92" s="33" t="n"/>
      <c r="NQ92" s="33" t="n"/>
      <c r="NR92" s="33" t="n"/>
      <c r="NS92" s="33" t="n"/>
      <c r="NT92" s="33" t="n"/>
      <c r="NU92" s="33" t="n"/>
      <c r="NV92" s="33" t="n"/>
      <c r="NW92" s="33" t="n"/>
      <c r="NX92" s="33" t="n"/>
      <c r="NY92" s="33" t="n"/>
      <c r="NZ92" s="33" t="n"/>
      <c r="OA92" s="33" t="n"/>
      <c r="OB92" s="33" t="n"/>
      <c r="OC92" s="33" t="n"/>
      <c r="OD92" s="33" t="n"/>
      <c r="OE92" s="33" t="n"/>
      <c r="OF92" s="33" t="n"/>
      <c r="OG92" s="33" t="n"/>
      <c r="OH92" s="33" t="n"/>
      <c r="OI92" s="33" t="n"/>
      <c r="OJ92" s="33" t="n"/>
      <c r="OK92" s="33" t="n"/>
      <c r="OL92" s="33" t="n"/>
      <c r="OM92" s="33" t="n"/>
      <c r="ON92" s="33" t="n"/>
      <c r="OO92" s="33" t="n"/>
      <c r="OP92" s="33" t="n"/>
      <c r="OQ92" s="33" t="n"/>
      <c r="OR92" s="33" t="n"/>
      <c r="OS92" s="33" t="n"/>
      <c r="OT92" s="33" t="n"/>
      <c r="OU92" s="33" t="n"/>
      <c r="OV92" s="33" t="n"/>
      <c r="OW92" s="33" t="n"/>
      <c r="OX92" s="33" t="n"/>
      <c r="OY92" s="33" t="n"/>
      <c r="OZ92" s="33" t="n"/>
      <c r="PA92" s="33" t="n"/>
      <c r="PB92" s="33" t="n"/>
      <c r="PC92" s="33" t="n"/>
      <c r="PD92" s="33" t="n"/>
      <c r="PE92" s="33" t="n"/>
      <c r="PF92" s="33" t="n"/>
      <c r="PG92" s="33" t="n"/>
      <c r="PH92" s="33" t="n"/>
      <c r="PI92" s="33" t="n"/>
      <c r="PJ92" s="33" t="n"/>
      <c r="PK92" s="33" t="n"/>
      <c r="PL92" s="33" t="n"/>
      <c r="PM92" s="33" t="n"/>
      <c r="PN92" s="33" t="n"/>
      <c r="PO92" s="33" t="n"/>
      <c r="PP92" s="33" t="n"/>
      <c r="PQ92" s="33" t="n"/>
      <c r="PR92" s="33" t="n"/>
      <c r="PS92" s="33" t="n"/>
      <c r="PT92" s="33" t="n"/>
      <c r="PU92" s="33" t="n"/>
      <c r="PV92" s="33" t="n"/>
      <c r="PW92" s="33" t="n"/>
      <c r="PX92" s="33" t="n"/>
      <c r="PY92" s="33" t="n"/>
      <c r="PZ92" s="33" t="n"/>
      <c r="QA92" s="33" t="n"/>
      <c r="QB92" s="33" t="n"/>
      <c r="QC92" s="33" t="n"/>
      <c r="QD92" s="33" t="n"/>
      <c r="QE92" s="33" t="n"/>
      <c r="QF92" s="33" t="n"/>
      <c r="QG92" s="33" t="n"/>
      <c r="QH92" s="33" t="n"/>
      <c r="QI92" s="33" t="n"/>
      <c r="QJ92" s="33" t="n"/>
      <c r="QK92" s="33" t="n"/>
      <c r="QL92" s="33" t="n"/>
      <c r="QM92" s="33" t="n"/>
      <c r="QN92" s="33" t="n"/>
      <c r="QO92" s="33" t="n"/>
      <c r="QP92" s="33" t="n"/>
      <c r="QQ92" s="33" t="n"/>
      <c r="QR92" s="33" t="n"/>
      <c r="QS92" s="33" t="n"/>
      <c r="QT92" s="33" t="n"/>
      <c r="QU92" s="33" t="n"/>
      <c r="QV92" s="33" t="n"/>
      <c r="QW92" s="33" t="n"/>
      <c r="QX92" s="33" t="n"/>
      <c r="QY92" s="33" t="n"/>
      <c r="QZ92" s="33" t="n"/>
      <c r="RA92" s="33" t="n"/>
      <c r="RB92" s="33" t="n"/>
      <c r="RC92" s="33" t="n"/>
      <c r="RD92" s="33" t="n"/>
      <c r="RE92" s="33" t="n"/>
      <c r="RF92" s="33" t="n"/>
      <c r="RG92" s="33" t="n"/>
      <c r="RH92" s="33" t="n"/>
      <c r="RI92" s="33" t="n"/>
      <c r="RJ92" s="33" t="n"/>
      <c r="RK92" s="33" t="n"/>
      <c r="RL92" s="33" t="n"/>
      <c r="RM92" s="33" t="n"/>
      <c r="RN92" s="33" t="n"/>
      <c r="RO92" s="33" t="n"/>
      <c r="RP92" s="33" t="n"/>
      <c r="RQ92" s="33" t="n"/>
      <c r="RR92" s="33" t="n"/>
      <c r="RS92" s="33" t="n"/>
      <c r="RT92" s="33" t="n"/>
      <c r="RU92" s="33" t="n"/>
      <c r="RV92" s="33" t="n"/>
      <c r="RW92" s="33" t="n"/>
    </row>
    <row r="93" hidden="1" outlineLevel="1" ht="13.05" customHeight="1">
      <c r="E93" s="21" t="inlineStr">
        <is>
          <t>Non-Deductible Interest</t>
        </is>
      </c>
      <c r="F93" s="29" t="n"/>
      <c r="G93" s="29" t="inlineStr">
        <is>
          <t>kEUR</t>
        </is>
      </c>
      <c r="H93" s="29" t="n"/>
      <c r="I93" s="29" t="n"/>
      <c r="J93" s="32" t="n"/>
      <c r="K93" s="29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33" t="n"/>
      <c r="AJ93" s="33" t="n"/>
      <c r="AK93" s="33" t="n"/>
      <c r="AL93" s="33" t="n"/>
      <c r="AM93" s="33" t="n"/>
      <c r="AN93" s="33" t="n"/>
      <c r="AO93" s="33" t="n"/>
      <c r="AP93" s="33" t="n"/>
      <c r="AQ93" s="33" t="n"/>
      <c r="AR93" s="33" t="n"/>
      <c r="AS93" s="33" t="n"/>
      <c r="AT93" s="33" t="n"/>
      <c r="AU93" s="33" t="n"/>
      <c r="AV93" s="33" t="n"/>
      <c r="AW93" s="33" t="n"/>
      <c r="AX93" s="33" t="n"/>
      <c r="AY93" s="33" t="n"/>
      <c r="AZ93" s="33" t="n"/>
      <c r="BA93" s="33" t="n"/>
      <c r="BB93" s="33" t="n"/>
      <c r="BC93" s="33" t="n"/>
      <c r="BD93" s="33" t="n"/>
      <c r="BE93" s="33" t="n"/>
      <c r="BF93" s="33" t="n"/>
      <c r="BG93" s="33" t="n"/>
      <c r="BH93" s="33" t="n"/>
      <c r="BI93" s="33" t="n"/>
      <c r="BJ93" s="33" t="n"/>
      <c r="BK93" s="33" t="n"/>
      <c r="BL93" s="33" t="n"/>
      <c r="BM93" s="33" t="n"/>
      <c r="BN93" s="33" t="n"/>
      <c r="BO93" s="33" t="n"/>
      <c r="BP93" s="33" t="n"/>
      <c r="BQ93" s="33" t="n"/>
      <c r="BR93" s="33" t="n"/>
      <c r="BS93" s="33" t="n"/>
      <c r="BT93" s="33" t="n"/>
      <c r="BU93" s="33" t="n"/>
      <c r="BV93" s="33" t="n"/>
      <c r="BW93" s="33" t="n"/>
      <c r="BX93" s="33" t="n"/>
      <c r="BY93" s="33" t="n"/>
      <c r="BZ93" s="33" t="n"/>
      <c r="CA93" s="33" t="n"/>
      <c r="CB93" s="33" t="n"/>
      <c r="CC93" s="33" t="n"/>
      <c r="CD93" s="33" t="n"/>
      <c r="CE93" s="33" t="n"/>
      <c r="CF93" s="33" t="n"/>
      <c r="CG93" s="33" t="n"/>
      <c r="CH93" s="33" t="n"/>
      <c r="CI93" s="33" t="n"/>
      <c r="CJ93" s="33" t="n"/>
      <c r="CK93" s="33" t="n"/>
      <c r="CL93" s="33" t="n"/>
      <c r="CM93" s="33" t="n"/>
      <c r="CN93" s="33" t="n"/>
      <c r="CO93" s="33" t="n"/>
      <c r="CP93" s="33" t="n"/>
      <c r="CQ93" s="33" t="n"/>
      <c r="CR93" s="33" t="n"/>
      <c r="CS93" s="33" t="n"/>
      <c r="CT93" s="33" t="n"/>
      <c r="CU93" s="33" t="n"/>
      <c r="CV93" s="33" t="n"/>
      <c r="CW93" s="33" t="n"/>
      <c r="CX93" s="33" t="n"/>
      <c r="CY93" s="33" t="n"/>
      <c r="CZ93" s="33" t="n"/>
      <c r="DA93" s="33" t="n"/>
      <c r="DB93" s="33" t="n"/>
      <c r="DC93" s="33" t="n"/>
      <c r="DD93" s="33" t="n"/>
      <c r="DE93" s="33" t="n"/>
      <c r="DF93" s="33" t="n"/>
      <c r="DG93" s="33" t="n"/>
      <c r="DH93" s="33" t="n"/>
      <c r="DI93" s="33" t="n"/>
      <c r="DJ93" s="33" t="n"/>
      <c r="DK93" s="33" t="n"/>
      <c r="DL93" s="33" t="n"/>
      <c r="DM93" s="33" t="n"/>
      <c r="DN93" s="33" t="n"/>
      <c r="DO93" s="33" t="n"/>
      <c r="DP93" s="33" t="n"/>
      <c r="DQ93" s="33" t="n"/>
      <c r="DR93" s="33" t="n"/>
      <c r="DS93" s="33" t="n"/>
      <c r="DT93" s="33" t="n"/>
      <c r="DU93" s="33" t="n"/>
      <c r="DV93" s="33" t="n"/>
      <c r="DW93" s="33" t="n"/>
      <c r="DX93" s="33" t="n"/>
      <c r="DY93" s="33" t="n"/>
      <c r="DZ93" s="33" t="n"/>
      <c r="EA93" s="33" t="n"/>
      <c r="EB93" s="33" t="n"/>
      <c r="EC93" s="33" t="n"/>
      <c r="ED93" s="33" t="n"/>
      <c r="EE93" s="33" t="n"/>
      <c r="EF93" s="33" t="n"/>
      <c r="EG93" s="33" t="n"/>
      <c r="EH93" s="33" t="n"/>
      <c r="EI93" s="33" t="n"/>
      <c r="EJ93" s="33" t="n"/>
      <c r="EK93" s="33" t="n"/>
      <c r="EL93" s="33" t="n"/>
      <c r="EM93" s="33" t="n"/>
      <c r="EN93" s="33" t="n"/>
      <c r="EO93" s="33" t="n"/>
      <c r="EP93" s="33" t="n"/>
      <c r="EQ93" s="33" t="n"/>
      <c r="ER93" s="33" t="n"/>
      <c r="ES93" s="33" t="n"/>
      <c r="ET93" s="33" t="n"/>
      <c r="EU93" s="33" t="n"/>
      <c r="EV93" s="33" t="n"/>
      <c r="EW93" s="33" t="n"/>
      <c r="EX93" s="33" t="n"/>
      <c r="EY93" s="33" t="n"/>
      <c r="EZ93" s="33" t="n"/>
      <c r="FA93" s="33" t="n"/>
      <c r="FB93" s="33" t="n"/>
      <c r="FC93" s="33" t="n"/>
      <c r="FD93" s="33" t="n"/>
      <c r="FE93" s="33" t="n"/>
      <c r="FF93" s="33" t="n"/>
      <c r="FG93" s="33" t="n"/>
      <c r="FH93" s="33" t="n"/>
      <c r="FI93" s="33" t="n"/>
      <c r="FJ93" s="33" t="n"/>
      <c r="FK93" s="33" t="n"/>
      <c r="FL93" s="33" t="n"/>
      <c r="FM93" s="33" t="n"/>
      <c r="FN93" s="33" t="n"/>
      <c r="FO93" s="33" t="n"/>
      <c r="FP93" s="33" t="n"/>
      <c r="FQ93" s="33" t="n"/>
      <c r="FR93" s="33" t="n"/>
      <c r="FS93" s="33" t="n"/>
      <c r="FT93" s="33" t="n"/>
      <c r="FU93" s="33" t="n"/>
      <c r="FV93" s="33" t="n"/>
      <c r="FW93" s="33" t="n"/>
      <c r="FX93" s="33" t="n"/>
      <c r="FY93" s="33" t="n"/>
      <c r="FZ93" s="33" t="n"/>
      <c r="GA93" s="33" t="n"/>
      <c r="GB93" s="33" t="n"/>
      <c r="GC93" s="33" t="n"/>
      <c r="GD93" s="33" t="n"/>
      <c r="GE93" s="33" t="n"/>
      <c r="GF93" s="33" t="n"/>
      <c r="GG93" s="33" t="n"/>
      <c r="GH93" s="33" t="n"/>
      <c r="GI93" s="33" t="n"/>
      <c r="GJ93" s="33" t="n"/>
      <c r="GK93" s="33" t="n"/>
      <c r="GL93" s="33" t="n"/>
      <c r="GM93" s="33" t="n"/>
      <c r="GN93" s="33" t="n"/>
      <c r="GO93" s="33" t="n"/>
      <c r="GP93" s="33" t="n"/>
      <c r="GQ93" s="33" t="n"/>
      <c r="GR93" s="33" t="n"/>
      <c r="GS93" s="33" t="n"/>
      <c r="GT93" s="33" t="n"/>
      <c r="GU93" s="33" t="n"/>
      <c r="GV93" s="33" t="n"/>
      <c r="GW93" s="33" t="n"/>
      <c r="GX93" s="33" t="n"/>
      <c r="GY93" s="33" t="n"/>
      <c r="GZ93" s="33" t="n"/>
      <c r="HA93" s="33" t="n"/>
      <c r="HB93" s="33" t="n"/>
      <c r="HC93" s="33" t="n"/>
      <c r="HD93" s="33" t="n"/>
      <c r="HE93" s="33" t="n"/>
      <c r="HF93" s="33" t="n"/>
      <c r="HG93" s="33" t="n"/>
      <c r="HH93" s="33" t="n"/>
      <c r="HI93" s="33" t="n"/>
      <c r="HJ93" s="33" t="n"/>
      <c r="HK93" s="33" t="n"/>
      <c r="HL93" s="33" t="n"/>
      <c r="HM93" s="33" t="n"/>
      <c r="HN93" s="33" t="n"/>
      <c r="HO93" s="33" t="n"/>
      <c r="HP93" s="33" t="n"/>
      <c r="HQ93" s="33" t="n"/>
      <c r="HR93" s="33" t="n"/>
      <c r="HS93" s="33" t="n"/>
      <c r="HT93" s="33" t="n"/>
      <c r="HU93" s="33" t="n"/>
      <c r="HV93" s="33" t="n"/>
      <c r="HW93" s="33" t="n"/>
      <c r="HX93" s="33" t="n"/>
      <c r="HY93" s="33" t="n"/>
      <c r="HZ93" s="33" t="n"/>
      <c r="IA93" s="33" t="n"/>
      <c r="IB93" s="33" t="n"/>
      <c r="IC93" s="33" t="n"/>
      <c r="ID93" s="33" t="n"/>
      <c r="IE93" s="33" t="n"/>
      <c r="IF93" s="33" t="n"/>
      <c r="IG93" s="33" t="n"/>
      <c r="IH93" s="33" t="n"/>
      <c r="II93" s="33" t="n"/>
      <c r="IJ93" s="33" t="n"/>
      <c r="IK93" s="33" t="n"/>
      <c r="IL93" s="33" t="n"/>
      <c r="IM93" s="33" t="n"/>
      <c r="IN93" s="33" t="n"/>
      <c r="IO93" s="33" t="n"/>
      <c r="IP93" s="33" t="n"/>
      <c r="IQ93" s="33" t="n"/>
      <c r="IR93" s="33" t="n"/>
      <c r="IS93" s="33" t="n"/>
      <c r="IT93" s="33" t="n"/>
      <c r="IU93" s="33" t="n"/>
      <c r="IV93" s="33" t="n"/>
      <c r="IW93" s="33" t="n"/>
      <c r="IX93" s="33" t="n"/>
      <c r="IY93" s="33" t="n"/>
      <c r="IZ93" s="33" t="n"/>
      <c r="JA93" s="33" t="n"/>
      <c r="JB93" s="33" t="n"/>
      <c r="JC93" s="33" t="n"/>
      <c r="JD93" s="33" t="n"/>
      <c r="JE93" s="33" t="n"/>
      <c r="JF93" s="33" t="n"/>
      <c r="JG93" s="33" t="n"/>
      <c r="JH93" s="33" t="n"/>
      <c r="JI93" s="33" t="n"/>
      <c r="JJ93" s="33" t="n"/>
      <c r="JK93" s="33" t="n"/>
      <c r="JL93" s="33" t="n"/>
      <c r="JM93" s="33" t="n"/>
      <c r="JN93" s="33" t="n"/>
      <c r="JO93" s="33" t="n"/>
      <c r="JP93" s="33" t="n"/>
      <c r="JQ93" s="33" t="n"/>
      <c r="JR93" s="33" t="n"/>
      <c r="JS93" s="33" t="n"/>
      <c r="JT93" s="33" t="n"/>
      <c r="JU93" s="33" t="n"/>
      <c r="JV93" s="33" t="n"/>
      <c r="JW93" s="33" t="n"/>
      <c r="JX93" s="33" t="n"/>
      <c r="JY93" s="33" t="n"/>
      <c r="JZ93" s="33" t="n"/>
      <c r="KA93" s="33" t="n"/>
      <c r="KB93" s="33" t="n"/>
      <c r="KC93" s="33" t="n"/>
      <c r="KD93" s="33" t="n"/>
      <c r="KE93" s="33" t="n"/>
      <c r="KF93" s="33" t="n"/>
      <c r="KG93" s="33" t="n"/>
      <c r="KH93" s="33" t="n"/>
      <c r="KI93" s="33" t="n"/>
      <c r="KJ93" s="33" t="n"/>
      <c r="KK93" s="33" t="n"/>
      <c r="KL93" s="33" t="n"/>
      <c r="KM93" s="33" t="n"/>
      <c r="KN93" s="33" t="n"/>
      <c r="KO93" s="33" t="n"/>
      <c r="KP93" s="33" t="n"/>
      <c r="KQ93" s="33" t="n"/>
      <c r="KR93" s="33" t="n"/>
      <c r="KS93" s="33" t="n"/>
      <c r="KT93" s="33" t="n"/>
      <c r="KU93" s="33" t="n"/>
      <c r="KV93" s="33" t="n"/>
      <c r="KW93" s="33" t="n"/>
      <c r="KX93" s="33" t="n"/>
      <c r="KY93" s="33" t="n"/>
      <c r="KZ93" s="33" t="n"/>
      <c r="LA93" s="33" t="n"/>
      <c r="LB93" s="33" t="n"/>
      <c r="LC93" s="33" t="n"/>
      <c r="LD93" s="33" t="n"/>
      <c r="LE93" s="33" t="n"/>
      <c r="LF93" s="33" t="n"/>
      <c r="LG93" s="33" t="n"/>
      <c r="LH93" s="33" t="n"/>
      <c r="LI93" s="33" t="n"/>
      <c r="LJ93" s="33" t="n"/>
      <c r="LK93" s="33" t="n"/>
      <c r="LL93" s="33" t="n"/>
      <c r="LM93" s="33" t="n"/>
      <c r="LN93" s="33" t="n"/>
      <c r="LO93" s="33" t="n"/>
      <c r="LP93" s="33" t="n"/>
      <c r="LQ93" s="33" t="n"/>
      <c r="LR93" s="33" t="n"/>
      <c r="LS93" s="33" t="n"/>
      <c r="LT93" s="33" t="n"/>
      <c r="LU93" s="33" t="n"/>
      <c r="LV93" s="33" t="n"/>
      <c r="LW93" s="33" t="n"/>
      <c r="LX93" s="33" t="n"/>
      <c r="LY93" s="33" t="n"/>
      <c r="LZ93" s="33" t="n"/>
      <c r="MA93" s="33" t="n"/>
      <c r="MB93" s="33" t="n"/>
      <c r="MC93" s="33" t="n"/>
      <c r="MD93" s="33" t="n"/>
      <c r="ME93" s="33" t="n"/>
      <c r="MF93" s="33" t="n"/>
      <c r="MG93" s="33" t="n"/>
      <c r="MH93" s="33" t="n"/>
      <c r="MI93" s="33" t="n"/>
      <c r="MJ93" s="33" t="n"/>
      <c r="MK93" s="33" t="n"/>
      <c r="ML93" s="33" t="n"/>
      <c r="MM93" s="33" t="n"/>
      <c r="MN93" s="33" t="n"/>
      <c r="MO93" s="33" t="n"/>
      <c r="MP93" s="33" t="n"/>
      <c r="MQ93" s="33" t="n"/>
      <c r="MR93" s="33" t="n"/>
      <c r="MS93" s="33" t="n"/>
      <c r="MT93" s="33" t="n"/>
      <c r="MU93" s="33" t="n"/>
      <c r="MV93" s="33" t="n"/>
      <c r="MW93" s="33" t="n"/>
      <c r="MX93" s="33" t="n"/>
      <c r="MY93" s="33" t="n"/>
      <c r="MZ93" s="33" t="n"/>
      <c r="NA93" s="33" t="n"/>
      <c r="NB93" s="33" t="n"/>
      <c r="NC93" s="33" t="n"/>
      <c r="ND93" s="33" t="n"/>
      <c r="NE93" s="33" t="n"/>
      <c r="NF93" s="33" t="n"/>
      <c r="NG93" s="33" t="n"/>
      <c r="NH93" s="33" t="n"/>
      <c r="NI93" s="33" t="n"/>
      <c r="NJ93" s="33" t="n"/>
      <c r="NK93" s="33" t="n"/>
      <c r="NL93" s="33" t="n"/>
      <c r="NM93" s="33" t="n"/>
      <c r="NN93" s="33" t="n"/>
      <c r="NO93" s="33" t="n"/>
      <c r="NP93" s="33" t="n"/>
      <c r="NQ93" s="33" t="n"/>
      <c r="NR93" s="33" t="n"/>
      <c r="NS93" s="33" t="n"/>
      <c r="NT93" s="33" t="n"/>
      <c r="NU93" s="33" t="n"/>
      <c r="NV93" s="33" t="n"/>
      <c r="NW93" s="33" t="n"/>
      <c r="NX93" s="33" t="n"/>
      <c r="NY93" s="33" t="n"/>
      <c r="NZ93" s="33" t="n"/>
      <c r="OA93" s="33" t="n"/>
      <c r="OB93" s="33" t="n"/>
      <c r="OC93" s="33" t="n"/>
      <c r="OD93" s="33" t="n"/>
      <c r="OE93" s="33" t="n"/>
      <c r="OF93" s="33" t="n"/>
      <c r="OG93" s="33" t="n"/>
      <c r="OH93" s="33" t="n"/>
      <c r="OI93" s="33" t="n"/>
      <c r="OJ93" s="33" t="n"/>
      <c r="OK93" s="33" t="n"/>
      <c r="OL93" s="33" t="n"/>
      <c r="OM93" s="33" t="n"/>
      <c r="ON93" s="33" t="n"/>
      <c r="OO93" s="33" t="n"/>
      <c r="OP93" s="33" t="n"/>
      <c r="OQ93" s="33" t="n"/>
      <c r="OR93" s="33" t="n"/>
      <c r="OS93" s="33" t="n"/>
      <c r="OT93" s="33" t="n"/>
      <c r="OU93" s="33" t="n"/>
      <c r="OV93" s="33" t="n"/>
      <c r="OW93" s="33" t="n"/>
      <c r="OX93" s="33" t="n"/>
      <c r="OY93" s="33" t="n"/>
      <c r="OZ93" s="33" t="n"/>
      <c r="PA93" s="33" t="n"/>
      <c r="PB93" s="33" t="n"/>
      <c r="PC93" s="33" t="n"/>
      <c r="PD93" s="33" t="n"/>
      <c r="PE93" s="33" t="n"/>
      <c r="PF93" s="33" t="n"/>
      <c r="PG93" s="33" t="n"/>
      <c r="PH93" s="33" t="n"/>
      <c r="PI93" s="33" t="n"/>
      <c r="PJ93" s="33" t="n"/>
      <c r="PK93" s="33" t="n"/>
      <c r="PL93" s="33" t="n"/>
      <c r="PM93" s="33" t="n"/>
      <c r="PN93" s="33" t="n"/>
      <c r="PO93" s="33" t="n"/>
      <c r="PP93" s="33" t="n"/>
      <c r="PQ93" s="33" t="n"/>
      <c r="PR93" s="33" t="n"/>
      <c r="PS93" s="33" t="n"/>
      <c r="PT93" s="33" t="n"/>
      <c r="PU93" s="33" t="n"/>
      <c r="PV93" s="33" t="n"/>
      <c r="PW93" s="33" t="n"/>
      <c r="PX93" s="33" t="n"/>
      <c r="PY93" s="33" t="n"/>
      <c r="PZ93" s="33" t="n"/>
      <c r="QA93" s="33" t="n"/>
      <c r="QB93" s="33" t="n"/>
      <c r="QC93" s="33" t="n"/>
      <c r="QD93" s="33" t="n"/>
      <c r="QE93" s="33" t="n"/>
      <c r="QF93" s="33" t="n"/>
      <c r="QG93" s="33" t="n"/>
      <c r="QH93" s="33" t="n"/>
      <c r="QI93" s="33" t="n"/>
      <c r="QJ93" s="33" t="n"/>
      <c r="QK93" s="33" t="n"/>
      <c r="QL93" s="33" t="n"/>
      <c r="QM93" s="33" t="n"/>
      <c r="QN93" s="33" t="n"/>
      <c r="QO93" s="33" t="n"/>
      <c r="QP93" s="33" t="n"/>
      <c r="QQ93" s="33" t="n"/>
      <c r="QR93" s="33" t="n"/>
      <c r="QS93" s="33" t="n"/>
      <c r="QT93" s="33" t="n"/>
      <c r="QU93" s="33" t="n"/>
      <c r="QV93" s="33" t="n"/>
      <c r="QW93" s="33" t="n"/>
      <c r="QX93" s="33" t="n"/>
      <c r="QY93" s="33" t="n"/>
      <c r="QZ93" s="33" t="n"/>
      <c r="RA93" s="33" t="n"/>
      <c r="RB93" s="33" t="n"/>
      <c r="RC93" s="33" t="n"/>
      <c r="RD93" s="33" t="n"/>
      <c r="RE93" s="33" t="n"/>
      <c r="RF93" s="33" t="n"/>
      <c r="RG93" s="33" t="n"/>
      <c r="RH93" s="33" t="n"/>
      <c r="RI93" s="33" t="n"/>
      <c r="RJ93" s="33" t="n"/>
      <c r="RK93" s="33" t="n"/>
      <c r="RL93" s="33" t="n"/>
      <c r="RM93" s="33" t="n"/>
      <c r="RN93" s="33" t="n"/>
      <c r="RO93" s="33" t="n"/>
      <c r="RP93" s="33" t="n"/>
      <c r="RQ93" s="33" t="n"/>
      <c r="RR93" s="33" t="n"/>
      <c r="RS93" s="33" t="n"/>
      <c r="RT93" s="33" t="n"/>
      <c r="RU93" s="33" t="n"/>
      <c r="RV93" s="33" t="n"/>
      <c r="RW93" s="33" t="n"/>
    </row>
    <row r="94" hidden="1" outlineLevel="1" ht="13.05" customHeight="1">
      <c r="E94" s="21" t="inlineStr">
        <is>
          <t>Corporate Tax (CIT)</t>
        </is>
      </c>
      <c r="F94" s="29" t="n"/>
      <c r="G94" s="29" t="inlineStr">
        <is>
          <t>kEUR</t>
        </is>
      </c>
      <c r="H94" s="29" t="n"/>
      <c r="I94" s="29" t="n"/>
      <c r="J94" s="32" t="n"/>
      <c r="K94" s="29" t="n"/>
      <c r="L94" s="33" t="n"/>
      <c r="M94" s="33" t="n"/>
      <c r="N94" s="33" t="n"/>
      <c r="O94" s="33" t="n"/>
      <c r="P94" s="33" t="n"/>
      <c r="Q94" s="33" t="n"/>
      <c r="R94" s="33" t="n"/>
      <c r="S94" s="33" t="n"/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n"/>
      <c r="AF94" s="33" t="n"/>
      <c r="AG94" s="33" t="n"/>
      <c r="AH94" s="33" t="n"/>
      <c r="AI94" s="33" t="n"/>
      <c r="AJ94" s="33" t="n"/>
      <c r="AK94" s="33" t="n"/>
      <c r="AL94" s="33" t="n"/>
      <c r="AM94" s="33" t="n"/>
      <c r="AN94" s="33" t="n"/>
      <c r="AO94" s="33" t="n"/>
      <c r="AP94" s="33" t="n"/>
      <c r="AQ94" s="33" t="n"/>
      <c r="AR94" s="33" t="n"/>
      <c r="AS94" s="33" t="n"/>
      <c r="AT94" s="33" t="n"/>
      <c r="AU94" s="33" t="n"/>
      <c r="AV94" s="33" t="n"/>
      <c r="AW94" s="33" t="n"/>
      <c r="AX94" s="33" t="n"/>
      <c r="AY94" s="33" t="n"/>
      <c r="AZ94" s="33" t="n"/>
      <c r="BA94" s="33" t="n"/>
      <c r="BB94" s="33" t="n"/>
      <c r="BC94" s="33" t="n"/>
      <c r="BD94" s="33" t="n"/>
      <c r="BE94" s="33" t="n"/>
      <c r="BF94" s="33" t="n"/>
      <c r="BG94" s="33" t="n"/>
      <c r="BH94" s="33" t="n"/>
      <c r="BI94" s="33" t="n"/>
      <c r="BJ94" s="33" t="n"/>
      <c r="BK94" s="33" t="n"/>
      <c r="BL94" s="33" t="n"/>
      <c r="BM94" s="33" t="n"/>
      <c r="BN94" s="33" t="n"/>
      <c r="BO94" s="33" t="n"/>
      <c r="BP94" s="33" t="n"/>
      <c r="BQ94" s="33" t="n"/>
      <c r="BR94" s="33" t="n"/>
      <c r="BS94" s="33" t="n"/>
      <c r="BT94" s="33" t="n"/>
      <c r="BU94" s="33" t="n"/>
      <c r="BV94" s="33" t="n"/>
      <c r="BW94" s="33" t="n"/>
      <c r="BX94" s="33" t="n"/>
      <c r="BY94" s="33" t="n"/>
      <c r="BZ94" s="33" t="n"/>
      <c r="CA94" s="33" t="n"/>
      <c r="CB94" s="33" t="n"/>
      <c r="CC94" s="33" t="n"/>
      <c r="CD94" s="33" t="n"/>
      <c r="CE94" s="33" t="n"/>
      <c r="CF94" s="33" t="n"/>
      <c r="CG94" s="33" t="n"/>
      <c r="CH94" s="33" t="n"/>
      <c r="CI94" s="33" t="n"/>
      <c r="CJ94" s="33" t="n"/>
      <c r="CK94" s="33" t="n"/>
      <c r="CL94" s="33" t="n"/>
      <c r="CM94" s="33" t="n"/>
      <c r="CN94" s="33" t="n"/>
      <c r="CO94" s="33" t="n"/>
      <c r="CP94" s="33" t="n"/>
      <c r="CQ94" s="33" t="n"/>
      <c r="CR94" s="33" t="n"/>
      <c r="CS94" s="33" t="n"/>
      <c r="CT94" s="33" t="n"/>
      <c r="CU94" s="33" t="n"/>
      <c r="CV94" s="33" t="n"/>
      <c r="CW94" s="33" t="n"/>
      <c r="CX94" s="33" t="n"/>
      <c r="CY94" s="33" t="n"/>
      <c r="CZ94" s="33" t="n"/>
      <c r="DA94" s="33" t="n"/>
      <c r="DB94" s="33" t="n"/>
      <c r="DC94" s="33" t="n"/>
      <c r="DD94" s="33" t="n"/>
      <c r="DE94" s="33" t="n"/>
      <c r="DF94" s="33" t="n"/>
      <c r="DG94" s="33" t="n"/>
      <c r="DH94" s="33" t="n"/>
      <c r="DI94" s="33" t="n"/>
      <c r="DJ94" s="33" t="n"/>
      <c r="DK94" s="33" t="n"/>
      <c r="DL94" s="33" t="n"/>
      <c r="DM94" s="33" t="n"/>
      <c r="DN94" s="33" t="n"/>
      <c r="DO94" s="33" t="n"/>
      <c r="DP94" s="33" t="n"/>
      <c r="DQ94" s="33" t="n"/>
      <c r="DR94" s="33" t="n"/>
      <c r="DS94" s="33" t="n"/>
      <c r="DT94" s="33" t="n"/>
      <c r="DU94" s="33" t="n"/>
      <c r="DV94" s="33" t="n"/>
      <c r="DW94" s="33" t="n"/>
      <c r="DX94" s="33" t="n"/>
      <c r="DY94" s="33" t="n"/>
      <c r="DZ94" s="33" t="n"/>
      <c r="EA94" s="33" t="n"/>
      <c r="EB94" s="33" t="n"/>
      <c r="EC94" s="33" t="n"/>
      <c r="ED94" s="33" t="n"/>
      <c r="EE94" s="33" t="n"/>
      <c r="EF94" s="33" t="n"/>
      <c r="EG94" s="33" t="n"/>
      <c r="EH94" s="33" t="n"/>
      <c r="EI94" s="33" t="n"/>
      <c r="EJ94" s="33" t="n"/>
      <c r="EK94" s="33" t="n"/>
      <c r="EL94" s="33" t="n"/>
      <c r="EM94" s="33" t="n"/>
      <c r="EN94" s="33" t="n"/>
      <c r="EO94" s="33" t="n"/>
      <c r="EP94" s="33" t="n"/>
      <c r="EQ94" s="33" t="n"/>
      <c r="ER94" s="33" t="n"/>
      <c r="ES94" s="33" t="n"/>
      <c r="ET94" s="33" t="n"/>
      <c r="EU94" s="33" t="n"/>
      <c r="EV94" s="33" t="n"/>
      <c r="EW94" s="33" t="n"/>
      <c r="EX94" s="33" t="n"/>
      <c r="EY94" s="33" t="n"/>
      <c r="EZ94" s="33" t="n"/>
      <c r="FA94" s="33" t="n"/>
      <c r="FB94" s="33" t="n"/>
      <c r="FC94" s="33" t="n"/>
      <c r="FD94" s="33" t="n"/>
      <c r="FE94" s="33" t="n"/>
      <c r="FF94" s="33" t="n"/>
      <c r="FG94" s="33" t="n"/>
      <c r="FH94" s="33" t="n"/>
      <c r="FI94" s="33" t="n"/>
      <c r="FJ94" s="33" t="n"/>
      <c r="FK94" s="33" t="n"/>
      <c r="FL94" s="33" t="n"/>
      <c r="FM94" s="33" t="n"/>
      <c r="FN94" s="33" t="n"/>
      <c r="FO94" s="33" t="n"/>
      <c r="FP94" s="33" t="n"/>
      <c r="FQ94" s="33" t="n"/>
      <c r="FR94" s="33" t="n"/>
      <c r="FS94" s="33" t="n"/>
      <c r="FT94" s="33" t="n"/>
      <c r="FU94" s="33" t="n"/>
      <c r="FV94" s="33" t="n"/>
      <c r="FW94" s="33" t="n"/>
      <c r="FX94" s="33" t="n"/>
      <c r="FY94" s="33" t="n"/>
      <c r="FZ94" s="33" t="n"/>
      <c r="GA94" s="33" t="n"/>
      <c r="GB94" s="33" t="n"/>
      <c r="GC94" s="33" t="n"/>
      <c r="GD94" s="33" t="n"/>
      <c r="GE94" s="33" t="n"/>
      <c r="GF94" s="33" t="n"/>
      <c r="GG94" s="33" t="n"/>
      <c r="GH94" s="33" t="n"/>
      <c r="GI94" s="33" t="n"/>
      <c r="GJ94" s="33" t="n"/>
      <c r="GK94" s="33" t="n"/>
      <c r="GL94" s="33" t="n"/>
      <c r="GM94" s="33" t="n"/>
      <c r="GN94" s="33" t="n"/>
      <c r="GO94" s="33" t="n"/>
      <c r="GP94" s="33" t="n"/>
      <c r="GQ94" s="33" t="n"/>
      <c r="GR94" s="33" t="n"/>
      <c r="GS94" s="33" t="n"/>
      <c r="GT94" s="33" t="n"/>
      <c r="GU94" s="33" t="n"/>
      <c r="GV94" s="33" t="n"/>
      <c r="GW94" s="33" t="n"/>
      <c r="GX94" s="33" t="n"/>
      <c r="GY94" s="33" t="n"/>
      <c r="GZ94" s="33" t="n"/>
      <c r="HA94" s="33" t="n"/>
      <c r="HB94" s="33" t="n"/>
      <c r="HC94" s="33" t="n"/>
      <c r="HD94" s="33" t="n"/>
      <c r="HE94" s="33" t="n"/>
      <c r="HF94" s="33" t="n"/>
      <c r="HG94" s="33" t="n"/>
      <c r="HH94" s="33" t="n"/>
      <c r="HI94" s="33" t="n"/>
      <c r="HJ94" s="33" t="n"/>
      <c r="HK94" s="33" t="n"/>
      <c r="HL94" s="33" t="n"/>
      <c r="HM94" s="33" t="n"/>
      <c r="HN94" s="33" t="n"/>
      <c r="HO94" s="33" t="n"/>
      <c r="HP94" s="33" t="n"/>
      <c r="HQ94" s="33" t="n"/>
      <c r="HR94" s="33" t="n"/>
      <c r="HS94" s="33" t="n"/>
      <c r="HT94" s="33" t="n"/>
      <c r="HU94" s="33" t="n"/>
      <c r="HV94" s="33" t="n"/>
      <c r="HW94" s="33" t="n"/>
      <c r="HX94" s="33" t="n"/>
      <c r="HY94" s="33" t="n"/>
      <c r="HZ94" s="33" t="n"/>
      <c r="IA94" s="33" t="n"/>
      <c r="IB94" s="33" t="n"/>
      <c r="IC94" s="33" t="n"/>
      <c r="ID94" s="33" t="n"/>
      <c r="IE94" s="33" t="n"/>
      <c r="IF94" s="33" t="n"/>
      <c r="IG94" s="33" t="n"/>
      <c r="IH94" s="33" t="n"/>
      <c r="II94" s="33" t="n"/>
      <c r="IJ94" s="33" t="n"/>
      <c r="IK94" s="33" t="n"/>
      <c r="IL94" s="33" t="n"/>
      <c r="IM94" s="33" t="n"/>
      <c r="IN94" s="33" t="n"/>
      <c r="IO94" s="33" t="n"/>
      <c r="IP94" s="33" t="n"/>
      <c r="IQ94" s="33" t="n"/>
      <c r="IR94" s="33" t="n"/>
      <c r="IS94" s="33" t="n"/>
      <c r="IT94" s="33" t="n"/>
      <c r="IU94" s="33" t="n"/>
      <c r="IV94" s="33" t="n"/>
      <c r="IW94" s="33" t="n"/>
      <c r="IX94" s="33" t="n"/>
      <c r="IY94" s="33" t="n"/>
      <c r="IZ94" s="33" t="n"/>
      <c r="JA94" s="33" t="n"/>
      <c r="JB94" s="33" t="n"/>
      <c r="JC94" s="33" t="n"/>
      <c r="JD94" s="33" t="n"/>
      <c r="JE94" s="33" t="n"/>
      <c r="JF94" s="33" t="n"/>
      <c r="JG94" s="33" t="n"/>
      <c r="JH94" s="33" t="n"/>
      <c r="JI94" s="33" t="n"/>
      <c r="JJ94" s="33" t="n"/>
      <c r="JK94" s="33" t="n"/>
      <c r="JL94" s="33" t="n"/>
      <c r="JM94" s="33" t="n"/>
      <c r="JN94" s="33" t="n"/>
      <c r="JO94" s="33" t="n"/>
      <c r="JP94" s="33" t="n"/>
      <c r="JQ94" s="33" t="n"/>
      <c r="JR94" s="33" t="n"/>
      <c r="JS94" s="33" t="n"/>
      <c r="JT94" s="33" t="n"/>
      <c r="JU94" s="33" t="n"/>
      <c r="JV94" s="33" t="n"/>
      <c r="JW94" s="33" t="n"/>
      <c r="JX94" s="33" t="n"/>
      <c r="JY94" s="33" t="n"/>
      <c r="JZ94" s="33" t="n"/>
      <c r="KA94" s="33" t="n"/>
      <c r="KB94" s="33" t="n"/>
      <c r="KC94" s="33" t="n"/>
      <c r="KD94" s="33" t="n"/>
      <c r="KE94" s="33" t="n"/>
      <c r="KF94" s="33" t="n"/>
      <c r="KG94" s="33" t="n"/>
      <c r="KH94" s="33" t="n"/>
      <c r="KI94" s="33" t="n"/>
      <c r="KJ94" s="33" t="n"/>
      <c r="KK94" s="33" t="n"/>
      <c r="KL94" s="33" t="n"/>
      <c r="KM94" s="33" t="n"/>
      <c r="KN94" s="33" t="n"/>
      <c r="KO94" s="33" t="n"/>
      <c r="KP94" s="33" t="n"/>
      <c r="KQ94" s="33" t="n"/>
      <c r="KR94" s="33" t="n"/>
      <c r="KS94" s="33" t="n"/>
      <c r="KT94" s="33" t="n"/>
      <c r="KU94" s="33" t="n"/>
      <c r="KV94" s="33" t="n"/>
      <c r="KW94" s="33" t="n"/>
      <c r="KX94" s="33" t="n"/>
      <c r="KY94" s="33" t="n"/>
      <c r="KZ94" s="33" t="n"/>
      <c r="LA94" s="33" t="n"/>
      <c r="LB94" s="33" t="n"/>
      <c r="LC94" s="33" t="n"/>
      <c r="LD94" s="33" t="n"/>
      <c r="LE94" s="33" t="n"/>
      <c r="LF94" s="33" t="n"/>
      <c r="LG94" s="33" t="n"/>
      <c r="LH94" s="33" t="n"/>
      <c r="LI94" s="33" t="n"/>
      <c r="LJ94" s="33" t="n"/>
      <c r="LK94" s="33" t="n"/>
      <c r="LL94" s="33" t="n"/>
      <c r="LM94" s="33" t="n"/>
      <c r="LN94" s="33" t="n"/>
      <c r="LO94" s="33" t="n"/>
      <c r="LP94" s="33" t="n"/>
      <c r="LQ94" s="33" t="n"/>
      <c r="LR94" s="33" t="n"/>
      <c r="LS94" s="33" t="n"/>
      <c r="LT94" s="33" t="n"/>
      <c r="LU94" s="33" t="n"/>
      <c r="LV94" s="33" t="n"/>
      <c r="LW94" s="33" t="n"/>
      <c r="LX94" s="33" t="n"/>
      <c r="LY94" s="33" t="n"/>
      <c r="LZ94" s="33" t="n"/>
      <c r="MA94" s="33" t="n"/>
      <c r="MB94" s="33" t="n"/>
      <c r="MC94" s="33" t="n"/>
      <c r="MD94" s="33" t="n"/>
      <c r="ME94" s="33" t="n"/>
      <c r="MF94" s="33" t="n"/>
      <c r="MG94" s="33" t="n"/>
      <c r="MH94" s="33" t="n"/>
      <c r="MI94" s="33" t="n"/>
      <c r="MJ94" s="33" t="n"/>
      <c r="MK94" s="33" t="n"/>
      <c r="ML94" s="33" t="n"/>
      <c r="MM94" s="33" t="n"/>
      <c r="MN94" s="33" t="n"/>
      <c r="MO94" s="33" t="n"/>
      <c r="MP94" s="33" t="n"/>
      <c r="MQ94" s="33" t="n"/>
      <c r="MR94" s="33" t="n"/>
      <c r="MS94" s="33" t="n"/>
      <c r="MT94" s="33" t="n"/>
      <c r="MU94" s="33" t="n"/>
      <c r="MV94" s="33" t="n"/>
      <c r="MW94" s="33" t="n"/>
      <c r="MX94" s="33" t="n"/>
      <c r="MY94" s="33" t="n"/>
      <c r="MZ94" s="33" t="n"/>
      <c r="NA94" s="33" t="n"/>
      <c r="NB94" s="33" t="n"/>
      <c r="NC94" s="33" t="n"/>
      <c r="ND94" s="33" t="n"/>
      <c r="NE94" s="33" t="n"/>
      <c r="NF94" s="33" t="n"/>
      <c r="NG94" s="33" t="n"/>
      <c r="NH94" s="33" t="n"/>
      <c r="NI94" s="33" t="n"/>
      <c r="NJ94" s="33" t="n"/>
      <c r="NK94" s="33" t="n"/>
      <c r="NL94" s="33" t="n"/>
      <c r="NM94" s="33" t="n"/>
      <c r="NN94" s="33" t="n"/>
      <c r="NO94" s="33" t="n"/>
      <c r="NP94" s="33" t="n"/>
      <c r="NQ94" s="33" t="n"/>
      <c r="NR94" s="33" t="n"/>
      <c r="NS94" s="33" t="n"/>
      <c r="NT94" s="33" t="n"/>
      <c r="NU94" s="33" t="n"/>
      <c r="NV94" s="33" t="n"/>
      <c r="NW94" s="33" t="n"/>
      <c r="NX94" s="33" t="n"/>
      <c r="NY94" s="33" t="n"/>
      <c r="NZ94" s="33" t="n"/>
      <c r="OA94" s="33" t="n"/>
      <c r="OB94" s="33" t="n"/>
      <c r="OC94" s="33" t="n"/>
      <c r="OD94" s="33" t="n"/>
      <c r="OE94" s="33" t="n"/>
      <c r="OF94" s="33" t="n"/>
      <c r="OG94" s="33" t="n"/>
      <c r="OH94" s="33" t="n"/>
      <c r="OI94" s="33" t="n"/>
      <c r="OJ94" s="33" t="n"/>
      <c r="OK94" s="33" t="n"/>
      <c r="OL94" s="33" t="n"/>
      <c r="OM94" s="33" t="n"/>
      <c r="ON94" s="33" t="n"/>
      <c r="OO94" s="33" t="n"/>
      <c r="OP94" s="33" t="n"/>
      <c r="OQ94" s="33" t="n"/>
      <c r="OR94" s="33" t="n"/>
      <c r="OS94" s="33" t="n"/>
      <c r="OT94" s="33" t="n"/>
      <c r="OU94" s="33" t="n"/>
      <c r="OV94" s="33" t="n"/>
      <c r="OW94" s="33" t="n"/>
      <c r="OX94" s="33" t="n"/>
      <c r="OY94" s="33" t="n"/>
      <c r="OZ94" s="33" t="n"/>
      <c r="PA94" s="33" t="n"/>
      <c r="PB94" s="33" t="n"/>
      <c r="PC94" s="33" t="n"/>
      <c r="PD94" s="33" t="n"/>
      <c r="PE94" s="33" t="n"/>
      <c r="PF94" s="33" t="n"/>
      <c r="PG94" s="33" t="n"/>
      <c r="PH94" s="33" t="n"/>
      <c r="PI94" s="33" t="n"/>
      <c r="PJ94" s="33" t="n"/>
      <c r="PK94" s="33" t="n"/>
      <c r="PL94" s="33" t="n"/>
      <c r="PM94" s="33" t="n"/>
      <c r="PN94" s="33" t="n"/>
      <c r="PO94" s="33" t="n"/>
      <c r="PP94" s="33" t="n"/>
      <c r="PQ94" s="33" t="n"/>
      <c r="PR94" s="33" t="n"/>
      <c r="PS94" s="33" t="n"/>
      <c r="PT94" s="33" t="n"/>
      <c r="PU94" s="33" t="n"/>
      <c r="PV94" s="33" t="n"/>
      <c r="PW94" s="33" t="n"/>
      <c r="PX94" s="33" t="n"/>
      <c r="PY94" s="33" t="n"/>
      <c r="PZ94" s="33" t="n"/>
      <c r="QA94" s="33" t="n"/>
      <c r="QB94" s="33" t="n"/>
      <c r="QC94" s="33" t="n"/>
      <c r="QD94" s="33" t="n"/>
      <c r="QE94" s="33" t="n"/>
      <c r="QF94" s="33" t="n"/>
      <c r="QG94" s="33" t="n"/>
      <c r="QH94" s="33" t="n"/>
      <c r="QI94" s="33" t="n"/>
      <c r="QJ94" s="33" t="n"/>
      <c r="QK94" s="33" t="n"/>
      <c r="QL94" s="33" t="n"/>
      <c r="QM94" s="33" t="n"/>
      <c r="QN94" s="33" t="n"/>
      <c r="QO94" s="33" t="n"/>
      <c r="QP94" s="33" t="n"/>
      <c r="QQ94" s="33" t="n"/>
      <c r="QR94" s="33" t="n"/>
      <c r="QS94" s="33" t="n"/>
      <c r="QT94" s="33" t="n"/>
      <c r="QU94" s="33" t="n"/>
      <c r="QV94" s="33" t="n"/>
      <c r="QW94" s="33" t="n"/>
      <c r="QX94" s="33" t="n"/>
      <c r="QY94" s="33" t="n"/>
      <c r="QZ94" s="33" t="n"/>
      <c r="RA94" s="33" t="n"/>
      <c r="RB94" s="33" t="n"/>
      <c r="RC94" s="33" t="n"/>
      <c r="RD94" s="33" t="n"/>
      <c r="RE94" s="33" t="n"/>
      <c r="RF94" s="33" t="n"/>
      <c r="RG94" s="33" t="n"/>
      <c r="RH94" s="33" t="n"/>
      <c r="RI94" s="33" t="n"/>
      <c r="RJ94" s="33" t="n"/>
      <c r="RK94" s="33" t="n"/>
      <c r="RL94" s="33" t="n"/>
      <c r="RM94" s="33" t="n"/>
      <c r="RN94" s="33" t="n"/>
      <c r="RO94" s="33" t="n"/>
      <c r="RP94" s="33" t="n"/>
      <c r="RQ94" s="33" t="n"/>
      <c r="RR94" s="33" t="n"/>
      <c r="RS94" s="33" t="n"/>
      <c r="RT94" s="33" t="n"/>
      <c r="RU94" s="33" t="n"/>
      <c r="RV94" s="33" t="n"/>
      <c r="RW94" s="33" t="n"/>
    </row>
    <row r="95" hidden="1" outlineLevel="1" ht="13.05" customHeight="1">
      <c r="E95" s="21" t="inlineStr">
        <is>
          <t>Trade Tax (Gewerbesteuer)</t>
        </is>
      </c>
      <c r="F95" s="29" t="n"/>
      <c r="G95" s="29" t="inlineStr">
        <is>
          <t>kEUR</t>
        </is>
      </c>
      <c r="H95" s="29" t="n"/>
      <c r="I95" s="29" t="n"/>
      <c r="J95" s="32" t="n"/>
      <c r="K95" s="29" t="n"/>
      <c r="L95" s="33" t="n"/>
      <c r="M95" s="33" t="n"/>
      <c r="N95" s="33" t="n"/>
      <c r="O95" s="33" t="n"/>
      <c r="P95" s="33" t="n"/>
      <c r="Q95" s="33" t="n"/>
      <c r="R95" s="33" t="n"/>
      <c r="S95" s="33" t="n"/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  <c r="AE95" s="33" t="n"/>
      <c r="AF95" s="33" t="n"/>
      <c r="AG95" s="33" t="n"/>
      <c r="AH95" s="33" t="n"/>
      <c r="AI95" s="33" t="n"/>
      <c r="AJ95" s="33" t="n"/>
      <c r="AK95" s="33" t="n"/>
      <c r="AL95" s="33" t="n"/>
      <c r="AM95" s="33" t="n"/>
      <c r="AN95" s="33" t="n"/>
      <c r="AO95" s="33" t="n"/>
      <c r="AP95" s="33" t="n"/>
      <c r="AQ95" s="33" t="n"/>
      <c r="AR95" s="33" t="n"/>
      <c r="AS95" s="33" t="n"/>
      <c r="AT95" s="33" t="n"/>
      <c r="AU95" s="33" t="n"/>
      <c r="AV95" s="33" t="n"/>
      <c r="AW95" s="33" t="n"/>
      <c r="AX95" s="33" t="n"/>
      <c r="AY95" s="33" t="n"/>
      <c r="AZ95" s="33" t="n"/>
      <c r="BA95" s="33" t="n"/>
      <c r="BB95" s="33" t="n"/>
      <c r="BC95" s="33" t="n"/>
      <c r="BD95" s="33" t="n"/>
      <c r="BE95" s="33" t="n"/>
      <c r="BF95" s="33" t="n"/>
      <c r="BG95" s="33" t="n"/>
      <c r="BH95" s="33" t="n"/>
      <c r="BI95" s="33" t="n"/>
      <c r="BJ95" s="33" t="n"/>
      <c r="BK95" s="33" t="n"/>
      <c r="BL95" s="33" t="n"/>
      <c r="BM95" s="33" t="n"/>
      <c r="BN95" s="33" t="n"/>
      <c r="BO95" s="33" t="n"/>
      <c r="BP95" s="33" t="n"/>
      <c r="BQ95" s="33" t="n"/>
      <c r="BR95" s="33" t="n"/>
      <c r="BS95" s="33" t="n"/>
      <c r="BT95" s="33" t="n"/>
      <c r="BU95" s="33" t="n"/>
      <c r="BV95" s="33" t="n"/>
      <c r="BW95" s="33" t="n"/>
      <c r="BX95" s="33" t="n"/>
      <c r="BY95" s="33" t="n"/>
      <c r="BZ95" s="33" t="n"/>
      <c r="CA95" s="33" t="n"/>
      <c r="CB95" s="33" t="n"/>
      <c r="CC95" s="33" t="n"/>
      <c r="CD95" s="33" t="n"/>
      <c r="CE95" s="33" t="n"/>
      <c r="CF95" s="33" t="n"/>
      <c r="CG95" s="33" t="n"/>
      <c r="CH95" s="33" t="n"/>
      <c r="CI95" s="33" t="n"/>
      <c r="CJ95" s="33" t="n"/>
      <c r="CK95" s="33" t="n"/>
      <c r="CL95" s="33" t="n"/>
      <c r="CM95" s="33" t="n"/>
      <c r="CN95" s="33" t="n"/>
      <c r="CO95" s="33" t="n"/>
      <c r="CP95" s="33" t="n"/>
      <c r="CQ95" s="33" t="n"/>
      <c r="CR95" s="33" t="n"/>
      <c r="CS95" s="33" t="n"/>
      <c r="CT95" s="33" t="n"/>
      <c r="CU95" s="33" t="n"/>
      <c r="CV95" s="33" t="n"/>
      <c r="CW95" s="33" t="n"/>
      <c r="CX95" s="33" t="n"/>
      <c r="CY95" s="33" t="n"/>
      <c r="CZ95" s="33" t="n"/>
      <c r="DA95" s="33" t="n"/>
      <c r="DB95" s="33" t="n"/>
      <c r="DC95" s="33" t="n"/>
      <c r="DD95" s="33" t="n"/>
      <c r="DE95" s="33" t="n"/>
      <c r="DF95" s="33" t="n"/>
      <c r="DG95" s="33" t="n"/>
      <c r="DH95" s="33" t="n"/>
      <c r="DI95" s="33" t="n"/>
      <c r="DJ95" s="33" t="n"/>
      <c r="DK95" s="33" t="n"/>
      <c r="DL95" s="33" t="n"/>
      <c r="DM95" s="33" t="n"/>
      <c r="DN95" s="33" t="n"/>
      <c r="DO95" s="33" t="n"/>
      <c r="DP95" s="33" t="n"/>
      <c r="DQ95" s="33" t="n"/>
      <c r="DR95" s="33" t="n"/>
      <c r="DS95" s="33" t="n"/>
      <c r="DT95" s="33" t="n"/>
      <c r="DU95" s="33" t="n"/>
      <c r="DV95" s="33" t="n"/>
      <c r="DW95" s="33" t="n"/>
      <c r="DX95" s="33" t="n"/>
      <c r="DY95" s="33" t="n"/>
      <c r="DZ95" s="33" t="n"/>
      <c r="EA95" s="33" t="n"/>
      <c r="EB95" s="33" t="n"/>
      <c r="EC95" s="33" t="n"/>
      <c r="ED95" s="33" t="n"/>
      <c r="EE95" s="33" t="n"/>
      <c r="EF95" s="33" t="n"/>
      <c r="EG95" s="33" t="n"/>
      <c r="EH95" s="33" t="n"/>
      <c r="EI95" s="33" t="n"/>
      <c r="EJ95" s="33" t="n"/>
      <c r="EK95" s="33" t="n"/>
      <c r="EL95" s="33" t="n"/>
      <c r="EM95" s="33" t="n"/>
      <c r="EN95" s="33" t="n"/>
      <c r="EO95" s="33" t="n"/>
      <c r="EP95" s="33" t="n"/>
      <c r="EQ95" s="33" t="n"/>
      <c r="ER95" s="33" t="n"/>
      <c r="ES95" s="33" t="n"/>
      <c r="ET95" s="33" t="n"/>
      <c r="EU95" s="33" t="n"/>
      <c r="EV95" s="33" t="n"/>
      <c r="EW95" s="33" t="n"/>
      <c r="EX95" s="33" t="n"/>
      <c r="EY95" s="33" t="n"/>
      <c r="EZ95" s="33" t="n"/>
      <c r="FA95" s="33" t="n"/>
      <c r="FB95" s="33" t="n"/>
      <c r="FC95" s="33" t="n"/>
      <c r="FD95" s="33" t="n"/>
      <c r="FE95" s="33" t="n"/>
      <c r="FF95" s="33" t="n"/>
      <c r="FG95" s="33" t="n"/>
      <c r="FH95" s="33" t="n"/>
      <c r="FI95" s="33" t="n"/>
      <c r="FJ95" s="33" t="n"/>
      <c r="FK95" s="33" t="n"/>
      <c r="FL95" s="33" t="n"/>
      <c r="FM95" s="33" t="n"/>
      <c r="FN95" s="33" t="n"/>
      <c r="FO95" s="33" t="n"/>
      <c r="FP95" s="33" t="n"/>
      <c r="FQ95" s="33" t="n"/>
      <c r="FR95" s="33" t="n"/>
      <c r="FS95" s="33" t="n"/>
      <c r="FT95" s="33" t="n"/>
      <c r="FU95" s="33" t="n"/>
      <c r="FV95" s="33" t="n"/>
      <c r="FW95" s="33" t="n"/>
      <c r="FX95" s="33" t="n"/>
      <c r="FY95" s="33" t="n"/>
      <c r="FZ95" s="33" t="n"/>
      <c r="GA95" s="33" t="n"/>
      <c r="GB95" s="33" t="n"/>
      <c r="GC95" s="33" t="n"/>
      <c r="GD95" s="33" t="n"/>
      <c r="GE95" s="33" t="n"/>
      <c r="GF95" s="33" t="n"/>
      <c r="GG95" s="33" t="n"/>
      <c r="GH95" s="33" t="n"/>
      <c r="GI95" s="33" t="n"/>
      <c r="GJ95" s="33" t="n"/>
      <c r="GK95" s="33" t="n"/>
      <c r="GL95" s="33" t="n"/>
      <c r="GM95" s="33" t="n"/>
      <c r="GN95" s="33" t="n"/>
      <c r="GO95" s="33" t="n"/>
      <c r="GP95" s="33" t="n"/>
      <c r="GQ95" s="33" t="n"/>
      <c r="GR95" s="33" t="n"/>
      <c r="GS95" s="33" t="n"/>
      <c r="GT95" s="33" t="n"/>
      <c r="GU95" s="33" t="n"/>
      <c r="GV95" s="33" t="n"/>
      <c r="GW95" s="33" t="n"/>
      <c r="GX95" s="33" t="n"/>
      <c r="GY95" s="33" t="n"/>
      <c r="GZ95" s="33" t="n"/>
      <c r="HA95" s="33" t="n"/>
      <c r="HB95" s="33" t="n"/>
      <c r="HC95" s="33" t="n"/>
      <c r="HD95" s="33" t="n"/>
      <c r="HE95" s="33" t="n"/>
      <c r="HF95" s="33" t="n"/>
      <c r="HG95" s="33" t="n"/>
      <c r="HH95" s="33" t="n"/>
      <c r="HI95" s="33" t="n"/>
      <c r="HJ95" s="33" t="n"/>
      <c r="HK95" s="33" t="n"/>
      <c r="HL95" s="33" t="n"/>
      <c r="HM95" s="33" t="n"/>
      <c r="HN95" s="33" t="n"/>
      <c r="HO95" s="33" t="n"/>
      <c r="HP95" s="33" t="n"/>
      <c r="HQ95" s="33" t="n"/>
      <c r="HR95" s="33" t="n"/>
      <c r="HS95" s="33" t="n"/>
      <c r="HT95" s="33" t="n"/>
      <c r="HU95" s="33" t="n"/>
      <c r="HV95" s="33" t="n"/>
      <c r="HW95" s="33" t="n"/>
      <c r="HX95" s="33" t="n"/>
      <c r="HY95" s="33" t="n"/>
      <c r="HZ95" s="33" t="n"/>
      <c r="IA95" s="33" t="n"/>
      <c r="IB95" s="33" t="n"/>
      <c r="IC95" s="33" t="n"/>
      <c r="ID95" s="33" t="n"/>
      <c r="IE95" s="33" t="n"/>
      <c r="IF95" s="33" t="n"/>
      <c r="IG95" s="33" t="n"/>
      <c r="IH95" s="33" t="n"/>
      <c r="II95" s="33" t="n"/>
      <c r="IJ95" s="33" t="n"/>
      <c r="IK95" s="33" t="n"/>
      <c r="IL95" s="33" t="n"/>
      <c r="IM95" s="33" t="n"/>
      <c r="IN95" s="33" t="n"/>
      <c r="IO95" s="33" t="n"/>
      <c r="IP95" s="33" t="n"/>
      <c r="IQ95" s="33" t="n"/>
      <c r="IR95" s="33" t="n"/>
      <c r="IS95" s="33" t="n"/>
      <c r="IT95" s="33" t="n"/>
      <c r="IU95" s="33" t="n"/>
      <c r="IV95" s="33" t="n"/>
      <c r="IW95" s="33" t="n"/>
      <c r="IX95" s="33" t="n"/>
      <c r="IY95" s="33" t="n"/>
      <c r="IZ95" s="33" t="n"/>
      <c r="JA95" s="33" t="n"/>
      <c r="JB95" s="33" t="n"/>
      <c r="JC95" s="33" t="n"/>
      <c r="JD95" s="33" t="n"/>
      <c r="JE95" s="33" t="n"/>
      <c r="JF95" s="33" t="n"/>
      <c r="JG95" s="33" t="n"/>
      <c r="JH95" s="33" t="n"/>
      <c r="JI95" s="33" t="n"/>
      <c r="JJ95" s="33" t="n"/>
      <c r="JK95" s="33" t="n"/>
      <c r="JL95" s="33" t="n"/>
      <c r="JM95" s="33" t="n"/>
      <c r="JN95" s="33" t="n"/>
      <c r="JO95" s="33" t="n"/>
      <c r="JP95" s="33" t="n"/>
      <c r="JQ95" s="33" t="n"/>
      <c r="JR95" s="33" t="n"/>
      <c r="JS95" s="33" t="n"/>
      <c r="JT95" s="33" t="n"/>
      <c r="JU95" s="33" t="n"/>
      <c r="JV95" s="33" t="n"/>
      <c r="JW95" s="33" t="n"/>
      <c r="JX95" s="33" t="n"/>
      <c r="JY95" s="33" t="n"/>
      <c r="JZ95" s="33" t="n"/>
      <c r="KA95" s="33" t="n"/>
      <c r="KB95" s="33" t="n"/>
      <c r="KC95" s="33" t="n"/>
      <c r="KD95" s="33" t="n"/>
      <c r="KE95" s="33" t="n"/>
      <c r="KF95" s="33" t="n"/>
      <c r="KG95" s="33" t="n"/>
      <c r="KH95" s="33" t="n"/>
      <c r="KI95" s="33" t="n"/>
      <c r="KJ95" s="33" t="n"/>
      <c r="KK95" s="33" t="n"/>
      <c r="KL95" s="33" t="n"/>
      <c r="KM95" s="33" t="n"/>
      <c r="KN95" s="33" t="n"/>
      <c r="KO95" s="33" t="n"/>
      <c r="KP95" s="33" t="n"/>
      <c r="KQ95" s="33" t="n"/>
      <c r="KR95" s="33" t="n"/>
      <c r="KS95" s="33" t="n"/>
      <c r="KT95" s="33" t="n"/>
      <c r="KU95" s="33" t="n"/>
      <c r="KV95" s="33" t="n"/>
      <c r="KW95" s="33" t="n"/>
      <c r="KX95" s="33" t="n"/>
      <c r="KY95" s="33" t="n"/>
      <c r="KZ95" s="33" t="n"/>
      <c r="LA95" s="33" t="n"/>
      <c r="LB95" s="33" t="n"/>
      <c r="LC95" s="33" t="n"/>
      <c r="LD95" s="33" t="n"/>
      <c r="LE95" s="33" t="n"/>
      <c r="LF95" s="33" t="n"/>
      <c r="LG95" s="33" t="n"/>
      <c r="LH95" s="33" t="n"/>
      <c r="LI95" s="33" t="n"/>
      <c r="LJ95" s="33" t="n"/>
      <c r="LK95" s="33" t="n"/>
      <c r="LL95" s="33" t="n"/>
      <c r="LM95" s="33" t="n"/>
      <c r="LN95" s="33" t="n"/>
      <c r="LO95" s="33" t="n"/>
      <c r="LP95" s="33" t="n"/>
      <c r="LQ95" s="33" t="n"/>
      <c r="LR95" s="33" t="n"/>
      <c r="LS95" s="33" t="n"/>
      <c r="LT95" s="33" t="n"/>
      <c r="LU95" s="33" t="n"/>
      <c r="LV95" s="33" t="n"/>
      <c r="LW95" s="33" t="n"/>
      <c r="LX95" s="33" t="n"/>
      <c r="LY95" s="33" t="n"/>
      <c r="LZ95" s="33" t="n"/>
      <c r="MA95" s="33" t="n"/>
      <c r="MB95" s="33" t="n"/>
      <c r="MC95" s="33" t="n"/>
      <c r="MD95" s="33" t="n"/>
      <c r="ME95" s="33" t="n"/>
      <c r="MF95" s="33" t="n"/>
      <c r="MG95" s="33" t="n"/>
      <c r="MH95" s="33" t="n"/>
      <c r="MI95" s="33" t="n"/>
      <c r="MJ95" s="33" t="n"/>
      <c r="MK95" s="33" t="n"/>
      <c r="ML95" s="33" t="n"/>
      <c r="MM95" s="33" t="n"/>
      <c r="MN95" s="33" t="n"/>
      <c r="MO95" s="33" t="n"/>
      <c r="MP95" s="33" t="n"/>
      <c r="MQ95" s="33" t="n"/>
      <c r="MR95" s="33" t="n"/>
      <c r="MS95" s="33" t="n"/>
      <c r="MT95" s="33" t="n"/>
      <c r="MU95" s="33" t="n"/>
      <c r="MV95" s="33" t="n"/>
      <c r="MW95" s="33" t="n"/>
      <c r="MX95" s="33" t="n"/>
      <c r="MY95" s="33" t="n"/>
      <c r="MZ95" s="33" t="n"/>
      <c r="NA95" s="33" t="n"/>
      <c r="NB95" s="33" t="n"/>
      <c r="NC95" s="33" t="n"/>
      <c r="ND95" s="33" t="n"/>
      <c r="NE95" s="33" t="n"/>
      <c r="NF95" s="33" t="n"/>
      <c r="NG95" s="33" t="n"/>
      <c r="NH95" s="33" t="n"/>
      <c r="NI95" s="33" t="n"/>
      <c r="NJ95" s="33" t="n"/>
      <c r="NK95" s="33" t="n"/>
      <c r="NL95" s="33" t="n"/>
      <c r="NM95" s="33" t="n"/>
      <c r="NN95" s="33" t="n"/>
      <c r="NO95" s="33" t="n"/>
      <c r="NP95" s="33" t="n"/>
      <c r="NQ95" s="33" t="n"/>
      <c r="NR95" s="33" t="n"/>
      <c r="NS95" s="33" t="n"/>
      <c r="NT95" s="33" t="n"/>
      <c r="NU95" s="33" t="n"/>
      <c r="NV95" s="33" t="n"/>
      <c r="NW95" s="33" t="n"/>
      <c r="NX95" s="33" t="n"/>
      <c r="NY95" s="33" t="n"/>
      <c r="NZ95" s="33" t="n"/>
      <c r="OA95" s="33" t="n"/>
      <c r="OB95" s="33" t="n"/>
      <c r="OC95" s="33" t="n"/>
      <c r="OD95" s="33" t="n"/>
      <c r="OE95" s="33" t="n"/>
      <c r="OF95" s="33" t="n"/>
      <c r="OG95" s="33" t="n"/>
      <c r="OH95" s="33" t="n"/>
      <c r="OI95" s="33" t="n"/>
      <c r="OJ95" s="33" t="n"/>
      <c r="OK95" s="33" t="n"/>
      <c r="OL95" s="33" t="n"/>
      <c r="OM95" s="33" t="n"/>
      <c r="ON95" s="33" t="n"/>
      <c r="OO95" s="33" t="n"/>
      <c r="OP95" s="33" t="n"/>
      <c r="OQ95" s="33" t="n"/>
      <c r="OR95" s="33" t="n"/>
      <c r="OS95" s="33" t="n"/>
      <c r="OT95" s="33" t="n"/>
      <c r="OU95" s="33" t="n"/>
      <c r="OV95" s="33" t="n"/>
      <c r="OW95" s="33" t="n"/>
      <c r="OX95" s="33" t="n"/>
      <c r="OY95" s="33" t="n"/>
      <c r="OZ95" s="33" t="n"/>
      <c r="PA95" s="33" t="n"/>
      <c r="PB95" s="33" t="n"/>
      <c r="PC95" s="33" t="n"/>
      <c r="PD95" s="33" t="n"/>
      <c r="PE95" s="33" t="n"/>
      <c r="PF95" s="33" t="n"/>
      <c r="PG95" s="33" t="n"/>
      <c r="PH95" s="33" t="n"/>
      <c r="PI95" s="33" t="n"/>
      <c r="PJ95" s="33" t="n"/>
      <c r="PK95" s="33" t="n"/>
      <c r="PL95" s="33" t="n"/>
      <c r="PM95" s="33" t="n"/>
      <c r="PN95" s="33" t="n"/>
      <c r="PO95" s="33" t="n"/>
      <c r="PP95" s="33" t="n"/>
      <c r="PQ95" s="33" t="n"/>
      <c r="PR95" s="33" t="n"/>
      <c r="PS95" s="33" t="n"/>
      <c r="PT95" s="33" t="n"/>
      <c r="PU95" s="33" t="n"/>
      <c r="PV95" s="33" t="n"/>
      <c r="PW95" s="33" t="n"/>
      <c r="PX95" s="33" t="n"/>
      <c r="PY95" s="33" t="n"/>
      <c r="PZ95" s="33" t="n"/>
      <c r="QA95" s="33" t="n"/>
      <c r="QB95" s="33" t="n"/>
      <c r="QC95" s="33" t="n"/>
      <c r="QD95" s="33" t="n"/>
      <c r="QE95" s="33" t="n"/>
      <c r="QF95" s="33" t="n"/>
      <c r="QG95" s="33" t="n"/>
      <c r="QH95" s="33" t="n"/>
      <c r="QI95" s="33" t="n"/>
      <c r="QJ95" s="33" t="n"/>
      <c r="QK95" s="33" t="n"/>
      <c r="QL95" s="33" t="n"/>
      <c r="QM95" s="33" t="n"/>
      <c r="QN95" s="33" t="n"/>
      <c r="QO95" s="33" t="n"/>
      <c r="QP95" s="33" t="n"/>
      <c r="QQ95" s="33" t="n"/>
      <c r="QR95" s="33" t="n"/>
      <c r="QS95" s="33" t="n"/>
      <c r="QT95" s="33" t="n"/>
      <c r="QU95" s="33" t="n"/>
      <c r="QV95" s="33" t="n"/>
      <c r="QW95" s="33" t="n"/>
      <c r="QX95" s="33" t="n"/>
      <c r="QY95" s="33" t="n"/>
      <c r="QZ95" s="33" t="n"/>
      <c r="RA95" s="33" t="n"/>
      <c r="RB95" s="33" t="n"/>
      <c r="RC95" s="33" t="n"/>
      <c r="RD95" s="33" t="n"/>
      <c r="RE95" s="33" t="n"/>
      <c r="RF95" s="33" t="n"/>
      <c r="RG95" s="33" t="n"/>
      <c r="RH95" s="33" t="n"/>
      <c r="RI95" s="33" t="n"/>
      <c r="RJ95" s="33" t="n"/>
      <c r="RK95" s="33" t="n"/>
      <c r="RL95" s="33" t="n"/>
      <c r="RM95" s="33" t="n"/>
      <c r="RN95" s="33" t="n"/>
      <c r="RO95" s="33" t="n"/>
      <c r="RP95" s="33" t="n"/>
      <c r="RQ95" s="33" t="n"/>
      <c r="RR95" s="33" t="n"/>
      <c r="RS95" s="33" t="n"/>
      <c r="RT95" s="33" t="n"/>
      <c r="RU95" s="33" t="n"/>
      <c r="RV95" s="33" t="n"/>
      <c r="RW95" s="33" t="n"/>
    </row>
    <row r="96" hidden="1" outlineLevel="1" ht="13.05" customHeight="1">
      <c r="E96" s="25" t="inlineStr">
        <is>
          <t>Tax Charge (accrued)</t>
        </is>
      </c>
      <c r="F96" s="26" t="n"/>
      <c r="G96" s="26" t="inlineStr">
        <is>
          <t>kEUR</t>
        </is>
      </c>
      <c r="H96" s="26" t="n"/>
      <c r="I96" s="26" t="n"/>
      <c r="J96" s="27" t="n"/>
      <c r="K96" s="26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  <c r="AP96" s="28" t="n"/>
      <c r="AQ96" s="28" t="n"/>
      <c r="AR96" s="28" t="n"/>
      <c r="AS96" s="28" t="n"/>
      <c r="AT96" s="28" t="n"/>
      <c r="AU96" s="28" t="n"/>
      <c r="AV96" s="28" t="n"/>
      <c r="AW96" s="28" t="n"/>
      <c r="AX96" s="28" t="n"/>
      <c r="AY96" s="28" t="n"/>
      <c r="AZ96" s="28" t="n"/>
      <c r="BA96" s="28" t="n"/>
      <c r="BB96" s="28" t="n"/>
      <c r="BC96" s="28" t="n"/>
      <c r="BD96" s="28" t="n"/>
      <c r="BE96" s="28" t="n"/>
      <c r="BF96" s="28" t="n"/>
      <c r="BG96" s="28" t="n"/>
      <c r="BH96" s="28" t="n"/>
      <c r="BI96" s="28" t="n"/>
      <c r="BJ96" s="28" t="n"/>
      <c r="BK96" s="28" t="n"/>
      <c r="BL96" s="28" t="n"/>
      <c r="BM96" s="28" t="n"/>
      <c r="BN96" s="28" t="n"/>
      <c r="BO96" s="28" t="n"/>
      <c r="BP96" s="28" t="n"/>
      <c r="BQ96" s="28" t="n"/>
      <c r="BR96" s="28" t="n"/>
      <c r="BS96" s="28" t="n"/>
      <c r="BT96" s="28" t="n"/>
      <c r="BU96" s="28" t="n"/>
      <c r="BV96" s="28" t="n"/>
      <c r="BW96" s="28" t="n"/>
      <c r="BX96" s="28" t="n"/>
      <c r="BY96" s="28" t="n"/>
      <c r="BZ96" s="28" t="n"/>
      <c r="CA96" s="28" t="n"/>
      <c r="CB96" s="28" t="n"/>
      <c r="CC96" s="28" t="n"/>
      <c r="CD96" s="28" t="n"/>
      <c r="CE96" s="28" t="n"/>
      <c r="CF96" s="28" t="n"/>
      <c r="CG96" s="28" t="n"/>
      <c r="CH96" s="28" t="n"/>
      <c r="CI96" s="28" t="n"/>
      <c r="CJ96" s="28" t="n"/>
      <c r="CK96" s="28" t="n"/>
      <c r="CL96" s="28" t="n"/>
      <c r="CM96" s="28" t="n"/>
      <c r="CN96" s="28" t="n"/>
      <c r="CO96" s="28" t="n"/>
      <c r="CP96" s="28" t="n"/>
      <c r="CQ96" s="28" t="n"/>
      <c r="CR96" s="28" t="n"/>
      <c r="CS96" s="28" t="n"/>
      <c r="CT96" s="28" t="n"/>
      <c r="CU96" s="28" t="n"/>
      <c r="CV96" s="28" t="n"/>
      <c r="CW96" s="28" t="n"/>
      <c r="CX96" s="28" t="n"/>
      <c r="CY96" s="28" t="n"/>
      <c r="CZ96" s="28" t="n"/>
      <c r="DA96" s="28" t="n"/>
      <c r="DB96" s="28" t="n"/>
      <c r="DC96" s="28" t="n"/>
      <c r="DD96" s="28" t="n"/>
      <c r="DE96" s="28" t="n"/>
      <c r="DF96" s="28" t="n"/>
      <c r="DG96" s="28" t="n"/>
      <c r="DH96" s="28" t="n"/>
      <c r="DI96" s="28" t="n"/>
      <c r="DJ96" s="28" t="n"/>
      <c r="DK96" s="28" t="n"/>
      <c r="DL96" s="28" t="n"/>
      <c r="DM96" s="28" t="n"/>
      <c r="DN96" s="28" t="n"/>
      <c r="DO96" s="28" t="n"/>
      <c r="DP96" s="28" t="n"/>
      <c r="DQ96" s="28" t="n"/>
      <c r="DR96" s="28" t="n"/>
      <c r="DS96" s="28" t="n"/>
      <c r="DT96" s="28" t="n"/>
      <c r="DU96" s="28" t="n"/>
      <c r="DV96" s="28" t="n"/>
      <c r="DW96" s="28" t="n"/>
      <c r="DX96" s="28" t="n"/>
      <c r="DY96" s="28" t="n"/>
      <c r="DZ96" s="28" t="n"/>
      <c r="EA96" s="28" t="n"/>
      <c r="EB96" s="28" t="n"/>
      <c r="EC96" s="28" t="n"/>
      <c r="ED96" s="28" t="n"/>
      <c r="EE96" s="28" t="n"/>
      <c r="EF96" s="28" t="n"/>
      <c r="EG96" s="28" t="n"/>
      <c r="EH96" s="28" t="n"/>
      <c r="EI96" s="28" t="n"/>
      <c r="EJ96" s="28" t="n"/>
      <c r="EK96" s="28" t="n"/>
      <c r="EL96" s="28" t="n"/>
      <c r="EM96" s="28" t="n"/>
      <c r="EN96" s="28" t="n"/>
      <c r="EO96" s="28" t="n"/>
      <c r="EP96" s="28" t="n"/>
      <c r="EQ96" s="28" t="n"/>
      <c r="ER96" s="28" t="n"/>
      <c r="ES96" s="28" t="n"/>
      <c r="ET96" s="28" t="n"/>
      <c r="EU96" s="28" t="n"/>
      <c r="EV96" s="28" t="n"/>
      <c r="EW96" s="28" t="n"/>
      <c r="EX96" s="28" t="n"/>
      <c r="EY96" s="28" t="n"/>
      <c r="EZ96" s="28" t="n"/>
      <c r="FA96" s="28" t="n"/>
      <c r="FB96" s="28" t="n"/>
      <c r="FC96" s="28" t="n"/>
      <c r="FD96" s="28" t="n"/>
      <c r="FE96" s="28" t="n"/>
      <c r="FF96" s="28" t="n"/>
      <c r="FG96" s="28" t="n"/>
      <c r="FH96" s="28" t="n"/>
      <c r="FI96" s="28" t="n"/>
      <c r="FJ96" s="28" t="n"/>
      <c r="FK96" s="28" t="n"/>
      <c r="FL96" s="28" t="n"/>
      <c r="FM96" s="28" t="n"/>
      <c r="FN96" s="28" t="n"/>
      <c r="FO96" s="28" t="n"/>
      <c r="FP96" s="28" t="n"/>
      <c r="FQ96" s="28" t="n"/>
      <c r="FR96" s="28" t="n"/>
      <c r="FS96" s="28" t="n"/>
      <c r="FT96" s="28" t="n"/>
      <c r="FU96" s="28" t="n"/>
      <c r="FV96" s="28" t="n"/>
      <c r="FW96" s="28" t="n"/>
      <c r="FX96" s="28" t="n"/>
      <c r="FY96" s="28" t="n"/>
      <c r="FZ96" s="28" t="n"/>
      <c r="GA96" s="28" t="n"/>
      <c r="GB96" s="28" t="n"/>
      <c r="GC96" s="28" t="n"/>
      <c r="GD96" s="28" t="n"/>
      <c r="GE96" s="28" t="n"/>
      <c r="GF96" s="28" t="n"/>
      <c r="GG96" s="28" t="n"/>
      <c r="GH96" s="28" t="n"/>
      <c r="GI96" s="28" t="n"/>
      <c r="GJ96" s="28" t="n"/>
      <c r="GK96" s="28" t="n"/>
      <c r="GL96" s="28" t="n"/>
      <c r="GM96" s="28" t="n"/>
      <c r="GN96" s="28" t="n"/>
      <c r="GO96" s="28" t="n"/>
      <c r="GP96" s="28" t="n"/>
      <c r="GQ96" s="28" t="n"/>
      <c r="GR96" s="28" t="n"/>
      <c r="GS96" s="28" t="n"/>
      <c r="GT96" s="28" t="n"/>
      <c r="GU96" s="28" t="n"/>
      <c r="GV96" s="28" t="n"/>
      <c r="GW96" s="28" t="n"/>
      <c r="GX96" s="28" t="n"/>
      <c r="GY96" s="28" t="n"/>
      <c r="GZ96" s="28" t="n"/>
      <c r="HA96" s="28" t="n"/>
      <c r="HB96" s="28" t="n"/>
      <c r="HC96" s="28" t="n"/>
      <c r="HD96" s="28" t="n"/>
      <c r="HE96" s="28" t="n"/>
      <c r="HF96" s="28" t="n"/>
      <c r="HG96" s="28" t="n"/>
      <c r="HH96" s="28" t="n"/>
      <c r="HI96" s="28" t="n"/>
      <c r="HJ96" s="28" t="n"/>
      <c r="HK96" s="28" t="n"/>
      <c r="HL96" s="28" t="n"/>
      <c r="HM96" s="28" t="n"/>
      <c r="HN96" s="28" t="n"/>
      <c r="HO96" s="28" t="n"/>
      <c r="HP96" s="28" t="n"/>
      <c r="HQ96" s="28" t="n"/>
      <c r="HR96" s="28" t="n"/>
      <c r="HS96" s="28" t="n"/>
      <c r="HT96" s="28" t="n"/>
      <c r="HU96" s="28" t="n"/>
      <c r="HV96" s="28" t="n"/>
      <c r="HW96" s="28" t="n"/>
      <c r="HX96" s="28" t="n"/>
      <c r="HY96" s="28" t="n"/>
      <c r="HZ96" s="28" t="n"/>
      <c r="IA96" s="28" t="n"/>
      <c r="IB96" s="28" t="n"/>
      <c r="IC96" s="28" t="n"/>
      <c r="ID96" s="28" t="n"/>
      <c r="IE96" s="28" t="n"/>
      <c r="IF96" s="28" t="n"/>
      <c r="IG96" s="28" t="n"/>
      <c r="IH96" s="28" t="n"/>
      <c r="II96" s="28" t="n"/>
      <c r="IJ96" s="28" t="n"/>
      <c r="IK96" s="28" t="n"/>
      <c r="IL96" s="28" t="n"/>
      <c r="IM96" s="28" t="n"/>
      <c r="IN96" s="28" t="n"/>
      <c r="IO96" s="28" t="n"/>
      <c r="IP96" s="28" t="n"/>
      <c r="IQ96" s="28" t="n"/>
      <c r="IR96" s="28" t="n"/>
      <c r="IS96" s="28" t="n"/>
      <c r="IT96" s="28" t="n"/>
      <c r="IU96" s="28" t="n"/>
      <c r="IV96" s="28" t="n"/>
      <c r="IW96" s="28" t="n"/>
      <c r="IX96" s="28" t="n"/>
      <c r="IY96" s="28" t="n"/>
      <c r="IZ96" s="28" t="n"/>
      <c r="JA96" s="28" t="n"/>
      <c r="JB96" s="28" t="n"/>
      <c r="JC96" s="28" t="n"/>
      <c r="JD96" s="28" t="n"/>
      <c r="JE96" s="28" t="n"/>
      <c r="JF96" s="28" t="n"/>
      <c r="JG96" s="28" t="n"/>
      <c r="JH96" s="28" t="n"/>
      <c r="JI96" s="28" t="n"/>
      <c r="JJ96" s="28" t="n"/>
      <c r="JK96" s="28" t="n"/>
      <c r="JL96" s="28" t="n"/>
      <c r="JM96" s="28" t="n"/>
      <c r="JN96" s="28" t="n"/>
      <c r="JO96" s="28" t="n"/>
      <c r="JP96" s="28" t="n"/>
      <c r="JQ96" s="28" t="n"/>
      <c r="JR96" s="28" t="n"/>
      <c r="JS96" s="28" t="n"/>
      <c r="JT96" s="28" t="n"/>
      <c r="JU96" s="28" t="n"/>
      <c r="JV96" s="28" t="n"/>
      <c r="JW96" s="28" t="n"/>
      <c r="JX96" s="28" t="n"/>
      <c r="JY96" s="28" t="n"/>
      <c r="JZ96" s="28" t="n"/>
      <c r="KA96" s="28" t="n"/>
      <c r="KB96" s="28" t="n"/>
      <c r="KC96" s="28" t="n"/>
      <c r="KD96" s="28" t="n"/>
      <c r="KE96" s="28" t="n"/>
      <c r="KF96" s="28" t="n"/>
      <c r="KG96" s="28" t="n"/>
      <c r="KH96" s="28" t="n"/>
      <c r="KI96" s="28" t="n"/>
      <c r="KJ96" s="28" t="n"/>
      <c r="KK96" s="28" t="n"/>
      <c r="KL96" s="28" t="n"/>
      <c r="KM96" s="28" t="n"/>
      <c r="KN96" s="28" t="n"/>
      <c r="KO96" s="28" t="n"/>
      <c r="KP96" s="28" t="n"/>
      <c r="KQ96" s="28" t="n"/>
      <c r="KR96" s="28" t="n"/>
      <c r="KS96" s="28" t="n"/>
      <c r="KT96" s="28" t="n"/>
      <c r="KU96" s="28" t="n"/>
      <c r="KV96" s="28" t="n"/>
      <c r="KW96" s="28" t="n"/>
      <c r="KX96" s="28" t="n"/>
      <c r="KY96" s="28" t="n"/>
      <c r="KZ96" s="28" t="n"/>
      <c r="LA96" s="28" t="n"/>
      <c r="LB96" s="28" t="n"/>
      <c r="LC96" s="28" t="n"/>
      <c r="LD96" s="28" t="n"/>
      <c r="LE96" s="28" t="n"/>
      <c r="LF96" s="28" t="n"/>
      <c r="LG96" s="28" t="n"/>
      <c r="LH96" s="28" t="n"/>
      <c r="LI96" s="28" t="n"/>
      <c r="LJ96" s="28" t="n"/>
      <c r="LK96" s="28" t="n"/>
      <c r="LL96" s="28" t="n"/>
      <c r="LM96" s="28" t="n"/>
      <c r="LN96" s="28" t="n"/>
      <c r="LO96" s="28" t="n"/>
      <c r="LP96" s="28" t="n"/>
      <c r="LQ96" s="28" t="n"/>
      <c r="LR96" s="28" t="n"/>
      <c r="LS96" s="28" t="n"/>
      <c r="LT96" s="28" t="n"/>
      <c r="LU96" s="28" t="n"/>
      <c r="LV96" s="28" t="n"/>
      <c r="LW96" s="28" t="n"/>
      <c r="LX96" s="28" t="n"/>
      <c r="LY96" s="28" t="n"/>
      <c r="LZ96" s="28" t="n"/>
      <c r="MA96" s="28" t="n"/>
      <c r="MB96" s="28" t="n"/>
      <c r="MC96" s="28" t="n"/>
      <c r="MD96" s="28" t="n"/>
      <c r="ME96" s="28" t="n"/>
      <c r="MF96" s="28" t="n"/>
      <c r="MG96" s="28" t="n"/>
      <c r="MH96" s="28" t="n"/>
      <c r="MI96" s="28" t="n"/>
      <c r="MJ96" s="28" t="n"/>
      <c r="MK96" s="28" t="n"/>
      <c r="ML96" s="28" t="n"/>
      <c r="MM96" s="28" t="n"/>
      <c r="MN96" s="28" t="n"/>
      <c r="MO96" s="28" t="n"/>
      <c r="MP96" s="28" t="n"/>
      <c r="MQ96" s="28" t="n"/>
      <c r="MR96" s="28" t="n"/>
      <c r="MS96" s="28" t="n"/>
      <c r="MT96" s="28" t="n"/>
      <c r="MU96" s="28" t="n"/>
      <c r="MV96" s="28" t="n"/>
      <c r="MW96" s="28" t="n"/>
      <c r="MX96" s="28" t="n"/>
      <c r="MY96" s="28" t="n"/>
      <c r="MZ96" s="28" t="n"/>
      <c r="NA96" s="28" t="n"/>
      <c r="NB96" s="28" t="n"/>
      <c r="NC96" s="28" t="n"/>
      <c r="ND96" s="28" t="n"/>
      <c r="NE96" s="28" t="n"/>
      <c r="NF96" s="28" t="n"/>
      <c r="NG96" s="28" t="n"/>
      <c r="NH96" s="28" t="n"/>
      <c r="NI96" s="28" t="n"/>
      <c r="NJ96" s="28" t="n"/>
      <c r="NK96" s="28" t="n"/>
      <c r="NL96" s="28" t="n"/>
      <c r="NM96" s="28" t="n"/>
      <c r="NN96" s="28" t="n"/>
      <c r="NO96" s="28" t="n"/>
      <c r="NP96" s="28" t="n"/>
      <c r="NQ96" s="28" t="n"/>
      <c r="NR96" s="28" t="n"/>
      <c r="NS96" s="28" t="n"/>
      <c r="NT96" s="28" t="n"/>
      <c r="NU96" s="28" t="n"/>
      <c r="NV96" s="28" t="n"/>
      <c r="NW96" s="28" t="n"/>
      <c r="NX96" s="28" t="n"/>
      <c r="NY96" s="28" t="n"/>
      <c r="NZ96" s="28" t="n"/>
      <c r="OA96" s="28" t="n"/>
      <c r="OB96" s="28" t="n"/>
      <c r="OC96" s="28" t="n"/>
      <c r="OD96" s="28" t="n"/>
      <c r="OE96" s="28" t="n"/>
      <c r="OF96" s="28" t="n"/>
      <c r="OG96" s="28" t="n"/>
      <c r="OH96" s="28" t="n"/>
      <c r="OI96" s="28" t="n"/>
      <c r="OJ96" s="28" t="n"/>
      <c r="OK96" s="28" t="n"/>
      <c r="OL96" s="28" t="n"/>
      <c r="OM96" s="28" t="n"/>
      <c r="ON96" s="28" t="n"/>
      <c r="OO96" s="28" t="n"/>
      <c r="OP96" s="28" t="n"/>
      <c r="OQ96" s="28" t="n"/>
      <c r="OR96" s="28" t="n"/>
      <c r="OS96" s="28" t="n"/>
      <c r="OT96" s="28" t="n"/>
      <c r="OU96" s="28" t="n"/>
      <c r="OV96" s="28" t="n"/>
      <c r="OW96" s="28" t="n"/>
      <c r="OX96" s="28" t="n"/>
      <c r="OY96" s="28" t="n"/>
      <c r="OZ96" s="28" t="n"/>
      <c r="PA96" s="28" t="n"/>
      <c r="PB96" s="28" t="n"/>
      <c r="PC96" s="28" t="n"/>
      <c r="PD96" s="28" t="n"/>
      <c r="PE96" s="28" t="n"/>
      <c r="PF96" s="28" t="n"/>
      <c r="PG96" s="28" t="n"/>
      <c r="PH96" s="28" t="n"/>
      <c r="PI96" s="28" t="n"/>
      <c r="PJ96" s="28" t="n"/>
      <c r="PK96" s="28" t="n"/>
      <c r="PL96" s="28" t="n"/>
      <c r="PM96" s="28" t="n"/>
      <c r="PN96" s="28" t="n"/>
      <c r="PO96" s="28" t="n"/>
      <c r="PP96" s="28" t="n"/>
      <c r="PQ96" s="28" t="n"/>
      <c r="PR96" s="28" t="n"/>
      <c r="PS96" s="28" t="n"/>
      <c r="PT96" s="28" t="n"/>
      <c r="PU96" s="28" t="n"/>
      <c r="PV96" s="28" t="n"/>
      <c r="PW96" s="28" t="n"/>
      <c r="PX96" s="28" t="n"/>
      <c r="PY96" s="28" t="n"/>
      <c r="PZ96" s="28" t="n"/>
      <c r="QA96" s="28" t="n"/>
      <c r="QB96" s="28" t="n"/>
      <c r="QC96" s="28" t="n"/>
      <c r="QD96" s="28" t="n"/>
      <c r="QE96" s="28" t="n"/>
      <c r="QF96" s="28" t="n"/>
      <c r="QG96" s="28" t="n"/>
      <c r="QH96" s="28" t="n"/>
      <c r="QI96" s="28" t="n"/>
      <c r="QJ96" s="28" t="n"/>
      <c r="QK96" s="28" t="n"/>
      <c r="QL96" s="28" t="n"/>
      <c r="QM96" s="28" t="n"/>
      <c r="QN96" s="28" t="n"/>
      <c r="QO96" s="28" t="n"/>
      <c r="QP96" s="28" t="n"/>
      <c r="QQ96" s="28" t="n"/>
      <c r="QR96" s="28" t="n"/>
      <c r="QS96" s="28" t="n"/>
      <c r="QT96" s="28" t="n"/>
      <c r="QU96" s="28" t="n"/>
      <c r="QV96" s="28" t="n"/>
      <c r="QW96" s="28" t="n"/>
      <c r="QX96" s="28" t="n"/>
      <c r="QY96" s="28" t="n"/>
      <c r="QZ96" s="28" t="n"/>
      <c r="RA96" s="28" t="n"/>
      <c r="RB96" s="28" t="n"/>
      <c r="RC96" s="28" t="n"/>
      <c r="RD96" s="28" t="n"/>
      <c r="RE96" s="28" t="n"/>
      <c r="RF96" s="28" t="n"/>
      <c r="RG96" s="28" t="n"/>
      <c r="RH96" s="28" t="n"/>
      <c r="RI96" s="28" t="n"/>
      <c r="RJ96" s="28" t="n"/>
      <c r="RK96" s="28" t="n"/>
      <c r="RL96" s="28" t="n"/>
      <c r="RM96" s="28" t="n"/>
      <c r="RN96" s="28" t="n"/>
      <c r="RO96" s="28" t="n"/>
      <c r="RP96" s="28" t="n"/>
      <c r="RQ96" s="28" t="n"/>
      <c r="RR96" s="28" t="n"/>
      <c r="RS96" s="28" t="n"/>
      <c r="RT96" s="28" t="n"/>
      <c r="RU96" s="28" t="n"/>
      <c r="RV96" s="28" t="n"/>
      <c r="RW96" s="28" t="n"/>
    </row>
    <row r="97" ht="13.05" customHeight="1">
      <c r="E97" s="25" t="inlineStr">
        <is>
          <t>Tax Paid</t>
        </is>
      </c>
      <c r="F97" s="26" t="n"/>
      <c r="G97" s="26" t="inlineStr">
        <is>
          <t>kEUR</t>
        </is>
      </c>
      <c r="H97" s="26" t="n"/>
      <c r="I97" s="26" t="n"/>
      <c r="J97" s="27" t="n"/>
      <c r="K97" s="26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  <c r="AP97" s="28" t="n"/>
      <c r="AQ97" s="28" t="n"/>
      <c r="AR97" s="28" t="n"/>
      <c r="AS97" s="28" t="n"/>
      <c r="AT97" s="28" t="n"/>
      <c r="AU97" s="28" t="n"/>
      <c r="AV97" s="28" t="n"/>
      <c r="AW97" s="28" t="n"/>
      <c r="AX97" s="28" t="n"/>
      <c r="AY97" s="28" t="n"/>
      <c r="AZ97" s="28" t="n"/>
      <c r="BA97" s="28" t="n"/>
      <c r="BB97" s="28" t="n"/>
      <c r="BC97" s="28" t="n"/>
      <c r="BD97" s="28" t="n"/>
      <c r="BE97" s="28" t="n"/>
      <c r="BF97" s="28" t="n"/>
      <c r="BG97" s="28" t="n"/>
      <c r="BH97" s="28" t="n"/>
      <c r="BI97" s="28" t="n"/>
      <c r="BJ97" s="28" t="n"/>
      <c r="BK97" s="28" t="n"/>
      <c r="BL97" s="28" t="n"/>
      <c r="BM97" s="28" t="n"/>
      <c r="BN97" s="28" t="n"/>
      <c r="BO97" s="28" t="n"/>
      <c r="BP97" s="28" t="n"/>
      <c r="BQ97" s="28" t="n"/>
      <c r="BR97" s="28" t="n"/>
      <c r="BS97" s="28" t="n"/>
      <c r="BT97" s="28" t="n"/>
      <c r="BU97" s="28" t="n"/>
      <c r="BV97" s="28" t="n"/>
      <c r="BW97" s="28" t="n"/>
      <c r="BX97" s="28" t="n"/>
      <c r="BY97" s="28" t="n"/>
      <c r="BZ97" s="28" t="n"/>
      <c r="CA97" s="28" t="n"/>
      <c r="CB97" s="28" t="n"/>
      <c r="CC97" s="28" t="n"/>
      <c r="CD97" s="28" t="n"/>
      <c r="CE97" s="28" t="n"/>
      <c r="CF97" s="28" t="n"/>
      <c r="CG97" s="28" t="n"/>
      <c r="CH97" s="28" t="n"/>
      <c r="CI97" s="28" t="n"/>
      <c r="CJ97" s="28" t="n"/>
      <c r="CK97" s="28" t="n"/>
      <c r="CL97" s="28" t="n"/>
      <c r="CM97" s="28" t="n"/>
      <c r="CN97" s="28" t="n"/>
      <c r="CO97" s="28" t="n"/>
      <c r="CP97" s="28" t="n"/>
      <c r="CQ97" s="28" t="n"/>
      <c r="CR97" s="28" t="n"/>
      <c r="CS97" s="28" t="n"/>
      <c r="CT97" s="28" t="n"/>
      <c r="CU97" s="28" t="n"/>
      <c r="CV97" s="28" t="n"/>
      <c r="CW97" s="28" t="n"/>
      <c r="CX97" s="28" t="n"/>
      <c r="CY97" s="28" t="n"/>
      <c r="CZ97" s="28" t="n"/>
      <c r="DA97" s="28" t="n"/>
      <c r="DB97" s="28" t="n"/>
      <c r="DC97" s="28" t="n"/>
      <c r="DD97" s="28" t="n"/>
      <c r="DE97" s="28" t="n"/>
      <c r="DF97" s="28" t="n"/>
      <c r="DG97" s="28" t="n"/>
      <c r="DH97" s="28" t="n"/>
      <c r="DI97" s="28" t="n"/>
      <c r="DJ97" s="28" t="n"/>
      <c r="DK97" s="28" t="n"/>
      <c r="DL97" s="28" t="n"/>
      <c r="DM97" s="28" t="n"/>
      <c r="DN97" s="28" t="n"/>
      <c r="DO97" s="28" t="n"/>
      <c r="DP97" s="28" t="n"/>
      <c r="DQ97" s="28" t="n"/>
      <c r="DR97" s="28" t="n"/>
      <c r="DS97" s="28" t="n"/>
      <c r="DT97" s="28" t="n"/>
      <c r="DU97" s="28" t="n"/>
      <c r="DV97" s="28" t="n"/>
      <c r="DW97" s="28" t="n"/>
      <c r="DX97" s="28" t="n"/>
      <c r="DY97" s="28" t="n"/>
      <c r="DZ97" s="28" t="n"/>
      <c r="EA97" s="28" t="n"/>
      <c r="EB97" s="28" t="n"/>
      <c r="EC97" s="28" t="n"/>
      <c r="ED97" s="28" t="n"/>
      <c r="EE97" s="28" t="n"/>
      <c r="EF97" s="28" t="n"/>
      <c r="EG97" s="28" t="n"/>
      <c r="EH97" s="28" t="n"/>
      <c r="EI97" s="28" t="n"/>
      <c r="EJ97" s="28" t="n"/>
      <c r="EK97" s="28" t="n"/>
      <c r="EL97" s="28" t="n"/>
      <c r="EM97" s="28" t="n"/>
      <c r="EN97" s="28" t="n"/>
      <c r="EO97" s="28" t="n"/>
      <c r="EP97" s="28" t="n"/>
      <c r="EQ97" s="28" t="n"/>
      <c r="ER97" s="28" t="n"/>
      <c r="ES97" s="28" t="n"/>
      <c r="ET97" s="28" t="n"/>
      <c r="EU97" s="28" t="n"/>
      <c r="EV97" s="28" t="n"/>
      <c r="EW97" s="28" t="n"/>
      <c r="EX97" s="28" t="n"/>
      <c r="EY97" s="28" t="n"/>
      <c r="EZ97" s="28" t="n"/>
      <c r="FA97" s="28" t="n"/>
      <c r="FB97" s="28" t="n"/>
      <c r="FC97" s="28" t="n"/>
      <c r="FD97" s="28" t="n"/>
      <c r="FE97" s="28" t="n"/>
      <c r="FF97" s="28" t="n"/>
      <c r="FG97" s="28" t="n"/>
      <c r="FH97" s="28" t="n"/>
      <c r="FI97" s="28" t="n"/>
      <c r="FJ97" s="28" t="n"/>
      <c r="FK97" s="28" t="n"/>
      <c r="FL97" s="28" t="n"/>
      <c r="FM97" s="28" t="n"/>
      <c r="FN97" s="28" t="n"/>
      <c r="FO97" s="28" t="n"/>
      <c r="FP97" s="28" t="n"/>
      <c r="FQ97" s="28" t="n"/>
      <c r="FR97" s="28" t="n"/>
      <c r="FS97" s="28" t="n"/>
      <c r="FT97" s="28" t="n"/>
      <c r="FU97" s="28" t="n"/>
      <c r="FV97" s="28" t="n"/>
      <c r="FW97" s="28" t="n"/>
      <c r="FX97" s="28" t="n"/>
      <c r="FY97" s="28" t="n"/>
      <c r="FZ97" s="28" t="n"/>
      <c r="GA97" s="28" t="n"/>
      <c r="GB97" s="28" t="n"/>
      <c r="GC97" s="28" t="n"/>
      <c r="GD97" s="28" t="n"/>
      <c r="GE97" s="28" t="n"/>
      <c r="GF97" s="28" t="n"/>
      <c r="GG97" s="28" t="n"/>
      <c r="GH97" s="28" t="n"/>
      <c r="GI97" s="28" t="n"/>
      <c r="GJ97" s="28" t="n"/>
      <c r="GK97" s="28" t="n"/>
      <c r="GL97" s="28" t="n"/>
      <c r="GM97" s="28" t="n"/>
      <c r="GN97" s="28" t="n"/>
      <c r="GO97" s="28" t="n"/>
      <c r="GP97" s="28" t="n"/>
      <c r="GQ97" s="28" t="n"/>
      <c r="GR97" s="28" t="n"/>
      <c r="GS97" s="28" t="n"/>
      <c r="GT97" s="28" t="n"/>
      <c r="GU97" s="28" t="n"/>
      <c r="GV97" s="28" t="n"/>
      <c r="GW97" s="28" t="n"/>
      <c r="GX97" s="28" t="n"/>
      <c r="GY97" s="28" t="n"/>
      <c r="GZ97" s="28" t="n"/>
      <c r="HA97" s="28" t="n"/>
      <c r="HB97" s="28" t="n"/>
      <c r="HC97" s="28" t="n"/>
      <c r="HD97" s="28" t="n"/>
      <c r="HE97" s="28" t="n"/>
      <c r="HF97" s="28" t="n"/>
      <c r="HG97" s="28" t="n"/>
      <c r="HH97" s="28" t="n"/>
      <c r="HI97" s="28" t="n"/>
      <c r="HJ97" s="28" t="n"/>
      <c r="HK97" s="28" t="n"/>
      <c r="HL97" s="28" t="n"/>
      <c r="HM97" s="28" t="n"/>
      <c r="HN97" s="28" t="n"/>
      <c r="HO97" s="28" t="n"/>
      <c r="HP97" s="28" t="n"/>
      <c r="HQ97" s="28" t="n"/>
      <c r="HR97" s="28" t="n"/>
      <c r="HS97" s="28" t="n"/>
      <c r="HT97" s="28" t="n"/>
      <c r="HU97" s="28" t="n"/>
      <c r="HV97" s="28" t="n"/>
      <c r="HW97" s="28" t="n"/>
      <c r="HX97" s="28" t="n"/>
      <c r="HY97" s="28" t="n"/>
      <c r="HZ97" s="28" t="n"/>
      <c r="IA97" s="28" t="n"/>
      <c r="IB97" s="28" t="n"/>
      <c r="IC97" s="28" t="n"/>
      <c r="ID97" s="28" t="n"/>
      <c r="IE97" s="28" t="n"/>
      <c r="IF97" s="28" t="n"/>
      <c r="IG97" s="28" t="n"/>
      <c r="IH97" s="28" t="n"/>
      <c r="II97" s="28" t="n"/>
      <c r="IJ97" s="28" t="n"/>
      <c r="IK97" s="28" t="n"/>
      <c r="IL97" s="28" t="n"/>
      <c r="IM97" s="28" t="n"/>
      <c r="IN97" s="28" t="n"/>
      <c r="IO97" s="28" t="n"/>
      <c r="IP97" s="28" t="n"/>
      <c r="IQ97" s="28" t="n"/>
      <c r="IR97" s="28" t="n"/>
      <c r="IS97" s="28" t="n"/>
      <c r="IT97" s="28" t="n"/>
      <c r="IU97" s="28" t="n"/>
      <c r="IV97" s="28" t="n"/>
      <c r="IW97" s="28" t="n"/>
      <c r="IX97" s="28" t="n"/>
      <c r="IY97" s="28" t="n"/>
      <c r="IZ97" s="28" t="n"/>
      <c r="JA97" s="28" t="n"/>
      <c r="JB97" s="28" t="n"/>
      <c r="JC97" s="28" t="n"/>
      <c r="JD97" s="28" t="n"/>
      <c r="JE97" s="28" t="n"/>
      <c r="JF97" s="28" t="n"/>
      <c r="JG97" s="28" t="n"/>
      <c r="JH97" s="28" t="n"/>
      <c r="JI97" s="28" t="n"/>
      <c r="JJ97" s="28" t="n"/>
      <c r="JK97" s="28" t="n"/>
      <c r="JL97" s="28" t="n"/>
      <c r="JM97" s="28" t="n"/>
      <c r="JN97" s="28" t="n"/>
      <c r="JO97" s="28" t="n"/>
      <c r="JP97" s="28" t="n"/>
      <c r="JQ97" s="28" t="n"/>
      <c r="JR97" s="28" t="n"/>
      <c r="JS97" s="28" t="n"/>
      <c r="JT97" s="28" t="n"/>
      <c r="JU97" s="28" t="n"/>
      <c r="JV97" s="28" t="n"/>
      <c r="JW97" s="28" t="n"/>
      <c r="JX97" s="28" t="n"/>
      <c r="JY97" s="28" t="n"/>
      <c r="JZ97" s="28" t="n"/>
      <c r="KA97" s="28" t="n"/>
      <c r="KB97" s="28" t="n"/>
      <c r="KC97" s="28" t="n"/>
      <c r="KD97" s="28" t="n"/>
      <c r="KE97" s="28" t="n"/>
      <c r="KF97" s="28" t="n"/>
      <c r="KG97" s="28" t="n"/>
      <c r="KH97" s="28" t="n"/>
      <c r="KI97" s="28" t="n"/>
      <c r="KJ97" s="28" t="n"/>
      <c r="KK97" s="28" t="n"/>
      <c r="KL97" s="28" t="n"/>
      <c r="KM97" s="28" t="n"/>
      <c r="KN97" s="28" t="n"/>
      <c r="KO97" s="28" t="n"/>
      <c r="KP97" s="28" t="n"/>
      <c r="KQ97" s="28" t="n"/>
      <c r="KR97" s="28" t="n"/>
      <c r="KS97" s="28" t="n"/>
      <c r="KT97" s="28" t="n"/>
      <c r="KU97" s="28" t="n"/>
      <c r="KV97" s="28" t="n"/>
      <c r="KW97" s="28" t="n"/>
      <c r="KX97" s="28" t="n"/>
      <c r="KY97" s="28" t="n"/>
      <c r="KZ97" s="28" t="n"/>
      <c r="LA97" s="28" t="n"/>
      <c r="LB97" s="28" t="n"/>
      <c r="LC97" s="28" t="n"/>
      <c r="LD97" s="28" t="n"/>
      <c r="LE97" s="28" t="n"/>
      <c r="LF97" s="28" t="n"/>
      <c r="LG97" s="28" t="n"/>
      <c r="LH97" s="28" t="n"/>
      <c r="LI97" s="28" t="n"/>
      <c r="LJ97" s="28" t="n"/>
      <c r="LK97" s="28" t="n"/>
      <c r="LL97" s="28" t="n"/>
      <c r="LM97" s="28" t="n"/>
      <c r="LN97" s="28" t="n"/>
      <c r="LO97" s="28" t="n"/>
      <c r="LP97" s="28" t="n"/>
      <c r="LQ97" s="28" t="n"/>
      <c r="LR97" s="28" t="n"/>
      <c r="LS97" s="28" t="n"/>
      <c r="LT97" s="28" t="n"/>
      <c r="LU97" s="28" t="n"/>
      <c r="LV97" s="28" t="n"/>
      <c r="LW97" s="28" t="n"/>
      <c r="LX97" s="28" t="n"/>
      <c r="LY97" s="28" t="n"/>
      <c r="LZ97" s="28" t="n"/>
      <c r="MA97" s="28" t="n"/>
      <c r="MB97" s="28" t="n"/>
      <c r="MC97" s="28" t="n"/>
      <c r="MD97" s="28" t="n"/>
      <c r="ME97" s="28" t="n"/>
      <c r="MF97" s="28" t="n"/>
      <c r="MG97" s="28" t="n"/>
      <c r="MH97" s="28" t="n"/>
      <c r="MI97" s="28" t="n"/>
      <c r="MJ97" s="28" t="n"/>
      <c r="MK97" s="28" t="n"/>
      <c r="ML97" s="28" t="n"/>
      <c r="MM97" s="28" t="n"/>
      <c r="MN97" s="28" t="n"/>
      <c r="MO97" s="28" t="n"/>
      <c r="MP97" s="28" t="n"/>
      <c r="MQ97" s="28" t="n"/>
      <c r="MR97" s="28" t="n"/>
      <c r="MS97" s="28" t="n"/>
      <c r="MT97" s="28" t="n"/>
      <c r="MU97" s="28" t="n"/>
      <c r="MV97" s="28" t="n"/>
      <c r="MW97" s="28" t="n"/>
      <c r="MX97" s="28" t="n"/>
      <c r="MY97" s="28" t="n"/>
      <c r="MZ97" s="28" t="n"/>
      <c r="NA97" s="28" t="n"/>
      <c r="NB97" s="28" t="n"/>
      <c r="NC97" s="28" t="n"/>
      <c r="ND97" s="28" t="n"/>
      <c r="NE97" s="28" t="n"/>
      <c r="NF97" s="28" t="n"/>
      <c r="NG97" s="28" t="n"/>
      <c r="NH97" s="28" t="n"/>
      <c r="NI97" s="28" t="n"/>
      <c r="NJ97" s="28" t="n"/>
      <c r="NK97" s="28" t="n"/>
      <c r="NL97" s="28" t="n"/>
      <c r="NM97" s="28" t="n"/>
      <c r="NN97" s="28" t="n"/>
      <c r="NO97" s="28" t="n"/>
      <c r="NP97" s="28" t="n"/>
      <c r="NQ97" s="28" t="n"/>
      <c r="NR97" s="28" t="n"/>
      <c r="NS97" s="28" t="n"/>
      <c r="NT97" s="28" t="n"/>
      <c r="NU97" s="28" t="n"/>
      <c r="NV97" s="28" t="n"/>
      <c r="NW97" s="28" t="n"/>
      <c r="NX97" s="28" t="n"/>
      <c r="NY97" s="28" t="n"/>
      <c r="NZ97" s="28" t="n"/>
      <c r="OA97" s="28" t="n"/>
      <c r="OB97" s="28" t="n"/>
      <c r="OC97" s="28" t="n"/>
      <c r="OD97" s="28" t="n"/>
      <c r="OE97" s="28" t="n"/>
      <c r="OF97" s="28" t="n"/>
      <c r="OG97" s="28" t="n"/>
      <c r="OH97" s="28" t="n"/>
      <c r="OI97" s="28" t="n"/>
      <c r="OJ97" s="28" t="n"/>
      <c r="OK97" s="28" t="n"/>
      <c r="OL97" s="28" t="n"/>
      <c r="OM97" s="28" t="n"/>
      <c r="ON97" s="28" t="n"/>
      <c r="OO97" s="28" t="n"/>
      <c r="OP97" s="28" t="n"/>
      <c r="OQ97" s="28" t="n"/>
      <c r="OR97" s="28" t="n"/>
      <c r="OS97" s="28" t="n"/>
      <c r="OT97" s="28" t="n"/>
      <c r="OU97" s="28" t="n"/>
      <c r="OV97" s="28" t="n"/>
      <c r="OW97" s="28" t="n"/>
      <c r="OX97" s="28" t="n"/>
      <c r="OY97" s="28" t="n"/>
      <c r="OZ97" s="28" t="n"/>
      <c r="PA97" s="28" t="n"/>
      <c r="PB97" s="28" t="n"/>
      <c r="PC97" s="28" t="n"/>
      <c r="PD97" s="28" t="n"/>
      <c r="PE97" s="28" t="n"/>
      <c r="PF97" s="28" t="n"/>
      <c r="PG97" s="28" t="n"/>
      <c r="PH97" s="28" t="n"/>
      <c r="PI97" s="28" t="n"/>
      <c r="PJ97" s="28" t="n"/>
      <c r="PK97" s="28" t="n"/>
      <c r="PL97" s="28" t="n"/>
      <c r="PM97" s="28" t="n"/>
      <c r="PN97" s="28" t="n"/>
      <c r="PO97" s="28" t="n"/>
      <c r="PP97" s="28" t="n"/>
      <c r="PQ97" s="28" t="n"/>
      <c r="PR97" s="28" t="n"/>
      <c r="PS97" s="28" t="n"/>
      <c r="PT97" s="28" t="n"/>
      <c r="PU97" s="28" t="n"/>
      <c r="PV97" s="28" t="n"/>
      <c r="PW97" s="28" t="n"/>
      <c r="PX97" s="28" t="n"/>
      <c r="PY97" s="28" t="n"/>
      <c r="PZ97" s="28" t="n"/>
      <c r="QA97" s="28" t="n"/>
      <c r="QB97" s="28" t="n"/>
      <c r="QC97" s="28" t="n"/>
      <c r="QD97" s="28" t="n"/>
      <c r="QE97" s="28" t="n"/>
      <c r="QF97" s="28" t="n"/>
      <c r="QG97" s="28" t="n"/>
      <c r="QH97" s="28" t="n"/>
      <c r="QI97" s="28" t="n"/>
      <c r="QJ97" s="28" t="n"/>
      <c r="QK97" s="28" t="n"/>
      <c r="QL97" s="28" t="n"/>
      <c r="QM97" s="28" t="n"/>
      <c r="QN97" s="28" t="n"/>
      <c r="QO97" s="28" t="n"/>
      <c r="QP97" s="28" t="n"/>
      <c r="QQ97" s="28" t="n"/>
      <c r="QR97" s="28" t="n"/>
      <c r="QS97" s="28" t="n"/>
      <c r="QT97" s="28" t="n"/>
      <c r="QU97" s="28" t="n"/>
      <c r="QV97" s="28" t="n"/>
      <c r="QW97" s="28" t="n"/>
      <c r="QX97" s="28" t="n"/>
      <c r="QY97" s="28" t="n"/>
      <c r="QZ97" s="28" t="n"/>
      <c r="RA97" s="28" t="n"/>
      <c r="RB97" s="28" t="n"/>
      <c r="RC97" s="28" t="n"/>
      <c r="RD97" s="28" t="n"/>
      <c r="RE97" s="28" t="n"/>
      <c r="RF97" s="28" t="n"/>
      <c r="RG97" s="28" t="n"/>
      <c r="RH97" s="28" t="n"/>
      <c r="RI97" s="28" t="n"/>
      <c r="RJ97" s="28" t="n"/>
      <c r="RK97" s="28" t="n"/>
      <c r="RL97" s="28" t="n"/>
      <c r="RM97" s="28" t="n"/>
      <c r="RN97" s="28" t="n"/>
      <c r="RO97" s="28" t="n"/>
      <c r="RP97" s="28" t="n"/>
      <c r="RQ97" s="28" t="n"/>
      <c r="RR97" s="28" t="n"/>
      <c r="RS97" s="28" t="n"/>
      <c r="RT97" s="28" t="n"/>
      <c r="RU97" s="28" t="n"/>
      <c r="RV97" s="28" t="n"/>
      <c r="RW97" s="28" t="n"/>
    </row>
    <row r="98" ht="5.25" customHeight="1"/>
    <row r="99" ht="13.05" customHeight="1">
      <c r="E99" s="21" t="inlineStr">
        <is>
          <t>Opening Balance</t>
        </is>
      </c>
      <c r="F99" s="29" t="n"/>
      <c r="G99" s="29" t="inlineStr">
        <is>
          <t>kEUR</t>
        </is>
      </c>
      <c r="H99" s="29" t="n"/>
      <c r="I99" s="29" t="n"/>
      <c r="J99" s="32" t="n"/>
      <c r="K99" s="29" t="n"/>
      <c r="L99" s="33" t="n"/>
      <c r="M99" s="33" t="n"/>
      <c r="N99" s="33" t="n"/>
      <c r="O99" s="33" t="n"/>
      <c r="P99" s="33" t="n"/>
      <c r="Q99" s="33" t="n"/>
      <c r="R99" s="33" t="n"/>
      <c r="S99" s="33" t="n"/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  <c r="AE99" s="33" t="n"/>
      <c r="AF99" s="33" t="n"/>
      <c r="AG99" s="33" t="n"/>
      <c r="AH99" s="33" t="n"/>
      <c r="AI99" s="33" t="n"/>
      <c r="AJ99" s="33" t="n"/>
      <c r="AK99" s="33" t="n"/>
      <c r="AL99" s="33" t="n"/>
      <c r="AM99" s="33" t="n"/>
      <c r="AN99" s="33" t="n"/>
      <c r="AO99" s="33" t="n"/>
      <c r="AP99" s="33" t="n"/>
      <c r="AQ99" s="33" t="n"/>
      <c r="AR99" s="33" t="n"/>
      <c r="AS99" s="33" t="n"/>
      <c r="AT99" s="33" t="n"/>
      <c r="AU99" s="33" t="n"/>
      <c r="AV99" s="33" t="n"/>
      <c r="AW99" s="33" t="n"/>
      <c r="AX99" s="33" t="n"/>
      <c r="AY99" s="33" t="n"/>
      <c r="AZ99" s="33" t="n"/>
      <c r="BA99" s="33" t="n"/>
      <c r="BB99" s="33" t="n"/>
      <c r="BC99" s="33" t="n"/>
      <c r="BD99" s="33" t="n"/>
      <c r="BE99" s="33" t="n"/>
      <c r="BF99" s="33" t="n"/>
      <c r="BG99" s="33" t="n"/>
      <c r="BH99" s="33" t="n"/>
      <c r="BI99" s="33" t="n"/>
      <c r="BJ99" s="33" t="n"/>
      <c r="BK99" s="33" t="n"/>
      <c r="BL99" s="33" t="n"/>
      <c r="BM99" s="33" t="n"/>
      <c r="BN99" s="33" t="n"/>
      <c r="BO99" s="33" t="n"/>
      <c r="BP99" s="33" t="n"/>
      <c r="BQ99" s="33" t="n"/>
      <c r="BR99" s="33" t="n"/>
      <c r="BS99" s="33" t="n"/>
      <c r="BT99" s="33" t="n"/>
      <c r="BU99" s="33" t="n"/>
      <c r="BV99" s="33" t="n"/>
      <c r="BW99" s="33" t="n"/>
      <c r="BX99" s="33" t="n"/>
      <c r="BY99" s="33" t="n"/>
      <c r="BZ99" s="33" t="n"/>
      <c r="CA99" s="33" t="n"/>
      <c r="CB99" s="33" t="n"/>
      <c r="CC99" s="33" t="n"/>
      <c r="CD99" s="33" t="n"/>
      <c r="CE99" s="33" t="n"/>
      <c r="CF99" s="33" t="n"/>
      <c r="CG99" s="33" t="n"/>
      <c r="CH99" s="33" t="n"/>
      <c r="CI99" s="33" t="n"/>
      <c r="CJ99" s="33" t="n"/>
      <c r="CK99" s="33" t="n"/>
      <c r="CL99" s="33" t="n"/>
      <c r="CM99" s="33" t="n"/>
      <c r="CN99" s="33" t="n"/>
      <c r="CO99" s="33" t="n"/>
      <c r="CP99" s="33" t="n"/>
      <c r="CQ99" s="33" t="n"/>
      <c r="CR99" s="33" t="n"/>
      <c r="CS99" s="33" t="n"/>
      <c r="CT99" s="33" t="n"/>
      <c r="CU99" s="33" t="n"/>
      <c r="CV99" s="33" t="n"/>
      <c r="CW99" s="33" t="n"/>
      <c r="CX99" s="33" t="n"/>
      <c r="CY99" s="33" t="n"/>
      <c r="CZ99" s="33" t="n"/>
      <c r="DA99" s="33" t="n"/>
      <c r="DB99" s="33" t="n"/>
      <c r="DC99" s="33" t="n"/>
      <c r="DD99" s="33" t="n"/>
      <c r="DE99" s="33" t="n"/>
      <c r="DF99" s="33" t="n"/>
      <c r="DG99" s="33" t="n"/>
      <c r="DH99" s="33" t="n"/>
      <c r="DI99" s="33" t="n"/>
      <c r="DJ99" s="33" t="n"/>
      <c r="DK99" s="33" t="n"/>
      <c r="DL99" s="33" t="n"/>
      <c r="DM99" s="33" t="n"/>
      <c r="DN99" s="33" t="n"/>
      <c r="DO99" s="33" t="n"/>
      <c r="DP99" s="33" t="n"/>
      <c r="DQ99" s="33" t="n"/>
      <c r="DR99" s="33" t="n"/>
      <c r="DS99" s="33" t="n"/>
      <c r="DT99" s="33" t="n"/>
      <c r="DU99" s="33" t="n"/>
      <c r="DV99" s="33" t="n"/>
      <c r="DW99" s="33" t="n"/>
      <c r="DX99" s="33" t="n"/>
      <c r="DY99" s="33" t="n"/>
      <c r="DZ99" s="33" t="n"/>
      <c r="EA99" s="33" t="n"/>
      <c r="EB99" s="33" t="n"/>
      <c r="EC99" s="33" t="n"/>
      <c r="ED99" s="33" t="n"/>
      <c r="EE99" s="33" t="n"/>
      <c r="EF99" s="33" t="n"/>
      <c r="EG99" s="33" t="n"/>
      <c r="EH99" s="33" t="n"/>
      <c r="EI99" s="33" t="n"/>
      <c r="EJ99" s="33" t="n"/>
      <c r="EK99" s="33" t="n"/>
      <c r="EL99" s="33" t="n"/>
      <c r="EM99" s="33" t="n"/>
      <c r="EN99" s="33" t="n"/>
      <c r="EO99" s="33" t="n"/>
      <c r="EP99" s="33" t="n"/>
      <c r="EQ99" s="33" t="n"/>
      <c r="ER99" s="33" t="n"/>
      <c r="ES99" s="33" t="n"/>
      <c r="ET99" s="33" t="n"/>
      <c r="EU99" s="33" t="n"/>
      <c r="EV99" s="33" t="n"/>
      <c r="EW99" s="33" t="n"/>
      <c r="EX99" s="33" t="n"/>
      <c r="EY99" s="33" t="n"/>
      <c r="EZ99" s="33" t="n"/>
      <c r="FA99" s="33" t="n"/>
      <c r="FB99" s="33" t="n"/>
      <c r="FC99" s="33" t="n"/>
      <c r="FD99" s="33" t="n"/>
      <c r="FE99" s="33" t="n"/>
      <c r="FF99" s="33" t="n"/>
      <c r="FG99" s="33" t="n"/>
      <c r="FH99" s="33" t="n"/>
      <c r="FI99" s="33" t="n"/>
      <c r="FJ99" s="33" t="n"/>
      <c r="FK99" s="33" t="n"/>
      <c r="FL99" s="33" t="n"/>
      <c r="FM99" s="33" t="n"/>
      <c r="FN99" s="33" t="n"/>
      <c r="FO99" s="33" t="n"/>
      <c r="FP99" s="33" t="n"/>
      <c r="FQ99" s="33" t="n"/>
      <c r="FR99" s="33" t="n"/>
      <c r="FS99" s="33" t="n"/>
      <c r="FT99" s="33" t="n"/>
      <c r="FU99" s="33" t="n"/>
      <c r="FV99" s="33" t="n"/>
      <c r="FW99" s="33" t="n"/>
      <c r="FX99" s="33" t="n"/>
      <c r="FY99" s="33" t="n"/>
      <c r="FZ99" s="33" t="n"/>
      <c r="GA99" s="33" t="n"/>
      <c r="GB99" s="33" t="n"/>
      <c r="GC99" s="33" t="n"/>
      <c r="GD99" s="33" t="n"/>
      <c r="GE99" s="33" t="n"/>
      <c r="GF99" s="33" t="n"/>
      <c r="GG99" s="33" t="n"/>
      <c r="GH99" s="33" t="n"/>
      <c r="GI99" s="33" t="n"/>
      <c r="GJ99" s="33" t="n"/>
      <c r="GK99" s="33" t="n"/>
      <c r="GL99" s="33" t="n"/>
      <c r="GM99" s="33" t="n"/>
      <c r="GN99" s="33" t="n"/>
      <c r="GO99" s="33" t="n"/>
      <c r="GP99" s="33" t="n"/>
      <c r="GQ99" s="33" t="n"/>
      <c r="GR99" s="33" t="n"/>
      <c r="GS99" s="33" t="n"/>
      <c r="GT99" s="33" t="n"/>
      <c r="GU99" s="33" t="n"/>
      <c r="GV99" s="33" t="n"/>
      <c r="GW99" s="33" t="n"/>
      <c r="GX99" s="33" t="n"/>
      <c r="GY99" s="33" t="n"/>
      <c r="GZ99" s="33" t="n"/>
      <c r="HA99" s="33" t="n"/>
      <c r="HB99" s="33" t="n"/>
      <c r="HC99" s="33" t="n"/>
      <c r="HD99" s="33" t="n"/>
      <c r="HE99" s="33" t="n"/>
      <c r="HF99" s="33" t="n"/>
      <c r="HG99" s="33" t="n"/>
      <c r="HH99" s="33" t="n"/>
      <c r="HI99" s="33" t="n"/>
      <c r="HJ99" s="33" t="n"/>
      <c r="HK99" s="33" t="n"/>
      <c r="HL99" s="33" t="n"/>
      <c r="HM99" s="33" t="n"/>
      <c r="HN99" s="33" t="n"/>
      <c r="HO99" s="33" t="n"/>
      <c r="HP99" s="33" t="n"/>
      <c r="HQ99" s="33" t="n"/>
      <c r="HR99" s="33" t="n"/>
      <c r="HS99" s="33" t="n"/>
      <c r="HT99" s="33" t="n"/>
      <c r="HU99" s="33" t="n"/>
      <c r="HV99" s="33" t="n"/>
      <c r="HW99" s="33" t="n"/>
      <c r="HX99" s="33" t="n"/>
      <c r="HY99" s="33" t="n"/>
      <c r="HZ99" s="33" t="n"/>
      <c r="IA99" s="33" t="n"/>
      <c r="IB99" s="33" t="n"/>
      <c r="IC99" s="33" t="n"/>
      <c r="ID99" s="33" t="n"/>
      <c r="IE99" s="33" t="n"/>
      <c r="IF99" s="33" t="n"/>
      <c r="IG99" s="33" t="n"/>
      <c r="IH99" s="33" t="n"/>
      <c r="II99" s="33" t="n"/>
      <c r="IJ99" s="33" t="n"/>
      <c r="IK99" s="33" t="n"/>
      <c r="IL99" s="33" t="n"/>
      <c r="IM99" s="33" t="n"/>
      <c r="IN99" s="33" t="n"/>
      <c r="IO99" s="33" t="n"/>
      <c r="IP99" s="33" t="n"/>
      <c r="IQ99" s="33" t="n"/>
      <c r="IR99" s="33" t="n"/>
      <c r="IS99" s="33" t="n"/>
      <c r="IT99" s="33" t="n"/>
      <c r="IU99" s="33" t="n"/>
      <c r="IV99" s="33" t="n"/>
      <c r="IW99" s="33" t="n"/>
      <c r="IX99" s="33" t="n"/>
      <c r="IY99" s="33" t="n"/>
      <c r="IZ99" s="33" t="n"/>
      <c r="JA99" s="33" t="n"/>
      <c r="JB99" s="33" t="n"/>
      <c r="JC99" s="33" t="n"/>
      <c r="JD99" s="33" t="n"/>
      <c r="JE99" s="33" t="n"/>
      <c r="JF99" s="33" t="n"/>
      <c r="JG99" s="33" t="n"/>
      <c r="JH99" s="33" t="n"/>
      <c r="JI99" s="33" t="n"/>
      <c r="JJ99" s="33" t="n"/>
      <c r="JK99" s="33" t="n"/>
      <c r="JL99" s="33" t="n"/>
      <c r="JM99" s="33" t="n"/>
      <c r="JN99" s="33" t="n"/>
      <c r="JO99" s="33" t="n"/>
      <c r="JP99" s="33" t="n"/>
      <c r="JQ99" s="33" t="n"/>
      <c r="JR99" s="33" t="n"/>
      <c r="JS99" s="33" t="n"/>
      <c r="JT99" s="33" t="n"/>
      <c r="JU99" s="33" t="n"/>
      <c r="JV99" s="33" t="n"/>
      <c r="JW99" s="33" t="n"/>
      <c r="JX99" s="33" t="n"/>
      <c r="JY99" s="33" t="n"/>
      <c r="JZ99" s="33" t="n"/>
      <c r="KA99" s="33" t="n"/>
      <c r="KB99" s="33" t="n"/>
      <c r="KC99" s="33" t="n"/>
      <c r="KD99" s="33" t="n"/>
      <c r="KE99" s="33" t="n"/>
      <c r="KF99" s="33" t="n"/>
      <c r="KG99" s="33" t="n"/>
      <c r="KH99" s="33" t="n"/>
      <c r="KI99" s="33" t="n"/>
      <c r="KJ99" s="33" t="n"/>
      <c r="KK99" s="33" t="n"/>
      <c r="KL99" s="33" t="n"/>
      <c r="KM99" s="33" t="n"/>
      <c r="KN99" s="33" t="n"/>
      <c r="KO99" s="33" t="n"/>
      <c r="KP99" s="33" t="n"/>
      <c r="KQ99" s="33" t="n"/>
      <c r="KR99" s="33" t="n"/>
      <c r="KS99" s="33" t="n"/>
      <c r="KT99" s="33" t="n"/>
      <c r="KU99" s="33" t="n"/>
      <c r="KV99" s="33" t="n"/>
      <c r="KW99" s="33" t="n"/>
      <c r="KX99" s="33" t="n"/>
      <c r="KY99" s="33" t="n"/>
      <c r="KZ99" s="33" t="n"/>
      <c r="LA99" s="33" t="n"/>
      <c r="LB99" s="33" t="n"/>
      <c r="LC99" s="33" t="n"/>
      <c r="LD99" s="33" t="n"/>
      <c r="LE99" s="33" t="n"/>
      <c r="LF99" s="33" t="n"/>
      <c r="LG99" s="33" t="n"/>
      <c r="LH99" s="33" t="n"/>
      <c r="LI99" s="33" t="n"/>
      <c r="LJ99" s="33" t="n"/>
      <c r="LK99" s="33" t="n"/>
      <c r="LL99" s="33" t="n"/>
      <c r="LM99" s="33" t="n"/>
      <c r="LN99" s="33" t="n"/>
      <c r="LO99" s="33" t="n"/>
      <c r="LP99" s="33" t="n"/>
      <c r="LQ99" s="33" t="n"/>
      <c r="LR99" s="33" t="n"/>
      <c r="LS99" s="33" t="n"/>
      <c r="LT99" s="33" t="n"/>
      <c r="LU99" s="33" t="n"/>
      <c r="LV99" s="33" t="n"/>
      <c r="LW99" s="33" t="n"/>
      <c r="LX99" s="33" t="n"/>
      <c r="LY99" s="33" t="n"/>
      <c r="LZ99" s="33" t="n"/>
      <c r="MA99" s="33" t="n"/>
      <c r="MB99" s="33" t="n"/>
      <c r="MC99" s="33" t="n"/>
      <c r="MD99" s="33" t="n"/>
      <c r="ME99" s="33" t="n"/>
      <c r="MF99" s="33" t="n"/>
      <c r="MG99" s="33" t="n"/>
      <c r="MH99" s="33" t="n"/>
      <c r="MI99" s="33" t="n"/>
      <c r="MJ99" s="33" t="n"/>
      <c r="MK99" s="33" t="n"/>
      <c r="ML99" s="33" t="n"/>
      <c r="MM99" s="33" t="n"/>
      <c r="MN99" s="33" t="n"/>
      <c r="MO99" s="33" t="n"/>
      <c r="MP99" s="33" t="n"/>
      <c r="MQ99" s="33" t="n"/>
      <c r="MR99" s="33" t="n"/>
      <c r="MS99" s="33" t="n"/>
      <c r="MT99" s="33" t="n"/>
      <c r="MU99" s="33" t="n"/>
      <c r="MV99" s="33" t="n"/>
      <c r="MW99" s="33" t="n"/>
      <c r="MX99" s="33" t="n"/>
      <c r="MY99" s="33" t="n"/>
      <c r="MZ99" s="33" t="n"/>
      <c r="NA99" s="33" t="n"/>
      <c r="NB99" s="33" t="n"/>
      <c r="NC99" s="33" t="n"/>
      <c r="ND99" s="33" t="n"/>
      <c r="NE99" s="33" t="n"/>
      <c r="NF99" s="33" t="n"/>
      <c r="NG99" s="33" t="n"/>
      <c r="NH99" s="33" t="n"/>
      <c r="NI99" s="33" t="n"/>
      <c r="NJ99" s="33" t="n"/>
      <c r="NK99" s="33" t="n"/>
      <c r="NL99" s="33" t="n"/>
      <c r="NM99" s="33" t="n"/>
      <c r="NN99" s="33" t="n"/>
      <c r="NO99" s="33" t="n"/>
      <c r="NP99" s="33" t="n"/>
      <c r="NQ99" s="33" t="n"/>
      <c r="NR99" s="33" t="n"/>
      <c r="NS99" s="33" t="n"/>
      <c r="NT99" s="33" t="n"/>
      <c r="NU99" s="33" t="n"/>
      <c r="NV99" s="33" t="n"/>
      <c r="NW99" s="33" t="n"/>
      <c r="NX99" s="33" t="n"/>
      <c r="NY99" s="33" t="n"/>
      <c r="NZ99" s="33" t="n"/>
      <c r="OA99" s="33" t="n"/>
      <c r="OB99" s="33" t="n"/>
      <c r="OC99" s="33" t="n"/>
      <c r="OD99" s="33" t="n"/>
      <c r="OE99" s="33" t="n"/>
      <c r="OF99" s="33" t="n"/>
      <c r="OG99" s="33" t="n"/>
      <c r="OH99" s="33" t="n"/>
      <c r="OI99" s="33" t="n"/>
      <c r="OJ99" s="33" t="n"/>
      <c r="OK99" s="33" t="n"/>
      <c r="OL99" s="33" t="n"/>
      <c r="OM99" s="33" t="n"/>
      <c r="ON99" s="33" t="n"/>
      <c r="OO99" s="33" t="n"/>
      <c r="OP99" s="33" t="n"/>
      <c r="OQ99" s="33" t="n"/>
      <c r="OR99" s="33" t="n"/>
      <c r="OS99" s="33" t="n"/>
      <c r="OT99" s="33" t="n"/>
      <c r="OU99" s="33" t="n"/>
      <c r="OV99" s="33" t="n"/>
      <c r="OW99" s="33" t="n"/>
      <c r="OX99" s="33" t="n"/>
      <c r="OY99" s="33" t="n"/>
      <c r="OZ99" s="33" t="n"/>
      <c r="PA99" s="33" t="n"/>
      <c r="PB99" s="33" t="n"/>
      <c r="PC99" s="33" t="n"/>
      <c r="PD99" s="33" t="n"/>
      <c r="PE99" s="33" t="n"/>
      <c r="PF99" s="33" t="n"/>
      <c r="PG99" s="33" t="n"/>
      <c r="PH99" s="33" t="n"/>
      <c r="PI99" s="33" t="n"/>
      <c r="PJ99" s="33" t="n"/>
      <c r="PK99" s="33" t="n"/>
      <c r="PL99" s="33" t="n"/>
      <c r="PM99" s="33" t="n"/>
      <c r="PN99" s="33" t="n"/>
      <c r="PO99" s="33" t="n"/>
      <c r="PP99" s="33" t="n"/>
      <c r="PQ99" s="33" t="n"/>
      <c r="PR99" s="33" t="n"/>
      <c r="PS99" s="33" t="n"/>
      <c r="PT99" s="33" t="n"/>
      <c r="PU99" s="33" t="n"/>
      <c r="PV99" s="33" t="n"/>
      <c r="PW99" s="33" t="n"/>
      <c r="PX99" s="33" t="n"/>
      <c r="PY99" s="33" t="n"/>
      <c r="PZ99" s="33" t="n"/>
      <c r="QA99" s="33" t="n"/>
      <c r="QB99" s="33" t="n"/>
      <c r="QC99" s="33" t="n"/>
      <c r="QD99" s="33" t="n"/>
      <c r="QE99" s="33" t="n"/>
      <c r="QF99" s="33" t="n"/>
      <c r="QG99" s="33" t="n"/>
      <c r="QH99" s="33" t="n"/>
      <c r="QI99" s="33" t="n"/>
      <c r="QJ99" s="33" t="n"/>
      <c r="QK99" s="33" t="n"/>
      <c r="QL99" s="33" t="n"/>
      <c r="QM99" s="33" t="n"/>
      <c r="QN99" s="33" t="n"/>
      <c r="QO99" s="33" t="n"/>
      <c r="QP99" s="33" t="n"/>
      <c r="QQ99" s="33" t="n"/>
      <c r="QR99" s="33" t="n"/>
      <c r="QS99" s="33" t="n"/>
      <c r="QT99" s="33" t="n"/>
      <c r="QU99" s="33" t="n"/>
      <c r="QV99" s="33" t="n"/>
      <c r="QW99" s="33" t="n"/>
      <c r="QX99" s="33" t="n"/>
      <c r="QY99" s="33" t="n"/>
      <c r="QZ99" s="33" t="n"/>
      <c r="RA99" s="33" t="n"/>
      <c r="RB99" s="33" t="n"/>
      <c r="RC99" s="33" t="n"/>
      <c r="RD99" s="33" t="n"/>
      <c r="RE99" s="33" t="n"/>
      <c r="RF99" s="33" t="n"/>
      <c r="RG99" s="33" t="n"/>
      <c r="RH99" s="33" t="n"/>
      <c r="RI99" s="33" t="n"/>
      <c r="RJ99" s="33" t="n"/>
      <c r="RK99" s="33" t="n"/>
      <c r="RL99" s="33" t="n"/>
      <c r="RM99" s="33" t="n"/>
      <c r="RN99" s="33" t="n"/>
      <c r="RO99" s="33" t="n"/>
      <c r="RP99" s="33" t="n"/>
      <c r="RQ99" s="33" t="n"/>
      <c r="RR99" s="33" t="n"/>
      <c r="RS99" s="33" t="n"/>
      <c r="RT99" s="33" t="n"/>
      <c r="RU99" s="33" t="n"/>
      <c r="RV99" s="33" t="n"/>
      <c r="RW99" s="33" t="n"/>
    </row>
    <row r="100" hidden="1" outlineLevel="1" ht="13.05" customHeight="1">
      <c r="E100" s="21" t="inlineStr">
        <is>
          <t>Drawdown</t>
        </is>
      </c>
      <c r="F100" s="29" t="n"/>
      <c r="G100" s="29" t="inlineStr">
        <is>
          <t>kEUR</t>
        </is>
      </c>
      <c r="H100" s="29" t="n"/>
      <c r="I100" s="29" t="n"/>
      <c r="J100" s="32" t="n"/>
      <c r="K100" s="29" t="n"/>
      <c r="L100" s="33" t="n"/>
      <c r="M100" s="33" t="n"/>
      <c r="N100" s="33" t="n"/>
      <c r="O100" s="33" t="n"/>
      <c r="P100" s="33" t="n"/>
      <c r="Q100" s="33" t="n"/>
      <c r="R100" s="33" t="n"/>
      <c r="S100" s="33" t="n"/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  <c r="AE100" s="33" t="n"/>
      <c r="AF100" s="33" t="n"/>
      <c r="AG100" s="33" t="n"/>
      <c r="AH100" s="33" t="n"/>
      <c r="AI100" s="33" t="n"/>
      <c r="AJ100" s="33" t="n"/>
      <c r="AK100" s="33" t="n"/>
      <c r="AL100" s="33" t="n"/>
      <c r="AM100" s="33" t="n"/>
      <c r="AN100" s="33" t="n"/>
      <c r="AO100" s="33" t="n"/>
      <c r="AP100" s="33" t="n"/>
      <c r="AQ100" s="33" t="n"/>
      <c r="AR100" s="33" t="n"/>
      <c r="AS100" s="33" t="n"/>
      <c r="AT100" s="33" t="n"/>
      <c r="AU100" s="33" t="n"/>
      <c r="AV100" s="33" t="n"/>
      <c r="AW100" s="33" t="n"/>
      <c r="AX100" s="33" t="n"/>
      <c r="AY100" s="33" t="n"/>
      <c r="AZ100" s="33" t="n"/>
      <c r="BA100" s="33" t="n"/>
      <c r="BB100" s="33" t="n"/>
      <c r="BC100" s="33" t="n"/>
      <c r="BD100" s="33" t="n"/>
      <c r="BE100" s="33" t="n"/>
      <c r="BF100" s="33" t="n"/>
      <c r="BG100" s="33" t="n"/>
      <c r="BH100" s="33" t="n"/>
      <c r="BI100" s="33" t="n"/>
      <c r="BJ100" s="33" t="n"/>
      <c r="BK100" s="33" t="n"/>
      <c r="BL100" s="33" t="n"/>
      <c r="BM100" s="33" t="n"/>
      <c r="BN100" s="33" t="n"/>
      <c r="BO100" s="33" t="n"/>
      <c r="BP100" s="33" t="n"/>
      <c r="BQ100" s="33" t="n"/>
      <c r="BR100" s="33" t="n"/>
      <c r="BS100" s="33" t="n"/>
      <c r="BT100" s="33" t="n"/>
      <c r="BU100" s="33" t="n"/>
      <c r="BV100" s="33" t="n"/>
      <c r="BW100" s="33" t="n"/>
      <c r="BX100" s="33" t="n"/>
      <c r="BY100" s="33" t="n"/>
      <c r="BZ100" s="33" t="n"/>
      <c r="CA100" s="33" t="n"/>
      <c r="CB100" s="33" t="n"/>
      <c r="CC100" s="33" t="n"/>
      <c r="CD100" s="33" t="n"/>
      <c r="CE100" s="33" t="n"/>
      <c r="CF100" s="33" t="n"/>
      <c r="CG100" s="33" t="n"/>
      <c r="CH100" s="33" t="n"/>
      <c r="CI100" s="33" t="n"/>
      <c r="CJ100" s="33" t="n"/>
      <c r="CK100" s="33" t="n"/>
      <c r="CL100" s="33" t="n"/>
      <c r="CM100" s="33" t="n"/>
      <c r="CN100" s="33" t="n"/>
      <c r="CO100" s="33" t="n"/>
      <c r="CP100" s="33" t="n"/>
      <c r="CQ100" s="33" t="n"/>
      <c r="CR100" s="33" t="n"/>
      <c r="CS100" s="33" t="n"/>
      <c r="CT100" s="33" t="n"/>
      <c r="CU100" s="33" t="n"/>
      <c r="CV100" s="33" t="n"/>
      <c r="CW100" s="33" t="n"/>
      <c r="CX100" s="33" t="n"/>
      <c r="CY100" s="33" t="n"/>
      <c r="CZ100" s="33" t="n"/>
      <c r="DA100" s="33" t="n"/>
      <c r="DB100" s="33" t="n"/>
      <c r="DC100" s="33" t="n"/>
      <c r="DD100" s="33" t="n"/>
      <c r="DE100" s="33" t="n"/>
      <c r="DF100" s="33" t="n"/>
      <c r="DG100" s="33" t="n"/>
      <c r="DH100" s="33" t="n"/>
      <c r="DI100" s="33" t="n"/>
      <c r="DJ100" s="33" t="n"/>
      <c r="DK100" s="33" t="n"/>
      <c r="DL100" s="33" t="n"/>
      <c r="DM100" s="33" t="n"/>
      <c r="DN100" s="33" t="n"/>
      <c r="DO100" s="33" t="n"/>
      <c r="DP100" s="33" t="n"/>
      <c r="DQ100" s="33" t="n"/>
      <c r="DR100" s="33" t="n"/>
      <c r="DS100" s="33" t="n"/>
      <c r="DT100" s="33" t="n"/>
      <c r="DU100" s="33" t="n"/>
      <c r="DV100" s="33" t="n"/>
      <c r="DW100" s="33" t="n"/>
      <c r="DX100" s="33" t="n"/>
      <c r="DY100" s="33" t="n"/>
      <c r="DZ100" s="33" t="n"/>
      <c r="EA100" s="33" t="n"/>
      <c r="EB100" s="33" t="n"/>
      <c r="EC100" s="33" t="n"/>
      <c r="ED100" s="33" t="n"/>
      <c r="EE100" s="33" t="n"/>
      <c r="EF100" s="33" t="n"/>
      <c r="EG100" s="33" t="n"/>
      <c r="EH100" s="33" t="n"/>
      <c r="EI100" s="33" t="n"/>
      <c r="EJ100" s="33" t="n"/>
      <c r="EK100" s="33" t="n"/>
      <c r="EL100" s="33" t="n"/>
      <c r="EM100" s="33" t="n"/>
      <c r="EN100" s="33" t="n"/>
      <c r="EO100" s="33" t="n"/>
      <c r="EP100" s="33" t="n"/>
      <c r="EQ100" s="33" t="n"/>
      <c r="ER100" s="33" t="n"/>
      <c r="ES100" s="33" t="n"/>
      <c r="ET100" s="33" t="n"/>
      <c r="EU100" s="33" t="n"/>
      <c r="EV100" s="33" t="n"/>
      <c r="EW100" s="33" t="n"/>
      <c r="EX100" s="33" t="n"/>
      <c r="EY100" s="33" t="n"/>
      <c r="EZ100" s="33" t="n"/>
      <c r="FA100" s="33" t="n"/>
      <c r="FB100" s="33" t="n"/>
      <c r="FC100" s="33" t="n"/>
      <c r="FD100" s="33" t="n"/>
      <c r="FE100" s="33" t="n"/>
      <c r="FF100" s="33" t="n"/>
      <c r="FG100" s="33" t="n"/>
      <c r="FH100" s="33" t="n"/>
      <c r="FI100" s="33" t="n"/>
      <c r="FJ100" s="33" t="n"/>
      <c r="FK100" s="33" t="n"/>
      <c r="FL100" s="33" t="n"/>
      <c r="FM100" s="33" t="n"/>
      <c r="FN100" s="33" t="n"/>
      <c r="FO100" s="33" t="n"/>
      <c r="FP100" s="33" t="n"/>
      <c r="FQ100" s="33" t="n"/>
      <c r="FR100" s="33" t="n"/>
      <c r="FS100" s="33" t="n"/>
      <c r="FT100" s="33" t="n"/>
      <c r="FU100" s="33" t="n"/>
      <c r="FV100" s="33" t="n"/>
      <c r="FW100" s="33" t="n"/>
      <c r="FX100" s="33" t="n"/>
      <c r="FY100" s="33" t="n"/>
      <c r="FZ100" s="33" t="n"/>
      <c r="GA100" s="33" t="n"/>
      <c r="GB100" s="33" t="n"/>
      <c r="GC100" s="33" t="n"/>
      <c r="GD100" s="33" t="n"/>
      <c r="GE100" s="33" t="n"/>
      <c r="GF100" s="33" t="n"/>
      <c r="GG100" s="33" t="n"/>
      <c r="GH100" s="33" t="n"/>
      <c r="GI100" s="33" t="n"/>
      <c r="GJ100" s="33" t="n"/>
      <c r="GK100" s="33" t="n"/>
      <c r="GL100" s="33" t="n"/>
      <c r="GM100" s="33" t="n"/>
      <c r="GN100" s="33" t="n"/>
      <c r="GO100" s="33" t="n"/>
      <c r="GP100" s="33" t="n"/>
      <c r="GQ100" s="33" t="n"/>
      <c r="GR100" s="33" t="n"/>
      <c r="GS100" s="33" t="n"/>
      <c r="GT100" s="33" t="n"/>
      <c r="GU100" s="33" t="n"/>
      <c r="GV100" s="33" t="n"/>
      <c r="GW100" s="33" t="n"/>
      <c r="GX100" s="33" t="n"/>
      <c r="GY100" s="33" t="n"/>
      <c r="GZ100" s="33" t="n"/>
      <c r="HA100" s="33" t="n"/>
      <c r="HB100" s="33" t="n"/>
      <c r="HC100" s="33" t="n"/>
      <c r="HD100" s="33" t="n"/>
      <c r="HE100" s="33" t="n"/>
      <c r="HF100" s="33" t="n"/>
      <c r="HG100" s="33" t="n"/>
      <c r="HH100" s="33" t="n"/>
      <c r="HI100" s="33" t="n"/>
      <c r="HJ100" s="33" t="n"/>
      <c r="HK100" s="33" t="n"/>
      <c r="HL100" s="33" t="n"/>
      <c r="HM100" s="33" t="n"/>
      <c r="HN100" s="33" t="n"/>
      <c r="HO100" s="33" t="n"/>
      <c r="HP100" s="33" t="n"/>
      <c r="HQ100" s="33" t="n"/>
      <c r="HR100" s="33" t="n"/>
      <c r="HS100" s="33" t="n"/>
      <c r="HT100" s="33" t="n"/>
      <c r="HU100" s="33" t="n"/>
      <c r="HV100" s="33" t="n"/>
      <c r="HW100" s="33" t="n"/>
      <c r="HX100" s="33" t="n"/>
      <c r="HY100" s="33" t="n"/>
      <c r="HZ100" s="33" t="n"/>
      <c r="IA100" s="33" t="n"/>
      <c r="IB100" s="33" t="n"/>
      <c r="IC100" s="33" t="n"/>
      <c r="ID100" s="33" t="n"/>
      <c r="IE100" s="33" t="n"/>
      <c r="IF100" s="33" t="n"/>
      <c r="IG100" s="33" t="n"/>
      <c r="IH100" s="33" t="n"/>
      <c r="II100" s="33" t="n"/>
      <c r="IJ100" s="33" t="n"/>
      <c r="IK100" s="33" t="n"/>
      <c r="IL100" s="33" t="n"/>
      <c r="IM100" s="33" t="n"/>
      <c r="IN100" s="33" t="n"/>
      <c r="IO100" s="33" t="n"/>
      <c r="IP100" s="33" t="n"/>
      <c r="IQ100" s="33" t="n"/>
      <c r="IR100" s="33" t="n"/>
      <c r="IS100" s="33" t="n"/>
      <c r="IT100" s="33" t="n"/>
      <c r="IU100" s="33" t="n"/>
      <c r="IV100" s="33" t="n"/>
      <c r="IW100" s="33" t="n"/>
      <c r="IX100" s="33" t="n"/>
      <c r="IY100" s="33" t="n"/>
      <c r="IZ100" s="33" t="n"/>
      <c r="JA100" s="33" t="n"/>
      <c r="JB100" s="33" t="n"/>
      <c r="JC100" s="33" t="n"/>
      <c r="JD100" s="33" t="n"/>
      <c r="JE100" s="33" t="n"/>
      <c r="JF100" s="33" t="n"/>
      <c r="JG100" s="33" t="n"/>
      <c r="JH100" s="33" t="n"/>
      <c r="JI100" s="33" t="n"/>
      <c r="JJ100" s="33" t="n"/>
      <c r="JK100" s="33" t="n"/>
      <c r="JL100" s="33" t="n"/>
      <c r="JM100" s="33" t="n"/>
      <c r="JN100" s="33" t="n"/>
      <c r="JO100" s="33" t="n"/>
      <c r="JP100" s="33" t="n"/>
      <c r="JQ100" s="33" t="n"/>
      <c r="JR100" s="33" t="n"/>
      <c r="JS100" s="33" t="n"/>
      <c r="JT100" s="33" t="n"/>
      <c r="JU100" s="33" t="n"/>
      <c r="JV100" s="33" t="n"/>
      <c r="JW100" s="33" t="n"/>
      <c r="JX100" s="33" t="n"/>
      <c r="JY100" s="33" t="n"/>
      <c r="JZ100" s="33" t="n"/>
      <c r="KA100" s="33" t="n"/>
      <c r="KB100" s="33" t="n"/>
      <c r="KC100" s="33" t="n"/>
      <c r="KD100" s="33" t="n"/>
      <c r="KE100" s="33" t="n"/>
      <c r="KF100" s="33" t="n"/>
      <c r="KG100" s="33" t="n"/>
      <c r="KH100" s="33" t="n"/>
      <c r="KI100" s="33" t="n"/>
      <c r="KJ100" s="33" t="n"/>
      <c r="KK100" s="33" t="n"/>
      <c r="KL100" s="33" t="n"/>
      <c r="KM100" s="33" t="n"/>
      <c r="KN100" s="33" t="n"/>
      <c r="KO100" s="33" t="n"/>
      <c r="KP100" s="33" t="n"/>
      <c r="KQ100" s="33" t="n"/>
      <c r="KR100" s="33" t="n"/>
      <c r="KS100" s="33" t="n"/>
      <c r="KT100" s="33" t="n"/>
      <c r="KU100" s="33" t="n"/>
      <c r="KV100" s="33" t="n"/>
      <c r="KW100" s="33" t="n"/>
      <c r="KX100" s="33" t="n"/>
      <c r="KY100" s="33" t="n"/>
      <c r="KZ100" s="33" t="n"/>
      <c r="LA100" s="33" t="n"/>
      <c r="LB100" s="33" t="n"/>
      <c r="LC100" s="33" t="n"/>
      <c r="LD100" s="33" t="n"/>
      <c r="LE100" s="33" t="n"/>
      <c r="LF100" s="33" t="n"/>
      <c r="LG100" s="33" t="n"/>
      <c r="LH100" s="33" t="n"/>
      <c r="LI100" s="33" t="n"/>
      <c r="LJ100" s="33" t="n"/>
      <c r="LK100" s="33" t="n"/>
      <c r="LL100" s="33" t="n"/>
      <c r="LM100" s="33" t="n"/>
      <c r="LN100" s="33" t="n"/>
      <c r="LO100" s="33" t="n"/>
      <c r="LP100" s="33" t="n"/>
      <c r="LQ100" s="33" t="n"/>
      <c r="LR100" s="33" t="n"/>
      <c r="LS100" s="33" t="n"/>
      <c r="LT100" s="33" t="n"/>
      <c r="LU100" s="33" t="n"/>
      <c r="LV100" s="33" t="n"/>
      <c r="LW100" s="33" t="n"/>
      <c r="LX100" s="33" t="n"/>
      <c r="LY100" s="33" t="n"/>
      <c r="LZ100" s="33" t="n"/>
      <c r="MA100" s="33" t="n"/>
      <c r="MB100" s="33" t="n"/>
      <c r="MC100" s="33" t="n"/>
      <c r="MD100" s="33" t="n"/>
      <c r="ME100" s="33" t="n"/>
      <c r="MF100" s="33" t="n"/>
      <c r="MG100" s="33" t="n"/>
      <c r="MH100" s="33" t="n"/>
      <c r="MI100" s="33" t="n"/>
      <c r="MJ100" s="33" t="n"/>
      <c r="MK100" s="33" t="n"/>
      <c r="ML100" s="33" t="n"/>
      <c r="MM100" s="33" t="n"/>
      <c r="MN100" s="33" t="n"/>
      <c r="MO100" s="33" t="n"/>
      <c r="MP100" s="33" t="n"/>
      <c r="MQ100" s="33" t="n"/>
      <c r="MR100" s="33" t="n"/>
      <c r="MS100" s="33" t="n"/>
      <c r="MT100" s="33" t="n"/>
      <c r="MU100" s="33" t="n"/>
      <c r="MV100" s="33" t="n"/>
      <c r="MW100" s="33" t="n"/>
      <c r="MX100" s="33" t="n"/>
      <c r="MY100" s="33" t="n"/>
      <c r="MZ100" s="33" t="n"/>
      <c r="NA100" s="33" t="n"/>
      <c r="NB100" s="33" t="n"/>
      <c r="NC100" s="33" t="n"/>
      <c r="ND100" s="33" t="n"/>
      <c r="NE100" s="33" t="n"/>
      <c r="NF100" s="33" t="n"/>
      <c r="NG100" s="33" t="n"/>
      <c r="NH100" s="33" t="n"/>
      <c r="NI100" s="33" t="n"/>
      <c r="NJ100" s="33" t="n"/>
      <c r="NK100" s="33" t="n"/>
      <c r="NL100" s="33" t="n"/>
      <c r="NM100" s="33" t="n"/>
      <c r="NN100" s="33" t="n"/>
      <c r="NO100" s="33" t="n"/>
      <c r="NP100" s="33" t="n"/>
      <c r="NQ100" s="33" t="n"/>
      <c r="NR100" s="33" t="n"/>
      <c r="NS100" s="33" t="n"/>
      <c r="NT100" s="33" t="n"/>
      <c r="NU100" s="33" t="n"/>
      <c r="NV100" s="33" t="n"/>
      <c r="NW100" s="33" t="n"/>
      <c r="NX100" s="33" t="n"/>
      <c r="NY100" s="33" t="n"/>
      <c r="NZ100" s="33" t="n"/>
      <c r="OA100" s="33" t="n"/>
      <c r="OB100" s="33" t="n"/>
      <c r="OC100" s="33" t="n"/>
      <c r="OD100" s="33" t="n"/>
      <c r="OE100" s="33" t="n"/>
      <c r="OF100" s="33" t="n"/>
      <c r="OG100" s="33" t="n"/>
      <c r="OH100" s="33" t="n"/>
      <c r="OI100" s="33" t="n"/>
      <c r="OJ100" s="33" t="n"/>
      <c r="OK100" s="33" t="n"/>
      <c r="OL100" s="33" t="n"/>
      <c r="OM100" s="33" t="n"/>
      <c r="ON100" s="33" t="n"/>
      <c r="OO100" s="33" t="n"/>
      <c r="OP100" s="33" t="n"/>
      <c r="OQ100" s="33" t="n"/>
      <c r="OR100" s="33" t="n"/>
      <c r="OS100" s="33" t="n"/>
      <c r="OT100" s="33" t="n"/>
      <c r="OU100" s="33" t="n"/>
      <c r="OV100" s="33" t="n"/>
      <c r="OW100" s="33" t="n"/>
      <c r="OX100" s="33" t="n"/>
      <c r="OY100" s="33" t="n"/>
      <c r="OZ100" s="33" t="n"/>
      <c r="PA100" s="33" t="n"/>
      <c r="PB100" s="33" t="n"/>
      <c r="PC100" s="33" t="n"/>
      <c r="PD100" s="33" t="n"/>
      <c r="PE100" s="33" t="n"/>
      <c r="PF100" s="33" t="n"/>
      <c r="PG100" s="33" t="n"/>
      <c r="PH100" s="33" t="n"/>
      <c r="PI100" s="33" t="n"/>
      <c r="PJ100" s="33" t="n"/>
      <c r="PK100" s="33" t="n"/>
      <c r="PL100" s="33" t="n"/>
      <c r="PM100" s="33" t="n"/>
      <c r="PN100" s="33" t="n"/>
      <c r="PO100" s="33" t="n"/>
      <c r="PP100" s="33" t="n"/>
      <c r="PQ100" s="33" t="n"/>
      <c r="PR100" s="33" t="n"/>
      <c r="PS100" s="33" t="n"/>
      <c r="PT100" s="33" t="n"/>
      <c r="PU100" s="33" t="n"/>
      <c r="PV100" s="33" t="n"/>
      <c r="PW100" s="33" t="n"/>
      <c r="PX100" s="33" t="n"/>
      <c r="PY100" s="33" t="n"/>
      <c r="PZ100" s="33" t="n"/>
      <c r="QA100" s="33" t="n"/>
      <c r="QB100" s="33" t="n"/>
      <c r="QC100" s="33" t="n"/>
      <c r="QD100" s="33" t="n"/>
      <c r="QE100" s="33" t="n"/>
      <c r="QF100" s="33" t="n"/>
      <c r="QG100" s="33" t="n"/>
      <c r="QH100" s="33" t="n"/>
      <c r="QI100" s="33" t="n"/>
      <c r="QJ100" s="33" t="n"/>
      <c r="QK100" s="33" t="n"/>
      <c r="QL100" s="33" t="n"/>
      <c r="QM100" s="33" t="n"/>
      <c r="QN100" s="33" t="n"/>
      <c r="QO100" s="33" t="n"/>
      <c r="QP100" s="33" t="n"/>
      <c r="QQ100" s="33" t="n"/>
      <c r="QR100" s="33" t="n"/>
      <c r="QS100" s="33" t="n"/>
      <c r="QT100" s="33" t="n"/>
      <c r="QU100" s="33" t="n"/>
      <c r="QV100" s="33" t="n"/>
      <c r="QW100" s="33" t="n"/>
      <c r="QX100" s="33" t="n"/>
      <c r="QY100" s="33" t="n"/>
      <c r="QZ100" s="33" t="n"/>
      <c r="RA100" s="33" t="n"/>
      <c r="RB100" s="33" t="n"/>
      <c r="RC100" s="33" t="n"/>
      <c r="RD100" s="33" t="n"/>
      <c r="RE100" s="33" t="n"/>
      <c r="RF100" s="33" t="n"/>
      <c r="RG100" s="33" t="n"/>
      <c r="RH100" s="33" t="n"/>
      <c r="RI100" s="33" t="n"/>
      <c r="RJ100" s="33" t="n"/>
      <c r="RK100" s="33" t="n"/>
      <c r="RL100" s="33" t="n"/>
      <c r="RM100" s="33" t="n"/>
      <c r="RN100" s="33" t="n"/>
      <c r="RO100" s="33" t="n"/>
      <c r="RP100" s="33" t="n"/>
      <c r="RQ100" s="33" t="n"/>
      <c r="RR100" s="33" t="n"/>
      <c r="RS100" s="33" t="n"/>
      <c r="RT100" s="33" t="n"/>
      <c r="RU100" s="33" t="n"/>
      <c r="RV100" s="33" t="n"/>
      <c r="RW100" s="33" t="n"/>
    </row>
    <row r="101" hidden="1" outlineLevel="1" ht="13.05" customHeight="1">
      <c r="E101" s="21" t="inlineStr">
        <is>
          <t>Principal Repayment</t>
        </is>
      </c>
      <c r="F101" s="29" t="n"/>
      <c r="G101" s="29" t="inlineStr">
        <is>
          <t>kEUR</t>
        </is>
      </c>
      <c r="H101" s="29" t="n"/>
      <c r="I101" s="29" t="n"/>
      <c r="J101" s="32" t="n"/>
      <c r="K101" s="29" t="n"/>
      <c r="L101" s="33" t="n"/>
      <c r="M101" s="33" t="n"/>
      <c r="N101" s="33" t="n"/>
      <c r="O101" s="33" t="n"/>
      <c r="P101" s="33" t="n"/>
      <c r="Q101" s="33" t="n"/>
      <c r="R101" s="33" t="n"/>
      <c r="S101" s="33" t="n"/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  <c r="AE101" s="33" t="n"/>
      <c r="AF101" s="33" t="n"/>
      <c r="AG101" s="33" t="n"/>
      <c r="AH101" s="33" t="n"/>
      <c r="AI101" s="33" t="n"/>
      <c r="AJ101" s="33" t="n"/>
      <c r="AK101" s="33" t="n"/>
      <c r="AL101" s="33" t="n"/>
      <c r="AM101" s="33" t="n"/>
      <c r="AN101" s="33" t="n"/>
      <c r="AO101" s="33" t="n"/>
      <c r="AP101" s="33" t="n"/>
      <c r="AQ101" s="33" t="n"/>
      <c r="AR101" s="33" t="n"/>
      <c r="AS101" s="33" t="n"/>
      <c r="AT101" s="33" t="n"/>
      <c r="AU101" s="33" t="n"/>
      <c r="AV101" s="33" t="n"/>
      <c r="AW101" s="33" t="n"/>
      <c r="AX101" s="33" t="n"/>
      <c r="AY101" s="33" t="n"/>
      <c r="AZ101" s="33" t="n"/>
      <c r="BA101" s="33" t="n"/>
      <c r="BB101" s="33" t="n"/>
      <c r="BC101" s="33" t="n"/>
      <c r="BD101" s="33" t="n"/>
      <c r="BE101" s="33" t="n"/>
      <c r="BF101" s="33" t="n"/>
      <c r="BG101" s="33" t="n"/>
      <c r="BH101" s="33" t="n"/>
      <c r="BI101" s="33" t="n"/>
      <c r="BJ101" s="33" t="n"/>
      <c r="BK101" s="33" t="n"/>
      <c r="BL101" s="33" t="n"/>
      <c r="BM101" s="33" t="n"/>
      <c r="BN101" s="33" t="n"/>
      <c r="BO101" s="33" t="n"/>
      <c r="BP101" s="33" t="n"/>
      <c r="BQ101" s="33" t="n"/>
      <c r="BR101" s="33" t="n"/>
      <c r="BS101" s="33" t="n"/>
      <c r="BT101" s="33" t="n"/>
      <c r="BU101" s="33" t="n"/>
      <c r="BV101" s="33" t="n"/>
      <c r="BW101" s="33" t="n"/>
      <c r="BX101" s="33" t="n"/>
      <c r="BY101" s="33" t="n"/>
      <c r="BZ101" s="33" t="n"/>
      <c r="CA101" s="33" t="n"/>
      <c r="CB101" s="33" t="n"/>
      <c r="CC101" s="33" t="n"/>
      <c r="CD101" s="33" t="n"/>
      <c r="CE101" s="33" t="n"/>
      <c r="CF101" s="33" t="n"/>
      <c r="CG101" s="33" t="n"/>
      <c r="CH101" s="33" t="n"/>
      <c r="CI101" s="33" t="n"/>
      <c r="CJ101" s="33" t="n"/>
      <c r="CK101" s="33" t="n"/>
      <c r="CL101" s="33" t="n"/>
      <c r="CM101" s="33" t="n"/>
      <c r="CN101" s="33" t="n"/>
      <c r="CO101" s="33" t="n"/>
      <c r="CP101" s="33" t="n"/>
      <c r="CQ101" s="33" t="n"/>
      <c r="CR101" s="33" t="n"/>
      <c r="CS101" s="33" t="n"/>
      <c r="CT101" s="33" t="n"/>
      <c r="CU101" s="33" t="n"/>
      <c r="CV101" s="33" t="n"/>
      <c r="CW101" s="33" t="n"/>
      <c r="CX101" s="33" t="n"/>
      <c r="CY101" s="33" t="n"/>
      <c r="CZ101" s="33" t="n"/>
      <c r="DA101" s="33" t="n"/>
      <c r="DB101" s="33" t="n"/>
      <c r="DC101" s="33" t="n"/>
      <c r="DD101" s="33" t="n"/>
      <c r="DE101" s="33" t="n"/>
      <c r="DF101" s="33" t="n"/>
      <c r="DG101" s="33" t="n"/>
      <c r="DH101" s="33" t="n"/>
      <c r="DI101" s="33" t="n"/>
      <c r="DJ101" s="33" t="n"/>
      <c r="DK101" s="33" t="n"/>
      <c r="DL101" s="33" t="n"/>
      <c r="DM101" s="33" t="n"/>
      <c r="DN101" s="33" t="n"/>
      <c r="DO101" s="33" t="n"/>
      <c r="DP101" s="33" t="n"/>
      <c r="DQ101" s="33" t="n"/>
      <c r="DR101" s="33" t="n"/>
      <c r="DS101" s="33" t="n"/>
      <c r="DT101" s="33" t="n"/>
      <c r="DU101" s="33" t="n"/>
      <c r="DV101" s="33" t="n"/>
      <c r="DW101" s="33" t="n"/>
      <c r="DX101" s="33" t="n"/>
      <c r="DY101" s="33" t="n"/>
      <c r="DZ101" s="33" t="n"/>
      <c r="EA101" s="33" t="n"/>
      <c r="EB101" s="33" t="n"/>
      <c r="EC101" s="33" t="n"/>
      <c r="ED101" s="33" t="n"/>
      <c r="EE101" s="33" t="n"/>
      <c r="EF101" s="33" t="n"/>
      <c r="EG101" s="33" t="n"/>
      <c r="EH101" s="33" t="n"/>
      <c r="EI101" s="33" t="n"/>
      <c r="EJ101" s="33" t="n"/>
      <c r="EK101" s="33" t="n"/>
      <c r="EL101" s="33" t="n"/>
      <c r="EM101" s="33" t="n"/>
      <c r="EN101" s="33" t="n"/>
      <c r="EO101" s="33" t="n"/>
      <c r="EP101" s="33" t="n"/>
      <c r="EQ101" s="33" t="n"/>
      <c r="ER101" s="33" t="n"/>
      <c r="ES101" s="33" t="n"/>
      <c r="ET101" s="33" t="n"/>
      <c r="EU101" s="33" t="n"/>
      <c r="EV101" s="33" t="n"/>
      <c r="EW101" s="33" t="n"/>
      <c r="EX101" s="33" t="n"/>
      <c r="EY101" s="33" t="n"/>
      <c r="EZ101" s="33" t="n"/>
      <c r="FA101" s="33" t="n"/>
      <c r="FB101" s="33" t="n"/>
      <c r="FC101" s="33" t="n"/>
      <c r="FD101" s="33" t="n"/>
      <c r="FE101" s="33" t="n"/>
      <c r="FF101" s="33" t="n"/>
      <c r="FG101" s="33" t="n"/>
      <c r="FH101" s="33" t="n"/>
      <c r="FI101" s="33" t="n"/>
      <c r="FJ101" s="33" t="n"/>
      <c r="FK101" s="33" t="n"/>
      <c r="FL101" s="33" t="n"/>
      <c r="FM101" s="33" t="n"/>
      <c r="FN101" s="33" t="n"/>
      <c r="FO101" s="33" t="n"/>
      <c r="FP101" s="33" t="n"/>
      <c r="FQ101" s="33" t="n"/>
      <c r="FR101" s="33" t="n"/>
      <c r="FS101" s="33" t="n"/>
      <c r="FT101" s="33" t="n"/>
      <c r="FU101" s="33" t="n"/>
      <c r="FV101" s="33" t="n"/>
      <c r="FW101" s="33" t="n"/>
      <c r="FX101" s="33" t="n"/>
      <c r="FY101" s="33" t="n"/>
      <c r="FZ101" s="33" t="n"/>
      <c r="GA101" s="33" t="n"/>
      <c r="GB101" s="33" t="n"/>
      <c r="GC101" s="33" t="n"/>
      <c r="GD101" s="33" t="n"/>
      <c r="GE101" s="33" t="n"/>
      <c r="GF101" s="33" t="n"/>
      <c r="GG101" s="33" t="n"/>
      <c r="GH101" s="33" t="n"/>
      <c r="GI101" s="33" t="n"/>
      <c r="GJ101" s="33" t="n"/>
      <c r="GK101" s="33" t="n"/>
      <c r="GL101" s="33" t="n"/>
      <c r="GM101" s="33" t="n"/>
      <c r="GN101" s="33" t="n"/>
      <c r="GO101" s="33" t="n"/>
      <c r="GP101" s="33" t="n"/>
      <c r="GQ101" s="33" t="n"/>
      <c r="GR101" s="33" t="n"/>
      <c r="GS101" s="33" t="n"/>
      <c r="GT101" s="33" t="n"/>
      <c r="GU101" s="33" t="n"/>
      <c r="GV101" s="33" t="n"/>
      <c r="GW101" s="33" t="n"/>
      <c r="GX101" s="33" t="n"/>
      <c r="GY101" s="33" t="n"/>
      <c r="GZ101" s="33" t="n"/>
      <c r="HA101" s="33" t="n"/>
      <c r="HB101" s="33" t="n"/>
      <c r="HC101" s="33" t="n"/>
      <c r="HD101" s="33" t="n"/>
      <c r="HE101" s="33" t="n"/>
      <c r="HF101" s="33" t="n"/>
      <c r="HG101" s="33" t="n"/>
      <c r="HH101" s="33" t="n"/>
      <c r="HI101" s="33" t="n"/>
      <c r="HJ101" s="33" t="n"/>
      <c r="HK101" s="33" t="n"/>
      <c r="HL101" s="33" t="n"/>
      <c r="HM101" s="33" t="n"/>
      <c r="HN101" s="33" t="n"/>
      <c r="HO101" s="33" t="n"/>
      <c r="HP101" s="33" t="n"/>
      <c r="HQ101" s="33" t="n"/>
      <c r="HR101" s="33" t="n"/>
      <c r="HS101" s="33" t="n"/>
      <c r="HT101" s="33" t="n"/>
      <c r="HU101" s="33" t="n"/>
      <c r="HV101" s="33" t="n"/>
      <c r="HW101" s="33" t="n"/>
      <c r="HX101" s="33" t="n"/>
      <c r="HY101" s="33" t="n"/>
      <c r="HZ101" s="33" t="n"/>
      <c r="IA101" s="33" t="n"/>
      <c r="IB101" s="33" t="n"/>
      <c r="IC101" s="33" t="n"/>
      <c r="ID101" s="33" t="n"/>
      <c r="IE101" s="33" t="n"/>
      <c r="IF101" s="33" t="n"/>
      <c r="IG101" s="33" t="n"/>
      <c r="IH101" s="33" t="n"/>
      <c r="II101" s="33" t="n"/>
      <c r="IJ101" s="33" t="n"/>
      <c r="IK101" s="33" t="n"/>
      <c r="IL101" s="33" t="n"/>
      <c r="IM101" s="33" t="n"/>
      <c r="IN101" s="33" t="n"/>
      <c r="IO101" s="33" t="n"/>
      <c r="IP101" s="33" t="n"/>
      <c r="IQ101" s="33" t="n"/>
      <c r="IR101" s="33" t="n"/>
      <c r="IS101" s="33" t="n"/>
      <c r="IT101" s="33" t="n"/>
      <c r="IU101" s="33" t="n"/>
      <c r="IV101" s="33" t="n"/>
      <c r="IW101" s="33" t="n"/>
      <c r="IX101" s="33" t="n"/>
      <c r="IY101" s="33" t="n"/>
      <c r="IZ101" s="33" t="n"/>
      <c r="JA101" s="33" t="n"/>
      <c r="JB101" s="33" t="n"/>
      <c r="JC101" s="33" t="n"/>
      <c r="JD101" s="33" t="n"/>
      <c r="JE101" s="33" t="n"/>
      <c r="JF101" s="33" t="n"/>
      <c r="JG101" s="33" t="n"/>
      <c r="JH101" s="33" t="n"/>
      <c r="JI101" s="33" t="n"/>
      <c r="JJ101" s="33" t="n"/>
      <c r="JK101" s="33" t="n"/>
      <c r="JL101" s="33" t="n"/>
      <c r="JM101" s="33" t="n"/>
      <c r="JN101" s="33" t="n"/>
      <c r="JO101" s="33" t="n"/>
      <c r="JP101" s="33" t="n"/>
      <c r="JQ101" s="33" t="n"/>
      <c r="JR101" s="33" t="n"/>
      <c r="JS101" s="33" t="n"/>
      <c r="JT101" s="33" t="n"/>
      <c r="JU101" s="33" t="n"/>
      <c r="JV101" s="33" t="n"/>
      <c r="JW101" s="33" t="n"/>
      <c r="JX101" s="33" t="n"/>
      <c r="JY101" s="33" t="n"/>
      <c r="JZ101" s="33" t="n"/>
      <c r="KA101" s="33" t="n"/>
      <c r="KB101" s="33" t="n"/>
      <c r="KC101" s="33" t="n"/>
      <c r="KD101" s="33" t="n"/>
      <c r="KE101" s="33" t="n"/>
      <c r="KF101" s="33" t="n"/>
      <c r="KG101" s="33" t="n"/>
      <c r="KH101" s="33" t="n"/>
      <c r="KI101" s="33" t="n"/>
      <c r="KJ101" s="33" t="n"/>
      <c r="KK101" s="33" t="n"/>
      <c r="KL101" s="33" t="n"/>
      <c r="KM101" s="33" t="n"/>
      <c r="KN101" s="33" t="n"/>
      <c r="KO101" s="33" t="n"/>
      <c r="KP101" s="33" t="n"/>
      <c r="KQ101" s="33" t="n"/>
      <c r="KR101" s="33" t="n"/>
      <c r="KS101" s="33" t="n"/>
      <c r="KT101" s="33" t="n"/>
      <c r="KU101" s="33" t="n"/>
      <c r="KV101" s="33" t="n"/>
      <c r="KW101" s="33" t="n"/>
      <c r="KX101" s="33" t="n"/>
      <c r="KY101" s="33" t="n"/>
      <c r="KZ101" s="33" t="n"/>
      <c r="LA101" s="33" t="n"/>
      <c r="LB101" s="33" t="n"/>
      <c r="LC101" s="33" t="n"/>
      <c r="LD101" s="33" t="n"/>
      <c r="LE101" s="33" t="n"/>
      <c r="LF101" s="33" t="n"/>
      <c r="LG101" s="33" t="n"/>
      <c r="LH101" s="33" t="n"/>
      <c r="LI101" s="33" t="n"/>
      <c r="LJ101" s="33" t="n"/>
      <c r="LK101" s="33" t="n"/>
      <c r="LL101" s="33" t="n"/>
      <c r="LM101" s="33" t="n"/>
      <c r="LN101" s="33" t="n"/>
      <c r="LO101" s="33" t="n"/>
      <c r="LP101" s="33" t="n"/>
      <c r="LQ101" s="33" t="n"/>
      <c r="LR101" s="33" t="n"/>
      <c r="LS101" s="33" t="n"/>
      <c r="LT101" s="33" t="n"/>
      <c r="LU101" s="33" t="n"/>
      <c r="LV101" s="33" t="n"/>
      <c r="LW101" s="33" t="n"/>
      <c r="LX101" s="33" t="n"/>
      <c r="LY101" s="33" t="n"/>
      <c r="LZ101" s="33" t="n"/>
      <c r="MA101" s="33" t="n"/>
      <c r="MB101" s="33" t="n"/>
      <c r="MC101" s="33" t="n"/>
      <c r="MD101" s="33" t="n"/>
      <c r="ME101" s="33" t="n"/>
      <c r="MF101" s="33" t="n"/>
      <c r="MG101" s="33" t="n"/>
      <c r="MH101" s="33" t="n"/>
      <c r="MI101" s="33" t="n"/>
      <c r="MJ101" s="33" t="n"/>
      <c r="MK101" s="33" t="n"/>
      <c r="ML101" s="33" t="n"/>
      <c r="MM101" s="33" t="n"/>
      <c r="MN101" s="33" t="n"/>
      <c r="MO101" s="33" t="n"/>
      <c r="MP101" s="33" t="n"/>
      <c r="MQ101" s="33" t="n"/>
      <c r="MR101" s="33" t="n"/>
      <c r="MS101" s="33" t="n"/>
      <c r="MT101" s="33" t="n"/>
      <c r="MU101" s="33" t="n"/>
      <c r="MV101" s="33" t="n"/>
      <c r="MW101" s="33" t="n"/>
      <c r="MX101" s="33" t="n"/>
      <c r="MY101" s="33" t="n"/>
      <c r="MZ101" s="33" t="n"/>
      <c r="NA101" s="33" t="n"/>
      <c r="NB101" s="33" t="n"/>
      <c r="NC101" s="33" t="n"/>
      <c r="ND101" s="33" t="n"/>
      <c r="NE101" s="33" t="n"/>
      <c r="NF101" s="33" t="n"/>
      <c r="NG101" s="33" t="n"/>
      <c r="NH101" s="33" t="n"/>
      <c r="NI101" s="33" t="n"/>
      <c r="NJ101" s="33" t="n"/>
      <c r="NK101" s="33" t="n"/>
      <c r="NL101" s="33" t="n"/>
      <c r="NM101" s="33" t="n"/>
      <c r="NN101" s="33" t="n"/>
      <c r="NO101" s="33" t="n"/>
      <c r="NP101" s="33" t="n"/>
      <c r="NQ101" s="33" t="n"/>
      <c r="NR101" s="33" t="n"/>
      <c r="NS101" s="33" t="n"/>
      <c r="NT101" s="33" t="n"/>
      <c r="NU101" s="33" t="n"/>
      <c r="NV101" s="33" t="n"/>
      <c r="NW101" s="33" t="n"/>
      <c r="NX101" s="33" t="n"/>
      <c r="NY101" s="33" t="n"/>
      <c r="NZ101" s="33" t="n"/>
      <c r="OA101" s="33" t="n"/>
      <c r="OB101" s="33" t="n"/>
      <c r="OC101" s="33" t="n"/>
      <c r="OD101" s="33" t="n"/>
      <c r="OE101" s="33" t="n"/>
      <c r="OF101" s="33" t="n"/>
      <c r="OG101" s="33" t="n"/>
      <c r="OH101" s="33" t="n"/>
      <c r="OI101" s="33" t="n"/>
      <c r="OJ101" s="33" t="n"/>
      <c r="OK101" s="33" t="n"/>
      <c r="OL101" s="33" t="n"/>
      <c r="OM101" s="33" t="n"/>
      <c r="ON101" s="33" t="n"/>
      <c r="OO101" s="33" t="n"/>
      <c r="OP101" s="33" t="n"/>
      <c r="OQ101" s="33" t="n"/>
      <c r="OR101" s="33" t="n"/>
      <c r="OS101" s="33" t="n"/>
      <c r="OT101" s="33" t="n"/>
      <c r="OU101" s="33" t="n"/>
      <c r="OV101" s="33" t="n"/>
      <c r="OW101" s="33" t="n"/>
      <c r="OX101" s="33" t="n"/>
      <c r="OY101" s="33" t="n"/>
      <c r="OZ101" s="33" t="n"/>
      <c r="PA101" s="33" t="n"/>
      <c r="PB101" s="33" t="n"/>
      <c r="PC101" s="33" t="n"/>
      <c r="PD101" s="33" t="n"/>
      <c r="PE101" s="33" t="n"/>
      <c r="PF101" s="33" t="n"/>
      <c r="PG101" s="33" t="n"/>
      <c r="PH101" s="33" t="n"/>
      <c r="PI101" s="33" t="n"/>
      <c r="PJ101" s="33" t="n"/>
      <c r="PK101" s="33" t="n"/>
      <c r="PL101" s="33" t="n"/>
      <c r="PM101" s="33" t="n"/>
      <c r="PN101" s="33" t="n"/>
      <c r="PO101" s="33" t="n"/>
      <c r="PP101" s="33" t="n"/>
      <c r="PQ101" s="33" t="n"/>
      <c r="PR101" s="33" t="n"/>
      <c r="PS101" s="33" t="n"/>
      <c r="PT101" s="33" t="n"/>
      <c r="PU101" s="33" t="n"/>
      <c r="PV101" s="33" t="n"/>
      <c r="PW101" s="33" t="n"/>
      <c r="PX101" s="33" t="n"/>
      <c r="PY101" s="33" t="n"/>
      <c r="PZ101" s="33" t="n"/>
      <c r="QA101" s="33" t="n"/>
      <c r="QB101" s="33" t="n"/>
      <c r="QC101" s="33" t="n"/>
      <c r="QD101" s="33" t="n"/>
      <c r="QE101" s="33" t="n"/>
      <c r="QF101" s="33" t="n"/>
      <c r="QG101" s="33" t="n"/>
      <c r="QH101" s="33" t="n"/>
      <c r="QI101" s="33" t="n"/>
      <c r="QJ101" s="33" t="n"/>
      <c r="QK101" s="33" t="n"/>
      <c r="QL101" s="33" t="n"/>
      <c r="QM101" s="33" t="n"/>
      <c r="QN101" s="33" t="n"/>
      <c r="QO101" s="33" t="n"/>
      <c r="QP101" s="33" t="n"/>
      <c r="QQ101" s="33" t="n"/>
      <c r="QR101" s="33" t="n"/>
      <c r="QS101" s="33" t="n"/>
      <c r="QT101" s="33" t="n"/>
      <c r="QU101" s="33" t="n"/>
      <c r="QV101" s="33" t="n"/>
      <c r="QW101" s="33" t="n"/>
      <c r="QX101" s="33" t="n"/>
      <c r="QY101" s="33" t="n"/>
      <c r="QZ101" s="33" t="n"/>
      <c r="RA101" s="33" t="n"/>
      <c r="RB101" s="33" t="n"/>
      <c r="RC101" s="33" t="n"/>
      <c r="RD101" s="33" t="n"/>
      <c r="RE101" s="33" t="n"/>
      <c r="RF101" s="33" t="n"/>
      <c r="RG101" s="33" t="n"/>
      <c r="RH101" s="33" t="n"/>
      <c r="RI101" s="33" t="n"/>
      <c r="RJ101" s="33" t="n"/>
      <c r="RK101" s="33" t="n"/>
      <c r="RL101" s="33" t="n"/>
      <c r="RM101" s="33" t="n"/>
      <c r="RN101" s="33" t="n"/>
      <c r="RO101" s="33" t="n"/>
      <c r="RP101" s="33" t="n"/>
      <c r="RQ101" s="33" t="n"/>
      <c r="RR101" s="33" t="n"/>
      <c r="RS101" s="33" t="n"/>
      <c r="RT101" s="33" t="n"/>
      <c r="RU101" s="33" t="n"/>
      <c r="RV101" s="33" t="n"/>
      <c r="RW101" s="33" t="n"/>
    </row>
    <row r="102" hidden="1" outlineLevel="1" ht="13.05" customHeight="1">
      <c r="E102" s="25" t="inlineStr">
        <is>
          <t>Interest</t>
        </is>
      </c>
      <c r="F102" s="26" t="n"/>
      <c r="G102" s="26" t="inlineStr">
        <is>
          <t>kEUR</t>
        </is>
      </c>
      <c r="H102" s="26" t="n"/>
      <c r="I102" s="26" t="n"/>
      <c r="J102" s="27" t="n"/>
      <c r="K102" s="26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8" t="n"/>
      <c r="AX102" s="28" t="n"/>
      <c r="AY102" s="28" t="n"/>
      <c r="AZ102" s="28" t="n"/>
      <c r="BA102" s="28" t="n"/>
      <c r="BB102" s="28" t="n"/>
      <c r="BC102" s="28" t="n"/>
      <c r="BD102" s="28" t="n"/>
      <c r="BE102" s="28" t="n"/>
      <c r="BF102" s="28" t="n"/>
      <c r="BG102" s="28" t="n"/>
      <c r="BH102" s="28" t="n"/>
      <c r="BI102" s="28" t="n"/>
      <c r="BJ102" s="28" t="n"/>
      <c r="BK102" s="28" t="n"/>
      <c r="BL102" s="28" t="n"/>
      <c r="BM102" s="28" t="n"/>
      <c r="BN102" s="28" t="n"/>
      <c r="BO102" s="28" t="n"/>
      <c r="BP102" s="28" t="n"/>
      <c r="BQ102" s="28" t="n"/>
      <c r="BR102" s="28" t="n"/>
      <c r="BS102" s="28" t="n"/>
      <c r="BT102" s="28" t="n"/>
      <c r="BU102" s="28" t="n"/>
      <c r="BV102" s="28" t="n"/>
      <c r="BW102" s="28" t="n"/>
      <c r="BX102" s="28" t="n"/>
      <c r="BY102" s="28" t="n"/>
      <c r="BZ102" s="28" t="n"/>
      <c r="CA102" s="28" t="n"/>
      <c r="CB102" s="28" t="n"/>
      <c r="CC102" s="28" t="n"/>
      <c r="CD102" s="28" t="n"/>
      <c r="CE102" s="28" t="n"/>
      <c r="CF102" s="28" t="n"/>
      <c r="CG102" s="28" t="n"/>
      <c r="CH102" s="28" t="n"/>
      <c r="CI102" s="28" t="n"/>
      <c r="CJ102" s="28" t="n"/>
      <c r="CK102" s="28" t="n"/>
      <c r="CL102" s="28" t="n"/>
      <c r="CM102" s="28" t="n"/>
      <c r="CN102" s="28" t="n"/>
      <c r="CO102" s="28" t="n"/>
      <c r="CP102" s="28" t="n"/>
      <c r="CQ102" s="28" t="n"/>
      <c r="CR102" s="28" t="n"/>
      <c r="CS102" s="28" t="n"/>
      <c r="CT102" s="28" t="n"/>
      <c r="CU102" s="28" t="n"/>
      <c r="CV102" s="28" t="n"/>
      <c r="CW102" s="28" t="n"/>
      <c r="CX102" s="28" t="n"/>
      <c r="CY102" s="28" t="n"/>
      <c r="CZ102" s="28" t="n"/>
      <c r="DA102" s="28" t="n"/>
      <c r="DB102" s="28" t="n"/>
      <c r="DC102" s="28" t="n"/>
      <c r="DD102" s="28" t="n"/>
      <c r="DE102" s="28" t="n"/>
      <c r="DF102" s="28" t="n"/>
      <c r="DG102" s="28" t="n"/>
      <c r="DH102" s="28" t="n"/>
      <c r="DI102" s="28" t="n"/>
      <c r="DJ102" s="28" t="n"/>
      <c r="DK102" s="28" t="n"/>
      <c r="DL102" s="28" t="n"/>
      <c r="DM102" s="28" t="n"/>
      <c r="DN102" s="28" t="n"/>
      <c r="DO102" s="28" t="n"/>
      <c r="DP102" s="28" t="n"/>
      <c r="DQ102" s="28" t="n"/>
      <c r="DR102" s="28" t="n"/>
      <c r="DS102" s="28" t="n"/>
      <c r="DT102" s="28" t="n"/>
      <c r="DU102" s="28" t="n"/>
      <c r="DV102" s="28" t="n"/>
      <c r="DW102" s="28" t="n"/>
      <c r="DX102" s="28" t="n"/>
      <c r="DY102" s="28" t="n"/>
      <c r="DZ102" s="28" t="n"/>
      <c r="EA102" s="28" t="n"/>
      <c r="EB102" s="28" t="n"/>
      <c r="EC102" s="28" t="n"/>
      <c r="ED102" s="28" t="n"/>
      <c r="EE102" s="28" t="n"/>
      <c r="EF102" s="28" t="n"/>
      <c r="EG102" s="28" t="n"/>
      <c r="EH102" s="28" t="n"/>
      <c r="EI102" s="28" t="n"/>
      <c r="EJ102" s="28" t="n"/>
      <c r="EK102" s="28" t="n"/>
      <c r="EL102" s="28" t="n"/>
      <c r="EM102" s="28" t="n"/>
      <c r="EN102" s="28" t="n"/>
      <c r="EO102" s="28" t="n"/>
      <c r="EP102" s="28" t="n"/>
      <c r="EQ102" s="28" t="n"/>
      <c r="ER102" s="28" t="n"/>
      <c r="ES102" s="28" t="n"/>
      <c r="ET102" s="28" t="n"/>
      <c r="EU102" s="28" t="n"/>
      <c r="EV102" s="28" t="n"/>
      <c r="EW102" s="28" t="n"/>
      <c r="EX102" s="28" t="n"/>
      <c r="EY102" s="28" t="n"/>
      <c r="EZ102" s="28" t="n"/>
      <c r="FA102" s="28" t="n"/>
      <c r="FB102" s="28" t="n"/>
      <c r="FC102" s="28" t="n"/>
      <c r="FD102" s="28" t="n"/>
      <c r="FE102" s="28" t="n"/>
      <c r="FF102" s="28" t="n"/>
      <c r="FG102" s="28" t="n"/>
      <c r="FH102" s="28" t="n"/>
      <c r="FI102" s="28" t="n"/>
      <c r="FJ102" s="28" t="n"/>
      <c r="FK102" s="28" t="n"/>
      <c r="FL102" s="28" t="n"/>
      <c r="FM102" s="28" t="n"/>
      <c r="FN102" s="28" t="n"/>
      <c r="FO102" s="28" t="n"/>
      <c r="FP102" s="28" t="n"/>
      <c r="FQ102" s="28" t="n"/>
      <c r="FR102" s="28" t="n"/>
      <c r="FS102" s="28" t="n"/>
      <c r="FT102" s="28" t="n"/>
      <c r="FU102" s="28" t="n"/>
      <c r="FV102" s="28" t="n"/>
      <c r="FW102" s="28" t="n"/>
      <c r="FX102" s="28" t="n"/>
      <c r="FY102" s="28" t="n"/>
      <c r="FZ102" s="28" t="n"/>
      <c r="GA102" s="28" t="n"/>
      <c r="GB102" s="28" t="n"/>
      <c r="GC102" s="28" t="n"/>
      <c r="GD102" s="28" t="n"/>
      <c r="GE102" s="28" t="n"/>
      <c r="GF102" s="28" t="n"/>
      <c r="GG102" s="28" t="n"/>
      <c r="GH102" s="28" t="n"/>
      <c r="GI102" s="28" t="n"/>
      <c r="GJ102" s="28" t="n"/>
      <c r="GK102" s="28" t="n"/>
      <c r="GL102" s="28" t="n"/>
      <c r="GM102" s="28" t="n"/>
      <c r="GN102" s="28" t="n"/>
      <c r="GO102" s="28" t="n"/>
      <c r="GP102" s="28" t="n"/>
      <c r="GQ102" s="28" t="n"/>
      <c r="GR102" s="28" t="n"/>
      <c r="GS102" s="28" t="n"/>
      <c r="GT102" s="28" t="n"/>
      <c r="GU102" s="28" t="n"/>
      <c r="GV102" s="28" t="n"/>
      <c r="GW102" s="28" t="n"/>
      <c r="GX102" s="28" t="n"/>
      <c r="GY102" s="28" t="n"/>
      <c r="GZ102" s="28" t="n"/>
      <c r="HA102" s="28" t="n"/>
      <c r="HB102" s="28" t="n"/>
      <c r="HC102" s="28" t="n"/>
      <c r="HD102" s="28" t="n"/>
      <c r="HE102" s="28" t="n"/>
      <c r="HF102" s="28" t="n"/>
      <c r="HG102" s="28" t="n"/>
      <c r="HH102" s="28" t="n"/>
      <c r="HI102" s="28" t="n"/>
      <c r="HJ102" s="28" t="n"/>
      <c r="HK102" s="28" t="n"/>
      <c r="HL102" s="28" t="n"/>
      <c r="HM102" s="28" t="n"/>
      <c r="HN102" s="28" t="n"/>
      <c r="HO102" s="28" t="n"/>
      <c r="HP102" s="28" t="n"/>
      <c r="HQ102" s="28" t="n"/>
      <c r="HR102" s="28" t="n"/>
      <c r="HS102" s="28" t="n"/>
      <c r="HT102" s="28" t="n"/>
      <c r="HU102" s="28" t="n"/>
      <c r="HV102" s="28" t="n"/>
      <c r="HW102" s="28" t="n"/>
      <c r="HX102" s="28" t="n"/>
      <c r="HY102" s="28" t="n"/>
      <c r="HZ102" s="28" t="n"/>
      <c r="IA102" s="28" t="n"/>
      <c r="IB102" s="28" t="n"/>
      <c r="IC102" s="28" t="n"/>
      <c r="ID102" s="28" t="n"/>
      <c r="IE102" s="28" t="n"/>
      <c r="IF102" s="28" t="n"/>
      <c r="IG102" s="28" t="n"/>
      <c r="IH102" s="28" t="n"/>
      <c r="II102" s="28" t="n"/>
      <c r="IJ102" s="28" t="n"/>
      <c r="IK102" s="28" t="n"/>
      <c r="IL102" s="28" t="n"/>
      <c r="IM102" s="28" t="n"/>
      <c r="IN102" s="28" t="n"/>
      <c r="IO102" s="28" t="n"/>
      <c r="IP102" s="28" t="n"/>
      <c r="IQ102" s="28" t="n"/>
      <c r="IR102" s="28" t="n"/>
      <c r="IS102" s="28" t="n"/>
      <c r="IT102" s="28" t="n"/>
      <c r="IU102" s="28" t="n"/>
      <c r="IV102" s="28" t="n"/>
      <c r="IW102" s="28" t="n"/>
      <c r="IX102" s="28" t="n"/>
      <c r="IY102" s="28" t="n"/>
      <c r="IZ102" s="28" t="n"/>
      <c r="JA102" s="28" t="n"/>
      <c r="JB102" s="28" t="n"/>
      <c r="JC102" s="28" t="n"/>
      <c r="JD102" s="28" t="n"/>
      <c r="JE102" s="28" t="n"/>
      <c r="JF102" s="28" t="n"/>
      <c r="JG102" s="28" t="n"/>
      <c r="JH102" s="28" t="n"/>
      <c r="JI102" s="28" t="n"/>
      <c r="JJ102" s="28" t="n"/>
      <c r="JK102" s="28" t="n"/>
      <c r="JL102" s="28" t="n"/>
      <c r="JM102" s="28" t="n"/>
      <c r="JN102" s="28" t="n"/>
      <c r="JO102" s="28" t="n"/>
      <c r="JP102" s="28" t="n"/>
      <c r="JQ102" s="28" t="n"/>
      <c r="JR102" s="28" t="n"/>
      <c r="JS102" s="28" t="n"/>
      <c r="JT102" s="28" t="n"/>
      <c r="JU102" s="28" t="n"/>
      <c r="JV102" s="28" t="n"/>
      <c r="JW102" s="28" t="n"/>
      <c r="JX102" s="28" t="n"/>
      <c r="JY102" s="28" t="n"/>
      <c r="JZ102" s="28" t="n"/>
      <c r="KA102" s="28" t="n"/>
      <c r="KB102" s="28" t="n"/>
      <c r="KC102" s="28" t="n"/>
      <c r="KD102" s="28" t="n"/>
      <c r="KE102" s="28" t="n"/>
      <c r="KF102" s="28" t="n"/>
      <c r="KG102" s="28" t="n"/>
      <c r="KH102" s="28" t="n"/>
      <c r="KI102" s="28" t="n"/>
      <c r="KJ102" s="28" t="n"/>
      <c r="KK102" s="28" t="n"/>
      <c r="KL102" s="28" t="n"/>
      <c r="KM102" s="28" t="n"/>
      <c r="KN102" s="28" t="n"/>
      <c r="KO102" s="28" t="n"/>
      <c r="KP102" s="28" t="n"/>
      <c r="KQ102" s="28" t="n"/>
      <c r="KR102" s="28" t="n"/>
      <c r="KS102" s="28" t="n"/>
      <c r="KT102" s="28" t="n"/>
      <c r="KU102" s="28" t="n"/>
      <c r="KV102" s="28" t="n"/>
      <c r="KW102" s="28" t="n"/>
      <c r="KX102" s="28" t="n"/>
      <c r="KY102" s="28" t="n"/>
      <c r="KZ102" s="28" t="n"/>
      <c r="LA102" s="28" t="n"/>
      <c r="LB102" s="28" t="n"/>
      <c r="LC102" s="28" t="n"/>
      <c r="LD102" s="28" t="n"/>
      <c r="LE102" s="28" t="n"/>
      <c r="LF102" s="28" t="n"/>
      <c r="LG102" s="28" t="n"/>
      <c r="LH102" s="28" t="n"/>
      <c r="LI102" s="28" t="n"/>
      <c r="LJ102" s="28" t="n"/>
      <c r="LK102" s="28" t="n"/>
      <c r="LL102" s="28" t="n"/>
      <c r="LM102" s="28" t="n"/>
      <c r="LN102" s="28" t="n"/>
      <c r="LO102" s="28" t="n"/>
      <c r="LP102" s="28" t="n"/>
      <c r="LQ102" s="28" t="n"/>
      <c r="LR102" s="28" t="n"/>
      <c r="LS102" s="28" t="n"/>
      <c r="LT102" s="28" t="n"/>
      <c r="LU102" s="28" t="n"/>
      <c r="LV102" s="28" t="n"/>
      <c r="LW102" s="28" t="n"/>
      <c r="LX102" s="28" t="n"/>
      <c r="LY102" s="28" t="n"/>
      <c r="LZ102" s="28" t="n"/>
      <c r="MA102" s="28" t="n"/>
      <c r="MB102" s="28" t="n"/>
      <c r="MC102" s="28" t="n"/>
      <c r="MD102" s="28" t="n"/>
      <c r="ME102" s="28" t="n"/>
      <c r="MF102" s="28" t="n"/>
      <c r="MG102" s="28" t="n"/>
      <c r="MH102" s="28" t="n"/>
      <c r="MI102" s="28" t="n"/>
      <c r="MJ102" s="28" t="n"/>
      <c r="MK102" s="28" t="n"/>
      <c r="ML102" s="28" t="n"/>
      <c r="MM102" s="28" t="n"/>
      <c r="MN102" s="28" t="n"/>
      <c r="MO102" s="28" t="n"/>
      <c r="MP102" s="28" t="n"/>
      <c r="MQ102" s="28" t="n"/>
      <c r="MR102" s="28" t="n"/>
      <c r="MS102" s="28" t="n"/>
      <c r="MT102" s="28" t="n"/>
      <c r="MU102" s="28" t="n"/>
      <c r="MV102" s="28" t="n"/>
      <c r="MW102" s="28" t="n"/>
      <c r="MX102" s="28" t="n"/>
      <c r="MY102" s="28" t="n"/>
      <c r="MZ102" s="28" t="n"/>
      <c r="NA102" s="28" t="n"/>
      <c r="NB102" s="28" t="n"/>
      <c r="NC102" s="28" t="n"/>
      <c r="ND102" s="28" t="n"/>
      <c r="NE102" s="28" t="n"/>
      <c r="NF102" s="28" t="n"/>
      <c r="NG102" s="28" t="n"/>
      <c r="NH102" s="28" t="n"/>
      <c r="NI102" s="28" t="n"/>
      <c r="NJ102" s="28" t="n"/>
      <c r="NK102" s="28" t="n"/>
      <c r="NL102" s="28" t="n"/>
      <c r="NM102" s="28" t="n"/>
      <c r="NN102" s="28" t="n"/>
      <c r="NO102" s="28" t="n"/>
      <c r="NP102" s="28" t="n"/>
      <c r="NQ102" s="28" t="n"/>
      <c r="NR102" s="28" t="n"/>
      <c r="NS102" s="28" t="n"/>
      <c r="NT102" s="28" t="n"/>
      <c r="NU102" s="28" t="n"/>
      <c r="NV102" s="28" t="n"/>
      <c r="NW102" s="28" t="n"/>
      <c r="NX102" s="28" t="n"/>
      <c r="NY102" s="28" t="n"/>
      <c r="NZ102" s="28" t="n"/>
      <c r="OA102" s="28" t="n"/>
      <c r="OB102" s="28" t="n"/>
      <c r="OC102" s="28" t="n"/>
      <c r="OD102" s="28" t="n"/>
      <c r="OE102" s="28" t="n"/>
      <c r="OF102" s="28" t="n"/>
      <c r="OG102" s="28" t="n"/>
      <c r="OH102" s="28" t="n"/>
      <c r="OI102" s="28" t="n"/>
      <c r="OJ102" s="28" t="n"/>
      <c r="OK102" s="28" t="n"/>
      <c r="OL102" s="28" t="n"/>
      <c r="OM102" s="28" t="n"/>
      <c r="ON102" s="28" t="n"/>
      <c r="OO102" s="28" t="n"/>
      <c r="OP102" s="28" t="n"/>
      <c r="OQ102" s="28" t="n"/>
      <c r="OR102" s="28" t="n"/>
      <c r="OS102" s="28" t="n"/>
      <c r="OT102" s="28" t="n"/>
      <c r="OU102" s="28" t="n"/>
      <c r="OV102" s="28" t="n"/>
      <c r="OW102" s="28" t="n"/>
      <c r="OX102" s="28" t="n"/>
      <c r="OY102" s="28" t="n"/>
      <c r="OZ102" s="28" t="n"/>
      <c r="PA102" s="28" t="n"/>
      <c r="PB102" s="28" t="n"/>
      <c r="PC102" s="28" t="n"/>
      <c r="PD102" s="28" t="n"/>
      <c r="PE102" s="28" t="n"/>
      <c r="PF102" s="28" t="n"/>
      <c r="PG102" s="28" t="n"/>
      <c r="PH102" s="28" t="n"/>
      <c r="PI102" s="28" t="n"/>
      <c r="PJ102" s="28" t="n"/>
      <c r="PK102" s="28" t="n"/>
      <c r="PL102" s="28" t="n"/>
      <c r="PM102" s="28" t="n"/>
      <c r="PN102" s="28" t="n"/>
      <c r="PO102" s="28" t="n"/>
      <c r="PP102" s="28" t="n"/>
      <c r="PQ102" s="28" t="n"/>
      <c r="PR102" s="28" t="n"/>
      <c r="PS102" s="28" t="n"/>
      <c r="PT102" s="28" t="n"/>
      <c r="PU102" s="28" t="n"/>
      <c r="PV102" s="28" t="n"/>
      <c r="PW102" s="28" t="n"/>
      <c r="PX102" s="28" t="n"/>
      <c r="PY102" s="28" t="n"/>
      <c r="PZ102" s="28" t="n"/>
      <c r="QA102" s="28" t="n"/>
      <c r="QB102" s="28" t="n"/>
      <c r="QC102" s="28" t="n"/>
      <c r="QD102" s="28" t="n"/>
      <c r="QE102" s="28" t="n"/>
      <c r="QF102" s="28" t="n"/>
      <c r="QG102" s="28" t="n"/>
      <c r="QH102" s="28" t="n"/>
      <c r="QI102" s="28" t="n"/>
      <c r="QJ102" s="28" t="n"/>
      <c r="QK102" s="28" t="n"/>
      <c r="QL102" s="28" t="n"/>
      <c r="QM102" s="28" t="n"/>
      <c r="QN102" s="28" t="n"/>
      <c r="QO102" s="28" t="n"/>
      <c r="QP102" s="28" t="n"/>
      <c r="QQ102" s="28" t="n"/>
      <c r="QR102" s="28" t="n"/>
      <c r="QS102" s="28" t="n"/>
      <c r="QT102" s="28" t="n"/>
      <c r="QU102" s="28" t="n"/>
      <c r="QV102" s="28" t="n"/>
      <c r="QW102" s="28" t="n"/>
      <c r="QX102" s="28" t="n"/>
      <c r="QY102" s="28" t="n"/>
      <c r="QZ102" s="28" t="n"/>
      <c r="RA102" s="28" t="n"/>
      <c r="RB102" s="28" t="n"/>
      <c r="RC102" s="28" t="n"/>
      <c r="RD102" s="28" t="n"/>
      <c r="RE102" s="28" t="n"/>
      <c r="RF102" s="28" t="n"/>
      <c r="RG102" s="28" t="n"/>
      <c r="RH102" s="28" t="n"/>
      <c r="RI102" s="28" t="n"/>
      <c r="RJ102" s="28" t="n"/>
      <c r="RK102" s="28" t="n"/>
      <c r="RL102" s="28" t="n"/>
      <c r="RM102" s="28" t="n"/>
      <c r="RN102" s="28" t="n"/>
      <c r="RO102" s="28" t="n"/>
      <c r="RP102" s="28" t="n"/>
      <c r="RQ102" s="28" t="n"/>
      <c r="RR102" s="28" t="n"/>
      <c r="RS102" s="28" t="n"/>
      <c r="RT102" s="28" t="n"/>
      <c r="RU102" s="28" t="n"/>
      <c r="RV102" s="28" t="n"/>
      <c r="RW102" s="28" t="n"/>
    </row>
    <row r="103" hidden="1" outlineLevel="1" ht="13.05" customHeight="1">
      <c r="E103" s="25" t="inlineStr">
        <is>
          <t>Closing Balance</t>
        </is>
      </c>
      <c r="F103" s="26" t="n"/>
      <c r="G103" s="26" t="inlineStr">
        <is>
          <t>kEUR</t>
        </is>
      </c>
      <c r="H103" s="26" t="n"/>
      <c r="I103" s="26" t="n"/>
      <c r="J103" s="27" t="n"/>
      <c r="K103" s="26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  <c r="AP103" s="28" t="n"/>
      <c r="AQ103" s="28" t="n"/>
      <c r="AR103" s="28" t="n"/>
      <c r="AS103" s="28" t="n"/>
      <c r="AT103" s="28" t="n"/>
      <c r="AU103" s="28" t="n"/>
      <c r="AV103" s="28" t="n"/>
      <c r="AW103" s="28" t="n"/>
      <c r="AX103" s="28" t="n"/>
      <c r="AY103" s="28" t="n"/>
      <c r="AZ103" s="28" t="n"/>
      <c r="BA103" s="28" t="n"/>
      <c r="BB103" s="28" t="n"/>
      <c r="BC103" s="28" t="n"/>
      <c r="BD103" s="28" t="n"/>
      <c r="BE103" s="28" t="n"/>
      <c r="BF103" s="28" t="n"/>
      <c r="BG103" s="28" t="n"/>
      <c r="BH103" s="28" t="n"/>
      <c r="BI103" s="28" t="n"/>
      <c r="BJ103" s="28" t="n"/>
      <c r="BK103" s="28" t="n"/>
      <c r="BL103" s="28" t="n"/>
      <c r="BM103" s="28" t="n"/>
      <c r="BN103" s="28" t="n"/>
      <c r="BO103" s="28" t="n"/>
      <c r="BP103" s="28" t="n"/>
      <c r="BQ103" s="28" t="n"/>
      <c r="BR103" s="28" t="n"/>
      <c r="BS103" s="28" t="n"/>
      <c r="BT103" s="28" t="n"/>
      <c r="BU103" s="28" t="n"/>
      <c r="BV103" s="28" t="n"/>
      <c r="BW103" s="28" t="n"/>
      <c r="BX103" s="28" t="n"/>
      <c r="BY103" s="28" t="n"/>
      <c r="BZ103" s="28" t="n"/>
      <c r="CA103" s="28" t="n"/>
      <c r="CB103" s="28" t="n"/>
      <c r="CC103" s="28" t="n"/>
      <c r="CD103" s="28" t="n"/>
      <c r="CE103" s="28" t="n"/>
      <c r="CF103" s="28" t="n"/>
      <c r="CG103" s="28" t="n"/>
      <c r="CH103" s="28" t="n"/>
      <c r="CI103" s="28" t="n"/>
      <c r="CJ103" s="28" t="n"/>
      <c r="CK103" s="28" t="n"/>
      <c r="CL103" s="28" t="n"/>
      <c r="CM103" s="28" t="n"/>
      <c r="CN103" s="28" t="n"/>
      <c r="CO103" s="28" t="n"/>
      <c r="CP103" s="28" t="n"/>
      <c r="CQ103" s="28" t="n"/>
      <c r="CR103" s="28" t="n"/>
      <c r="CS103" s="28" t="n"/>
      <c r="CT103" s="28" t="n"/>
      <c r="CU103" s="28" t="n"/>
      <c r="CV103" s="28" t="n"/>
      <c r="CW103" s="28" t="n"/>
      <c r="CX103" s="28" t="n"/>
      <c r="CY103" s="28" t="n"/>
      <c r="CZ103" s="28" t="n"/>
      <c r="DA103" s="28" t="n"/>
      <c r="DB103" s="28" t="n"/>
      <c r="DC103" s="28" t="n"/>
      <c r="DD103" s="28" t="n"/>
      <c r="DE103" s="28" t="n"/>
      <c r="DF103" s="28" t="n"/>
      <c r="DG103" s="28" t="n"/>
      <c r="DH103" s="28" t="n"/>
      <c r="DI103" s="28" t="n"/>
      <c r="DJ103" s="28" t="n"/>
      <c r="DK103" s="28" t="n"/>
      <c r="DL103" s="28" t="n"/>
      <c r="DM103" s="28" t="n"/>
      <c r="DN103" s="28" t="n"/>
      <c r="DO103" s="28" t="n"/>
      <c r="DP103" s="28" t="n"/>
      <c r="DQ103" s="28" t="n"/>
      <c r="DR103" s="28" t="n"/>
      <c r="DS103" s="28" t="n"/>
      <c r="DT103" s="28" t="n"/>
      <c r="DU103" s="28" t="n"/>
      <c r="DV103" s="28" t="n"/>
      <c r="DW103" s="28" t="n"/>
      <c r="DX103" s="28" t="n"/>
      <c r="DY103" s="28" t="n"/>
      <c r="DZ103" s="28" t="n"/>
      <c r="EA103" s="28" t="n"/>
      <c r="EB103" s="28" t="n"/>
      <c r="EC103" s="28" t="n"/>
      <c r="ED103" s="28" t="n"/>
      <c r="EE103" s="28" t="n"/>
      <c r="EF103" s="28" t="n"/>
      <c r="EG103" s="28" t="n"/>
      <c r="EH103" s="28" t="n"/>
      <c r="EI103" s="28" t="n"/>
      <c r="EJ103" s="28" t="n"/>
      <c r="EK103" s="28" t="n"/>
      <c r="EL103" s="28" t="n"/>
      <c r="EM103" s="28" t="n"/>
      <c r="EN103" s="28" t="n"/>
      <c r="EO103" s="28" t="n"/>
      <c r="EP103" s="28" t="n"/>
      <c r="EQ103" s="28" t="n"/>
      <c r="ER103" s="28" t="n"/>
      <c r="ES103" s="28" t="n"/>
      <c r="ET103" s="28" t="n"/>
      <c r="EU103" s="28" t="n"/>
      <c r="EV103" s="28" t="n"/>
      <c r="EW103" s="28" t="n"/>
      <c r="EX103" s="28" t="n"/>
      <c r="EY103" s="28" t="n"/>
      <c r="EZ103" s="28" t="n"/>
      <c r="FA103" s="28" t="n"/>
      <c r="FB103" s="28" t="n"/>
      <c r="FC103" s="28" t="n"/>
      <c r="FD103" s="28" t="n"/>
      <c r="FE103" s="28" t="n"/>
      <c r="FF103" s="28" t="n"/>
      <c r="FG103" s="28" t="n"/>
      <c r="FH103" s="28" t="n"/>
      <c r="FI103" s="28" t="n"/>
      <c r="FJ103" s="28" t="n"/>
      <c r="FK103" s="28" t="n"/>
      <c r="FL103" s="28" t="n"/>
      <c r="FM103" s="28" t="n"/>
      <c r="FN103" s="28" t="n"/>
      <c r="FO103" s="28" t="n"/>
      <c r="FP103" s="28" t="n"/>
      <c r="FQ103" s="28" t="n"/>
      <c r="FR103" s="28" t="n"/>
      <c r="FS103" s="28" t="n"/>
      <c r="FT103" s="28" t="n"/>
      <c r="FU103" s="28" t="n"/>
      <c r="FV103" s="28" t="n"/>
      <c r="FW103" s="28" t="n"/>
      <c r="FX103" s="28" t="n"/>
      <c r="FY103" s="28" t="n"/>
      <c r="FZ103" s="28" t="n"/>
      <c r="GA103" s="28" t="n"/>
      <c r="GB103" s="28" t="n"/>
      <c r="GC103" s="28" t="n"/>
      <c r="GD103" s="28" t="n"/>
      <c r="GE103" s="28" t="n"/>
      <c r="GF103" s="28" t="n"/>
      <c r="GG103" s="28" t="n"/>
      <c r="GH103" s="28" t="n"/>
      <c r="GI103" s="28" t="n"/>
      <c r="GJ103" s="28" t="n"/>
      <c r="GK103" s="28" t="n"/>
      <c r="GL103" s="28" t="n"/>
      <c r="GM103" s="28" t="n"/>
      <c r="GN103" s="28" t="n"/>
      <c r="GO103" s="28" t="n"/>
      <c r="GP103" s="28" t="n"/>
      <c r="GQ103" s="28" t="n"/>
      <c r="GR103" s="28" t="n"/>
      <c r="GS103" s="28" t="n"/>
      <c r="GT103" s="28" t="n"/>
      <c r="GU103" s="28" t="n"/>
      <c r="GV103" s="28" t="n"/>
      <c r="GW103" s="28" t="n"/>
      <c r="GX103" s="28" t="n"/>
      <c r="GY103" s="28" t="n"/>
      <c r="GZ103" s="28" t="n"/>
      <c r="HA103" s="28" t="n"/>
      <c r="HB103" s="28" t="n"/>
      <c r="HC103" s="28" t="n"/>
      <c r="HD103" s="28" t="n"/>
      <c r="HE103" s="28" t="n"/>
      <c r="HF103" s="28" t="n"/>
      <c r="HG103" s="28" t="n"/>
      <c r="HH103" s="28" t="n"/>
      <c r="HI103" s="28" t="n"/>
      <c r="HJ103" s="28" t="n"/>
      <c r="HK103" s="28" t="n"/>
      <c r="HL103" s="28" t="n"/>
      <c r="HM103" s="28" t="n"/>
      <c r="HN103" s="28" t="n"/>
      <c r="HO103" s="28" t="n"/>
      <c r="HP103" s="28" t="n"/>
      <c r="HQ103" s="28" t="n"/>
      <c r="HR103" s="28" t="n"/>
      <c r="HS103" s="28" t="n"/>
      <c r="HT103" s="28" t="n"/>
      <c r="HU103" s="28" t="n"/>
      <c r="HV103" s="28" t="n"/>
      <c r="HW103" s="28" t="n"/>
      <c r="HX103" s="28" t="n"/>
      <c r="HY103" s="28" t="n"/>
      <c r="HZ103" s="28" t="n"/>
      <c r="IA103" s="28" t="n"/>
      <c r="IB103" s="28" t="n"/>
      <c r="IC103" s="28" t="n"/>
      <c r="ID103" s="28" t="n"/>
      <c r="IE103" s="28" t="n"/>
      <c r="IF103" s="28" t="n"/>
      <c r="IG103" s="28" t="n"/>
      <c r="IH103" s="28" t="n"/>
      <c r="II103" s="28" t="n"/>
      <c r="IJ103" s="28" t="n"/>
      <c r="IK103" s="28" t="n"/>
      <c r="IL103" s="28" t="n"/>
      <c r="IM103" s="28" t="n"/>
      <c r="IN103" s="28" t="n"/>
      <c r="IO103" s="28" t="n"/>
      <c r="IP103" s="28" t="n"/>
      <c r="IQ103" s="28" t="n"/>
      <c r="IR103" s="28" t="n"/>
      <c r="IS103" s="28" t="n"/>
      <c r="IT103" s="28" t="n"/>
      <c r="IU103" s="28" t="n"/>
      <c r="IV103" s="28" t="n"/>
      <c r="IW103" s="28" t="n"/>
      <c r="IX103" s="28" t="n"/>
      <c r="IY103" s="28" t="n"/>
      <c r="IZ103" s="28" t="n"/>
      <c r="JA103" s="28" t="n"/>
      <c r="JB103" s="28" t="n"/>
      <c r="JC103" s="28" t="n"/>
      <c r="JD103" s="28" t="n"/>
      <c r="JE103" s="28" t="n"/>
      <c r="JF103" s="28" t="n"/>
      <c r="JG103" s="28" t="n"/>
      <c r="JH103" s="28" t="n"/>
      <c r="JI103" s="28" t="n"/>
      <c r="JJ103" s="28" t="n"/>
      <c r="JK103" s="28" t="n"/>
      <c r="JL103" s="28" t="n"/>
      <c r="JM103" s="28" t="n"/>
      <c r="JN103" s="28" t="n"/>
      <c r="JO103" s="28" t="n"/>
      <c r="JP103" s="28" t="n"/>
      <c r="JQ103" s="28" t="n"/>
      <c r="JR103" s="28" t="n"/>
      <c r="JS103" s="28" t="n"/>
      <c r="JT103" s="28" t="n"/>
      <c r="JU103" s="28" t="n"/>
      <c r="JV103" s="28" t="n"/>
      <c r="JW103" s="28" t="n"/>
      <c r="JX103" s="28" t="n"/>
      <c r="JY103" s="28" t="n"/>
      <c r="JZ103" s="28" t="n"/>
      <c r="KA103" s="28" t="n"/>
      <c r="KB103" s="28" t="n"/>
      <c r="KC103" s="28" t="n"/>
      <c r="KD103" s="28" t="n"/>
      <c r="KE103" s="28" t="n"/>
      <c r="KF103" s="28" t="n"/>
      <c r="KG103" s="28" t="n"/>
      <c r="KH103" s="28" t="n"/>
      <c r="KI103" s="28" t="n"/>
      <c r="KJ103" s="28" t="n"/>
      <c r="KK103" s="28" t="n"/>
      <c r="KL103" s="28" t="n"/>
      <c r="KM103" s="28" t="n"/>
      <c r="KN103" s="28" t="n"/>
      <c r="KO103" s="28" t="n"/>
      <c r="KP103" s="28" t="n"/>
      <c r="KQ103" s="28" t="n"/>
      <c r="KR103" s="28" t="n"/>
      <c r="KS103" s="28" t="n"/>
      <c r="KT103" s="28" t="n"/>
      <c r="KU103" s="28" t="n"/>
      <c r="KV103" s="28" t="n"/>
      <c r="KW103" s="28" t="n"/>
      <c r="KX103" s="28" t="n"/>
      <c r="KY103" s="28" t="n"/>
      <c r="KZ103" s="28" t="n"/>
      <c r="LA103" s="28" t="n"/>
      <c r="LB103" s="28" t="n"/>
      <c r="LC103" s="28" t="n"/>
      <c r="LD103" s="28" t="n"/>
      <c r="LE103" s="28" t="n"/>
      <c r="LF103" s="28" t="n"/>
      <c r="LG103" s="28" t="n"/>
      <c r="LH103" s="28" t="n"/>
      <c r="LI103" s="28" t="n"/>
      <c r="LJ103" s="28" t="n"/>
      <c r="LK103" s="28" t="n"/>
      <c r="LL103" s="28" t="n"/>
      <c r="LM103" s="28" t="n"/>
      <c r="LN103" s="28" t="n"/>
      <c r="LO103" s="28" t="n"/>
      <c r="LP103" s="28" t="n"/>
      <c r="LQ103" s="28" t="n"/>
      <c r="LR103" s="28" t="n"/>
      <c r="LS103" s="28" t="n"/>
      <c r="LT103" s="28" t="n"/>
      <c r="LU103" s="28" t="n"/>
      <c r="LV103" s="28" t="n"/>
      <c r="LW103" s="28" t="n"/>
      <c r="LX103" s="28" t="n"/>
      <c r="LY103" s="28" t="n"/>
      <c r="LZ103" s="28" t="n"/>
      <c r="MA103" s="28" t="n"/>
      <c r="MB103" s="28" t="n"/>
      <c r="MC103" s="28" t="n"/>
      <c r="MD103" s="28" t="n"/>
      <c r="ME103" s="28" t="n"/>
      <c r="MF103" s="28" t="n"/>
      <c r="MG103" s="28" t="n"/>
      <c r="MH103" s="28" t="n"/>
      <c r="MI103" s="28" t="n"/>
      <c r="MJ103" s="28" t="n"/>
      <c r="MK103" s="28" t="n"/>
      <c r="ML103" s="28" t="n"/>
      <c r="MM103" s="28" t="n"/>
      <c r="MN103" s="28" t="n"/>
      <c r="MO103" s="28" t="n"/>
      <c r="MP103" s="28" t="n"/>
      <c r="MQ103" s="28" t="n"/>
      <c r="MR103" s="28" t="n"/>
      <c r="MS103" s="28" t="n"/>
      <c r="MT103" s="28" t="n"/>
      <c r="MU103" s="28" t="n"/>
      <c r="MV103" s="28" t="n"/>
      <c r="MW103" s="28" t="n"/>
      <c r="MX103" s="28" t="n"/>
      <c r="MY103" s="28" t="n"/>
      <c r="MZ103" s="28" t="n"/>
      <c r="NA103" s="28" t="n"/>
      <c r="NB103" s="28" t="n"/>
      <c r="NC103" s="28" t="n"/>
      <c r="ND103" s="28" t="n"/>
      <c r="NE103" s="28" t="n"/>
      <c r="NF103" s="28" t="n"/>
      <c r="NG103" s="28" t="n"/>
      <c r="NH103" s="28" t="n"/>
      <c r="NI103" s="28" t="n"/>
      <c r="NJ103" s="28" t="n"/>
      <c r="NK103" s="28" t="n"/>
      <c r="NL103" s="28" t="n"/>
      <c r="NM103" s="28" t="n"/>
      <c r="NN103" s="28" t="n"/>
      <c r="NO103" s="28" t="n"/>
      <c r="NP103" s="28" t="n"/>
      <c r="NQ103" s="28" t="n"/>
      <c r="NR103" s="28" t="n"/>
      <c r="NS103" s="28" t="n"/>
      <c r="NT103" s="28" t="n"/>
      <c r="NU103" s="28" t="n"/>
      <c r="NV103" s="28" t="n"/>
      <c r="NW103" s="28" t="n"/>
      <c r="NX103" s="28" t="n"/>
      <c r="NY103" s="28" t="n"/>
      <c r="NZ103" s="28" t="n"/>
      <c r="OA103" s="28" t="n"/>
      <c r="OB103" s="28" t="n"/>
      <c r="OC103" s="28" t="n"/>
      <c r="OD103" s="28" t="n"/>
      <c r="OE103" s="28" t="n"/>
      <c r="OF103" s="28" t="n"/>
      <c r="OG103" s="28" t="n"/>
      <c r="OH103" s="28" t="n"/>
      <c r="OI103" s="28" t="n"/>
      <c r="OJ103" s="28" t="n"/>
      <c r="OK103" s="28" t="n"/>
      <c r="OL103" s="28" t="n"/>
      <c r="OM103" s="28" t="n"/>
      <c r="ON103" s="28" t="n"/>
      <c r="OO103" s="28" t="n"/>
      <c r="OP103" s="28" t="n"/>
      <c r="OQ103" s="28" t="n"/>
      <c r="OR103" s="28" t="n"/>
      <c r="OS103" s="28" t="n"/>
      <c r="OT103" s="28" t="n"/>
      <c r="OU103" s="28" t="n"/>
      <c r="OV103" s="28" t="n"/>
      <c r="OW103" s="28" t="n"/>
      <c r="OX103" s="28" t="n"/>
      <c r="OY103" s="28" t="n"/>
      <c r="OZ103" s="28" t="n"/>
      <c r="PA103" s="28" t="n"/>
      <c r="PB103" s="28" t="n"/>
      <c r="PC103" s="28" t="n"/>
      <c r="PD103" s="28" t="n"/>
      <c r="PE103" s="28" t="n"/>
      <c r="PF103" s="28" t="n"/>
      <c r="PG103" s="28" t="n"/>
      <c r="PH103" s="28" t="n"/>
      <c r="PI103" s="28" t="n"/>
      <c r="PJ103" s="28" t="n"/>
      <c r="PK103" s="28" t="n"/>
      <c r="PL103" s="28" t="n"/>
      <c r="PM103" s="28" t="n"/>
      <c r="PN103" s="28" t="n"/>
      <c r="PO103" s="28" t="n"/>
      <c r="PP103" s="28" t="n"/>
      <c r="PQ103" s="28" t="n"/>
      <c r="PR103" s="28" t="n"/>
      <c r="PS103" s="28" t="n"/>
      <c r="PT103" s="28" t="n"/>
      <c r="PU103" s="28" t="n"/>
      <c r="PV103" s="28" t="n"/>
      <c r="PW103" s="28" t="n"/>
      <c r="PX103" s="28" t="n"/>
      <c r="PY103" s="28" t="n"/>
      <c r="PZ103" s="28" t="n"/>
      <c r="QA103" s="28" t="n"/>
      <c r="QB103" s="28" t="n"/>
      <c r="QC103" s="28" t="n"/>
      <c r="QD103" s="28" t="n"/>
      <c r="QE103" s="28" t="n"/>
      <c r="QF103" s="28" t="n"/>
      <c r="QG103" s="28" t="n"/>
      <c r="QH103" s="28" t="n"/>
      <c r="QI103" s="28" t="n"/>
      <c r="QJ103" s="28" t="n"/>
      <c r="QK103" s="28" t="n"/>
      <c r="QL103" s="28" t="n"/>
      <c r="QM103" s="28" t="n"/>
      <c r="QN103" s="28" t="n"/>
      <c r="QO103" s="28" t="n"/>
      <c r="QP103" s="28" t="n"/>
      <c r="QQ103" s="28" t="n"/>
      <c r="QR103" s="28" t="n"/>
      <c r="QS103" s="28" t="n"/>
      <c r="QT103" s="28" t="n"/>
      <c r="QU103" s="28" t="n"/>
      <c r="QV103" s="28" t="n"/>
      <c r="QW103" s="28" t="n"/>
      <c r="QX103" s="28" t="n"/>
      <c r="QY103" s="28" t="n"/>
      <c r="QZ103" s="28" t="n"/>
      <c r="RA103" s="28" t="n"/>
      <c r="RB103" s="28" t="n"/>
      <c r="RC103" s="28" t="n"/>
      <c r="RD103" s="28" t="n"/>
      <c r="RE103" s="28" t="n"/>
      <c r="RF103" s="28" t="n"/>
      <c r="RG103" s="28" t="n"/>
      <c r="RH103" s="28" t="n"/>
      <c r="RI103" s="28" t="n"/>
      <c r="RJ103" s="28" t="n"/>
      <c r="RK103" s="28" t="n"/>
      <c r="RL103" s="28" t="n"/>
      <c r="RM103" s="28" t="n"/>
      <c r="RN103" s="28" t="n"/>
      <c r="RO103" s="28" t="n"/>
      <c r="RP103" s="28" t="n"/>
      <c r="RQ103" s="28" t="n"/>
      <c r="RR103" s="28" t="n"/>
      <c r="RS103" s="28" t="n"/>
      <c r="RT103" s="28" t="n"/>
      <c r="RU103" s="28" t="n"/>
      <c r="RV103" s="28" t="n"/>
      <c r="RW103" s="28" t="n"/>
    </row>
    <row r="104" hidden="1" outlineLevel="1" ht="13.05" customHeight="1">
      <c r="E104" s="21" t="inlineStr">
        <is>
          <t>Debt Service</t>
        </is>
      </c>
      <c r="F104" s="29" t="n"/>
      <c r="G104" s="29" t="inlineStr">
        <is>
          <t>kEUR</t>
        </is>
      </c>
      <c r="H104" s="29" t="n"/>
      <c r="I104" s="29" t="n"/>
      <c r="J104" s="32" t="n"/>
      <c r="K104" s="29" t="n"/>
      <c r="L104" s="33" t="n"/>
      <c r="M104" s="33" t="n"/>
      <c r="N104" s="33" t="n"/>
      <c r="O104" s="33" t="n"/>
      <c r="P104" s="33" t="n"/>
      <c r="Q104" s="33" t="n"/>
      <c r="R104" s="33" t="n"/>
      <c r="S104" s="33" t="n"/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  <c r="AE104" s="33" t="n"/>
      <c r="AF104" s="33" t="n"/>
      <c r="AG104" s="33" t="n"/>
      <c r="AH104" s="33" t="n"/>
      <c r="AI104" s="33" t="n"/>
      <c r="AJ104" s="33" t="n"/>
      <c r="AK104" s="33" t="n"/>
      <c r="AL104" s="33" t="n"/>
      <c r="AM104" s="33" t="n"/>
      <c r="AN104" s="33" t="n"/>
      <c r="AO104" s="33" t="n"/>
      <c r="AP104" s="33" t="n"/>
      <c r="AQ104" s="33" t="n"/>
      <c r="AR104" s="33" t="n"/>
      <c r="AS104" s="33" t="n"/>
      <c r="AT104" s="33" t="n"/>
      <c r="AU104" s="33" t="n"/>
      <c r="AV104" s="33" t="n"/>
      <c r="AW104" s="33" t="n"/>
      <c r="AX104" s="33" t="n"/>
      <c r="AY104" s="33" t="n"/>
      <c r="AZ104" s="33" t="n"/>
      <c r="BA104" s="33" t="n"/>
      <c r="BB104" s="33" t="n"/>
      <c r="BC104" s="33" t="n"/>
      <c r="BD104" s="33" t="n"/>
      <c r="BE104" s="33" t="n"/>
      <c r="BF104" s="33" t="n"/>
      <c r="BG104" s="33" t="n"/>
      <c r="BH104" s="33" t="n"/>
      <c r="BI104" s="33" t="n"/>
      <c r="BJ104" s="33" t="n"/>
      <c r="BK104" s="33" t="n"/>
      <c r="BL104" s="33" t="n"/>
      <c r="BM104" s="33" t="n"/>
      <c r="BN104" s="33" t="n"/>
      <c r="BO104" s="33" t="n"/>
      <c r="BP104" s="33" t="n"/>
      <c r="BQ104" s="33" t="n"/>
      <c r="BR104" s="33" t="n"/>
      <c r="BS104" s="33" t="n"/>
      <c r="BT104" s="33" t="n"/>
      <c r="BU104" s="33" t="n"/>
      <c r="BV104" s="33" t="n"/>
      <c r="BW104" s="33" t="n"/>
      <c r="BX104" s="33" t="n"/>
      <c r="BY104" s="33" t="n"/>
      <c r="BZ104" s="33" t="n"/>
      <c r="CA104" s="33" t="n"/>
      <c r="CB104" s="33" t="n"/>
      <c r="CC104" s="33" t="n"/>
      <c r="CD104" s="33" t="n"/>
      <c r="CE104" s="33" t="n"/>
      <c r="CF104" s="33" t="n"/>
      <c r="CG104" s="33" t="n"/>
      <c r="CH104" s="33" t="n"/>
      <c r="CI104" s="33" t="n"/>
      <c r="CJ104" s="33" t="n"/>
      <c r="CK104" s="33" t="n"/>
      <c r="CL104" s="33" t="n"/>
      <c r="CM104" s="33" t="n"/>
      <c r="CN104" s="33" t="n"/>
      <c r="CO104" s="33" t="n"/>
      <c r="CP104" s="33" t="n"/>
      <c r="CQ104" s="33" t="n"/>
      <c r="CR104" s="33" t="n"/>
      <c r="CS104" s="33" t="n"/>
      <c r="CT104" s="33" t="n"/>
      <c r="CU104" s="33" t="n"/>
      <c r="CV104" s="33" t="n"/>
      <c r="CW104" s="33" t="n"/>
      <c r="CX104" s="33" t="n"/>
      <c r="CY104" s="33" t="n"/>
      <c r="CZ104" s="33" t="n"/>
      <c r="DA104" s="33" t="n"/>
      <c r="DB104" s="33" t="n"/>
      <c r="DC104" s="33" t="n"/>
      <c r="DD104" s="33" t="n"/>
      <c r="DE104" s="33" t="n"/>
      <c r="DF104" s="33" t="n"/>
      <c r="DG104" s="33" t="n"/>
      <c r="DH104" s="33" t="n"/>
      <c r="DI104" s="33" t="n"/>
      <c r="DJ104" s="33" t="n"/>
      <c r="DK104" s="33" t="n"/>
      <c r="DL104" s="33" t="n"/>
      <c r="DM104" s="33" t="n"/>
      <c r="DN104" s="33" t="n"/>
      <c r="DO104" s="33" t="n"/>
      <c r="DP104" s="33" t="n"/>
      <c r="DQ104" s="33" t="n"/>
      <c r="DR104" s="33" t="n"/>
      <c r="DS104" s="33" t="n"/>
      <c r="DT104" s="33" t="n"/>
      <c r="DU104" s="33" t="n"/>
      <c r="DV104" s="33" t="n"/>
      <c r="DW104" s="33" t="n"/>
      <c r="DX104" s="33" t="n"/>
      <c r="DY104" s="33" t="n"/>
      <c r="DZ104" s="33" t="n"/>
      <c r="EA104" s="33" t="n"/>
      <c r="EB104" s="33" t="n"/>
      <c r="EC104" s="33" t="n"/>
      <c r="ED104" s="33" t="n"/>
      <c r="EE104" s="33" t="n"/>
      <c r="EF104" s="33" t="n"/>
      <c r="EG104" s="33" t="n"/>
      <c r="EH104" s="33" t="n"/>
      <c r="EI104" s="33" t="n"/>
      <c r="EJ104" s="33" t="n"/>
      <c r="EK104" s="33" t="n"/>
      <c r="EL104" s="33" t="n"/>
      <c r="EM104" s="33" t="n"/>
      <c r="EN104" s="33" t="n"/>
      <c r="EO104" s="33" t="n"/>
      <c r="EP104" s="33" t="n"/>
      <c r="EQ104" s="33" t="n"/>
      <c r="ER104" s="33" t="n"/>
      <c r="ES104" s="33" t="n"/>
      <c r="ET104" s="33" t="n"/>
      <c r="EU104" s="33" t="n"/>
      <c r="EV104" s="33" t="n"/>
      <c r="EW104" s="33" t="n"/>
      <c r="EX104" s="33" t="n"/>
      <c r="EY104" s="33" t="n"/>
      <c r="EZ104" s="33" t="n"/>
      <c r="FA104" s="33" t="n"/>
      <c r="FB104" s="33" t="n"/>
      <c r="FC104" s="33" t="n"/>
      <c r="FD104" s="33" t="n"/>
      <c r="FE104" s="33" t="n"/>
      <c r="FF104" s="33" t="n"/>
      <c r="FG104" s="33" t="n"/>
      <c r="FH104" s="33" t="n"/>
      <c r="FI104" s="33" t="n"/>
      <c r="FJ104" s="33" t="n"/>
      <c r="FK104" s="33" t="n"/>
      <c r="FL104" s="33" t="n"/>
      <c r="FM104" s="33" t="n"/>
      <c r="FN104" s="33" t="n"/>
      <c r="FO104" s="33" t="n"/>
      <c r="FP104" s="33" t="n"/>
      <c r="FQ104" s="33" t="n"/>
      <c r="FR104" s="33" t="n"/>
      <c r="FS104" s="33" t="n"/>
      <c r="FT104" s="33" t="n"/>
      <c r="FU104" s="33" t="n"/>
      <c r="FV104" s="33" t="n"/>
      <c r="FW104" s="33" t="n"/>
      <c r="FX104" s="33" t="n"/>
      <c r="FY104" s="33" t="n"/>
      <c r="FZ104" s="33" t="n"/>
      <c r="GA104" s="33" t="n"/>
      <c r="GB104" s="33" t="n"/>
      <c r="GC104" s="33" t="n"/>
      <c r="GD104" s="33" t="n"/>
      <c r="GE104" s="33" t="n"/>
      <c r="GF104" s="33" t="n"/>
      <c r="GG104" s="33" t="n"/>
      <c r="GH104" s="33" t="n"/>
      <c r="GI104" s="33" t="n"/>
      <c r="GJ104" s="33" t="n"/>
      <c r="GK104" s="33" t="n"/>
      <c r="GL104" s="33" t="n"/>
      <c r="GM104" s="33" t="n"/>
      <c r="GN104" s="33" t="n"/>
      <c r="GO104" s="33" t="n"/>
      <c r="GP104" s="33" t="n"/>
      <c r="GQ104" s="33" t="n"/>
      <c r="GR104" s="33" t="n"/>
      <c r="GS104" s="33" t="n"/>
      <c r="GT104" s="33" t="n"/>
      <c r="GU104" s="33" t="n"/>
      <c r="GV104" s="33" t="n"/>
      <c r="GW104" s="33" t="n"/>
      <c r="GX104" s="33" t="n"/>
      <c r="GY104" s="33" t="n"/>
      <c r="GZ104" s="33" t="n"/>
      <c r="HA104" s="33" t="n"/>
      <c r="HB104" s="33" t="n"/>
      <c r="HC104" s="33" t="n"/>
      <c r="HD104" s="33" t="n"/>
      <c r="HE104" s="33" t="n"/>
      <c r="HF104" s="33" t="n"/>
      <c r="HG104" s="33" t="n"/>
      <c r="HH104" s="33" t="n"/>
      <c r="HI104" s="33" t="n"/>
      <c r="HJ104" s="33" t="n"/>
      <c r="HK104" s="33" t="n"/>
      <c r="HL104" s="33" t="n"/>
      <c r="HM104" s="33" t="n"/>
      <c r="HN104" s="33" t="n"/>
      <c r="HO104" s="33" t="n"/>
      <c r="HP104" s="33" t="n"/>
      <c r="HQ104" s="33" t="n"/>
      <c r="HR104" s="33" t="n"/>
      <c r="HS104" s="33" t="n"/>
      <c r="HT104" s="33" t="n"/>
      <c r="HU104" s="33" t="n"/>
      <c r="HV104" s="33" t="n"/>
      <c r="HW104" s="33" t="n"/>
      <c r="HX104" s="33" t="n"/>
      <c r="HY104" s="33" t="n"/>
      <c r="HZ104" s="33" t="n"/>
      <c r="IA104" s="33" t="n"/>
      <c r="IB104" s="33" t="n"/>
      <c r="IC104" s="33" t="n"/>
      <c r="ID104" s="33" t="n"/>
      <c r="IE104" s="33" t="n"/>
      <c r="IF104" s="33" t="n"/>
      <c r="IG104" s="33" t="n"/>
      <c r="IH104" s="33" t="n"/>
      <c r="II104" s="33" t="n"/>
      <c r="IJ104" s="33" t="n"/>
      <c r="IK104" s="33" t="n"/>
      <c r="IL104" s="33" t="n"/>
      <c r="IM104" s="33" t="n"/>
      <c r="IN104" s="33" t="n"/>
      <c r="IO104" s="33" t="n"/>
      <c r="IP104" s="33" t="n"/>
      <c r="IQ104" s="33" t="n"/>
      <c r="IR104" s="33" t="n"/>
      <c r="IS104" s="33" t="n"/>
      <c r="IT104" s="33" t="n"/>
      <c r="IU104" s="33" t="n"/>
      <c r="IV104" s="33" t="n"/>
      <c r="IW104" s="33" t="n"/>
      <c r="IX104" s="33" t="n"/>
      <c r="IY104" s="33" t="n"/>
      <c r="IZ104" s="33" t="n"/>
      <c r="JA104" s="33" t="n"/>
      <c r="JB104" s="33" t="n"/>
      <c r="JC104" s="33" t="n"/>
      <c r="JD104" s="33" t="n"/>
      <c r="JE104" s="33" t="n"/>
      <c r="JF104" s="33" t="n"/>
      <c r="JG104" s="33" t="n"/>
      <c r="JH104" s="33" t="n"/>
      <c r="JI104" s="33" t="n"/>
      <c r="JJ104" s="33" t="n"/>
      <c r="JK104" s="33" t="n"/>
      <c r="JL104" s="33" t="n"/>
      <c r="JM104" s="33" t="n"/>
      <c r="JN104" s="33" t="n"/>
      <c r="JO104" s="33" t="n"/>
      <c r="JP104" s="33" t="n"/>
      <c r="JQ104" s="33" t="n"/>
      <c r="JR104" s="33" t="n"/>
      <c r="JS104" s="33" t="n"/>
      <c r="JT104" s="33" t="n"/>
      <c r="JU104" s="33" t="n"/>
      <c r="JV104" s="33" t="n"/>
      <c r="JW104" s="33" t="n"/>
      <c r="JX104" s="33" t="n"/>
      <c r="JY104" s="33" t="n"/>
      <c r="JZ104" s="33" t="n"/>
      <c r="KA104" s="33" t="n"/>
      <c r="KB104" s="33" t="n"/>
      <c r="KC104" s="33" t="n"/>
      <c r="KD104" s="33" t="n"/>
      <c r="KE104" s="33" t="n"/>
      <c r="KF104" s="33" t="n"/>
      <c r="KG104" s="33" t="n"/>
      <c r="KH104" s="33" t="n"/>
      <c r="KI104" s="33" t="n"/>
      <c r="KJ104" s="33" t="n"/>
      <c r="KK104" s="33" t="n"/>
      <c r="KL104" s="33" t="n"/>
      <c r="KM104" s="33" t="n"/>
      <c r="KN104" s="33" t="n"/>
      <c r="KO104" s="33" t="n"/>
      <c r="KP104" s="33" t="n"/>
      <c r="KQ104" s="33" t="n"/>
      <c r="KR104" s="33" t="n"/>
      <c r="KS104" s="33" t="n"/>
      <c r="KT104" s="33" t="n"/>
      <c r="KU104" s="33" t="n"/>
      <c r="KV104" s="33" t="n"/>
      <c r="KW104" s="33" t="n"/>
      <c r="KX104" s="33" t="n"/>
      <c r="KY104" s="33" t="n"/>
      <c r="KZ104" s="33" t="n"/>
      <c r="LA104" s="33" t="n"/>
      <c r="LB104" s="33" t="n"/>
      <c r="LC104" s="33" t="n"/>
      <c r="LD104" s="33" t="n"/>
      <c r="LE104" s="33" t="n"/>
      <c r="LF104" s="33" t="n"/>
      <c r="LG104" s="33" t="n"/>
      <c r="LH104" s="33" t="n"/>
      <c r="LI104" s="33" t="n"/>
      <c r="LJ104" s="33" t="n"/>
      <c r="LK104" s="33" t="n"/>
      <c r="LL104" s="33" t="n"/>
      <c r="LM104" s="33" t="n"/>
      <c r="LN104" s="33" t="n"/>
      <c r="LO104" s="33" t="n"/>
      <c r="LP104" s="33" t="n"/>
      <c r="LQ104" s="33" t="n"/>
      <c r="LR104" s="33" t="n"/>
      <c r="LS104" s="33" t="n"/>
      <c r="LT104" s="33" t="n"/>
      <c r="LU104" s="33" t="n"/>
      <c r="LV104" s="33" t="n"/>
      <c r="LW104" s="33" t="n"/>
      <c r="LX104" s="33" t="n"/>
      <c r="LY104" s="33" t="n"/>
      <c r="LZ104" s="33" t="n"/>
      <c r="MA104" s="33" t="n"/>
      <c r="MB104" s="33" t="n"/>
      <c r="MC104" s="33" t="n"/>
      <c r="MD104" s="33" t="n"/>
      <c r="ME104" s="33" t="n"/>
      <c r="MF104" s="33" t="n"/>
      <c r="MG104" s="33" t="n"/>
      <c r="MH104" s="33" t="n"/>
      <c r="MI104" s="33" t="n"/>
      <c r="MJ104" s="33" t="n"/>
      <c r="MK104" s="33" t="n"/>
      <c r="ML104" s="33" t="n"/>
      <c r="MM104" s="33" t="n"/>
      <c r="MN104" s="33" t="n"/>
      <c r="MO104" s="33" t="n"/>
      <c r="MP104" s="33" t="n"/>
      <c r="MQ104" s="33" t="n"/>
      <c r="MR104" s="33" t="n"/>
      <c r="MS104" s="33" t="n"/>
      <c r="MT104" s="33" t="n"/>
      <c r="MU104" s="33" t="n"/>
      <c r="MV104" s="33" t="n"/>
      <c r="MW104" s="33" t="n"/>
      <c r="MX104" s="33" t="n"/>
      <c r="MY104" s="33" t="n"/>
      <c r="MZ104" s="33" t="n"/>
      <c r="NA104" s="33" t="n"/>
      <c r="NB104" s="33" t="n"/>
      <c r="NC104" s="33" t="n"/>
      <c r="ND104" s="33" t="n"/>
      <c r="NE104" s="33" t="n"/>
      <c r="NF104" s="33" t="n"/>
      <c r="NG104" s="33" t="n"/>
      <c r="NH104" s="33" t="n"/>
      <c r="NI104" s="33" t="n"/>
      <c r="NJ104" s="33" t="n"/>
      <c r="NK104" s="33" t="n"/>
      <c r="NL104" s="33" t="n"/>
      <c r="NM104" s="33" t="n"/>
      <c r="NN104" s="33" t="n"/>
      <c r="NO104" s="33" t="n"/>
      <c r="NP104" s="33" t="n"/>
      <c r="NQ104" s="33" t="n"/>
      <c r="NR104" s="33" t="n"/>
      <c r="NS104" s="33" t="n"/>
      <c r="NT104" s="33" t="n"/>
      <c r="NU104" s="33" t="n"/>
      <c r="NV104" s="33" t="n"/>
      <c r="NW104" s="33" t="n"/>
      <c r="NX104" s="33" t="n"/>
      <c r="NY104" s="33" t="n"/>
      <c r="NZ104" s="33" t="n"/>
      <c r="OA104" s="33" t="n"/>
      <c r="OB104" s="33" t="n"/>
      <c r="OC104" s="33" t="n"/>
      <c r="OD104" s="33" t="n"/>
      <c r="OE104" s="33" t="n"/>
      <c r="OF104" s="33" t="n"/>
      <c r="OG104" s="33" t="n"/>
      <c r="OH104" s="33" t="n"/>
      <c r="OI104" s="33" t="n"/>
      <c r="OJ104" s="33" t="n"/>
      <c r="OK104" s="33" t="n"/>
      <c r="OL104" s="33" t="n"/>
      <c r="OM104" s="33" t="n"/>
      <c r="ON104" s="33" t="n"/>
      <c r="OO104" s="33" t="n"/>
      <c r="OP104" s="33" t="n"/>
      <c r="OQ104" s="33" t="n"/>
      <c r="OR104" s="33" t="n"/>
      <c r="OS104" s="33" t="n"/>
      <c r="OT104" s="33" t="n"/>
      <c r="OU104" s="33" t="n"/>
      <c r="OV104" s="33" t="n"/>
      <c r="OW104" s="33" t="n"/>
      <c r="OX104" s="33" t="n"/>
      <c r="OY104" s="33" t="n"/>
      <c r="OZ104" s="33" t="n"/>
      <c r="PA104" s="33" t="n"/>
      <c r="PB104" s="33" t="n"/>
      <c r="PC104" s="33" t="n"/>
      <c r="PD104" s="33" t="n"/>
      <c r="PE104" s="33" t="n"/>
      <c r="PF104" s="33" t="n"/>
      <c r="PG104" s="33" t="n"/>
      <c r="PH104" s="33" t="n"/>
      <c r="PI104" s="33" t="n"/>
      <c r="PJ104" s="33" t="n"/>
      <c r="PK104" s="33" t="n"/>
      <c r="PL104" s="33" t="n"/>
      <c r="PM104" s="33" t="n"/>
      <c r="PN104" s="33" t="n"/>
      <c r="PO104" s="33" t="n"/>
      <c r="PP104" s="33" t="n"/>
      <c r="PQ104" s="33" t="n"/>
      <c r="PR104" s="33" t="n"/>
      <c r="PS104" s="33" t="n"/>
      <c r="PT104" s="33" t="n"/>
      <c r="PU104" s="33" t="n"/>
      <c r="PV104" s="33" t="n"/>
      <c r="PW104" s="33" t="n"/>
      <c r="PX104" s="33" t="n"/>
      <c r="PY104" s="33" t="n"/>
      <c r="PZ104" s="33" t="n"/>
      <c r="QA104" s="33" t="n"/>
      <c r="QB104" s="33" t="n"/>
      <c r="QC104" s="33" t="n"/>
      <c r="QD104" s="33" t="n"/>
      <c r="QE104" s="33" t="n"/>
      <c r="QF104" s="33" t="n"/>
      <c r="QG104" s="33" t="n"/>
      <c r="QH104" s="33" t="n"/>
      <c r="QI104" s="33" t="n"/>
      <c r="QJ104" s="33" t="n"/>
      <c r="QK104" s="33" t="n"/>
      <c r="QL104" s="33" t="n"/>
      <c r="QM104" s="33" t="n"/>
      <c r="QN104" s="33" t="n"/>
      <c r="QO104" s="33" t="n"/>
      <c r="QP104" s="33" t="n"/>
      <c r="QQ104" s="33" t="n"/>
      <c r="QR104" s="33" t="n"/>
      <c r="QS104" s="33" t="n"/>
      <c r="QT104" s="33" t="n"/>
      <c r="QU104" s="33" t="n"/>
      <c r="QV104" s="33" t="n"/>
      <c r="QW104" s="33" t="n"/>
      <c r="QX104" s="33" t="n"/>
      <c r="QY104" s="33" t="n"/>
      <c r="QZ104" s="33" t="n"/>
      <c r="RA104" s="33" t="n"/>
      <c r="RB104" s="33" t="n"/>
      <c r="RC104" s="33" t="n"/>
      <c r="RD104" s="33" t="n"/>
      <c r="RE104" s="33" t="n"/>
      <c r="RF104" s="33" t="n"/>
      <c r="RG104" s="33" t="n"/>
      <c r="RH104" s="33" t="n"/>
      <c r="RI104" s="33" t="n"/>
      <c r="RJ104" s="33" t="n"/>
      <c r="RK104" s="33" t="n"/>
      <c r="RL104" s="33" t="n"/>
      <c r="RM104" s="33" t="n"/>
      <c r="RN104" s="33" t="n"/>
      <c r="RO104" s="33" t="n"/>
      <c r="RP104" s="33" t="n"/>
      <c r="RQ104" s="33" t="n"/>
      <c r="RR104" s="33" t="n"/>
      <c r="RS104" s="33" t="n"/>
      <c r="RT104" s="33" t="n"/>
      <c r="RU104" s="33" t="n"/>
      <c r="RV104" s="33" t="n"/>
      <c r="RW104" s="33" t="n"/>
    </row>
    <row r="105" ht="13.05" customHeight="1">
      <c r="E105" s="21" t="inlineStr">
        <is>
          <t>arrangement_fee</t>
        </is>
      </c>
      <c r="F105" s="29" t="n"/>
      <c r="G105" s="29" t="inlineStr">
        <is>
          <t>kEUR</t>
        </is>
      </c>
      <c r="H105" s="29" t="n"/>
      <c r="I105" s="29" t="n"/>
      <c r="J105" s="32" t="n"/>
      <c r="K105" s="29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  <c r="AE105" s="33" t="n"/>
      <c r="AF105" s="33" t="n"/>
      <c r="AG105" s="33" t="n"/>
      <c r="AH105" s="33" t="n"/>
      <c r="AI105" s="33" t="n"/>
      <c r="AJ105" s="33" t="n"/>
      <c r="AK105" s="33" t="n"/>
      <c r="AL105" s="33" t="n"/>
      <c r="AM105" s="33" t="n"/>
      <c r="AN105" s="33" t="n"/>
      <c r="AO105" s="33" t="n"/>
      <c r="AP105" s="33" t="n"/>
      <c r="AQ105" s="33" t="n"/>
      <c r="AR105" s="33" t="n"/>
      <c r="AS105" s="33" t="n"/>
      <c r="AT105" s="33" t="n"/>
      <c r="AU105" s="33" t="n"/>
      <c r="AV105" s="33" t="n"/>
      <c r="AW105" s="33" t="n"/>
      <c r="AX105" s="33" t="n"/>
      <c r="AY105" s="33" t="n"/>
      <c r="AZ105" s="33" t="n"/>
      <c r="BA105" s="33" t="n"/>
      <c r="BB105" s="33" t="n"/>
      <c r="BC105" s="33" t="n"/>
      <c r="BD105" s="33" t="n"/>
      <c r="BE105" s="33" t="n"/>
      <c r="BF105" s="33" t="n"/>
      <c r="BG105" s="33" t="n"/>
      <c r="BH105" s="33" t="n"/>
      <c r="BI105" s="33" t="n"/>
      <c r="BJ105" s="33" t="n"/>
      <c r="BK105" s="33" t="n"/>
      <c r="BL105" s="33" t="n"/>
      <c r="BM105" s="33" t="n"/>
      <c r="BN105" s="33" t="n"/>
      <c r="BO105" s="33" t="n"/>
      <c r="BP105" s="33" t="n"/>
      <c r="BQ105" s="33" t="n"/>
      <c r="BR105" s="33" t="n"/>
      <c r="BS105" s="33" t="n"/>
      <c r="BT105" s="33" t="n"/>
      <c r="BU105" s="33" t="n"/>
      <c r="BV105" s="33" t="n"/>
      <c r="BW105" s="33" t="n"/>
      <c r="BX105" s="33" t="n"/>
      <c r="BY105" s="33" t="n"/>
      <c r="BZ105" s="33" t="n"/>
      <c r="CA105" s="33" t="n"/>
      <c r="CB105" s="33" t="n"/>
      <c r="CC105" s="33" t="n"/>
      <c r="CD105" s="33" t="n"/>
      <c r="CE105" s="33" t="n"/>
      <c r="CF105" s="33" t="n"/>
      <c r="CG105" s="33" t="n"/>
      <c r="CH105" s="33" t="n"/>
      <c r="CI105" s="33" t="n"/>
      <c r="CJ105" s="33" t="n"/>
      <c r="CK105" s="33" t="n"/>
      <c r="CL105" s="33" t="n"/>
      <c r="CM105" s="33" t="n"/>
      <c r="CN105" s="33" t="n"/>
      <c r="CO105" s="33" t="n"/>
      <c r="CP105" s="33" t="n"/>
      <c r="CQ105" s="33" t="n"/>
      <c r="CR105" s="33" t="n"/>
      <c r="CS105" s="33" t="n"/>
      <c r="CT105" s="33" t="n"/>
      <c r="CU105" s="33" t="n"/>
      <c r="CV105" s="33" t="n"/>
      <c r="CW105" s="33" t="n"/>
      <c r="CX105" s="33" t="n"/>
      <c r="CY105" s="33" t="n"/>
      <c r="CZ105" s="33" t="n"/>
      <c r="DA105" s="33" t="n"/>
      <c r="DB105" s="33" t="n"/>
      <c r="DC105" s="33" t="n"/>
      <c r="DD105" s="33" t="n"/>
      <c r="DE105" s="33" t="n"/>
      <c r="DF105" s="33" t="n"/>
      <c r="DG105" s="33" t="n"/>
      <c r="DH105" s="33" t="n"/>
      <c r="DI105" s="33" t="n"/>
      <c r="DJ105" s="33" t="n"/>
      <c r="DK105" s="33" t="n"/>
      <c r="DL105" s="33" t="n"/>
      <c r="DM105" s="33" t="n"/>
      <c r="DN105" s="33" t="n"/>
      <c r="DO105" s="33" t="n"/>
      <c r="DP105" s="33" t="n"/>
      <c r="DQ105" s="33" t="n"/>
      <c r="DR105" s="33" t="n"/>
      <c r="DS105" s="33" t="n"/>
      <c r="DT105" s="33" t="n"/>
      <c r="DU105" s="33" t="n"/>
      <c r="DV105" s="33" t="n"/>
      <c r="DW105" s="33" t="n"/>
      <c r="DX105" s="33" t="n"/>
      <c r="DY105" s="33" t="n"/>
      <c r="DZ105" s="33" t="n"/>
      <c r="EA105" s="33" t="n"/>
      <c r="EB105" s="33" t="n"/>
      <c r="EC105" s="33" t="n"/>
      <c r="ED105" s="33" t="n"/>
      <c r="EE105" s="33" t="n"/>
      <c r="EF105" s="33" t="n"/>
      <c r="EG105" s="33" t="n"/>
      <c r="EH105" s="33" t="n"/>
      <c r="EI105" s="33" t="n"/>
      <c r="EJ105" s="33" t="n"/>
      <c r="EK105" s="33" t="n"/>
      <c r="EL105" s="33" t="n"/>
      <c r="EM105" s="33" t="n"/>
      <c r="EN105" s="33" t="n"/>
      <c r="EO105" s="33" t="n"/>
      <c r="EP105" s="33" t="n"/>
      <c r="EQ105" s="33" t="n"/>
      <c r="ER105" s="33" t="n"/>
      <c r="ES105" s="33" t="n"/>
      <c r="ET105" s="33" t="n"/>
      <c r="EU105" s="33" t="n"/>
      <c r="EV105" s="33" t="n"/>
      <c r="EW105" s="33" t="n"/>
      <c r="EX105" s="33" t="n"/>
      <c r="EY105" s="33" t="n"/>
      <c r="EZ105" s="33" t="n"/>
      <c r="FA105" s="33" t="n"/>
      <c r="FB105" s="33" t="n"/>
      <c r="FC105" s="33" t="n"/>
      <c r="FD105" s="33" t="n"/>
      <c r="FE105" s="33" t="n"/>
      <c r="FF105" s="33" t="n"/>
      <c r="FG105" s="33" t="n"/>
      <c r="FH105" s="33" t="n"/>
      <c r="FI105" s="33" t="n"/>
      <c r="FJ105" s="33" t="n"/>
      <c r="FK105" s="33" t="n"/>
      <c r="FL105" s="33" t="n"/>
      <c r="FM105" s="33" t="n"/>
      <c r="FN105" s="33" t="n"/>
      <c r="FO105" s="33" t="n"/>
      <c r="FP105" s="33" t="n"/>
      <c r="FQ105" s="33" t="n"/>
      <c r="FR105" s="33" t="n"/>
      <c r="FS105" s="33" t="n"/>
      <c r="FT105" s="33" t="n"/>
      <c r="FU105" s="33" t="n"/>
      <c r="FV105" s="33" t="n"/>
      <c r="FW105" s="33" t="n"/>
      <c r="FX105" s="33" t="n"/>
      <c r="FY105" s="33" t="n"/>
      <c r="FZ105" s="33" t="n"/>
      <c r="GA105" s="33" t="n"/>
      <c r="GB105" s="33" t="n"/>
      <c r="GC105" s="33" t="n"/>
      <c r="GD105" s="33" t="n"/>
      <c r="GE105" s="33" t="n"/>
      <c r="GF105" s="33" t="n"/>
      <c r="GG105" s="33" t="n"/>
      <c r="GH105" s="33" t="n"/>
      <c r="GI105" s="33" t="n"/>
      <c r="GJ105" s="33" t="n"/>
      <c r="GK105" s="33" t="n"/>
      <c r="GL105" s="33" t="n"/>
      <c r="GM105" s="33" t="n"/>
      <c r="GN105" s="33" t="n"/>
      <c r="GO105" s="33" t="n"/>
      <c r="GP105" s="33" t="n"/>
      <c r="GQ105" s="33" t="n"/>
      <c r="GR105" s="33" t="n"/>
      <c r="GS105" s="33" t="n"/>
      <c r="GT105" s="33" t="n"/>
      <c r="GU105" s="33" t="n"/>
      <c r="GV105" s="33" t="n"/>
      <c r="GW105" s="33" t="n"/>
      <c r="GX105" s="33" t="n"/>
      <c r="GY105" s="33" t="n"/>
      <c r="GZ105" s="33" t="n"/>
      <c r="HA105" s="33" t="n"/>
      <c r="HB105" s="33" t="n"/>
      <c r="HC105" s="33" t="n"/>
      <c r="HD105" s="33" t="n"/>
      <c r="HE105" s="33" t="n"/>
      <c r="HF105" s="33" t="n"/>
      <c r="HG105" s="33" t="n"/>
      <c r="HH105" s="33" t="n"/>
      <c r="HI105" s="33" t="n"/>
      <c r="HJ105" s="33" t="n"/>
      <c r="HK105" s="33" t="n"/>
      <c r="HL105" s="33" t="n"/>
      <c r="HM105" s="33" t="n"/>
      <c r="HN105" s="33" t="n"/>
      <c r="HO105" s="33" t="n"/>
      <c r="HP105" s="33" t="n"/>
      <c r="HQ105" s="33" t="n"/>
      <c r="HR105" s="33" t="n"/>
      <c r="HS105" s="33" t="n"/>
      <c r="HT105" s="33" t="n"/>
      <c r="HU105" s="33" t="n"/>
      <c r="HV105" s="33" t="n"/>
      <c r="HW105" s="33" t="n"/>
      <c r="HX105" s="33" t="n"/>
      <c r="HY105" s="33" t="n"/>
      <c r="HZ105" s="33" t="n"/>
      <c r="IA105" s="33" t="n"/>
      <c r="IB105" s="33" t="n"/>
      <c r="IC105" s="33" t="n"/>
      <c r="ID105" s="33" t="n"/>
      <c r="IE105" s="33" t="n"/>
      <c r="IF105" s="33" t="n"/>
      <c r="IG105" s="33" t="n"/>
      <c r="IH105" s="33" t="n"/>
      <c r="II105" s="33" t="n"/>
      <c r="IJ105" s="33" t="n"/>
      <c r="IK105" s="33" t="n"/>
      <c r="IL105" s="33" t="n"/>
      <c r="IM105" s="33" t="n"/>
      <c r="IN105" s="33" t="n"/>
      <c r="IO105" s="33" t="n"/>
      <c r="IP105" s="33" t="n"/>
      <c r="IQ105" s="33" t="n"/>
      <c r="IR105" s="33" t="n"/>
      <c r="IS105" s="33" t="n"/>
      <c r="IT105" s="33" t="n"/>
      <c r="IU105" s="33" t="n"/>
      <c r="IV105" s="33" t="n"/>
      <c r="IW105" s="33" t="n"/>
      <c r="IX105" s="33" t="n"/>
      <c r="IY105" s="33" t="n"/>
      <c r="IZ105" s="33" t="n"/>
      <c r="JA105" s="33" t="n"/>
      <c r="JB105" s="33" t="n"/>
      <c r="JC105" s="33" t="n"/>
      <c r="JD105" s="33" t="n"/>
      <c r="JE105" s="33" t="n"/>
      <c r="JF105" s="33" t="n"/>
      <c r="JG105" s="33" t="n"/>
      <c r="JH105" s="33" t="n"/>
      <c r="JI105" s="33" t="n"/>
      <c r="JJ105" s="33" t="n"/>
      <c r="JK105" s="33" t="n"/>
      <c r="JL105" s="33" t="n"/>
      <c r="JM105" s="33" t="n"/>
      <c r="JN105" s="33" t="n"/>
      <c r="JO105" s="33" t="n"/>
      <c r="JP105" s="33" t="n"/>
      <c r="JQ105" s="33" t="n"/>
      <c r="JR105" s="33" t="n"/>
      <c r="JS105" s="33" t="n"/>
      <c r="JT105" s="33" t="n"/>
      <c r="JU105" s="33" t="n"/>
      <c r="JV105" s="33" t="n"/>
      <c r="JW105" s="33" t="n"/>
      <c r="JX105" s="33" t="n"/>
      <c r="JY105" s="33" t="n"/>
      <c r="JZ105" s="33" t="n"/>
      <c r="KA105" s="33" t="n"/>
      <c r="KB105" s="33" t="n"/>
      <c r="KC105" s="33" t="n"/>
      <c r="KD105" s="33" t="n"/>
      <c r="KE105" s="33" t="n"/>
      <c r="KF105" s="33" t="n"/>
      <c r="KG105" s="33" t="n"/>
      <c r="KH105" s="33" t="n"/>
      <c r="KI105" s="33" t="n"/>
      <c r="KJ105" s="33" t="n"/>
      <c r="KK105" s="33" t="n"/>
      <c r="KL105" s="33" t="n"/>
      <c r="KM105" s="33" t="n"/>
      <c r="KN105" s="33" t="n"/>
      <c r="KO105" s="33" t="n"/>
      <c r="KP105" s="33" t="n"/>
      <c r="KQ105" s="33" t="n"/>
      <c r="KR105" s="33" t="n"/>
      <c r="KS105" s="33" t="n"/>
      <c r="KT105" s="33" t="n"/>
      <c r="KU105" s="33" t="n"/>
      <c r="KV105" s="33" t="n"/>
      <c r="KW105" s="33" t="n"/>
      <c r="KX105" s="33" t="n"/>
      <c r="KY105" s="33" t="n"/>
      <c r="KZ105" s="33" t="n"/>
      <c r="LA105" s="33" t="n"/>
      <c r="LB105" s="33" t="n"/>
      <c r="LC105" s="33" t="n"/>
      <c r="LD105" s="33" t="n"/>
      <c r="LE105" s="33" t="n"/>
      <c r="LF105" s="33" t="n"/>
      <c r="LG105" s="33" t="n"/>
      <c r="LH105" s="33" t="n"/>
      <c r="LI105" s="33" t="n"/>
      <c r="LJ105" s="33" t="n"/>
      <c r="LK105" s="33" t="n"/>
      <c r="LL105" s="33" t="n"/>
      <c r="LM105" s="33" t="n"/>
      <c r="LN105" s="33" t="n"/>
      <c r="LO105" s="33" t="n"/>
      <c r="LP105" s="33" t="n"/>
      <c r="LQ105" s="33" t="n"/>
      <c r="LR105" s="33" t="n"/>
      <c r="LS105" s="33" t="n"/>
      <c r="LT105" s="33" t="n"/>
      <c r="LU105" s="33" t="n"/>
      <c r="LV105" s="33" t="n"/>
      <c r="LW105" s="33" t="n"/>
      <c r="LX105" s="33" t="n"/>
      <c r="LY105" s="33" t="n"/>
      <c r="LZ105" s="33" t="n"/>
      <c r="MA105" s="33" t="n"/>
      <c r="MB105" s="33" t="n"/>
      <c r="MC105" s="33" t="n"/>
      <c r="MD105" s="33" t="n"/>
      <c r="ME105" s="33" t="n"/>
      <c r="MF105" s="33" t="n"/>
      <c r="MG105" s="33" t="n"/>
      <c r="MH105" s="33" t="n"/>
      <c r="MI105" s="33" t="n"/>
      <c r="MJ105" s="33" t="n"/>
      <c r="MK105" s="33" t="n"/>
      <c r="ML105" s="33" t="n"/>
      <c r="MM105" s="33" t="n"/>
      <c r="MN105" s="33" t="n"/>
      <c r="MO105" s="33" t="n"/>
      <c r="MP105" s="33" t="n"/>
      <c r="MQ105" s="33" t="n"/>
      <c r="MR105" s="33" t="n"/>
      <c r="MS105" s="33" t="n"/>
      <c r="MT105" s="33" t="n"/>
      <c r="MU105" s="33" t="n"/>
      <c r="MV105" s="33" t="n"/>
      <c r="MW105" s="33" t="n"/>
      <c r="MX105" s="33" t="n"/>
      <c r="MY105" s="33" t="n"/>
      <c r="MZ105" s="33" t="n"/>
      <c r="NA105" s="33" t="n"/>
      <c r="NB105" s="33" t="n"/>
      <c r="NC105" s="33" t="n"/>
      <c r="ND105" s="33" t="n"/>
      <c r="NE105" s="33" t="n"/>
      <c r="NF105" s="33" t="n"/>
      <c r="NG105" s="33" t="n"/>
      <c r="NH105" s="33" t="n"/>
      <c r="NI105" s="33" t="n"/>
      <c r="NJ105" s="33" t="n"/>
      <c r="NK105" s="33" t="n"/>
      <c r="NL105" s="33" t="n"/>
      <c r="NM105" s="33" t="n"/>
      <c r="NN105" s="33" t="n"/>
      <c r="NO105" s="33" t="n"/>
      <c r="NP105" s="33" t="n"/>
      <c r="NQ105" s="33" t="n"/>
      <c r="NR105" s="33" t="n"/>
      <c r="NS105" s="33" t="n"/>
      <c r="NT105" s="33" t="n"/>
      <c r="NU105" s="33" t="n"/>
      <c r="NV105" s="33" t="n"/>
      <c r="NW105" s="33" t="n"/>
      <c r="NX105" s="33" t="n"/>
      <c r="NY105" s="33" t="n"/>
      <c r="NZ105" s="33" t="n"/>
      <c r="OA105" s="33" t="n"/>
      <c r="OB105" s="33" t="n"/>
      <c r="OC105" s="33" t="n"/>
      <c r="OD105" s="33" t="n"/>
      <c r="OE105" s="33" t="n"/>
      <c r="OF105" s="33" t="n"/>
      <c r="OG105" s="33" t="n"/>
      <c r="OH105" s="33" t="n"/>
      <c r="OI105" s="33" t="n"/>
      <c r="OJ105" s="33" t="n"/>
      <c r="OK105" s="33" t="n"/>
      <c r="OL105" s="33" t="n"/>
      <c r="OM105" s="33" t="n"/>
      <c r="ON105" s="33" t="n"/>
      <c r="OO105" s="33" t="n"/>
      <c r="OP105" s="33" t="n"/>
      <c r="OQ105" s="33" t="n"/>
      <c r="OR105" s="33" t="n"/>
      <c r="OS105" s="33" t="n"/>
      <c r="OT105" s="33" t="n"/>
      <c r="OU105" s="33" t="n"/>
      <c r="OV105" s="33" t="n"/>
      <c r="OW105" s="33" t="n"/>
      <c r="OX105" s="33" t="n"/>
      <c r="OY105" s="33" t="n"/>
      <c r="OZ105" s="33" t="n"/>
      <c r="PA105" s="33" t="n"/>
      <c r="PB105" s="33" t="n"/>
      <c r="PC105" s="33" t="n"/>
      <c r="PD105" s="33" t="n"/>
      <c r="PE105" s="33" t="n"/>
      <c r="PF105" s="33" t="n"/>
      <c r="PG105" s="33" t="n"/>
      <c r="PH105" s="33" t="n"/>
      <c r="PI105" s="33" t="n"/>
      <c r="PJ105" s="33" t="n"/>
      <c r="PK105" s="33" t="n"/>
      <c r="PL105" s="33" t="n"/>
      <c r="PM105" s="33" t="n"/>
      <c r="PN105" s="33" t="n"/>
      <c r="PO105" s="33" t="n"/>
      <c r="PP105" s="33" t="n"/>
      <c r="PQ105" s="33" t="n"/>
      <c r="PR105" s="33" t="n"/>
      <c r="PS105" s="33" t="n"/>
      <c r="PT105" s="33" t="n"/>
      <c r="PU105" s="33" t="n"/>
      <c r="PV105" s="33" t="n"/>
      <c r="PW105" s="33" t="n"/>
      <c r="PX105" s="33" t="n"/>
      <c r="PY105" s="33" t="n"/>
      <c r="PZ105" s="33" t="n"/>
      <c r="QA105" s="33" t="n"/>
      <c r="QB105" s="33" t="n"/>
      <c r="QC105" s="33" t="n"/>
      <c r="QD105" s="33" t="n"/>
      <c r="QE105" s="33" t="n"/>
      <c r="QF105" s="33" t="n"/>
      <c r="QG105" s="33" t="n"/>
      <c r="QH105" s="33" t="n"/>
      <c r="QI105" s="33" t="n"/>
      <c r="QJ105" s="33" t="n"/>
      <c r="QK105" s="33" t="n"/>
      <c r="QL105" s="33" t="n"/>
      <c r="QM105" s="33" t="n"/>
      <c r="QN105" s="33" t="n"/>
      <c r="QO105" s="33" t="n"/>
      <c r="QP105" s="33" t="n"/>
      <c r="QQ105" s="33" t="n"/>
      <c r="QR105" s="33" t="n"/>
      <c r="QS105" s="33" t="n"/>
      <c r="QT105" s="33" t="n"/>
      <c r="QU105" s="33" t="n"/>
      <c r="QV105" s="33" t="n"/>
      <c r="QW105" s="33" t="n"/>
      <c r="QX105" s="33" t="n"/>
      <c r="QY105" s="33" t="n"/>
      <c r="QZ105" s="33" t="n"/>
      <c r="RA105" s="33" t="n"/>
      <c r="RB105" s="33" t="n"/>
      <c r="RC105" s="33" t="n"/>
      <c r="RD105" s="33" t="n"/>
      <c r="RE105" s="33" t="n"/>
      <c r="RF105" s="33" t="n"/>
      <c r="RG105" s="33" t="n"/>
      <c r="RH105" s="33" t="n"/>
      <c r="RI105" s="33" t="n"/>
      <c r="RJ105" s="33" t="n"/>
      <c r="RK105" s="33" t="n"/>
      <c r="RL105" s="33" t="n"/>
      <c r="RM105" s="33" t="n"/>
      <c r="RN105" s="33" t="n"/>
      <c r="RO105" s="33" t="n"/>
      <c r="RP105" s="33" t="n"/>
      <c r="RQ105" s="33" t="n"/>
      <c r="RR105" s="33" t="n"/>
      <c r="RS105" s="33" t="n"/>
      <c r="RT105" s="33" t="n"/>
      <c r="RU105" s="33" t="n"/>
      <c r="RV105" s="33" t="n"/>
      <c r="RW105" s="33" t="n"/>
    </row>
    <row r="106" ht="5.25" customHeight="1"/>
    <row r="107" ht="13.05" customHeight="1">
      <c r="E107" s="21" t="inlineStr">
        <is>
          <t>Cash Swept to Debt</t>
        </is>
      </c>
      <c r="F107" s="29" t="n"/>
      <c r="G107" s="29" t="inlineStr">
        <is>
          <t>kEUR</t>
        </is>
      </c>
      <c r="H107" s="29" t="n"/>
      <c r="I107" s="29" t="n"/>
      <c r="J107" s="32" t="n"/>
      <c r="K107" s="29" t="n"/>
      <c r="L107" s="33" t="n"/>
      <c r="M107" s="33" t="n"/>
      <c r="N107" s="33" t="n"/>
      <c r="O107" s="33" t="n"/>
      <c r="P107" s="33" t="n"/>
      <c r="Q107" s="33" t="n"/>
      <c r="R107" s="33" t="n"/>
      <c r="S107" s="33" t="n"/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  <c r="AE107" s="33" t="n"/>
      <c r="AF107" s="33" t="n"/>
      <c r="AG107" s="33" t="n"/>
      <c r="AH107" s="33" t="n"/>
      <c r="AI107" s="33" t="n"/>
      <c r="AJ107" s="33" t="n"/>
      <c r="AK107" s="33" t="n"/>
      <c r="AL107" s="33" t="n"/>
      <c r="AM107" s="33" t="n"/>
      <c r="AN107" s="33" t="n"/>
      <c r="AO107" s="33" t="n"/>
      <c r="AP107" s="33" t="n"/>
      <c r="AQ107" s="33" t="n"/>
      <c r="AR107" s="33" t="n"/>
      <c r="AS107" s="33" t="n"/>
      <c r="AT107" s="33" t="n"/>
      <c r="AU107" s="33" t="n"/>
      <c r="AV107" s="33" t="n"/>
      <c r="AW107" s="33" t="n"/>
      <c r="AX107" s="33" t="n"/>
      <c r="AY107" s="33" t="n"/>
      <c r="AZ107" s="33" t="n"/>
      <c r="BA107" s="33" t="n"/>
      <c r="BB107" s="33" t="n"/>
      <c r="BC107" s="33" t="n"/>
      <c r="BD107" s="33" t="n"/>
      <c r="BE107" s="33" t="n"/>
      <c r="BF107" s="33" t="n"/>
      <c r="BG107" s="33" t="n"/>
      <c r="BH107" s="33" t="n"/>
      <c r="BI107" s="33" t="n"/>
      <c r="BJ107" s="33" t="n"/>
      <c r="BK107" s="33" t="n"/>
      <c r="BL107" s="33" t="n"/>
      <c r="BM107" s="33" t="n"/>
      <c r="BN107" s="33" t="n"/>
      <c r="BO107" s="33" t="n"/>
      <c r="BP107" s="33" t="n"/>
      <c r="BQ107" s="33" t="n"/>
      <c r="BR107" s="33" t="n"/>
      <c r="BS107" s="33" t="n"/>
      <c r="BT107" s="33" t="n"/>
      <c r="BU107" s="33" t="n"/>
      <c r="BV107" s="33" t="n"/>
      <c r="BW107" s="33" t="n"/>
      <c r="BX107" s="33" t="n"/>
      <c r="BY107" s="33" t="n"/>
      <c r="BZ107" s="33" t="n"/>
      <c r="CA107" s="33" t="n"/>
      <c r="CB107" s="33" t="n"/>
      <c r="CC107" s="33" t="n"/>
      <c r="CD107" s="33" t="n"/>
      <c r="CE107" s="33" t="n"/>
      <c r="CF107" s="33" t="n"/>
      <c r="CG107" s="33" t="n"/>
      <c r="CH107" s="33" t="n"/>
      <c r="CI107" s="33" t="n"/>
      <c r="CJ107" s="33" t="n"/>
      <c r="CK107" s="33" t="n"/>
      <c r="CL107" s="33" t="n"/>
      <c r="CM107" s="33" t="n"/>
      <c r="CN107" s="33" t="n"/>
      <c r="CO107" s="33" t="n"/>
      <c r="CP107" s="33" t="n"/>
      <c r="CQ107" s="33" t="n"/>
      <c r="CR107" s="33" t="n"/>
      <c r="CS107" s="33" t="n"/>
      <c r="CT107" s="33" t="n"/>
      <c r="CU107" s="33" t="n"/>
      <c r="CV107" s="33" t="n"/>
      <c r="CW107" s="33" t="n"/>
      <c r="CX107" s="33" t="n"/>
      <c r="CY107" s="33" t="n"/>
      <c r="CZ107" s="33" t="n"/>
      <c r="DA107" s="33" t="n"/>
      <c r="DB107" s="33" t="n"/>
      <c r="DC107" s="33" t="n"/>
      <c r="DD107" s="33" t="n"/>
      <c r="DE107" s="33" t="n"/>
      <c r="DF107" s="33" t="n"/>
      <c r="DG107" s="33" t="n"/>
      <c r="DH107" s="33" t="n"/>
      <c r="DI107" s="33" t="n"/>
      <c r="DJ107" s="33" t="n"/>
      <c r="DK107" s="33" t="n"/>
      <c r="DL107" s="33" t="n"/>
      <c r="DM107" s="33" t="n"/>
      <c r="DN107" s="33" t="n"/>
      <c r="DO107" s="33" t="n"/>
      <c r="DP107" s="33" t="n"/>
      <c r="DQ107" s="33" t="n"/>
      <c r="DR107" s="33" t="n"/>
      <c r="DS107" s="33" t="n"/>
      <c r="DT107" s="33" t="n"/>
      <c r="DU107" s="33" t="n"/>
      <c r="DV107" s="33" t="n"/>
      <c r="DW107" s="33" t="n"/>
      <c r="DX107" s="33" t="n"/>
      <c r="DY107" s="33" t="n"/>
      <c r="DZ107" s="33" t="n"/>
      <c r="EA107" s="33" t="n"/>
      <c r="EB107" s="33" t="n"/>
      <c r="EC107" s="33" t="n"/>
      <c r="ED107" s="33" t="n"/>
      <c r="EE107" s="33" t="n"/>
      <c r="EF107" s="33" t="n"/>
      <c r="EG107" s="33" t="n"/>
      <c r="EH107" s="33" t="n"/>
      <c r="EI107" s="33" t="n"/>
      <c r="EJ107" s="33" t="n"/>
      <c r="EK107" s="33" t="n"/>
      <c r="EL107" s="33" t="n"/>
      <c r="EM107" s="33" t="n"/>
      <c r="EN107" s="33" t="n"/>
      <c r="EO107" s="33" t="n"/>
      <c r="EP107" s="33" t="n"/>
      <c r="EQ107" s="33" t="n"/>
      <c r="ER107" s="33" t="n"/>
      <c r="ES107" s="33" t="n"/>
      <c r="ET107" s="33" t="n"/>
      <c r="EU107" s="33" t="n"/>
      <c r="EV107" s="33" t="n"/>
      <c r="EW107" s="33" t="n"/>
      <c r="EX107" s="33" t="n"/>
      <c r="EY107" s="33" t="n"/>
      <c r="EZ107" s="33" t="n"/>
      <c r="FA107" s="33" t="n"/>
      <c r="FB107" s="33" t="n"/>
      <c r="FC107" s="33" t="n"/>
      <c r="FD107" s="33" t="n"/>
      <c r="FE107" s="33" t="n"/>
      <c r="FF107" s="33" t="n"/>
      <c r="FG107" s="33" t="n"/>
      <c r="FH107" s="33" t="n"/>
      <c r="FI107" s="33" t="n"/>
      <c r="FJ107" s="33" t="n"/>
      <c r="FK107" s="33" t="n"/>
      <c r="FL107" s="33" t="n"/>
      <c r="FM107" s="33" t="n"/>
      <c r="FN107" s="33" t="n"/>
      <c r="FO107" s="33" t="n"/>
      <c r="FP107" s="33" t="n"/>
      <c r="FQ107" s="33" t="n"/>
      <c r="FR107" s="33" t="n"/>
      <c r="FS107" s="33" t="n"/>
      <c r="FT107" s="33" t="n"/>
      <c r="FU107" s="33" t="n"/>
      <c r="FV107" s="33" t="n"/>
      <c r="FW107" s="33" t="n"/>
      <c r="FX107" s="33" t="n"/>
      <c r="FY107" s="33" t="n"/>
      <c r="FZ107" s="33" t="n"/>
      <c r="GA107" s="33" t="n"/>
      <c r="GB107" s="33" t="n"/>
      <c r="GC107" s="33" t="n"/>
      <c r="GD107" s="33" t="n"/>
      <c r="GE107" s="33" t="n"/>
      <c r="GF107" s="33" t="n"/>
      <c r="GG107" s="33" t="n"/>
      <c r="GH107" s="33" t="n"/>
      <c r="GI107" s="33" t="n"/>
      <c r="GJ107" s="33" t="n"/>
      <c r="GK107" s="33" t="n"/>
      <c r="GL107" s="33" t="n"/>
      <c r="GM107" s="33" t="n"/>
      <c r="GN107" s="33" t="n"/>
      <c r="GO107" s="33" t="n"/>
      <c r="GP107" s="33" t="n"/>
      <c r="GQ107" s="33" t="n"/>
      <c r="GR107" s="33" t="n"/>
      <c r="GS107" s="33" t="n"/>
      <c r="GT107" s="33" t="n"/>
      <c r="GU107" s="33" t="n"/>
      <c r="GV107" s="33" t="n"/>
      <c r="GW107" s="33" t="n"/>
      <c r="GX107" s="33" t="n"/>
      <c r="GY107" s="33" t="n"/>
      <c r="GZ107" s="33" t="n"/>
      <c r="HA107" s="33" t="n"/>
      <c r="HB107" s="33" t="n"/>
      <c r="HC107" s="33" t="n"/>
      <c r="HD107" s="33" t="n"/>
      <c r="HE107" s="33" t="n"/>
      <c r="HF107" s="33" t="n"/>
      <c r="HG107" s="33" t="n"/>
      <c r="HH107" s="33" t="n"/>
      <c r="HI107" s="33" t="n"/>
      <c r="HJ107" s="33" t="n"/>
      <c r="HK107" s="33" t="n"/>
      <c r="HL107" s="33" t="n"/>
      <c r="HM107" s="33" t="n"/>
      <c r="HN107" s="33" t="n"/>
      <c r="HO107" s="33" t="n"/>
      <c r="HP107" s="33" t="n"/>
      <c r="HQ107" s="33" t="n"/>
      <c r="HR107" s="33" t="n"/>
      <c r="HS107" s="33" t="n"/>
      <c r="HT107" s="33" t="n"/>
      <c r="HU107" s="33" t="n"/>
      <c r="HV107" s="33" t="n"/>
      <c r="HW107" s="33" t="n"/>
      <c r="HX107" s="33" t="n"/>
      <c r="HY107" s="33" t="n"/>
      <c r="HZ107" s="33" t="n"/>
      <c r="IA107" s="33" t="n"/>
      <c r="IB107" s="33" t="n"/>
      <c r="IC107" s="33" t="n"/>
      <c r="ID107" s="33" t="n"/>
      <c r="IE107" s="33" t="n"/>
      <c r="IF107" s="33" t="n"/>
      <c r="IG107" s="33" t="n"/>
      <c r="IH107" s="33" t="n"/>
      <c r="II107" s="33" t="n"/>
      <c r="IJ107" s="33" t="n"/>
      <c r="IK107" s="33" t="n"/>
      <c r="IL107" s="33" t="n"/>
      <c r="IM107" s="33" t="n"/>
      <c r="IN107" s="33" t="n"/>
      <c r="IO107" s="33" t="n"/>
      <c r="IP107" s="33" t="n"/>
      <c r="IQ107" s="33" t="n"/>
      <c r="IR107" s="33" t="n"/>
      <c r="IS107" s="33" t="n"/>
      <c r="IT107" s="33" t="n"/>
      <c r="IU107" s="33" t="n"/>
      <c r="IV107" s="33" t="n"/>
      <c r="IW107" s="33" t="n"/>
      <c r="IX107" s="33" t="n"/>
      <c r="IY107" s="33" t="n"/>
      <c r="IZ107" s="33" t="n"/>
      <c r="JA107" s="33" t="n"/>
      <c r="JB107" s="33" t="n"/>
      <c r="JC107" s="33" t="n"/>
      <c r="JD107" s="33" t="n"/>
      <c r="JE107" s="33" t="n"/>
      <c r="JF107" s="33" t="n"/>
      <c r="JG107" s="33" t="n"/>
      <c r="JH107" s="33" t="n"/>
      <c r="JI107" s="33" t="n"/>
      <c r="JJ107" s="33" t="n"/>
      <c r="JK107" s="33" t="n"/>
      <c r="JL107" s="33" t="n"/>
      <c r="JM107" s="33" t="n"/>
      <c r="JN107" s="33" t="n"/>
      <c r="JO107" s="33" t="n"/>
      <c r="JP107" s="33" t="n"/>
      <c r="JQ107" s="33" t="n"/>
      <c r="JR107" s="33" t="n"/>
      <c r="JS107" s="33" t="n"/>
      <c r="JT107" s="33" t="n"/>
      <c r="JU107" s="33" t="n"/>
      <c r="JV107" s="33" t="n"/>
      <c r="JW107" s="33" t="n"/>
      <c r="JX107" s="33" t="n"/>
      <c r="JY107" s="33" t="n"/>
      <c r="JZ107" s="33" t="n"/>
      <c r="KA107" s="33" t="n"/>
      <c r="KB107" s="33" t="n"/>
      <c r="KC107" s="33" t="n"/>
      <c r="KD107" s="33" t="n"/>
      <c r="KE107" s="33" t="n"/>
      <c r="KF107" s="33" t="n"/>
      <c r="KG107" s="33" t="n"/>
      <c r="KH107" s="33" t="n"/>
      <c r="KI107" s="33" t="n"/>
      <c r="KJ107" s="33" t="n"/>
      <c r="KK107" s="33" t="n"/>
      <c r="KL107" s="33" t="n"/>
      <c r="KM107" s="33" t="n"/>
      <c r="KN107" s="33" t="n"/>
      <c r="KO107" s="33" t="n"/>
      <c r="KP107" s="33" t="n"/>
      <c r="KQ107" s="33" t="n"/>
      <c r="KR107" s="33" t="n"/>
      <c r="KS107" s="33" t="n"/>
      <c r="KT107" s="33" t="n"/>
      <c r="KU107" s="33" t="n"/>
      <c r="KV107" s="33" t="n"/>
      <c r="KW107" s="33" t="n"/>
      <c r="KX107" s="33" t="n"/>
      <c r="KY107" s="33" t="n"/>
      <c r="KZ107" s="33" t="n"/>
      <c r="LA107" s="33" t="n"/>
      <c r="LB107" s="33" t="n"/>
      <c r="LC107" s="33" t="n"/>
      <c r="LD107" s="33" t="n"/>
      <c r="LE107" s="33" t="n"/>
      <c r="LF107" s="33" t="n"/>
      <c r="LG107" s="33" t="n"/>
      <c r="LH107" s="33" t="n"/>
      <c r="LI107" s="33" t="n"/>
      <c r="LJ107" s="33" t="n"/>
      <c r="LK107" s="33" t="n"/>
      <c r="LL107" s="33" t="n"/>
      <c r="LM107" s="33" t="n"/>
      <c r="LN107" s="33" t="n"/>
      <c r="LO107" s="33" t="n"/>
      <c r="LP107" s="33" t="n"/>
      <c r="LQ107" s="33" t="n"/>
      <c r="LR107" s="33" t="n"/>
      <c r="LS107" s="33" t="n"/>
      <c r="LT107" s="33" t="n"/>
      <c r="LU107" s="33" t="n"/>
      <c r="LV107" s="33" t="n"/>
      <c r="LW107" s="33" t="n"/>
      <c r="LX107" s="33" t="n"/>
      <c r="LY107" s="33" t="n"/>
      <c r="LZ107" s="33" t="n"/>
      <c r="MA107" s="33" t="n"/>
      <c r="MB107" s="33" t="n"/>
      <c r="MC107" s="33" t="n"/>
      <c r="MD107" s="33" t="n"/>
      <c r="ME107" s="33" t="n"/>
      <c r="MF107" s="33" t="n"/>
      <c r="MG107" s="33" t="n"/>
      <c r="MH107" s="33" t="n"/>
      <c r="MI107" s="33" t="n"/>
      <c r="MJ107" s="33" t="n"/>
      <c r="MK107" s="33" t="n"/>
      <c r="ML107" s="33" t="n"/>
      <c r="MM107" s="33" t="n"/>
      <c r="MN107" s="33" t="n"/>
      <c r="MO107" s="33" t="n"/>
      <c r="MP107" s="33" t="n"/>
      <c r="MQ107" s="33" t="n"/>
      <c r="MR107" s="33" t="n"/>
      <c r="MS107" s="33" t="n"/>
      <c r="MT107" s="33" t="n"/>
      <c r="MU107" s="33" t="n"/>
      <c r="MV107" s="33" t="n"/>
      <c r="MW107" s="33" t="n"/>
      <c r="MX107" s="33" t="n"/>
      <c r="MY107" s="33" t="n"/>
      <c r="MZ107" s="33" t="n"/>
      <c r="NA107" s="33" t="n"/>
      <c r="NB107" s="33" t="n"/>
      <c r="NC107" s="33" t="n"/>
      <c r="ND107" s="33" t="n"/>
      <c r="NE107" s="33" t="n"/>
      <c r="NF107" s="33" t="n"/>
      <c r="NG107" s="33" t="n"/>
      <c r="NH107" s="33" t="n"/>
      <c r="NI107" s="33" t="n"/>
      <c r="NJ107" s="33" t="n"/>
      <c r="NK107" s="33" t="n"/>
      <c r="NL107" s="33" t="n"/>
      <c r="NM107" s="33" t="n"/>
      <c r="NN107" s="33" t="n"/>
      <c r="NO107" s="33" t="n"/>
      <c r="NP107" s="33" t="n"/>
      <c r="NQ107" s="33" t="n"/>
      <c r="NR107" s="33" t="n"/>
      <c r="NS107" s="33" t="n"/>
      <c r="NT107" s="33" t="n"/>
      <c r="NU107" s="33" t="n"/>
      <c r="NV107" s="33" t="n"/>
      <c r="NW107" s="33" t="n"/>
      <c r="NX107" s="33" t="n"/>
      <c r="NY107" s="33" t="n"/>
      <c r="NZ107" s="33" t="n"/>
      <c r="OA107" s="33" t="n"/>
      <c r="OB107" s="33" t="n"/>
      <c r="OC107" s="33" t="n"/>
      <c r="OD107" s="33" t="n"/>
      <c r="OE107" s="33" t="n"/>
      <c r="OF107" s="33" t="n"/>
      <c r="OG107" s="33" t="n"/>
      <c r="OH107" s="33" t="n"/>
      <c r="OI107" s="33" t="n"/>
      <c r="OJ107" s="33" t="n"/>
      <c r="OK107" s="33" t="n"/>
      <c r="OL107" s="33" t="n"/>
      <c r="OM107" s="33" t="n"/>
      <c r="ON107" s="33" t="n"/>
      <c r="OO107" s="33" t="n"/>
      <c r="OP107" s="33" t="n"/>
      <c r="OQ107" s="33" t="n"/>
      <c r="OR107" s="33" t="n"/>
      <c r="OS107" s="33" t="n"/>
      <c r="OT107" s="33" t="n"/>
      <c r="OU107" s="33" t="n"/>
      <c r="OV107" s="33" t="n"/>
      <c r="OW107" s="33" t="n"/>
      <c r="OX107" s="33" t="n"/>
      <c r="OY107" s="33" t="n"/>
      <c r="OZ107" s="33" t="n"/>
      <c r="PA107" s="33" t="n"/>
      <c r="PB107" s="33" t="n"/>
      <c r="PC107" s="33" t="n"/>
      <c r="PD107" s="33" t="n"/>
      <c r="PE107" s="33" t="n"/>
      <c r="PF107" s="33" t="n"/>
      <c r="PG107" s="33" t="n"/>
      <c r="PH107" s="33" t="n"/>
      <c r="PI107" s="33" t="n"/>
      <c r="PJ107" s="33" t="n"/>
      <c r="PK107" s="33" t="n"/>
      <c r="PL107" s="33" t="n"/>
      <c r="PM107" s="33" t="n"/>
      <c r="PN107" s="33" t="n"/>
      <c r="PO107" s="33" t="n"/>
      <c r="PP107" s="33" t="n"/>
      <c r="PQ107" s="33" t="n"/>
      <c r="PR107" s="33" t="n"/>
      <c r="PS107" s="33" t="n"/>
      <c r="PT107" s="33" t="n"/>
      <c r="PU107" s="33" t="n"/>
      <c r="PV107" s="33" t="n"/>
      <c r="PW107" s="33" t="n"/>
      <c r="PX107" s="33" t="n"/>
      <c r="PY107" s="33" t="n"/>
      <c r="PZ107" s="33" t="n"/>
      <c r="QA107" s="33" t="n"/>
      <c r="QB107" s="33" t="n"/>
      <c r="QC107" s="33" t="n"/>
      <c r="QD107" s="33" t="n"/>
      <c r="QE107" s="33" t="n"/>
      <c r="QF107" s="33" t="n"/>
      <c r="QG107" s="33" t="n"/>
      <c r="QH107" s="33" t="n"/>
      <c r="QI107" s="33" t="n"/>
      <c r="QJ107" s="33" t="n"/>
      <c r="QK107" s="33" t="n"/>
      <c r="QL107" s="33" t="n"/>
      <c r="QM107" s="33" t="n"/>
      <c r="QN107" s="33" t="n"/>
      <c r="QO107" s="33" t="n"/>
      <c r="QP107" s="33" t="n"/>
      <c r="QQ107" s="33" t="n"/>
      <c r="QR107" s="33" t="n"/>
      <c r="QS107" s="33" t="n"/>
      <c r="QT107" s="33" t="n"/>
      <c r="QU107" s="33" t="n"/>
      <c r="QV107" s="33" t="n"/>
      <c r="QW107" s="33" t="n"/>
      <c r="QX107" s="33" t="n"/>
      <c r="QY107" s="33" t="n"/>
      <c r="QZ107" s="33" t="n"/>
      <c r="RA107" s="33" t="n"/>
      <c r="RB107" s="33" t="n"/>
      <c r="RC107" s="33" t="n"/>
      <c r="RD107" s="33" t="n"/>
      <c r="RE107" s="33" t="n"/>
      <c r="RF107" s="33" t="n"/>
      <c r="RG107" s="33" t="n"/>
      <c r="RH107" s="33" t="n"/>
      <c r="RI107" s="33" t="n"/>
      <c r="RJ107" s="33" t="n"/>
      <c r="RK107" s="33" t="n"/>
      <c r="RL107" s="33" t="n"/>
      <c r="RM107" s="33" t="n"/>
      <c r="RN107" s="33" t="n"/>
      <c r="RO107" s="33" t="n"/>
      <c r="RP107" s="33" t="n"/>
      <c r="RQ107" s="33" t="n"/>
      <c r="RR107" s="33" t="n"/>
      <c r="RS107" s="33" t="n"/>
      <c r="RT107" s="33" t="n"/>
      <c r="RU107" s="33" t="n"/>
      <c r="RV107" s="33" t="n"/>
      <c r="RW107" s="33" t="n"/>
    </row>
    <row r="108" ht="13.05" customHeight="1">
      <c r="E108" s="21" t="inlineStr">
        <is>
          <t>Cash After Sweep</t>
        </is>
      </c>
      <c r="F108" s="29" t="n"/>
      <c r="G108" s="29" t="inlineStr">
        <is>
          <t>kEUR</t>
        </is>
      </c>
      <c r="H108" s="29" t="n"/>
      <c r="I108" s="29" t="n"/>
      <c r="J108" s="32" t="n"/>
      <c r="K108" s="29" t="n"/>
      <c r="L108" s="33" t="n"/>
      <c r="M108" s="33" t="n"/>
      <c r="N108" s="33" t="n"/>
      <c r="O108" s="33" t="n"/>
      <c r="P108" s="33" t="n"/>
      <c r="Q108" s="33" t="n"/>
      <c r="R108" s="33" t="n"/>
      <c r="S108" s="33" t="n"/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  <c r="AE108" s="33" t="n"/>
      <c r="AF108" s="33" t="n"/>
      <c r="AG108" s="33" t="n"/>
      <c r="AH108" s="33" t="n"/>
      <c r="AI108" s="33" t="n"/>
      <c r="AJ108" s="33" t="n"/>
      <c r="AK108" s="33" t="n"/>
      <c r="AL108" s="33" t="n"/>
      <c r="AM108" s="33" t="n"/>
      <c r="AN108" s="33" t="n"/>
      <c r="AO108" s="33" t="n"/>
      <c r="AP108" s="33" t="n"/>
      <c r="AQ108" s="33" t="n"/>
      <c r="AR108" s="33" t="n"/>
      <c r="AS108" s="33" t="n"/>
      <c r="AT108" s="33" t="n"/>
      <c r="AU108" s="33" t="n"/>
      <c r="AV108" s="33" t="n"/>
      <c r="AW108" s="33" t="n"/>
      <c r="AX108" s="33" t="n"/>
      <c r="AY108" s="33" t="n"/>
      <c r="AZ108" s="33" t="n"/>
      <c r="BA108" s="33" t="n"/>
      <c r="BB108" s="33" t="n"/>
      <c r="BC108" s="33" t="n"/>
      <c r="BD108" s="33" t="n"/>
      <c r="BE108" s="33" t="n"/>
      <c r="BF108" s="33" t="n"/>
      <c r="BG108" s="33" t="n"/>
      <c r="BH108" s="33" t="n"/>
      <c r="BI108" s="33" t="n"/>
      <c r="BJ108" s="33" t="n"/>
      <c r="BK108" s="33" t="n"/>
      <c r="BL108" s="33" t="n"/>
      <c r="BM108" s="33" t="n"/>
      <c r="BN108" s="33" t="n"/>
      <c r="BO108" s="33" t="n"/>
      <c r="BP108" s="33" t="n"/>
      <c r="BQ108" s="33" t="n"/>
      <c r="BR108" s="33" t="n"/>
      <c r="BS108" s="33" t="n"/>
      <c r="BT108" s="33" t="n"/>
      <c r="BU108" s="33" t="n"/>
      <c r="BV108" s="33" t="n"/>
      <c r="BW108" s="33" t="n"/>
      <c r="BX108" s="33" t="n"/>
      <c r="BY108" s="33" t="n"/>
      <c r="BZ108" s="33" t="n"/>
      <c r="CA108" s="33" t="n"/>
      <c r="CB108" s="33" t="n"/>
      <c r="CC108" s="33" t="n"/>
      <c r="CD108" s="33" t="n"/>
      <c r="CE108" s="33" t="n"/>
      <c r="CF108" s="33" t="n"/>
      <c r="CG108" s="33" t="n"/>
      <c r="CH108" s="33" t="n"/>
      <c r="CI108" s="33" t="n"/>
      <c r="CJ108" s="33" t="n"/>
      <c r="CK108" s="33" t="n"/>
      <c r="CL108" s="33" t="n"/>
      <c r="CM108" s="33" t="n"/>
      <c r="CN108" s="33" t="n"/>
      <c r="CO108" s="33" t="n"/>
      <c r="CP108" s="33" t="n"/>
      <c r="CQ108" s="33" t="n"/>
      <c r="CR108" s="33" t="n"/>
      <c r="CS108" s="33" t="n"/>
      <c r="CT108" s="33" t="n"/>
      <c r="CU108" s="33" t="n"/>
      <c r="CV108" s="33" t="n"/>
      <c r="CW108" s="33" t="n"/>
      <c r="CX108" s="33" t="n"/>
      <c r="CY108" s="33" t="n"/>
      <c r="CZ108" s="33" t="n"/>
      <c r="DA108" s="33" t="n"/>
      <c r="DB108" s="33" t="n"/>
      <c r="DC108" s="33" t="n"/>
      <c r="DD108" s="33" t="n"/>
      <c r="DE108" s="33" t="n"/>
      <c r="DF108" s="33" t="n"/>
      <c r="DG108" s="33" t="n"/>
      <c r="DH108" s="33" t="n"/>
      <c r="DI108" s="33" t="n"/>
      <c r="DJ108" s="33" t="n"/>
      <c r="DK108" s="33" t="n"/>
      <c r="DL108" s="33" t="n"/>
      <c r="DM108" s="33" t="n"/>
      <c r="DN108" s="33" t="n"/>
      <c r="DO108" s="33" t="n"/>
      <c r="DP108" s="33" t="n"/>
      <c r="DQ108" s="33" t="n"/>
      <c r="DR108" s="33" t="n"/>
      <c r="DS108" s="33" t="n"/>
      <c r="DT108" s="33" t="n"/>
      <c r="DU108" s="33" t="n"/>
      <c r="DV108" s="33" t="n"/>
      <c r="DW108" s="33" t="n"/>
      <c r="DX108" s="33" t="n"/>
      <c r="DY108" s="33" t="n"/>
      <c r="DZ108" s="33" t="n"/>
      <c r="EA108" s="33" t="n"/>
      <c r="EB108" s="33" t="n"/>
      <c r="EC108" s="33" t="n"/>
      <c r="ED108" s="33" t="n"/>
      <c r="EE108" s="33" t="n"/>
      <c r="EF108" s="33" t="n"/>
      <c r="EG108" s="33" t="n"/>
      <c r="EH108" s="33" t="n"/>
      <c r="EI108" s="33" t="n"/>
      <c r="EJ108" s="33" t="n"/>
      <c r="EK108" s="33" t="n"/>
      <c r="EL108" s="33" t="n"/>
      <c r="EM108" s="33" t="n"/>
      <c r="EN108" s="33" t="n"/>
      <c r="EO108" s="33" t="n"/>
      <c r="EP108" s="33" t="n"/>
      <c r="EQ108" s="33" t="n"/>
      <c r="ER108" s="33" t="n"/>
      <c r="ES108" s="33" t="n"/>
      <c r="ET108" s="33" t="n"/>
      <c r="EU108" s="33" t="n"/>
      <c r="EV108" s="33" t="n"/>
      <c r="EW108" s="33" t="n"/>
      <c r="EX108" s="33" t="n"/>
      <c r="EY108" s="33" t="n"/>
      <c r="EZ108" s="33" t="n"/>
      <c r="FA108" s="33" t="n"/>
      <c r="FB108" s="33" t="n"/>
      <c r="FC108" s="33" t="n"/>
      <c r="FD108" s="33" t="n"/>
      <c r="FE108" s="33" t="n"/>
      <c r="FF108" s="33" t="n"/>
      <c r="FG108" s="33" t="n"/>
      <c r="FH108" s="33" t="n"/>
      <c r="FI108" s="33" t="n"/>
      <c r="FJ108" s="33" t="n"/>
      <c r="FK108" s="33" t="n"/>
      <c r="FL108" s="33" t="n"/>
      <c r="FM108" s="33" t="n"/>
      <c r="FN108" s="33" t="n"/>
      <c r="FO108" s="33" t="n"/>
      <c r="FP108" s="33" t="n"/>
      <c r="FQ108" s="33" t="n"/>
      <c r="FR108" s="33" t="n"/>
      <c r="FS108" s="33" t="n"/>
      <c r="FT108" s="33" t="n"/>
      <c r="FU108" s="33" t="n"/>
      <c r="FV108" s="33" t="n"/>
      <c r="FW108" s="33" t="n"/>
      <c r="FX108" s="33" t="n"/>
      <c r="FY108" s="33" t="n"/>
      <c r="FZ108" s="33" t="n"/>
      <c r="GA108" s="33" t="n"/>
      <c r="GB108" s="33" t="n"/>
      <c r="GC108" s="33" t="n"/>
      <c r="GD108" s="33" t="n"/>
      <c r="GE108" s="33" t="n"/>
      <c r="GF108" s="33" t="n"/>
      <c r="GG108" s="33" t="n"/>
      <c r="GH108" s="33" t="n"/>
      <c r="GI108" s="33" t="n"/>
      <c r="GJ108" s="33" t="n"/>
      <c r="GK108" s="33" t="n"/>
      <c r="GL108" s="33" t="n"/>
      <c r="GM108" s="33" t="n"/>
      <c r="GN108" s="33" t="n"/>
      <c r="GO108" s="33" t="n"/>
      <c r="GP108" s="33" t="n"/>
      <c r="GQ108" s="33" t="n"/>
      <c r="GR108" s="33" t="n"/>
      <c r="GS108" s="33" t="n"/>
      <c r="GT108" s="33" t="n"/>
      <c r="GU108" s="33" t="n"/>
      <c r="GV108" s="33" t="n"/>
      <c r="GW108" s="33" t="n"/>
      <c r="GX108" s="33" t="n"/>
      <c r="GY108" s="33" t="n"/>
      <c r="GZ108" s="33" t="n"/>
      <c r="HA108" s="33" t="n"/>
      <c r="HB108" s="33" t="n"/>
      <c r="HC108" s="33" t="n"/>
      <c r="HD108" s="33" t="n"/>
      <c r="HE108" s="33" t="n"/>
      <c r="HF108" s="33" t="n"/>
      <c r="HG108" s="33" t="n"/>
      <c r="HH108" s="33" t="n"/>
      <c r="HI108" s="33" t="n"/>
      <c r="HJ108" s="33" t="n"/>
      <c r="HK108" s="33" t="n"/>
      <c r="HL108" s="33" t="n"/>
      <c r="HM108" s="33" t="n"/>
      <c r="HN108" s="33" t="n"/>
      <c r="HO108" s="33" t="n"/>
      <c r="HP108" s="33" t="n"/>
      <c r="HQ108" s="33" t="n"/>
      <c r="HR108" s="33" t="n"/>
      <c r="HS108" s="33" t="n"/>
      <c r="HT108" s="33" t="n"/>
      <c r="HU108" s="33" t="n"/>
      <c r="HV108" s="33" t="n"/>
      <c r="HW108" s="33" t="n"/>
      <c r="HX108" s="33" t="n"/>
      <c r="HY108" s="33" t="n"/>
      <c r="HZ108" s="33" t="n"/>
      <c r="IA108" s="33" t="n"/>
      <c r="IB108" s="33" t="n"/>
      <c r="IC108" s="33" t="n"/>
      <c r="ID108" s="33" t="n"/>
      <c r="IE108" s="33" t="n"/>
      <c r="IF108" s="33" t="n"/>
      <c r="IG108" s="33" t="n"/>
      <c r="IH108" s="33" t="n"/>
      <c r="II108" s="33" t="n"/>
      <c r="IJ108" s="33" t="n"/>
      <c r="IK108" s="33" t="n"/>
      <c r="IL108" s="33" t="n"/>
      <c r="IM108" s="33" t="n"/>
      <c r="IN108" s="33" t="n"/>
      <c r="IO108" s="33" t="n"/>
      <c r="IP108" s="33" t="n"/>
      <c r="IQ108" s="33" t="n"/>
      <c r="IR108" s="33" t="n"/>
      <c r="IS108" s="33" t="n"/>
      <c r="IT108" s="33" t="n"/>
      <c r="IU108" s="33" t="n"/>
      <c r="IV108" s="33" t="n"/>
      <c r="IW108" s="33" t="n"/>
      <c r="IX108" s="33" t="n"/>
      <c r="IY108" s="33" t="n"/>
      <c r="IZ108" s="33" t="n"/>
      <c r="JA108" s="33" t="n"/>
      <c r="JB108" s="33" t="n"/>
      <c r="JC108" s="33" t="n"/>
      <c r="JD108" s="33" t="n"/>
      <c r="JE108" s="33" t="n"/>
      <c r="JF108" s="33" t="n"/>
      <c r="JG108" s="33" t="n"/>
      <c r="JH108" s="33" t="n"/>
      <c r="JI108" s="33" t="n"/>
      <c r="JJ108" s="33" t="n"/>
      <c r="JK108" s="33" t="n"/>
      <c r="JL108" s="33" t="n"/>
      <c r="JM108" s="33" t="n"/>
      <c r="JN108" s="33" t="n"/>
      <c r="JO108" s="33" t="n"/>
      <c r="JP108" s="33" t="n"/>
      <c r="JQ108" s="33" t="n"/>
      <c r="JR108" s="33" t="n"/>
      <c r="JS108" s="33" t="n"/>
      <c r="JT108" s="33" t="n"/>
      <c r="JU108" s="33" t="n"/>
      <c r="JV108" s="33" t="n"/>
      <c r="JW108" s="33" t="n"/>
      <c r="JX108" s="33" t="n"/>
      <c r="JY108" s="33" t="n"/>
      <c r="JZ108" s="33" t="n"/>
      <c r="KA108" s="33" t="n"/>
      <c r="KB108" s="33" t="n"/>
      <c r="KC108" s="33" t="n"/>
      <c r="KD108" s="33" t="n"/>
      <c r="KE108" s="33" t="n"/>
      <c r="KF108" s="33" t="n"/>
      <c r="KG108" s="33" t="n"/>
      <c r="KH108" s="33" t="n"/>
      <c r="KI108" s="33" t="n"/>
      <c r="KJ108" s="33" t="n"/>
      <c r="KK108" s="33" t="n"/>
      <c r="KL108" s="33" t="n"/>
      <c r="KM108" s="33" t="n"/>
      <c r="KN108" s="33" t="n"/>
      <c r="KO108" s="33" t="n"/>
      <c r="KP108" s="33" t="n"/>
      <c r="KQ108" s="33" t="n"/>
      <c r="KR108" s="33" t="n"/>
      <c r="KS108" s="33" t="n"/>
      <c r="KT108" s="33" t="n"/>
      <c r="KU108" s="33" t="n"/>
      <c r="KV108" s="33" t="n"/>
      <c r="KW108" s="33" t="n"/>
      <c r="KX108" s="33" t="n"/>
      <c r="KY108" s="33" t="n"/>
      <c r="KZ108" s="33" t="n"/>
      <c r="LA108" s="33" t="n"/>
      <c r="LB108" s="33" t="n"/>
      <c r="LC108" s="33" t="n"/>
      <c r="LD108" s="33" t="n"/>
      <c r="LE108" s="33" t="n"/>
      <c r="LF108" s="33" t="n"/>
      <c r="LG108" s="33" t="n"/>
      <c r="LH108" s="33" t="n"/>
      <c r="LI108" s="33" t="n"/>
      <c r="LJ108" s="33" t="n"/>
      <c r="LK108" s="33" t="n"/>
      <c r="LL108" s="33" t="n"/>
      <c r="LM108" s="33" t="n"/>
      <c r="LN108" s="33" t="n"/>
      <c r="LO108" s="33" t="n"/>
      <c r="LP108" s="33" t="n"/>
      <c r="LQ108" s="33" t="n"/>
      <c r="LR108" s="33" t="n"/>
      <c r="LS108" s="33" t="n"/>
      <c r="LT108" s="33" t="n"/>
      <c r="LU108" s="33" t="n"/>
      <c r="LV108" s="33" t="n"/>
      <c r="LW108" s="33" t="n"/>
      <c r="LX108" s="33" t="n"/>
      <c r="LY108" s="33" t="n"/>
      <c r="LZ108" s="33" t="n"/>
      <c r="MA108" s="33" t="n"/>
      <c r="MB108" s="33" t="n"/>
      <c r="MC108" s="33" t="n"/>
      <c r="MD108" s="33" t="n"/>
      <c r="ME108" s="33" t="n"/>
      <c r="MF108" s="33" t="n"/>
      <c r="MG108" s="33" t="n"/>
      <c r="MH108" s="33" t="n"/>
      <c r="MI108" s="33" t="n"/>
      <c r="MJ108" s="33" t="n"/>
      <c r="MK108" s="33" t="n"/>
      <c r="ML108" s="33" t="n"/>
      <c r="MM108" s="33" t="n"/>
      <c r="MN108" s="33" t="n"/>
      <c r="MO108" s="33" t="n"/>
      <c r="MP108" s="33" t="n"/>
      <c r="MQ108" s="33" t="n"/>
      <c r="MR108" s="33" t="n"/>
      <c r="MS108" s="33" t="n"/>
      <c r="MT108" s="33" t="n"/>
      <c r="MU108" s="33" t="n"/>
      <c r="MV108" s="33" t="n"/>
      <c r="MW108" s="33" t="n"/>
      <c r="MX108" s="33" t="n"/>
      <c r="MY108" s="33" t="n"/>
      <c r="MZ108" s="33" t="n"/>
      <c r="NA108" s="33" t="n"/>
      <c r="NB108" s="33" t="n"/>
      <c r="NC108" s="33" t="n"/>
      <c r="ND108" s="33" t="n"/>
      <c r="NE108" s="33" t="n"/>
      <c r="NF108" s="33" t="n"/>
      <c r="NG108" s="33" t="n"/>
      <c r="NH108" s="33" t="n"/>
      <c r="NI108" s="33" t="n"/>
      <c r="NJ108" s="33" t="n"/>
      <c r="NK108" s="33" t="n"/>
      <c r="NL108" s="33" t="n"/>
      <c r="NM108" s="33" t="n"/>
      <c r="NN108" s="33" t="n"/>
      <c r="NO108" s="33" t="n"/>
      <c r="NP108" s="33" t="n"/>
      <c r="NQ108" s="33" t="n"/>
      <c r="NR108" s="33" t="n"/>
      <c r="NS108" s="33" t="n"/>
      <c r="NT108" s="33" t="n"/>
      <c r="NU108" s="33" t="n"/>
      <c r="NV108" s="33" t="n"/>
      <c r="NW108" s="33" t="n"/>
      <c r="NX108" s="33" t="n"/>
      <c r="NY108" s="33" t="n"/>
      <c r="NZ108" s="33" t="n"/>
      <c r="OA108" s="33" t="n"/>
      <c r="OB108" s="33" t="n"/>
      <c r="OC108" s="33" t="n"/>
      <c r="OD108" s="33" t="n"/>
      <c r="OE108" s="33" t="n"/>
      <c r="OF108" s="33" t="n"/>
      <c r="OG108" s="33" t="n"/>
      <c r="OH108" s="33" t="n"/>
      <c r="OI108" s="33" t="n"/>
      <c r="OJ108" s="33" t="n"/>
      <c r="OK108" s="33" t="n"/>
      <c r="OL108" s="33" t="n"/>
      <c r="OM108" s="33" t="n"/>
      <c r="ON108" s="33" t="n"/>
      <c r="OO108" s="33" t="n"/>
      <c r="OP108" s="33" t="n"/>
      <c r="OQ108" s="33" t="n"/>
      <c r="OR108" s="33" t="n"/>
      <c r="OS108" s="33" t="n"/>
      <c r="OT108" s="33" t="n"/>
      <c r="OU108" s="33" t="n"/>
      <c r="OV108" s="33" t="n"/>
      <c r="OW108" s="33" t="n"/>
      <c r="OX108" s="33" t="n"/>
      <c r="OY108" s="33" t="n"/>
      <c r="OZ108" s="33" t="n"/>
      <c r="PA108" s="33" t="n"/>
      <c r="PB108" s="33" t="n"/>
      <c r="PC108" s="33" t="n"/>
      <c r="PD108" s="33" t="n"/>
      <c r="PE108" s="33" t="n"/>
      <c r="PF108" s="33" t="n"/>
      <c r="PG108" s="33" t="n"/>
      <c r="PH108" s="33" t="n"/>
      <c r="PI108" s="33" t="n"/>
      <c r="PJ108" s="33" t="n"/>
      <c r="PK108" s="33" t="n"/>
      <c r="PL108" s="33" t="n"/>
      <c r="PM108" s="33" t="n"/>
      <c r="PN108" s="33" t="n"/>
      <c r="PO108" s="33" t="n"/>
      <c r="PP108" s="33" t="n"/>
      <c r="PQ108" s="33" t="n"/>
      <c r="PR108" s="33" t="n"/>
      <c r="PS108" s="33" t="n"/>
      <c r="PT108" s="33" t="n"/>
      <c r="PU108" s="33" t="n"/>
      <c r="PV108" s="33" t="n"/>
      <c r="PW108" s="33" t="n"/>
      <c r="PX108" s="33" t="n"/>
      <c r="PY108" s="33" t="n"/>
      <c r="PZ108" s="33" t="n"/>
      <c r="QA108" s="33" t="n"/>
      <c r="QB108" s="33" t="n"/>
      <c r="QC108" s="33" t="n"/>
      <c r="QD108" s="33" t="n"/>
      <c r="QE108" s="33" t="n"/>
      <c r="QF108" s="33" t="n"/>
      <c r="QG108" s="33" t="n"/>
      <c r="QH108" s="33" t="n"/>
      <c r="QI108" s="33" t="n"/>
      <c r="QJ108" s="33" t="n"/>
      <c r="QK108" s="33" t="n"/>
      <c r="QL108" s="33" t="n"/>
      <c r="QM108" s="33" t="n"/>
      <c r="QN108" s="33" t="n"/>
      <c r="QO108" s="33" t="n"/>
      <c r="QP108" s="33" t="n"/>
      <c r="QQ108" s="33" t="n"/>
      <c r="QR108" s="33" t="n"/>
      <c r="QS108" s="33" t="n"/>
      <c r="QT108" s="33" t="n"/>
      <c r="QU108" s="33" t="n"/>
      <c r="QV108" s="33" t="n"/>
      <c r="QW108" s="33" t="n"/>
      <c r="QX108" s="33" t="n"/>
      <c r="QY108" s="33" t="n"/>
      <c r="QZ108" s="33" t="n"/>
      <c r="RA108" s="33" t="n"/>
      <c r="RB108" s="33" t="n"/>
      <c r="RC108" s="33" t="n"/>
      <c r="RD108" s="33" t="n"/>
      <c r="RE108" s="33" t="n"/>
      <c r="RF108" s="33" t="n"/>
      <c r="RG108" s="33" t="n"/>
      <c r="RH108" s="33" t="n"/>
      <c r="RI108" s="33" t="n"/>
      <c r="RJ108" s="33" t="n"/>
      <c r="RK108" s="33" t="n"/>
      <c r="RL108" s="33" t="n"/>
      <c r="RM108" s="33" t="n"/>
      <c r="RN108" s="33" t="n"/>
      <c r="RO108" s="33" t="n"/>
      <c r="RP108" s="33" t="n"/>
      <c r="RQ108" s="33" t="n"/>
      <c r="RR108" s="33" t="n"/>
      <c r="RS108" s="33" t="n"/>
      <c r="RT108" s="33" t="n"/>
      <c r="RU108" s="33" t="n"/>
      <c r="RV108" s="33" t="n"/>
      <c r="RW108" s="33" t="n"/>
    </row>
    <row r="109" ht="5.25" customHeight="1"/>
    <row r="110" ht="13.05" customHeight="1">
      <c r="E110" s="21" t="inlineStr">
        <is>
          <t>Bridge Interest</t>
        </is>
      </c>
      <c r="F110" s="29" t="n"/>
      <c r="G110" s="29" t="inlineStr">
        <is>
          <t>kEUR</t>
        </is>
      </c>
      <c r="H110" s="29" t="n"/>
      <c r="I110" s="29" t="n"/>
      <c r="J110" s="32" t="n"/>
      <c r="K110" s="29" t="n"/>
      <c r="L110" s="33" t="n"/>
      <c r="M110" s="33" t="n"/>
      <c r="N110" s="33" t="n"/>
      <c r="O110" s="33" t="n"/>
      <c r="P110" s="33" t="n"/>
      <c r="Q110" s="33" t="n"/>
      <c r="R110" s="33" t="n"/>
      <c r="S110" s="33" t="n"/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  <c r="AE110" s="33" t="n"/>
      <c r="AF110" s="33" t="n"/>
      <c r="AG110" s="33" t="n"/>
      <c r="AH110" s="33" t="n"/>
      <c r="AI110" s="33" t="n"/>
      <c r="AJ110" s="33" t="n"/>
      <c r="AK110" s="33" t="n"/>
      <c r="AL110" s="33" t="n"/>
      <c r="AM110" s="33" t="n"/>
      <c r="AN110" s="33" t="n"/>
      <c r="AO110" s="33" t="n"/>
      <c r="AP110" s="33" t="n"/>
      <c r="AQ110" s="33" t="n"/>
      <c r="AR110" s="33" t="n"/>
      <c r="AS110" s="33" t="n"/>
      <c r="AT110" s="33" t="n"/>
      <c r="AU110" s="33" t="n"/>
      <c r="AV110" s="33" t="n"/>
      <c r="AW110" s="33" t="n"/>
      <c r="AX110" s="33" t="n"/>
      <c r="AY110" s="33" t="n"/>
      <c r="AZ110" s="33" t="n"/>
      <c r="BA110" s="33" t="n"/>
      <c r="BB110" s="33" t="n"/>
      <c r="BC110" s="33" t="n"/>
      <c r="BD110" s="33" t="n"/>
      <c r="BE110" s="33" t="n"/>
      <c r="BF110" s="33" t="n"/>
      <c r="BG110" s="33" t="n"/>
      <c r="BH110" s="33" t="n"/>
      <c r="BI110" s="33" t="n"/>
      <c r="BJ110" s="33" t="n"/>
      <c r="BK110" s="33" t="n"/>
      <c r="BL110" s="33" t="n"/>
      <c r="BM110" s="33" t="n"/>
      <c r="BN110" s="33" t="n"/>
      <c r="BO110" s="33" t="n"/>
      <c r="BP110" s="33" t="n"/>
      <c r="BQ110" s="33" t="n"/>
      <c r="BR110" s="33" t="n"/>
      <c r="BS110" s="33" t="n"/>
      <c r="BT110" s="33" t="n"/>
      <c r="BU110" s="33" t="n"/>
      <c r="BV110" s="33" t="n"/>
      <c r="BW110" s="33" t="n"/>
      <c r="BX110" s="33" t="n"/>
      <c r="BY110" s="33" t="n"/>
      <c r="BZ110" s="33" t="n"/>
      <c r="CA110" s="33" t="n"/>
      <c r="CB110" s="33" t="n"/>
      <c r="CC110" s="33" t="n"/>
      <c r="CD110" s="33" t="n"/>
      <c r="CE110" s="33" t="n"/>
      <c r="CF110" s="33" t="n"/>
      <c r="CG110" s="33" t="n"/>
      <c r="CH110" s="33" t="n"/>
      <c r="CI110" s="33" t="n"/>
      <c r="CJ110" s="33" t="n"/>
      <c r="CK110" s="33" t="n"/>
      <c r="CL110" s="33" t="n"/>
      <c r="CM110" s="33" t="n"/>
      <c r="CN110" s="33" t="n"/>
      <c r="CO110" s="33" t="n"/>
      <c r="CP110" s="33" t="n"/>
      <c r="CQ110" s="33" t="n"/>
      <c r="CR110" s="33" t="n"/>
      <c r="CS110" s="33" t="n"/>
      <c r="CT110" s="33" t="n"/>
      <c r="CU110" s="33" t="n"/>
      <c r="CV110" s="33" t="n"/>
      <c r="CW110" s="33" t="n"/>
      <c r="CX110" s="33" t="n"/>
      <c r="CY110" s="33" t="n"/>
      <c r="CZ110" s="33" t="n"/>
      <c r="DA110" s="33" t="n"/>
      <c r="DB110" s="33" t="n"/>
      <c r="DC110" s="33" t="n"/>
      <c r="DD110" s="33" t="n"/>
      <c r="DE110" s="33" t="n"/>
      <c r="DF110" s="33" t="n"/>
      <c r="DG110" s="33" t="n"/>
      <c r="DH110" s="33" t="n"/>
      <c r="DI110" s="33" t="n"/>
      <c r="DJ110" s="33" t="n"/>
      <c r="DK110" s="33" t="n"/>
      <c r="DL110" s="33" t="n"/>
      <c r="DM110" s="33" t="n"/>
      <c r="DN110" s="33" t="n"/>
      <c r="DO110" s="33" t="n"/>
      <c r="DP110" s="33" t="n"/>
      <c r="DQ110" s="33" t="n"/>
      <c r="DR110" s="33" t="n"/>
      <c r="DS110" s="33" t="n"/>
      <c r="DT110" s="33" t="n"/>
      <c r="DU110" s="33" t="n"/>
      <c r="DV110" s="33" t="n"/>
      <c r="DW110" s="33" t="n"/>
      <c r="DX110" s="33" t="n"/>
      <c r="DY110" s="33" t="n"/>
      <c r="DZ110" s="33" t="n"/>
      <c r="EA110" s="33" t="n"/>
      <c r="EB110" s="33" t="n"/>
      <c r="EC110" s="33" t="n"/>
      <c r="ED110" s="33" t="n"/>
      <c r="EE110" s="33" t="n"/>
      <c r="EF110" s="33" t="n"/>
      <c r="EG110" s="33" t="n"/>
      <c r="EH110" s="33" t="n"/>
      <c r="EI110" s="33" t="n"/>
      <c r="EJ110" s="33" t="n"/>
      <c r="EK110" s="33" t="n"/>
      <c r="EL110" s="33" t="n"/>
      <c r="EM110" s="33" t="n"/>
      <c r="EN110" s="33" t="n"/>
      <c r="EO110" s="33" t="n"/>
      <c r="EP110" s="33" t="n"/>
      <c r="EQ110" s="33" t="n"/>
      <c r="ER110" s="33" t="n"/>
      <c r="ES110" s="33" t="n"/>
      <c r="ET110" s="33" t="n"/>
      <c r="EU110" s="33" t="n"/>
      <c r="EV110" s="33" t="n"/>
      <c r="EW110" s="33" t="n"/>
      <c r="EX110" s="33" t="n"/>
      <c r="EY110" s="33" t="n"/>
      <c r="EZ110" s="33" t="n"/>
      <c r="FA110" s="33" t="n"/>
      <c r="FB110" s="33" t="n"/>
      <c r="FC110" s="33" t="n"/>
      <c r="FD110" s="33" t="n"/>
      <c r="FE110" s="33" t="n"/>
      <c r="FF110" s="33" t="n"/>
      <c r="FG110" s="33" t="n"/>
      <c r="FH110" s="33" t="n"/>
      <c r="FI110" s="33" t="n"/>
      <c r="FJ110" s="33" t="n"/>
      <c r="FK110" s="33" t="n"/>
      <c r="FL110" s="33" t="n"/>
      <c r="FM110" s="33" t="n"/>
      <c r="FN110" s="33" t="n"/>
      <c r="FO110" s="33" t="n"/>
      <c r="FP110" s="33" t="n"/>
      <c r="FQ110" s="33" t="n"/>
      <c r="FR110" s="33" t="n"/>
      <c r="FS110" s="33" t="n"/>
      <c r="FT110" s="33" t="n"/>
      <c r="FU110" s="33" t="n"/>
      <c r="FV110" s="33" t="n"/>
      <c r="FW110" s="33" t="n"/>
      <c r="FX110" s="33" t="n"/>
      <c r="FY110" s="33" t="n"/>
      <c r="FZ110" s="33" t="n"/>
      <c r="GA110" s="33" t="n"/>
      <c r="GB110" s="33" t="n"/>
      <c r="GC110" s="33" t="n"/>
      <c r="GD110" s="33" t="n"/>
      <c r="GE110" s="33" t="n"/>
      <c r="GF110" s="33" t="n"/>
      <c r="GG110" s="33" t="n"/>
      <c r="GH110" s="33" t="n"/>
      <c r="GI110" s="33" t="n"/>
      <c r="GJ110" s="33" t="n"/>
      <c r="GK110" s="33" t="n"/>
      <c r="GL110" s="33" t="n"/>
      <c r="GM110" s="33" t="n"/>
      <c r="GN110" s="33" t="n"/>
      <c r="GO110" s="33" t="n"/>
      <c r="GP110" s="33" t="n"/>
      <c r="GQ110" s="33" t="n"/>
      <c r="GR110" s="33" t="n"/>
      <c r="GS110" s="33" t="n"/>
      <c r="GT110" s="33" t="n"/>
      <c r="GU110" s="33" t="n"/>
      <c r="GV110" s="33" t="n"/>
      <c r="GW110" s="33" t="n"/>
      <c r="GX110" s="33" t="n"/>
      <c r="GY110" s="33" t="n"/>
      <c r="GZ110" s="33" t="n"/>
      <c r="HA110" s="33" t="n"/>
      <c r="HB110" s="33" t="n"/>
      <c r="HC110" s="33" t="n"/>
      <c r="HD110" s="33" t="n"/>
      <c r="HE110" s="33" t="n"/>
      <c r="HF110" s="33" t="n"/>
      <c r="HG110" s="33" t="n"/>
      <c r="HH110" s="33" t="n"/>
      <c r="HI110" s="33" t="n"/>
      <c r="HJ110" s="33" t="n"/>
      <c r="HK110" s="33" t="n"/>
      <c r="HL110" s="33" t="n"/>
      <c r="HM110" s="33" t="n"/>
      <c r="HN110" s="33" t="n"/>
      <c r="HO110" s="33" t="n"/>
      <c r="HP110" s="33" t="n"/>
      <c r="HQ110" s="33" t="n"/>
      <c r="HR110" s="33" t="n"/>
      <c r="HS110" s="33" t="n"/>
      <c r="HT110" s="33" t="n"/>
      <c r="HU110" s="33" t="n"/>
      <c r="HV110" s="33" t="n"/>
      <c r="HW110" s="33" t="n"/>
      <c r="HX110" s="33" t="n"/>
      <c r="HY110" s="33" t="n"/>
      <c r="HZ110" s="33" t="n"/>
      <c r="IA110" s="33" t="n"/>
      <c r="IB110" s="33" t="n"/>
      <c r="IC110" s="33" t="n"/>
      <c r="ID110" s="33" t="n"/>
      <c r="IE110" s="33" t="n"/>
      <c r="IF110" s="33" t="n"/>
      <c r="IG110" s="33" t="n"/>
      <c r="IH110" s="33" t="n"/>
      <c r="II110" s="33" t="n"/>
      <c r="IJ110" s="33" t="n"/>
      <c r="IK110" s="33" t="n"/>
      <c r="IL110" s="33" t="n"/>
      <c r="IM110" s="33" t="n"/>
      <c r="IN110" s="33" t="n"/>
      <c r="IO110" s="33" t="n"/>
      <c r="IP110" s="33" t="n"/>
      <c r="IQ110" s="33" t="n"/>
      <c r="IR110" s="33" t="n"/>
      <c r="IS110" s="33" t="n"/>
      <c r="IT110" s="33" t="n"/>
      <c r="IU110" s="33" t="n"/>
      <c r="IV110" s="33" t="n"/>
      <c r="IW110" s="33" t="n"/>
      <c r="IX110" s="33" t="n"/>
      <c r="IY110" s="33" t="n"/>
      <c r="IZ110" s="33" t="n"/>
      <c r="JA110" s="33" t="n"/>
      <c r="JB110" s="33" t="n"/>
      <c r="JC110" s="33" t="n"/>
      <c r="JD110" s="33" t="n"/>
      <c r="JE110" s="33" t="n"/>
      <c r="JF110" s="33" t="n"/>
      <c r="JG110" s="33" t="n"/>
      <c r="JH110" s="33" t="n"/>
      <c r="JI110" s="33" t="n"/>
      <c r="JJ110" s="33" t="n"/>
      <c r="JK110" s="33" t="n"/>
      <c r="JL110" s="33" t="n"/>
      <c r="JM110" s="33" t="n"/>
      <c r="JN110" s="33" t="n"/>
      <c r="JO110" s="33" t="n"/>
      <c r="JP110" s="33" t="n"/>
      <c r="JQ110" s="33" t="n"/>
      <c r="JR110" s="33" t="n"/>
      <c r="JS110" s="33" t="n"/>
      <c r="JT110" s="33" t="n"/>
      <c r="JU110" s="33" t="n"/>
      <c r="JV110" s="33" t="n"/>
      <c r="JW110" s="33" t="n"/>
      <c r="JX110" s="33" t="n"/>
      <c r="JY110" s="33" t="n"/>
      <c r="JZ110" s="33" t="n"/>
      <c r="KA110" s="33" t="n"/>
      <c r="KB110" s="33" t="n"/>
      <c r="KC110" s="33" t="n"/>
      <c r="KD110" s="33" t="n"/>
      <c r="KE110" s="33" t="n"/>
      <c r="KF110" s="33" t="n"/>
      <c r="KG110" s="33" t="n"/>
      <c r="KH110" s="33" t="n"/>
      <c r="KI110" s="33" t="n"/>
      <c r="KJ110" s="33" t="n"/>
      <c r="KK110" s="33" t="n"/>
      <c r="KL110" s="33" t="n"/>
      <c r="KM110" s="33" t="n"/>
      <c r="KN110" s="33" t="n"/>
      <c r="KO110" s="33" t="n"/>
      <c r="KP110" s="33" t="n"/>
      <c r="KQ110" s="33" t="n"/>
      <c r="KR110" s="33" t="n"/>
      <c r="KS110" s="33" t="n"/>
      <c r="KT110" s="33" t="n"/>
      <c r="KU110" s="33" t="n"/>
      <c r="KV110" s="33" t="n"/>
      <c r="KW110" s="33" t="n"/>
      <c r="KX110" s="33" t="n"/>
      <c r="KY110" s="33" t="n"/>
      <c r="KZ110" s="33" t="n"/>
      <c r="LA110" s="33" t="n"/>
      <c r="LB110" s="33" t="n"/>
      <c r="LC110" s="33" t="n"/>
      <c r="LD110" s="33" t="n"/>
      <c r="LE110" s="33" t="n"/>
      <c r="LF110" s="33" t="n"/>
      <c r="LG110" s="33" t="n"/>
      <c r="LH110" s="33" t="n"/>
      <c r="LI110" s="33" t="n"/>
      <c r="LJ110" s="33" t="n"/>
      <c r="LK110" s="33" t="n"/>
      <c r="LL110" s="33" t="n"/>
      <c r="LM110" s="33" t="n"/>
      <c r="LN110" s="33" t="n"/>
      <c r="LO110" s="33" t="n"/>
      <c r="LP110" s="33" t="n"/>
      <c r="LQ110" s="33" t="n"/>
      <c r="LR110" s="33" t="n"/>
      <c r="LS110" s="33" t="n"/>
      <c r="LT110" s="33" t="n"/>
      <c r="LU110" s="33" t="n"/>
      <c r="LV110" s="33" t="n"/>
      <c r="LW110" s="33" t="n"/>
      <c r="LX110" s="33" t="n"/>
      <c r="LY110" s="33" t="n"/>
      <c r="LZ110" s="33" t="n"/>
      <c r="MA110" s="33" t="n"/>
      <c r="MB110" s="33" t="n"/>
      <c r="MC110" s="33" t="n"/>
      <c r="MD110" s="33" t="n"/>
      <c r="ME110" s="33" t="n"/>
      <c r="MF110" s="33" t="n"/>
      <c r="MG110" s="33" t="n"/>
      <c r="MH110" s="33" t="n"/>
      <c r="MI110" s="33" t="n"/>
      <c r="MJ110" s="33" t="n"/>
      <c r="MK110" s="33" t="n"/>
      <c r="ML110" s="33" t="n"/>
      <c r="MM110" s="33" t="n"/>
      <c r="MN110" s="33" t="n"/>
      <c r="MO110" s="33" t="n"/>
      <c r="MP110" s="33" t="n"/>
      <c r="MQ110" s="33" t="n"/>
      <c r="MR110" s="33" t="n"/>
      <c r="MS110" s="33" t="n"/>
      <c r="MT110" s="33" t="n"/>
      <c r="MU110" s="33" t="n"/>
      <c r="MV110" s="33" t="n"/>
      <c r="MW110" s="33" t="n"/>
      <c r="MX110" s="33" t="n"/>
      <c r="MY110" s="33" t="n"/>
      <c r="MZ110" s="33" t="n"/>
      <c r="NA110" s="33" t="n"/>
      <c r="NB110" s="33" t="n"/>
      <c r="NC110" s="33" t="n"/>
      <c r="ND110" s="33" t="n"/>
      <c r="NE110" s="33" t="n"/>
      <c r="NF110" s="33" t="n"/>
      <c r="NG110" s="33" t="n"/>
      <c r="NH110" s="33" t="n"/>
      <c r="NI110" s="33" t="n"/>
      <c r="NJ110" s="33" t="n"/>
      <c r="NK110" s="33" t="n"/>
      <c r="NL110" s="33" t="n"/>
      <c r="NM110" s="33" t="n"/>
      <c r="NN110" s="33" t="n"/>
      <c r="NO110" s="33" t="n"/>
      <c r="NP110" s="33" t="n"/>
      <c r="NQ110" s="33" t="n"/>
      <c r="NR110" s="33" t="n"/>
      <c r="NS110" s="33" t="n"/>
      <c r="NT110" s="33" t="n"/>
      <c r="NU110" s="33" t="n"/>
      <c r="NV110" s="33" t="n"/>
      <c r="NW110" s="33" t="n"/>
      <c r="NX110" s="33" t="n"/>
      <c r="NY110" s="33" t="n"/>
      <c r="NZ110" s="33" t="n"/>
      <c r="OA110" s="33" t="n"/>
      <c r="OB110" s="33" t="n"/>
      <c r="OC110" s="33" t="n"/>
      <c r="OD110" s="33" t="n"/>
      <c r="OE110" s="33" t="n"/>
      <c r="OF110" s="33" t="n"/>
      <c r="OG110" s="33" t="n"/>
      <c r="OH110" s="33" t="n"/>
      <c r="OI110" s="33" t="n"/>
      <c r="OJ110" s="33" t="n"/>
      <c r="OK110" s="33" t="n"/>
      <c r="OL110" s="33" t="n"/>
      <c r="OM110" s="33" t="n"/>
      <c r="ON110" s="33" t="n"/>
      <c r="OO110" s="33" t="n"/>
      <c r="OP110" s="33" t="n"/>
      <c r="OQ110" s="33" t="n"/>
      <c r="OR110" s="33" t="n"/>
      <c r="OS110" s="33" t="n"/>
      <c r="OT110" s="33" t="n"/>
      <c r="OU110" s="33" t="n"/>
      <c r="OV110" s="33" t="n"/>
      <c r="OW110" s="33" t="n"/>
      <c r="OX110" s="33" t="n"/>
      <c r="OY110" s="33" t="n"/>
      <c r="OZ110" s="33" t="n"/>
      <c r="PA110" s="33" t="n"/>
      <c r="PB110" s="33" t="n"/>
      <c r="PC110" s="33" t="n"/>
      <c r="PD110" s="33" t="n"/>
      <c r="PE110" s="33" t="n"/>
      <c r="PF110" s="33" t="n"/>
      <c r="PG110" s="33" t="n"/>
      <c r="PH110" s="33" t="n"/>
      <c r="PI110" s="33" t="n"/>
      <c r="PJ110" s="33" t="n"/>
      <c r="PK110" s="33" t="n"/>
      <c r="PL110" s="33" t="n"/>
      <c r="PM110" s="33" t="n"/>
      <c r="PN110" s="33" t="n"/>
      <c r="PO110" s="33" t="n"/>
      <c r="PP110" s="33" t="n"/>
      <c r="PQ110" s="33" t="n"/>
      <c r="PR110" s="33" t="n"/>
      <c r="PS110" s="33" t="n"/>
      <c r="PT110" s="33" t="n"/>
      <c r="PU110" s="33" t="n"/>
      <c r="PV110" s="33" t="n"/>
      <c r="PW110" s="33" t="n"/>
      <c r="PX110" s="33" t="n"/>
      <c r="PY110" s="33" t="n"/>
      <c r="PZ110" s="33" t="n"/>
      <c r="QA110" s="33" t="n"/>
      <c r="QB110" s="33" t="n"/>
      <c r="QC110" s="33" t="n"/>
      <c r="QD110" s="33" t="n"/>
      <c r="QE110" s="33" t="n"/>
      <c r="QF110" s="33" t="n"/>
      <c r="QG110" s="33" t="n"/>
      <c r="QH110" s="33" t="n"/>
      <c r="QI110" s="33" t="n"/>
      <c r="QJ110" s="33" t="n"/>
      <c r="QK110" s="33" t="n"/>
      <c r="QL110" s="33" t="n"/>
      <c r="QM110" s="33" t="n"/>
      <c r="QN110" s="33" t="n"/>
      <c r="QO110" s="33" t="n"/>
      <c r="QP110" s="33" t="n"/>
      <c r="QQ110" s="33" t="n"/>
      <c r="QR110" s="33" t="n"/>
      <c r="QS110" s="33" t="n"/>
      <c r="QT110" s="33" t="n"/>
      <c r="QU110" s="33" t="n"/>
      <c r="QV110" s="33" t="n"/>
      <c r="QW110" s="33" t="n"/>
      <c r="QX110" s="33" t="n"/>
      <c r="QY110" s="33" t="n"/>
      <c r="QZ110" s="33" t="n"/>
      <c r="RA110" s="33" t="n"/>
      <c r="RB110" s="33" t="n"/>
      <c r="RC110" s="33" t="n"/>
      <c r="RD110" s="33" t="n"/>
      <c r="RE110" s="33" t="n"/>
      <c r="RF110" s="33" t="n"/>
      <c r="RG110" s="33" t="n"/>
      <c r="RH110" s="33" t="n"/>
      <c r="RI110" s="33" t="n"/>
      <c r="RJ110" s="33" t="n"/>
      <c r="RK110" s="33" t="n"/>
      <c r="RL110" s="33" t="n"/>
      <c r="RM110" s="33" t="n"/>
      <c r="RN110" s="33" t="n"/>
      <c r="RO110" s="33" t="n"/>
      <c r="RP110" s="33" t="n"/>
      <c r="RQ110" s="33" t="n"/>
      <c r="RR110" s="33" t="n"/>
      <c r="RS110" s="33" t="n"/>
      <c r="RT110" s="33" t="n"/>
      <c r="RU110" s="33" t="n"/>
      <c r="RV110" s="33" t="n"/>
      <c r="RW110" s="33" t="n"/>
    </row>
    <row r="111" ht="13.05" customHeight="1">
      <c r="E111" s="21" t="inlineStr">
        <is>
          <t>Bridge Closing Balance</t>
        </is>
      </c>
      <c r="F111" s="29" t="n"/>
      <c r="G111" s="29" t="inlineStr">
        <is>
          <t>kEUR</t>
        </is>
      </c>
      <c r="H111" s="29" t="n"/>
      <c r="I111" s="29" t="n"/>
      <c r="J111" s="32" t="n"/>
      <c r="K111" s="29" t="n"/>
      <c r="L111" s="33" t="n"/>
      <c r="M111" s="33" t="n"/>
      <c r="N111" s="33" t="n"/>
      <c r="O111" s="33" t="n"/>
      <c r="P111" s="33" t="n"/>
      <c r="Q111" s="33" t="n"/>
      <c r="R111" s="33" t="n"/>
      <c r="S111" s="33" t="n"/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  <c r="AE111" s="33" t="n"/>
      <c r="AF111" s="33" t="n"/>
      <c r="AG111" s="33" t="n"/>
      <c r="AH111" s="33" t="n"/>
      <c r="AI111" s="33" t="n"/>
      <c r="AJ111" s="33" t="n"/>
      <c r="AK111" s="33" t="n"/>
      <c r="AL111" s="33" t="n"/>
      <c r="AM111" s="33" t="n"/>
      <c r="AN111" s="33" t="n"/>
      <c r="AO111" s="33" t="n"/>
      <c r="AP111" s="33" t="n"/>
      <c r="AQ111" s="33" t="n"/>
      <c r="AR111" s="33" t="n"/>
      <c r="AS111" s="33" t="n"/>
      <c r="AT111" s="33" t="n"/>
      <c r="AU111" s="33" t="n"/>
      <c r="AV111" s="33" t="n"/>
      <c r="AW111" s="33" t="n"/>
      <c r="AX111" s="33" t="n"/>
      <c r="AY111" s="33" t="n"/>
      <c r="AZ111" s="33" t="n"/>
      <c r="BA111" s="33" t="n"/>
      <c r="BB111" s="33" t="n"/>
      <c r="BC111" s="33" t="n"/>
      <c r="BD111" s="33" t="n"/>
      <c r="BE111" s="33" t="n"/>
      <c r="BF111" s="33" t="n"/>
      <c r="BG111" s="33" t="n"/>
      <c r="BH111" s="33" t="n"/>
      <c r="BI111" s="33" t="n"/>
      <c r="BJ111" s="33" t="n"/>
      <c r="BK111" s="33" t="n"/>
      <c r="BL111" s="33" t="n"/>
      <c r="BM111" s="33" t="n"/>
      <c r="BN111" s="33" t="n"/>
      <c r="BO111" s="33" t="n"/>
      <c r="BP111" s="33" t="n"/>
      <c r="BQ111" s="33" t="n"/>
      <c r="BR111" s="33" t="n"/>
      <c r="BS111" s="33" t="n"/>
      <c r="BT111" s="33" t="n"/>
      <c r="BU111" s="33" t="n"/>
      <c r="BV111" s="33" t="n"/>
      <c r="BW111" s="33" t="n"/>
      <c r="BX111" s="33" t="n"/>
      <c r="BY111" s="33" t="n"/>
      <c r="BZ111" s="33" t="n"/>
      <c r="CA111" s="33" t="n"/>
      <c r="CB111" s="33" t="n"/>
      <c r="CC111" s="33" t="n"/>
      <c r="CD111" s="33" t="n"/>
      <c r="CE111" s="33" t="n"/>
      <c r="CF111" s="33" t="n"/>
      <c r="CG111" s="33" t="n"/>
      <c r="CH111" s="33" t="n"/>
      <c r="CI111" s="33" t="n"/>
      <c r="CJ111" s="33" t="n"/>
      <c r="CK111" s="33" t="n"/>
      <c r="CL111" s="33" t="n"/>
      <c r="CM111" s="33" t="n"/>
      <c r="CN111" s="33" t="n"/>
      <c r="CO111" s="33" t="n"/>
      <c r="CP111" s="33" t="n"/>
      <c r="CQ111" s="33" t="n"/>
      <c r="CR111" s="33" t="n"/>
      <c r="CS111" s="33" t="n"/>
      <c r="CT111" s="33" t="n"/>
      <c r="CU111" s="33" t="n"/>
      <c r="CV111" s="33" t="n"/>
      <c r="CW111" s="33" t="n"/>
      <c r="CX111" s="33" t="n"/>
      <c r="CY111" s="33" t="n"/>
      <c r="CZ111" s="33" t="n"/>
      <c r="DA111" s="33" t="n"/>
      <c r="DB111" s="33" t="n"/>
      <c r="DC111" s="33" t="n"/>
      <c r="DD111" s="33" t="n"/>
      <c r="DE111" s="33" t="n"/>
      <c r="DF111" s="33" t="n"/>
      <c r="DG111" s="33" t="n"/>
      <c r="DH111" s="33" t="n"/>
      <c r="DI111" s="33" t="n"/>
      <c r="DJ111" s="33" t="n"/>
      <c r="DK111" s="33" t="n"/>
      <c r="DL111" s="33" t="n"/>
      <c r="DM111" s="33" t="n"/>
      <c r="DN111" s="33" t="n"/>
      <c r="DO111" s="33" t="n"/>
      <c r="DP111" s="33" t="n"/>
      <c r="DQ111" s="33" t="n"/>
      <c r="DR111" s="33" t="n"/>
      <c r="DS111" s="33" t="n"/>
      <c r="DT111" s="33" t="n"/>
      <c r="DU111" s="33" t="n"/>
      <c r="DV111" s="33" t="n"/>
      <c r="DW111" s="33" t="n"/>
      <c r="DX111" s="33" t="n"/>
      <c r="DY111" s="33" t="n"/>
      <c r="DZ111" s="33" t="n"/>
      <c r="EA111" s="33" t="n"/>
      <c r="EB111" s="33" t="n"/>
      <c r="EC111" s="33" t="n"/>
      <c r="ED111" s="33" t="n"/>
      <c r="EE111" s="33" t="n"/>
      <c r="EF111" s="33" t="n"/>
      <c r="EG111" s="33" t="n"/>
      <c r="EH111" s="33" t="n"/>
      <c r="EI111" s="33" t="n"/>
      <c r="EJ111" s="33" t="n"/>
      <c r="EK111" s="33" t="n"/>
      <c r="EL111" s="33" t="n"/>
      <c r="EM111" s="33" t="n"/>
      <c r="EN111" s="33" t="n"/>
      <c r="EO111" s="33" t="n"/>
      <c r="EP111" s="33" t="n"/>
      <c r="EQ111" s="33" t="n"/>
      <c r="ER111" s="33" t="n"/>
      <c r="ES111" s="33" t="n"/>
      <c r="ET111" s="33" t="n"/>
      <c r="EU111" s="33" t="n"/>
      <c r="EV111" s="33" t="n"/>
      <c r="EW111" s="33" t="n"/>
      <c r="EX111" s="33" t="n"/>
      <c r="EY111" s="33" t="n"/>
      <c r="EZ111" s="33" t="n"/>
      <c r="FA111" s="33" t="n"/>
      <c r="FB111" s="33" t="n"/>
      <c r="FC111" s="33" t="n"/>
      <c r="FD111" s="33" t="n"/>
      <c r="FE111" s="33" t="n"/>
      <c r="FF111" s="33" t="n"/>
      <c r="FG111" s="33" t="n"/>
      <c r="FH111" s="33" t="n"/>
      <c r="FI111" s="33" t="n"/>
      <c r="FJ111" s="33" t="n"/>
      <c r="FK111" s="33" t="n"/>
      <c r="FL111" s="33" t="n"/>
      <c r="FM111" s="33" t="n"/>
      <c r="FN111" s="33" t="n"/>
      <c r="FO111" s="33" t="n"/>
      <c r="FP111" s="33" t="n"/>
      <c r="FQ111" s="33" t="n"/>
      <c r="FR111" s="33" t="n"/>
      <c r="FS111" s="33" t="n"/>
      <c r="FT111" s="33" t="n"/>
      <c r="FU111" s="33" t="n"/>
      <c r="FV111" s="33" t="n"/>
      <c r="FW111" s="33" t="n"/>
      <c r="FX111" s="33" t="n"/>
      <c r="FY111" s="33" t="n"/>
      <c r="FZ111" s="33" t="n"/>
      <c r="GA111" s="33" t="n"/>
      <c r="GB111" s="33" t="n"/>
      <c r="GC111" s="33" t="n"/>
      <c r="GD111" s="33" t="n"/>
      <c r="GE111" s="33" t="n"/>
      <c r="GF111" s="33" t="n"/>
      <c r="GG111" s="33" t="n"/>
      <c r="GH111" s="33" t="n"/>
      <c r="GI111" s="33" t="n"/>
      <c r="GJ111" s="33" t="n"/>
      <c r="GK111" s="33" t="n"/>
      <c r="GL111" s="33" t="n"/>
      <c r="GM111" s="33" t="n"/>
      <c r="GN111" s="33" t="n"/>
      <c r="GO111" s="33" t="n"/>
      <c r="GP111" s="33" t="n"/>
      <c r="GQ111" s="33" t="n"/>
      <c r="GR111" s="33" t="n"/>
      <c r="GS111" s="33" t="n"/>
      <c r="GT111" s="33" t="n"/>
      <c r="GU111" s="33" t="n"/>
      <c r="GV111" s="33" t="n"/>
      <c r="GW111" s="33" t="n"/>
      <c r="GX111" s="33" t="n"/>
      <c r="GY111" s="33" t="n"/>
      <c r="GZ111" s="33" t="n"/>
      <c r="HA111" s="33" t="n"/>
      <c r="HB111" s="33" t="n"/>
      <c r="HC111" s="33" t="n"/>
      <c r="HD111" s="33" t="n"/>
      <c r="HE111" s="33" t="n"/>
      <c r="HF111" s="33" t="n"/>
      <c r="HG111" s="33" t="n"/>
      <c r="HH111" s="33" t="n"/>
      <c r="HI111" s="33" t="n"/>
      <c r="HJ111" s="33" t="n"/>
      <c r="HK111" s="33" t="n"/>
      <c r="HL111" s="33" t="n"/>
      <c r="HM111" s="33" t="n"/>
      <c r="HN111" s="33" t="n"/>
      <c r="HO111" s="33" t="n"/>
      <c r="HP111" s="33" t="n"/>
      <c r="HQ111" s="33" t="n"/>
      <c r="HR111" s="33" t="n"/>
      <c r="HS111" s="33" t="n"/>
      <c r="HT111" s="33" t="n"/>
      <c r="HU111" s="33" t="n"/>
      <c r="HV111" s="33" t="n"/>
      <c r="HW111" s="33" t="n"/>
      <c r="HX111" s="33" t="n"/>
      <c r="HY111" s="33" t="n"/>
      <c r="HZ111" s="33" t="n"/>
      <c r="IA111" s="33" t="n"/>
      <c r="IB111" s="33" t="n"/>
      <c r="IC111" s="33" t="n"/>
      <c r="ID111" s="33" t="n"/>
      <c r="IE111" s="33" t="n"/>
      <c r="IF111" s="33" t="n"/>
      <c r="IG111" s="33" t="n"/>
      <c r="IH111" s="33" t="n"/>
      <c r="II111" s="33" t="n"/>
      <c r="IJ111" s="33" t="n"/>
      <c r="IK111" s="33" t="n"/>
      <c r="IL111" s="33" t="n"/>
      <c r="IM111" s="33" t="n"/>
      <c r="IN111" s="33" t="n"/>
      <c r="IO111" s="33" t="n"/>
      <c r="IP111" s="33" t="n"/>
      <c r="IQ111" s="33" t="n"/>
      <c r="IR111" s="33" t="n"/>
      <c r="IS111" s="33" t="n"/>
      <c r="IT111" s="33" t="n"/>
      <c r="IU111" s="33" t="n"/>
      <c r="IV111" s="33" t="n"/>
      <c r="IW111" s="33" t="n"/>
      <c r="IX111" s="33" t="n"/>
      <c r="IY111" s="33" t="n"/>
      <c r="IZ111" s="33" t="n"/>
      <c r="JA111" s="33" t="n"/>
      <c r="JB111" s="33" t="n"/>
      <c r="JC111" s="33" t="n"/>
      <c r="JD111" s="33" t="n"/>
      <c r="JE111" s="33" t="n"/>
      <c r="JF111" s="33" t="n"/>
      <c r="JG111" s="33" t="n"/>
      <c r="JH111" s="33" t="n"/>
      <c r="JI111" s="33" t="n"/>
      <c r="JJ111" s="33" t="n"/>
      <c r="JK111" s="33" t="n"/>
      <c r="JL111" s="33" t="n"/>
      <c r="JM111" s="33" t="n"/>
      <c r="JN111" s="33" t="n"/>
      <c r="JO111" s="33" t="n"/>
      <c r="JP111" s="33" t="n"/>
      <c r="JQ111" s="33" t="n"/>
      <c r="JR111" s="33" t="n"/>
      <c r="JS111" s="33" t="n"/>
      <c r="JT111" s="33" t="n"/>
      <c r="JU111" s="33" t="n"/>
      <c r="JV111" s="33" t="n"/>
      <c r="JW111" s="33" t="n"/>
      <c r="JX111" s="33" t="n"/>
      <c r="JY111" s="33" t="n"/>
      <c r="JZ111" s="33" t="n"/>
      <c r="KA111" s="33" t="n"/>
      <c r="KB111" s="33" t="n"/>
      <c r="KC111" s="33" t="n"/>
      <c r="KD111" s="33" t="n"/>
      <c r="KE111" s="33" t="n"/>
      <c r="KF111" s="33" t="n"/>
      <c r="KG111" s="33" t="n"/>
      <c r="KH111" s="33" t="n"/>
      <c r="KI111" s="33" t="n"/>
      <c r="KJ111" s="33" t="n"/>
      <c r="KK111" s="33" t="n"/>
      <c r="KL111" s="33" t="n"/>
      <c r="KM111" s="33" t="n"/>
      <c r="KN111" s="33" t="n"/>
      <c r="KO111" s="33" t="n"/>
      <c r="KP111" s="33" t="n"/>
      <c r="KQ111" s="33" t="n"/>
      <c r="KR111" s="33" t="n"/>
      <c r="KS111" s="33" t="n"/>
      <c r="KT111" s="33" t="n"/>
      <c r="KU111" s="33" t="n"/>
      <c r="KV111" s="33" t="n"/>
      <c r="KW111" s="33" t="n"/>
      <c r="KX111" s="33" t="n"/>
      <c r="KY111" s="33" t="n"/>
      <c r="KZ111" s="33" t="n"/>
      <c r="LA111" s="33" t="n"/>
      <c r="LB111" s="33" t="n"/>
      <c r="LC111" s="33" t="n"/>
      <c r="LD111" s="33" t="n"/>
      <c r="LE111" s="33" t="n"/>
      <c r="LF111" s="33" t="n"/>
      <c r="LG111" s="33" t="n"/>
      <c r="LH111" s="33" t="n"/>
      <c r="LI111" s="33" t="n"/>
      <c r="LJ111" s="33" t="n"/>
      <c r="LK111" s="33" t="n"/>
      <c r="LL111" s="33" t="n"/>
      <c r="LM111" s="33" t="n"/>
      <c r="LN111" s="33" t="n"/>
      <c r="LO111" s="33" t="n"/>
      <c r="LP111" s="33" t="n"/>
      <c r="LQ111" s="33" t="n"/>
      <c r="LR111" s="33" t="n"/>
      <c r="LS111" s="33" t="n"/>
      <c r="LT111" s="33" t="n"/>
      <c r="LU111" s="33" t="n"/>
      <c r="LV111" s="33" t="n"/>
      <c r="LW111" s="33" t="n"/>
      <c r="LX111" s="33" t="n"/>
      <c r="LY111" s="33" t="n"/>
      <c r="LZ111" s="33" t="n"/>
      <c r="MA111" s="33" t="n"/>
      <c r="MB111" s="33" t="n"/>
      <c r="MC111" s="33" t="n"/>
      <c r="MD111" s="33" t="n"/>
      <c r="ME111" s="33" t="n"/>
      <c r="MF111" s="33" t="n"/>
      <c r="MG111" s="33" t="n"/>
      <c r="MH111" s="33" t="n"/>
      <c r="MI111" s="33" t="n"/>
      <c r="MJ111" s="33" t="n"/>
      <c r="MK111" s="33" t="n"/>
      <c r="ML111" s="33" t="n"/>
      <c r="MM111" s="33" t="n"/>
      <c r="MN111" s="33" t="n"/>
      <c r="MO111" s="33" t="n"/>
      <c r="MP111" s="33" t="n"/>
      <c r="MQ111" s="33" t="n"/>
      <c r="MR111" s="33" t="n"/>
      <c r="MS111" s="33" t="n"/>
      <c r="MT111" s="33" t="n"/>
      <c r="MU111" s="33" t="n"/>
      <c r="MV111" s="33" t="n"/>
      <c r="MW111" s="33" t="n"/>
      <c r="MX111" s="33" t="n"/>
      <c r="MY111" s="33" t="n"/>
      <c r="MZ111" s="33" t="n"/>
      <c r="NA111" s="33" t="n"/>
      <c r="NB111" s="33" t="n"/>
      <c r="NC111" s="33" t="n"/>
      <c r="ND111" s="33" t="n"/>
      <c r="NE111" s="33" t="n"/>
      <c r="NF111" s="33" t="n"/>
      <c r="NG111" s="33" t="n"/>
      <c r="NH111" s="33" t="n"/>
      <c r="NI111" s="33" t="n"/>
      <c r="NJ111" s="33" t="n"/>
      <c r="NK111" s="33" t="n"/>
      <c r="NL111" s="33" t="n"/>
      <c r="NM111" s="33" t="n"/>
      <c r="NN111" s="33" t="n"/>
      <c r="NO111" s="33" t="n"/>
      <c r="NP111" s="33" t="n"/>
      <c r="NQ111" s="33" t="n"/>
      <c r="NR111" s="33" t="n"/>
      <c r="NS111" s="33" t="n"/>
      <c r="NT111" s="33" t="n"/>
      <c r="NU111" s="33" t="n"/>
      <c r="NV111" s="33" t="n"/>
      <c r="NW111" s="33" t="n"/>
      <c r="NX111" s="33" t="n"/>
      <c r="NY111" s="33" t="n"/>
      <c r="NZ111" s="33" t="n"/>
      <c r="OA111" s="33" t="n"/>
      <c r="OB111" s="33" t="n"/>
      <c r="OC111" s="33" t="n"/>
      <c r="OD111" s="33" t="n"/>
      <c r="OE111" s="33" t="n"/>
      <c r="OF111" s="33" t="n"/>
      <c r="OG111" s="33" t="n"/>
      <c r="OH111" s="33" t="n"/>
      <c r="OI111" s="33" t="n"/>
      <c r="OJ111" s="33" t="n"/>
      <c r="OK111" s="33" t="n"/>
      <c r="OL111" s="33" t="n"/>
      <c r="OM111" s="33" t="n"/>
      <c r="ON111" s="33" t="n"/>
      <c r="OO111" s="33" t="n"/>
      <c r="OP111" s="33" t="n"/>
      <c r="OQ111" s="33" t="n"/>
      <c r="OR111" s="33" t="n"/>
      <c r="OS111" s="33" t="n"/>
      <c r="OT111" s="33" t="n"/>
      <c r="OU111" s="33" t="n"/>
      <c r="OV111" s="33" t="n"/>
      <c r="OW111" s="33" t="n"/>
      <c r="OX111" s="33" t="n"/>
      <c r="OY111" s="33" t="n"/>
      <c r="OZ111" s="33" t="n"/>
      <c r="PA111" s="33" t="n"/>
      <c r="PB111" s="33" t="n"/>
      <c r="PC111" s="33" t="n"/>
      <c r="PD111" s="33" t="n"/>
      <c r="PE111" s="33" t="n"/>
      <c r="PF111" s="33" t="n"/>
      <c r="PG111" s="33" t="n"/>
      <c r="PH111" s="33" t="n"/>
      <c r="PI111" s="33" t="n"/>
      <c r="PJ111" s="33" t="n"/>
      <c r="PK111" s="33" t="n"/>
      <c r="PL111" s="33" t="n"/>
      <c r="PM111" s="33" t="n"/>
      <c r="PN111" s="33" t="n"/>
      <c r="PO111" s="33" t="n"/>
      <c r="PP111" s="33" t="n"/>
      <c r="PQ111" s="33" t="n"/>
      <c r="PR111" s="33" t="n"/>
      <c r="PS111" s="33" t="n"/>
      <c r="PT111" s="33" t="n"/>
      <c r="PU111" s="33" t="n"/>
      <c r="PV111" s="33" t="n"/>
      <c r="PW111" s="33" t="n"/>
      <c r="PX111" s="33" t="n"/>
      <c r="PY111" s="33" t="n"/>
      <c r="PZ111" s="33" t="n"/>
      <c r="QA111" s="33" t="n"/>
      <c r="QB111" s="33" t="n"/>
      <c r="QC111" s="33" t="n"/>
      <c r="QD111" s="33" t="n"/>
      <c r="QE111" s="33" t="n"/>
      <c r="QF111" s="33" t="n"/>
      <c r="QG111" s="33" t="n"/>
      <c r="QH111" s="33" t="n"/>
      <c r="QI111" s="33" t="n"/>
      <c r="QJ111" s="33" t="n"/>
      <c r="QK111" s="33" t="n"/>
      <c r="QL111" s="33" t="n"/>
      <c r="QM111" s="33" t="n"/>
      <c r="QN111" s="33" t="n"/>
      <c r="QO111" s="33" t="n"/>
      <c r="QP111" s="33" t="n"/>
      <c r="QQ111" s="33" t="n"/>
      <c r="QR111" s="33" t="n"/>
      <c r="QS111" s="33" t="n"/>
      <c r="QT111" s="33" t="n"/>
      <c r="QU111" s="33" t="n"/>
      <c r="QV111" s="33" t="n"/>
      <c r="QW111" s="33" t="n"/>
      <c r="QX111" s="33" t="n"/>
      <c r="QY111" s="33" t="n"/>
      <c r="QZ111" s="33" t="n"/>
      <c r="RA111" s="33" t="n"/>
      <c r="RB111" s="33" t="n"/>
      <c r="RC111" s="33" t="n"/>
      <c r="RD111" s="33" t="n"/>
      <c r="RE111" s="33" t="n"/>
      <c r="RF111" s="33" t="n"/>
      <c r="RG111" s="33" t="n"/>
      <c r="RH111" s="33" t="n"/>
      <c r="RI111" s="33" t="n"/>
      <c r="RJ111" s="33" t="n"/>
      <c r="RK111" s="33" t="n"/>
      <c r="RL111" s="33" t="n"/>
      <c r="RM111" s="33" t="n"/>
      <c r="RN111" s="33" t="n"/>
      <c r="RO111" s="33" t="n"/>
      <c r="RP111" s="33" t="n"/>
      <c r="RQ111" s="33" t="n"/>
      <c r="RR111" s="33" t="n"/>
      <c r="RS111" s="33" t="n"/>
      <c r="RT111" s="33" t="n"/>
      <c r="RU111" s="33" t="n"/>
      <c r="RV111" s="33" t="n"/>
      <c r="RW111" s="33" t="n"/>
    </row>
    <row r="112" ht="5.25" customHeight="1"/>
    <row r="113" ht="13.05" customHeight="1">
      <c r="E113" s="21" t="inlineStr">
        <is>
          <t>balance</t>
        </is>
      </c>
      <c r="F113" s="29" t="n"/>
      <c r="G113" s="29" t="inlineStr">
        <is>
          <t>kEUR</t>
        </is>
      </c>
      <c r="H113" s="29" t="n"/>
      <c r="I113" s="29" t="n"/>
      <c r="J113" s="32" t="n"/>
      <c r="K113" s="29" t="n"/>
      <c r="L113" s="33" t="n"/>
      <c r="M113" s="33" t="n"/>
      <c r="N113" s="33" t="n"/>
      <c r="O113" s="33" t="n"/>
      <c r="P113" s="33" t="n"/>
      <c r="Q113" s="33" t="n"/>
      <c r="R113" s="33" t="n"/>
      <c r="S113" s="33" t="n"/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  <c r="AE113" s="33" t="n"/>
      <c r="AF113" s="33" t="n"/>
      <c r="AG113" s="33" t="n"/>
      <c r="AH113" s="33" t="n"/>
      <c r="AI113" s="33" t="n"/>
      <c r="AJ113" s="33" t="n"/>
      <c r="AK113" s="33" t="n"/>
      <c r="AL113" s="33" t="n"/>
      <c r="AM113" s="33" t="n"/>
      <c r="AN113" s="33" t="n"/>
      <c r="AO113" s="33" t="n"/>
      <c r="AP113" s="33" t="n"/>
      <c r="AQ113" s="33" t="n"/>
      <c r="AR113" s="33" t="n"/>
      <c r="AS113" s="33" t="n"/>
      <c r="AT113" s="33" t="n"/>
      <c r="AU113" s="33" t="n"/>
      <c r="AV113" s="33" t="n"/>
      <c r="AW113" s="33" t="n"/>
      <c r="AX113" s="33" t="n"/>
      <c r="AY113" s="33" t="n"/>
      <c r="AZ113" s="33" t="n"/>
      <c r="BA113" s="33" t="n"/>
      <c r="BB113" s="33" t="n"/>
      <c r="BC113" s="33" t="n"/>
      <c r="BD113" s="33" t="n"/>
      <c r="BE113" s="33" t="n"/>
      <c r="BF113" s="33" t="n"/>
      <c r="BG113" s="33" t="n"/>
      <c r="BH113" s="33" t="n"/>
      <c r="BI113" s="33" t="n"/>
      <c r="BJ113" s="33" t="n"/>
      <c r="BK113" s="33" t="n"/>
      <c r="BL113" s="33" t="n"/>
      <c r="BM113" s="33" t="n"/>
      <c r="BN113" s="33" t="n"/>
      <c r="BO113" s="33" t="n"/>
      <c r="BP113" s="33" t="n"/>
      <c r="BQ113" s="33" t="n"/>
      <c r="BR113" s="33" t="n"/>
      <c r="BS113" s="33" t="n"/>
      <c r="BT113" s="33" t="n"/>
      <c r="BU113" s="33" t="n"/>
      <c r="BV113" s="33" t="n"/>
      <c r="BW113" s="33" t="n"/>
      <c r="BX113" s="33" t="n"/>
      <c r="BY113" s="33" t="n"/>
      <c r="BZ113" s="33" t="n"/>
      <c r="CA113" s="33" t="n"/>
      <c r="CB113" s="33" t="n"/>
      <c r="CC113" s="33" t="n"/>
      <c r="CD113" s="33" t="n"/>
      <c r="CE113" s="33" t="n"/>
      <c r="CF113" s="33" t="n"/>
      <c r="CG113" s="33" t="n"/>
      <c r="CH113" s="33" t="n"/>
      <c r="CI113" s="33" t="n"/>
      <c r="CJ113" s="33" t="n"/>
      <c r="CK113" s="33" t="n"/>
      <c r="CL113" s="33" t="n"/>
      <c r="CM113" s="33" t="n"/>
      <c r="CN113" s="33" t="n"/>
      <c r="CO113" s="33" t="n"/>
      <c r="CP113" s="33" t="n"/>
      <c r="CQ113" s="33" t="n"/>
      <c r="CR113" s="33" t="n"/>
      <c r="CS113" s="33" t="n"/>
      <c r="CT113" s="33" t="n"/>
      <c r="CU113" s="33" t="n"/>
      <c r="CV113" s="33" t="n"/>
      <c r="CW113" s="33" t="n"/>
      <c r="CX113" s="33" t="n"/>
      <c r="CY113" s="33" t="n"/>
      <c r="CZ113" s="33" t="n"/>
      <c r="DA113" s="33" t="n"/>
      <c r="DB113" s="33" t="n"/>
      <c r="DC113" s="33" t="n"/>
      <c r="DD113" s="33" t="n"/>
      <c r="DE113" s="33" t="n"/>
      <c r="DF113" s="33" t="n"/>
      <c r="DG113" s="33" t="n"/>
      <c r="DH113" s="33" t="n"/>
      <c r="DI113" s="33" t="n"/>
      <c r="DJ113" s="33" t="n"/>
      <c r="DK113" s="33" t="n"/>
      <c r="DL113" s="33" t="n"/>
      <c r="DM113" s="33" t="n"/>
      <c r="DN113" s="33" t="n"/>
      <c r="DO113" s="33" t="n"/>
      <c r="DP113" s="33" t="n"/>
      <c r="DQ113" s="33" t="n"/>
      <c r="DR113" s="33" t="n"/>
      <c r="DS113" s="33" t="n"/>
      <c r="DT113" s="33" t="n"/>
      <c r="DU113" s="33" t="n"/>
      <c r="DV113" s="33" t="n"/>
      <c r="DW113" s="33" t="n"/>
      <c r="DX113" s="33" t="n"/>
      <c r="DY113" s="33" t="n"/>
      <c r="DZ113" s="33" t="n"/>
      <c r="EA113" s="33" t="n"/>
      <c r="EB113" s="33" t="n"/>
      <c r="EC113" s="33" t="n"/>
      <c r="ED113" s="33" t="n"/>
      <c r="EE113" s="33" t="n"/>
      <c r="EF113" s="33" t="n"/>
      <c r="EG113" s="33" t="n"/>
      <c r="EH113" s="33" t="n"/>
      <c r="EI113" s="33" t="n"/>
      <c r="EJ113" s="33" t="n"/>
      <c r="EK113" s="33" t="n"/>
      <c r="EL113" s="33" t="n"/>
      <c r="EM113" s="33" t="n"/>
      <c r="EN113" s="33" t="n"/>
      <c r="EO113" s="33" t="n"/>
      <c r="EP113" s="33" t="n"/>
      <c r="EQ113" s="33" t="n"/>
      <c r="ER113" s="33" t="n"/>
      <c r="ES113" s="33" t="n"/>
      <c r="ET113" s="33" t="n"/>
      <c r="EU113" s="33" t="n"/>
      <c r="EV113" s="33" t="n"/>
      <c r="EW113" s="33" t="n"/>
      <c r="EX113" s="33" t="n"/>
      <c r="EY113" s="33" t="n"/>
      <c r="EZ113" s="33" t="n"/>
      <c r="FA113" s="33" t="n"/>
      <c r="FB113" s="33" t="n"/>
      <c r="FC113" s="33" t="n"/>
      <c r="FD113" s="33" t="n"/>
      <c r="FE113" s="33" t="n"/>
      <c r="FF113" s="33" t="n"/>
      <c r="FG113" s="33" t="n"/>
      <c r="FH113" s="33" t="n"/>
      <c r="FI113" s="33" t="n"/>
      <c r="FJ113" s="33" t="n"/>
      <c r="FK113" s="33" t="n"/>
      <c r="FL113" s="33" t="n"/>
      <c r="FM113" s="33" t="n"/>
      <c r="FN113" s="33" t="n"/>
      <c r="FO113" s="33" t="n"/>
      <c r="FP113" s="33" t="n"/>
      <c r="FQ113" s="33" t="n"/>
      <c r="FR113" s="33" t="n"/>
      <c r="FS113" s="33" t="n"/>
      <c r="FT113" s="33" t="n"/>
      <c r="FU113" s="33" t="n"/>
      <c r="FV113" s="33" t="n"/>
      <c r="FW113" s="33" t="n"/>
      <c r="FX113" s="33" t="n"/>
      <c r="FY113" s="33" t="n"/>
      <c r="FZ113" s="33" t="n"/>
      <c r="GA113" s="33" t="n"/>
      <c r="GB113" s="33" t="n"/>
      <c r="GC113" s="33" t="n"/>
      <c r="GD113" s="33" t="n"/>
      <c r="GE113" s="33" t="n"/>
      <c r="GF113" s="33" t="n"/>
      <c r="GG113" s="33" t="n"/>
      <c r="GH113" s="33" t="n"/>
      <c r="GI113" s="33" t="n"/>
      <c r="GJ113" s="33" t="n"/>
      <c r="GK113" s="33" t="n"/>
      <c r="GL113" s="33" t="n"/>
      <c r="GM113" s="33" t="n"/>
      <c r="GN113" s="33" t="n"/>
      <c r="GO113" s="33" t="n"/>
      <c r="GP113" s="33" t="n"/>
      <c r="GQ113" s="33" t="n"/>
      <c r="GR113" s="33" t="n"/>
      <c r="GS113" s="33" t="n"/>
      <c r="GT113" s="33" t="n"/>
      <c r="GU113" s="33" t="n"/>
      <c r="GV113" s="33" t="n"/>
      <c r="GW113" s="33" t="n"/>
      <c r="GX113" s="33" t="n"/>
      <c r="GY113" s="33" t="n"/>
      <c r="GZ113" s="33" t="n"/>
      <c r="HA113" s="33" t="n"/>
      <c r="HB113" s="33" t="n"/>
      <c r="HC113" s="33" t="n"/>
      <c r="HD113" s="33" t="n"/>
      <c r="HE113" s="33" t="n"/>
      <c r="HF113" s="33" t="n"/>
      <c r="HG113" s="33" t="n"/>
      <c r="HH113" s="33" t="n"/>
      <c r="HI113" s="33" t="n"/>
      <c r="HJ113" s="33" t="n"/>
      <c r="HK113" s="33" t="n"/>
      <c r="HL113" s="33" t="n"/>
      <c r="HM113" s="33" t="n"/>
      <c r="HN113" s="33" t="n"/>
      <c r="HO113" s="33" t="n"/>
      <c r="HP113" s="33" t="n"/>
      <c r="HQ113" s="33" t="n"/>
      <c r="HR113" s="33" t="n"/>
      <c r="HS113" s="33" t="n"/>
      <c r="HT113" s="33" t="n"/>
      <c r="HU113" s="33" t="n"/>
      <c r="HV113" s="33" t="n"/>
      <c r="HW113" s="33" t="n"/>
      <c r="HX113" s="33" t="n"/>
      <c r="HY113" s="33" t="n"/>
      <c r="HZ113" s="33" t="n"/>
      <c r="IA113" s="33" t="n"/>
      <c r="IB113" s="33" t="n"/>
      <c r="IC113" s="33" t="n"/>
      <c r="ID113" s="33" t="n"/>
      <c r="IE113" s="33" t="n"/>
      <c r="IF113" s="33" t="n"/>
      <c r="IG113" s="33" t="n"/>
      <c r="IH113" s="33" t="n"/>
      <c r="II113" s="33" t="n"/>
      <c r="IJ113" s="33" t="n"/>
      <c r="IK113" s="33" t="n"/>
      <c r="IL113" s="33" t="n"/>
      <c r="IM113" s="33" t="n"/>
      <c r="IN113" s="33" t="n"/>
      <c r="IO113" s="33" t="n"/>
      <c r="IP113" s="33" t="n"/>
      <c r="IQ113" s="33" t="n"/>
      <c r="IR113" s="33" t="n"/>
      <c r="IS113" s="33" t="n"/>
      <c r="IT113" s="33" t="n"/>
      <c r="IU113" s="33" t="n"/>
      <c r="IV113" s="33" t="n"/>
      <c r="IW113" s="33" t="n"/>
      <c r="IX113" s="33" t="n"/>
      <c r="IY113" s="33" t="n"/>
      <c r="IZ113" s="33" t="n"/>
      <c r="JA113" s="33" t="n"/>
      <c r="JB113" s="33" t="n"/>
      <c r="JC113" s="33" t="n"/>
      <c r="JD113" s="33" t="n"/>
      <c r="JE113" s="33" t="n"/>
      <c r="JF113" s="33" t="n"/>
      <c r="JG113" s="33" t="n"/>
      <c r="JH113" s="33" t="n"/>
      <c r="JI113" s="33" t="n"/>
      <c r="JJ113" s="33" t="n"/>
      <c r="JK113" s="33" t="n"/>
      <c r="JL113" s="33" t="n"/>
      <c r="JM113" s="33" t="n"/>
      <c r="JN113" s="33" t="n"/>
      <c r="JO113" s="33" t="n"/>
      <c r="JP113" s="33" t="n"/>
      <c r="JQ113" s="33" t="n"/>
      <c r="JR113" s="33" t="n"/>
      <c r="JS113" s="33" t="n"/>
      <c r="JT113" s="33" t="n"/>
      <c r="JU113" s="33" t="n"/>
      <c r="JV113" s="33" t="n"/>
      <c r="JW113" s="33" t="n"/>
      <c r="JX113" s="33" t="n"/>
      <c r="JY113" s="33" t="n"/>
      <c r="JZ113" s="33" t="n"/>
      <c r="KA113" s="33" t="n"/>
      <c r="KB113" s="33" t="n"/>
      <c r="KC113" s="33" t="n"/>
      <c r="KD113" s="33" t="n"/>
      <c r="KE113" s="33" t="n"/>
      <c r="KF113" s="33" t="n"/>
      <c r="KG113" s="33" t="n"/>
      <c r="KH113" s="33" t="n"/>
      <c r="KI113" s="33" t="n"/>
      <c r="KJ113" s="33" t="n"/>
      <c r="KK113" s="33" t="n"/>
      <c r="KL113" s="33" t="n"/>
      <c r="KM113" s="33" t="n"/>
      <c r="KN113" s="33" t="n"/>
      <c r="KO113" s="33" t="n"/>
      <c r="KP113" s="33" t="n"/>
      <c r="KQ113" s="33" t="n"/>
      <c r="KR113" s="33" t="n"/>
      <c r="KS113" s="33" t="n"/>
      <c r="KT113" s="33" t="n"/>
      <c r="KU113" s="33" t="n"/>
      <c r="KV113" s="33" t="n"/>
      <c r="KW113" s="33" t="n"/>
      <c r="KX113" s="33" t="n"/>
      <c r="KY113" s="33" t="n"/>
      <c r="KZ113" s="33" t="n"/>
      <c r="LA113" s="33" t="n"/>
      <c r="LB113" s="33" t="n"/>
      <c r="LC113" s="33" t="n"/>
      <c r="LD113" s="33" t="n"/>
      <c r="LE113" s="33" t="n"/>
      <c r="LF113" s="33" t="n"/>
      <c r="LG113" s="33" t="n"/>
      <c r="LH113" s="33" t="n"/>
      <c r="LI113" s="33" t="n"/>
      <c r="LJ113" s="33" t="n"/>
      <c r="LK113" s="33" t="n"/>
      <c r="LL113" s="33" t="n"/>
      <c r="LM113" s="33" t="n"/>
      <c r="LN113" s="33" t="n"/>
      <c r="LO113" s="33" t="n"/>
      <c r="LP113" s="33" t="n"/>
      <c r="LQ113" s="33" t="n"/>
      <c r="LR113" s="33" t="n"/>
      <c r="LS113" s="33" t="n"/>
      <c r="LT113" s="33" t="n"/>
      <c r="LU113" s="33" t="n"/>
      <c r="LV113" s="33" t="n"/>
      <c r="LW113" s="33" t="n"/>
      <c r="LX113" s="33" t="n"/>
      <c r="LY113" s="33" t="n"/>
      <c r="LZ113" s="33" t="n"/>
      <c r="MA113" s="33" t="n"/>
      <c r="MB113" s="33" t="n"/>
      <c r="MC113" s="33" t="n"/>
      <c r="MD113" s="33" t="n"/>
      <c r="ME113" s="33" t="n"/>
      <c r="MF113" s="33" t="n"/>
      <c r="MG113" s="33" t="n"/>
      <c r="MH113" s="33" t="n"/>
      <c r="MI113" s="33" t="n"/>
      <c r="MJ113" s="33" t="n"/>
      <c r="MK113" s="33" t="n"/>
      <c r="ML113" s="33" t="n"/>
      <c r="MM113" s="33" t="n"/>
      <c r="MN113" s="33" t="n"/>
      <c r="MO113" s="33" t="n"/>
      <c r="MP113" s="33" t="n"/>
      <c r="MQ113" s="33" t="n"/>
      <c r="MR113" s="33" t="n"/>
      <c r="MS113" s="33" t="n"/>
      <c r="MT113" s="33" t="n"/>
      <c r="MU113" s="33" t="n"/>
      <c r="MV113" s="33" t="n"/>
      <c r="MW113" s="33" t="n"/>
      <c r="MX113" s="33" t="n"/>
      <c r="MY113" s="33" t="n"/>
      <c r="MZ113" s="33" t="n"/>
      <c r="NA113" s="33" t="n"/>
      <c r="NB113" s="33" t="n"/>
      <c r="NC113" s="33" t="n"/>
      <c r="ND113" s="33" t="n"/>
      <c r="NE113" s="33" t="n"/>
      <c r="NF113" s="33" t="n"/>
      <c r="NG113" s="33" t="n"/>
      <c r="NH113" s="33" t="n"/>
      <c r="NI113" s="33" t="n"/>
      <c r="NJ113" s="33" t="n"/>
      <c r="NK113" s="33" t="n"/>
      <c r="NL113" s="33" t="n"/>
      <c r="NM113" s="33" t="n"/>
      <c r="NN113" s="33" t="n"/>
      <c r="NO113" s="33" t="n"/>
      <c r="NP113" s="33" t="n"/>
      <c r="NQ113" s="33" t="n"/>
      <c r="NR113" s="33" t="n"/>
      <c r="NS113" s="33" t="n"/>
      <c r="NT113" s="33" t="n"/>
      <c r="NU113" s="33" t="n"/>
      <c r="NV113" s="33" t="n"/>
      <c r="NW113" s="33" t="n"/>
      <c r="NX113" s="33" t="n"/>
      <c r="NY113" s="33" t="n"/>
      <c r="NZ113" s="33" t="n"/>
      <c r="OA113" s="33" t="n"/>
      <c r="OB113" s="33" t="n"/>
      <c r="OC113" s="33" t="n"/>
      <c r="OD113" s="33" t="n"/>
      <c r="OE113" s="33" t="n"/>
      <c r="OF113" s="33" t="n"/>
      <c r="OG113" s="33" t="n"/>
      <c r="OH113" s="33" t="n"/>
      <c r="OI113" s="33" t="n"/>
      <c r="OJ113" s="33" t="n"/>
      <c r="OK113" s="33" t="n"/>
      <c r="OL113" s="33" t="n"/>
      <c r="OM113" s="33" t="n"/>
      <c r="ON113" s="33" t="n"/>
      <c r="OO113" s="33" t="n"/>
      <c r="OP113" s="33" t="n"/>
      <c r="OQ113" s="33" t="n"/>
      <c r="OR113" s="33" t="n"/>
      <c r="OS113" s="33" t="n"/>
      <c r="OT113" s="33" t="n"/>
      <c r="OU113" s="33" t="n"/>
      <c r="OV113" s="33" t="n"/>
      <c r="OW113" s="33" t="n"/>
      <c r="OX113" s="33" t="n"/>
      <c r="OY113" s="33" t="n"/>
      <c r="OZ113" s="33" t="n"/>
      <c r="PA113" s="33" t="n"/>
      <c r="PB113" s="33" t="n"/>
      <c r="PC113" s="33" t="n"/>
      <c r="PD113" s="33" t="n"/>
      <c r="PE113" s="33" t="n"/>
      <c r="PF113" s="33" t="n"/>
      <c r="PG113" s="33" t="n"/>
      <c r="PH113" s="33" t="n"/>
      <c r="PI113" s="33" t="n"/>
      <c r="PJ113" s="33" t="n"/>
      <c r="PK113" s="33" t="n"/>
      <c r="PL113" s="33" t="n"/>
      <c r="PM113" s="33" t="n"/>
      <c r="PN113" s="33" t="n"/>
      <c r="PO113" s="33" t="n"/>
      <c r="PP113" s="33" t="n"/>
      <c r="PQ113" s="33" t="n"/>
      <c r="PR113" s="33" t="n"/>
      <c r="PS113" s="33" t="n"/>
      <c r="PT113" s="33" t="n"/>
      <c r="PU113" s="33" t="n"/>
      <c r="PV113" s="33" t="n"/>
      <c r="PW113" s="33" t="n"/>
      <c r="PX113" s="33" t="n"/>
      <c r="PY113" s="33" t="n"/>
      <c r="PZ113" s="33" t="n"/>
      <c r="QA113" s="33" t="n"/>
      <c r="QB113" s="33" t="n"/>
      <c r="QC113" s="33" t="n"/>
      <c r="QD113" s="33" t="n"/>
      <c r="QE113" s="33" t="n"/>
      <c r="QF113" s="33" t="n"/>
      <c r="QG113" s="33" t="n"/>
      <c r="QH113" s="33" t="n"/>
      <c r="QI113" s="33" t="n"/>
      <c r="QJ113" s="33" t="n"/>
      <c r="QK113" s="33" t="n"/>
      <c r="QL113" s="33" t="n"/>
      <c r="QM113" s="33" t="n"/>
      <c r="QN113" s="33" t="n"/>
      <c r="QO113" s="33" t="n"/>
      <c r="QP113" s="33" t="n"/>
      <c r="QQ113" s="33" t="n"/>
      <c r="QR113" s="33" t="n"/>
      <c r="QS113" s="33" t="n"/>
      <c r="QT113" s="33" t="n"/>
      <c r="QU113" s="33" t="n"/>
      <c r="QV113" s="33" t="n"/>
      <c r="QW113" s="33" t="n"/>
      <c r="QX113" s="33" t="n"/>
      <c r="QY113" s="33" t="n"/>
      <c r="QZ113" s="33" t="n"/>
      <c r="RA113" s="33" t="n"/>
      <c r="RB113" s="33" t="n"/>
      <c r="RC113" s="33" t="n"/>
      <c r="RD113" s="33" t="n"/>
      <c r="RE113" s="33" t="n"/>
      <c r="RF113" s="33" t="n"/>
      <c r="RG113" s="33" t="n"/>
      <c r="RH113" s="33" t="n"/>
      <c r="RI113" s="33" t="n"/>
      <c r="RJ113" s="33" t="n"/>
      <c r="RK113" s="33" t="n"/>
      <c r="RL113" s="33" t="n"/>
      <c r="RM113" s="33" t="n"/>
      <c r="RN113" s="33" t="n"/>
      <c r="RO113" s="33" t="n"/>
      <c r="RP113" s="33" t="n"/>
      <c r="RQ113" s="33" t="n"/>
      <c r="RR113" s="33" t="n"/>
      <c r="RS113" s="33" t="n"/>
      <c r="RT113" s="33" t="n"/>
      <c r="RU113" s="33" t="n"/>
      <c r="RV113" s="33" t="n"/>
      <c r="RW113" s="33" t="n"/>
    </row>
    <row r="114" ht="13.05" customHeight="1">
      <c r="E114" s="21" t="inlineStr">
        <is>
          <t>funding</t>
        </is>
      </c>
      <c r="F114" s="29" t="n"/>
      <c r="G114" s="29" t="inlineStr">
        <is>
          <t>kEUR</t>
        </is>
      </c>
      <c r="H114" s="29" t="n"/>
      <c r="I114" s="29" t="n"/>
      <c r="J114" s="32" t="n"/>
      <c r="K114" s="29" t="n"/>
      <c r="L114" s="33" t="n"/>
      <c r="M114" s="33" t="n"/>
      <c r="N114" s="33" t="n"/>
      <c r="O114" s="33" t="n"/>
      <c r="P114" s="33" t="n"/>
      <c r="Q114" s="33" t="n"/>
      <c r="R114" s="33" t="n"/>
      <c r="S114" s="33" t="n"/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  <c r="AE114" s="33" t="n"/>
      <c r="AF114" s="33" t="n"/>
      <c r="AG114" s="33" t="n"/>
      <c r="AH114" s="33" t="n"/>
      <c r="AI114" s="33" t="n"/>
      <c r="AJ114" s="33" t="n"/>
      <c r="AK114" s="33" t="n"/>
      <c r="AL114" s="33" t="n"/>
      <c r="AM114" s="33" t="n"/>
      <c r="AN114" s="33" t="n"/>
      <c r="AO114" s="33" t="n"/>
      <c r="AP114" s="33" t="n"/>
      <c r="AQ114" s="33" t="n"/>
      <c r="AR114" s="33" t="n"/>
      <c r="AS114" s="33" t="n"/>
      <c r="AT114" s="33" t="n"/>
      <c r="AU114" s="33" t="n"/>
      <c r="AV114" s="33" t="n"/>
      <c r="AW114" s="33" t="n"/>
      <c r="AX114" s="33" t="n"/>
      <c r="AY114" s="33" t="n"/>
      <c r="AZ114" s="33" t="n"/>
      <c r="BA114" s="33" t="n"/>
      <c r="BB114" s="33" t="n"/>
      <c r="BC114" s="33" t="n"/>
      <c r="BD114" s="33" t="n"/>
      <c r="BE114" s="33" t="n"/>
      <c r="BF114" s="33" t="n"/>
      <c r="BG114" s="33" t="n"/>
      <c r="BH114" s="33" t="n"/>
      <c r="BI114" s="33" t="n"/>
      <c r="BJ114" s="33" t="n"/>
      <c r="BK114" s="33" t="n"/>
      <c r="BL114" s="33" t="n"/>
      <c r="BM114" s="33" t="n"/>
      <c r="BN114" s="33" t="n"/>
      <c r="BO114" s="33" t="n"/>
      <c r="BP114" s="33" t="n"/>
      <c r="BQ114" s="33" t="n"/>
      <c r="BR114" s="33" t="n"/>
      <c r="BS114" s="33" t="n"/>
      <c r="BT114" s="33" t="n"/>
      <c r="BU114" s="33" t="n"/>
      <c r="BV114" s="33" t="n"/>
      <c r="BW114" s="33" t="n"/>
      <c r="BX114" s="33" t="n"/>
      <c r="BY114" s="33" t="n"/>
      <c r="BZ114" s="33" t="n"/>
      <c r="CA114" s="33" t="n"/>
      <c r="CB114" s="33" t="n"/>
      <c r="CC114" s="33" t="n"/>
      <c r="CD114" s="33" t="n"/>
      <c r="CE114" s="33" t="n"/>
      <c r="CF114" s="33" t="n"/>
      <c r="CG114" s="33" t="n"/>
      <c r="CH114" s="33" t="n"/>
      <c r="CI114" s="33" t="n"/>
      <c r="CJ114" s="33" t="n"/>
      <c r="CK114" s="33" t="n"/>
      <c r="CL114" s="33" t="n"/>
      <c r="CM114" s="33" t="n"/>
      <c r="CN114" s="33" t="n"/>
      <c r="CO114" s="33" t="n"/>
      <c r="CP114" s="33" t="n"/>
      <c r="CQ114" s="33" t="n"/>
      <c r="CR114" s="33" t="n"/>
      <c r="CS114" s="33" t="n"/>
      <c r="CT114" s="33" t="n"/>
      <c r="CU114" s="33" t="n"/>
      <c r="CV114" s="33" t="n"/>
      <c r="CW114" s="33" t="n"/>
      <c r="CX114" s="33" t="n"/>
      <c r="CY114" s="33" t="n"/>
      <c r="CZ114" s="33" t="n"/>
      <c r="DA114" s="33" t="n"/>
      <c r="DB114" s="33" t="n"/>
      <c r="DC114" s="33" t="n"/>
      <c r="DD114" s="33" t="n"/>
      <c r="DE114" s="33" t="n"/>
      <c r="DF114" s="33" t="n"/>
      <c r="DG114" s="33" t="n"/>
      <c r="DH114" s="33" t="n"/>
      <c r="DI114" s="33" t="n"/>
      <c r="DJ114" s="33" t="n"/>
      <c r="DK114" s="33" t="n"/>
      <c r="DL114" s="33" t="n"/>
      <c r="DM114" s="33" t="n"/>
      <c r="DN114" s="33" t="n"/>
      <c r="DO114" s="33" t="n"/>
      <c r="DP114" s="33" t="n"/>
      <c r="DQ114" s="33" t="n"/>
      <c r="DR114" s="33" t="n"/>
      <c r="DS114" s="33" t="n"/>
      <c r="DT114" s="33" t="n"/>
      <c r="DU114" s="33" t="n"/>
      <c r="DV114" s="33" t="n"/>
      <c r="DW114" s="33" t="n"/>
      <c r="DX114" s="33" t="n"/>
      <c r="DY114" s="33" t="n"/>
      <c r="DZ114" s="33" t="n"/>
      <c r="EA114" s="33" t="n"/>
      <c r="EB114" s="33" t="n"/>
      <c r="EC114" s="33" t="n"/>
      <c r="ED114" s="33" t="n"/>
      <c r="EE114" s="33" t="n"/>
      <c r="EF114" s="33" t="n"/>
      <c r="EG114" s="33" t="n"/>
      <c r="EH114" s="33" t="n"/>
      <c r="EI114" s="33" t="n"/>
      <c r="EJ114" s="33" t="n"/>
      <c r="EK114" s="33" t="n"/>
      <c r="EL114" s="33" t="n"/>
      <c r="EM114" s="33" t="n"/>
      <c r="EN114" s="33" t="n"/>
      <c r="EO114" s="33" t="n"/>
      <c r="EP114" s="33" t="n"/>
      <c r="EQ114" s="33" t="n"/>
      <c r="ER114" s="33" t="n"/>
      <c r="ES114" s="33" t="n"/>
      <c r="ET114" s="33" t="n"/>
      <c r="EU114" s="33" t="n"/>
      <c r="EV114" s="33" t="n"/>
      <c r="EW114" s="33" t="n"/>
      <c r="EX114" s="33" t="n"/>
      <c r="EY114" s="33" t="n"/>
      <c r="EZ114" s="33" t="n"/>
      <c r="FA114" s="33" t="n"/>
      <c r="FB114" s="33" t="n"/>
      <c r="FC114" s="33" t="n"/>
      <c r="FD114" s="33" t="n"/>
      <c r="FE114" s="33" t="n"/>
      <c r="FF114" s="33" t="n"/>
      <c r="FG114" s="33" t="n"/>
      <c r="FH114" s="33" t="n"/>
      <c r="FI114" s="33" t="n"/>
      <c r="FJ114" s="33" t="n"/>
      <c r="FK114" s="33" t="n"/>
      <c r="FL114" s="33" t="n"/>
      <c r="FM114" s="33" t="n"/>
      <c r="FN114" s="33" t="n"/>
      <c r="FO114" s="33" t="n"/>
      <c r="FP114" s="33" t="n"/>
      <c r="FQ114" s="33" t="n"/>
      <c r="FR114" s="33" t="n"/>
      <c r="FS114" s="33" t="n"/>
      <c r="FT114" s="33" t="n"/>
      <c r="FU114" s="33" t="n"/>
      <c r="FV114" s="33" t="n"/>
      <c r="FW114" s="33" t="n"/>
      <c r="FX114" s="33" t="n"/>
      <c r="FY114" s="33" t="n"/>
      <c r="FZ114" s="33" t="n"/>
      <c r="GA114" s="33" t="n"/>
      <c r="GB114" s="33" t="n"/>
      <c r="GC114" s="33" t="n"/>
      <c r="GD114" s="33" t="n"/>
      <c r="GE114" s="33" t="n"/>
      <c r="GF114" s="33" t="n"/>
      <c r="GG114" s="33" t="n"/>
      <c r="GH114" s="33" t="n"/>
      <c r="GI114" s="33" t="n"/>
      <c r="GJ114" s="33" t="n"/>
      <c r="GK114" s="33" t="n"/>
      <c r="GL114" s="33" t="n"/>
      <c r="GM114" s="33" t="n"/>
      <c r="GN114" s="33" t="n"/>
      <c r="GO114" s="33" t="n"/>
      <c r="GP114" s="33" t="n"/>
      <c r="GQ114" s="33" t="n"/>
      <c r="GR114" s="33" t="n"/>
      <c r="GS114" s="33" t="n"/>
      <c r="GT114" s="33" t="n"/>
      <c r="GU114" s="33" t="n"/>
      <c r="GV114" s="33" t="n"/>
      <c r="GW114" s="33" t="n"/>
      <c r="GX114" s="33" t="n"/>
      <c r="GY114" s="33" t="n"/>
      <c r="GZ114" s="33" t="n"/>
      <c r="HA114" s="33" t="n"/>
      <c r="HB114" s="33" t="n"/>
      <c r="HC114" s="33" t="n"/>
      <c r="HD114" s="33" t="n"/>
      <c r="HE114" s="33" t="n"/>
      <c r="HF114" s="33" t="n"/>
      <c r="HG114" s="33" t="n"/>
      <c r="HH114" s="33" t="n"/>
      <c r="HI114" s="33" t="n"/>
      <c r="HJ114" s="33" t="n"/>
      <c r="HK114" s="33" t="n"/>
      <c r="HL114" s="33" t="n"/>
      <c r="HM114" s="33" t="n"/>
      <c r="HN114" s="33" t="n"/>
      <c r="HO114" s="33" t="n"/>
      <c r="HP114" s="33" t="n"/>
      <c r="HQ114" s="33" t="n"/>
      <c r="HR114" s="33" t="n"/>
      <c r="HS114" s="33" t="n"/>
      <c r="HT114" s="33" t="n"/>
      <c r="HU114" s="33" t="n"/>
      <c r="HV114" s="33" t="n"/>
      <c r="HW114" s="33" t="n"/>
      <c r="HX114" s="33" t="n"/>
      <c r="HY114" s="33" t="n"/>
      <c r="HZ114" s="33" t="n"/>
      <c r="IA114" s="33" t="n"/>
      <c r="IB114" s="33" t="n"/>
      <c r="IC114" s="33" t="n"/>
      <c r="ID114" s="33" t="n"/>
      <c r="IE114" s="33" t="n"/>
      <c r="IF114" s="33" t="n"/>
      <c r="IG114" s="33" t="n"/>
      <c r="IH114" s="33" t="n"/>
      <c r="II114" s="33" t="n"/>
      <c r="IJ114" s="33" t="n"/>
      <c r="IK114" s="33" t="n"/>
      <c r="IL114" s="33" t="n"/>
      <c r="IM114" s="33" t="n"/>
      <c r="IN114" s="33" t="n"/>
      <c r="IO114" s="33" t="n"/>
      <c r="IP114" s="33" t="n"/>
      <c r="IQ114" s="33" t="n"/>
      <c r="IR114" s="33" t="n"/>
      <c r="IS114" s="33" t="n"/>
      <c r="IT114" s="33" t="n"/>
      <c r="IU114" s="33" t="n"/>
      <c r="IV114" s="33" t="n"/>
      <c r="IW114" s="33" t="n"/>
      <c r="IX114" s="33" t="n"/>
      <c r="IY114" s="33" t="n"/>
      <c r="IZ114" s="33" t="n"/>
      <c r="JA114" s="33" t="n"/>
      <c r="JB114" s="33" t="n"/>
      <c r="JC114" s="33" t="n"/>
      <c r="JD114" s="33" t="n"/>
      <c r="JE114" s="33" t="n"/>
      <c r="JF114" s="33" t="n"/>
      <c r="JG114" s="33" t="n"/>
      <c r="JH114" s="33" t="n"/>
      <c r="JI114" s="33" t="n"/>
      <c r="JJ114" s="33" t="n"/>
      <c r="JK114" s="33" t="n"/>
      <c r="JL114" s="33" t="n"/>
      <c r="JM114" s="33" t="n"/>
      <c r="JN114" s="33" t="n"/>
      <c r="JO114" s="33" t="n"/>
      <c r="JP114" s="33" t="n"/>
      <c r="JQ114" s="33" t="n"/>
      <c r="JR114" s="33" t="n"/>
      <c r="JS114" s="33" t="n"/>
      <c r="JT114" s="33" t="n"/>
      <c r="JU114" s="33" t="n"/>
      <c r="JV114" s="33" t="n"/>
      <c r="JW114" s="33" t="n"/>
      <c r="JX114" s="33" t="n"/>
      <c r="JY114" s="33" t="n"/>
      <c r="JZ114" s="33" t="n"/>
      <c r="KA114" s="33" t="n"/>
      <c r="KB114" s="33" t="n"/>
      <c r="KC114" s="33" t="n"/>
      <c r="KD114" s="33" t="n"/>
      <c r="KE114" s="33" t="n"/>
      <c r="KF114" s="33" t="n"/>
      <c r="KG114" s="33" t="n"/>
      <c r="KH114" s="33" t="n"/>
      <c r="KI114" s="33" t="n"/>
      <c r="KJ114" s="33" t="n"/>
      <c r="KK114" s="33" t="n"/>
      <c r="KL114" s="33" t="n"/>
      <c r="KM114" s="33" t="n"/>
      <c r="KN114" s="33" t="n"/>
      <c r="KO114" s="33" t="n"/>
      <c r="KP114" s="33" t="n"/>
      <c r="KQ114" s="33" t="n"/>
      <c r="KR114" s="33" t="n"/>
      <c r="KS114" s="33" t="n"/>
      <c r="KT114" s="33" t="n"/>
      <c r="KU114" s="33" t="n"/>
      <c r="KV114" s="33" t="n"/>
      <c r="KW114" s="33" t="n"/>
      <c r="KX114" s="33" t="n"/>
      <c r="KY114" s="33" t="n"/>
      <c r="KZ114" s="33" t="n"/>
      <c r="LA114" s="33" t="n"/>
      <c r="LB114" s="33" t="n"/>
      <c r="LC114" s="33" t="n"/>
      <c r="LD114" s="33" t="n"/>
      <c r="LE114" s="33" t="n"/>
      <c r="LF114" s="33" t="n"/>
      <c r="LG114" s="33" t="n"/>
      <c r="LH114" s="33" t="n"/>
      <c r="LI114" s="33" t="n"/>
      <c r="LJ114" s="33" t="n"/>
      <c r="LK114" s="33" t="n"/>
      <c r="LL114" s="33" t="n"/>
      <c r="LM114" s="33" t="n"/>
      <c r="LN114" s="33" t="n"/>
      <c r="LO114" s="33" t="n"/>
      <c r="LP114" s="33" t="n"/>
      <c r="LQ114" s="33" t="n"/>
      <c r="LR114" s="33" t="n"/>
      <c r="LS114" s="33" t="n"/>
      <c r="LT114" s="33" t="n"/>
      <c r="LU114" s="33" t="n"/>
      <c r="LV114" s="33" t="n"/>
      <c r="LW114" s="33" t="n"/>
      <c r="LX114" s="33" t="n"/>
      <c r="LY114" s="33" t="n"/>
      <c r="LZ114" s="33" t="n"/>
      <c r="MA114" s="33" t="n"/>
      <c r="MB114" s="33" t="n"/>
      <c r="MC114" s="33" t="n"/>
      <c r="MD114" s="33" t="n"/>
      <c r="ME114" s="33" t="n"/>
      <c r="MF114" s="33" t="n"/>
      <c r="MG114" s="33" t="n"/>
      <c r="MH114" s="33" t="n"/>
      <c r="MI114" s="33" t="n"/>
      <c r="MJ114" s="33" t="n"/>
      <c r="MK114" s="33" t="n"/>
      <c r="ML114" s="33" t="n"/>
      <c r="MM114" s="33" t="n"/>
      <c r="MN114" s="33" t="n"/>
      <c r="MO114" s="33" t="n"/>
      <c r="MP114" s="33" t="n"/>
      <c r="MQ114" s="33" t="n"/>
      <c r="MR114" s="33" t="n"/>
      <c r="MS114" s="33" t="n"/>
      <c r="MT114" s="33" t="n"/>
      <c r="MU114" s="33" t="n"/>
      <c r="MV114" s="33" t="n"/>
      <c r="MW114" s="33" t="n"/>
      <c r="MX114" s="33" t="n"/>
      <c r="MY114" s="33" t="n"/>
      <c r="MZ114" s="33" t="n"/>
      <c r="NA114" s="33" t="n"/>
      <c r="NB114" s="33" t="n"/>
      <c r="NC114" s="33" t="n"/>
      <c r="ND114" s="33" t="n"/>
      <c r="NE114" s="33" t="n"/>
      <c r="NF114" s="33" t="n"/>
      <c r="NG114" s="33" t="n"/>
      <c r="NH114" s="33" t="n"/>
      <c r="NI114" s="33" t="n"/>
      <c r="NJ114" s="33" t="n"/>
      <c r="NK114" s="33" t="n"/>
      <c r="NL114" s="33" t="n"/>
      <c r="NM114" s="33" t="n"/>
      <c r="NN114" s="33" t="n"/>
      <c r="NO114" s="33" t="n"/>
      <c r="NP114" s="33" t="n"/>
      <c r="NQ114" s="33" t="n"/>
      <c r="NR114" s="33" t="n"/>
      <c r="NS114" s="33" t="n"/>
      <c r="NT114" s="33" t="n"/>
      <c r="NU114" s="33" t="n"/>
      <c r="NV114" s="33" t="n"/>
      <c r="NW114" s="33" t="n"/>
      <c r="NX114" s="33" t="n"/>
      <c r="NY114" s="33" t="n"/>
      <c r="NZ114" s="33" t="n"/>
      <c r="OA114" s="33" t="n"/>
      <c r="OB114" s="33" t="n"/>
      <c r="OC114" s="33" t="n"/>
      <c r="OD114" s="33" t="n"/>
      <c r="OE114" s="33" t="n"/>
      <c r="OF114" s="33" t="n"/>
      <c r="OG114" s="33" t="n"/>
      <c r="OH114" s="33" t="n"/>
      <c r="OI114" s="33" t="n"/>
      <c r="OJ114" s="33" t="n"/>
      <c r="OK114" s="33" t="n"/>
      <c r="OL114" s="33" t="n"/>
      <c r="OM114" s="33" t="n"/>
      <c r="ON114" s="33" t="n"/>
      <c r="OO114" s="33" t="n"/>
      <c r="OP114" s="33" t="n"/>
      <c r="OQ114" s="33" t="n"/>
      <c r="OR114" s="33" t="n"/>
      <c r="OS114" s="33" t="n"/>
      <c r="OT114" s="33" t="n"/>
      <c r="OU114" s="33" t="n"/>
      <c r="OV114" s="33" t="n"/>
      <c r="OW114" s="33" t="n"/>
      <c r="OX114" s="33" t="n"/>
      <c r="OY114" s="33" t="n"/>
      <c r="OZ114" s="33" t="n"/>
      <c r="PA114" s="33" t="n"/>
      <c r="PB114" s="33" t="n"/>
      <c r="PC114" s="33" t="n"/>
      <c r="PD114" s="33" t="n"/>
      <c r="PE114" s="33" t="n"/>
      <c r="PF114" s="33" t="n"/>
      <c r="PG114" s="33" t="n"/>
      <c r="PH114" s="33" t="n"/>
      <c r="PI114" s="33" t="n"/>
      <c r="PJ114" s="33" t="n"/>
      <c r="PK114" s="33" t="n"/>
      <c r="PL114" s="33" t="n"/>
      <c r="PM114" s="33" t="n"/>
      <c r="PN114" s="33" t="n"/>
      <c r="PO114" s="33" t="n"/>
      <c r="PP114" s="33" t="n"/>
      <c r="PQ114" s="33" t="n"/>
      <c r="PR114" s="33" t="n"/>
      <c r="PS114" s="33" t="n"/>
      <c r="PT114" s="33" t="n"/>
      <c r="PU114" s="33" t="n"/>
      <c r="PV114" s="33" t="n"/>
      <c r="PW114" s="33" t="n"/>
      <c r="PX114" s="33" t="n"/>
      <c r="PY114" s="33" t="n"/>
      <c r="PZ114" s="33" t="n"/>
      <c r="QA114" s="33" t="n"/>
      <c r="QB114" s="33" t="n"/>
      <c r="QC114" s="33" t="n"/>
      <c r="QD114" s="33" t="n"/>
      <c r="QE114" s="33" t="n"/>
      <c r="QF114" s="33" t="n"/>
      <c r="QG114" s="33" t="n"/>
      <c r="QH114" s="33" t="n"/>
      <c r="QI114" s="33" t="n"/>
      <c r="QJ114" s="33" t="n"/>
      <c r="QK114" s="33" t="n"/>
      <c r="QL114" s="33" t="n"/>
      <c r="QM114" s="33" t="n"/>
      <c r="QN114" s="33" t="n"/>
      <c r="QO114" s="33" t="n"/>
      <c r="QP114" s="33" t="n"/>
      <c r="QQ114" s="33" t="n"/>
      <c r="QR114" s="33" t="n"/>
      <c r="QS114" s="33" t="n"/>
      <c r="QT114" s="33" t="n"/>
      <c r="QU114" s="33" t="n"/>
      <c r="QV114" s="33" t="n"/>
      <c r="QW114" s="33" t="n"/>
      <c r="QX114" s="33" t="n"/>
      <c r="QY114" s="33" t="n"/>
      <c r="QZ114" s="33" t="n"/>
      <c r="RA114" s="33" t="n"/>
      <c r="RB114" s="33" t="n"/>
      <c r="RC114" s="33" t="n"/>
      <c r="RD114" s="33" t="n"/>
      <c r="RE114" s="33" t="n"/>
      <c r="RF114" s="33" t="n"/>
      <c r="RG114" s="33" t="n"/>
      <c r="RH114" s="33" t="n"/>
      <c r="RI114" s="33" t="n"/>
      <c r="RJ114" s="33" t="n"/>
      <c r="RK114" s="33" t="n"/>
      <c r="RL114" s="33" t="n"/>
      <c r="RM114" s="33" t="n"/>
      <c r="RN114" s="33" t="n"/>
      <c r="RO114" s="33" t="n"/>
      <c r="RP114" s="33" t="n"/>
      <c r="RQ114" s="33" t="n"/>
      <c r="RR114" s="33" t="n"/>
      <c r="RS114" s="33" t="n"/>
      <c r="RT114" s="33" t="n"/>
      <c r="RU114" s="33" t="n"/>
      <c r="RV114" s="33" t="n"/>
      <c r="RW114" s="33" t="n"/>
    </row>
    <row r="115" ht="5.25" customHeight="1"/>
    <row r="116" ht="13.05" customHeight="1">
      <c r="E116" s="25" t="inlineStr">
        <is>
          <t>Tax Charge (accrued)</t>
        </is>
      </c>
      <c r="F116" s="26" t="n"/>
      <c r="G116" s="26" t="inlineStr">
        <is>
          <t>kEUR</t>
        </is>
      </c>
      <c r="H116" s="26" t="n"/>
      <c r="I116" s="26" t="n"/>
      <c r="J116" s="27" t="n"/>
      <c r="K116" s="26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  <c r="AP116" s="28" t="n"/>
      <c r="AQ116" s="28" t="n"/>
      <c r="AR116" s="28" t="n"/>
      <c r="AS116" s="28" t="n"/>
      <c r="AT116" s="28" t="n"/>
      <c r="AU116" s="28" t="n"/>
      <c r="AV116" s="28" t="n"/>
      <c r="AW116" s="28" t="n"/>
      <c r="AX116" s="28" t="n"/>
      <c r="AY116" s="28" t="n"/>
      <c r="AZ116" s="28" t="n"/>
      <c r="BA116" s="28" t="n"/>
      <c r="BB116" s="28" t="n"/>
      <c r="BC116" s="28" t="n"/>
      <c r="BD116" s="28" t="n"/>
      <c r="BE116" s="28" t="n"/>
      <c r="BF116" s="28" t="n"/>
      <c r="BG116" s="28" t="n"/>
      <c r="BH116" s="28" t="n"/>
      <c r="BI116" s="28" t="n"/>
      <c r="BJ116" s="28" t="n"/>
      <c r="BK116" s="28" t="n"/>
      <c r="BL116" s="28" t="n"/>
      <c r="BM116" s="28" t="n"/>
      <c r="BN116" s="28" t="n"/>
      <c r="BO116" s="28" t="n"/>
      <c r="BP116" s="28" t="n"/>
      <c r="BQ116" s="28" t="n"/>
      <c r="BR116" s="28" t="n"/>
      <c r="BS116" s="28" t="n"/>
      <c r="BT116" s="28" t="n"/>
      <c r="BU116" s="28" t="n"/>
      <c r="BV116" s="28" t="n"/>
      <c r="BW116" s="28" t="n"/>
      <c r="BX116" s="28" t="n"/>
      <c r="BY116" s="28" t="n"/>
      <c r="BZ116" s="28" t="n"/>
      <c r="CA116" s="28" t="n"/>
      <c r="CB116" s="28" t="n"/>
      <c r="CC116" s="28" t="n"/>
      <c r="CD116" s="28" t="n"/>
      <c r="CE116" s="28" t="n"/>
      <c r="CF116" s="28" t="n"/>
      <c r="CG116" s="28" t="n"/>
      <c r="CH116" s="28" t="n"/>
      <c r="CI116" s="28" t="n"/>
      <c r="CJ116" s="28" t="n"/>
      <c r="CK116" s="28" t="n"/>
      <c r="CL116" s="28" t="n"/>
      <c r="CM116" s="28" t="n"/>
      <c r="CN116" s="28" t="n"/>
      <c r="CO116" s="28" t="n"/>
      <c r="CP116" s="28" t="n"/>
      <c r="CQ116" s="28" t="n"/>
      <c r="CR116" s="28" t="n"/>
      <c r="CS116" s="28" t="n"/>
      <c r="CT116" s="28" t="n"/>
      <c r="CU116" s="28" t="n"/>
      <c r="CV116" s="28" t="n"/>
      <c r="CW116" s="28" t="n"/>
      <c r="CX116" s="28" t="n"/>
      <c r="CY116" s="28" t="n"/>
      <c r="CZ116" s="28" t="n"/>
      <c r="DA116" s="28" t="n"/>
      <c r="DB116" s="28" t="n"/>
      <c r="DC116" s="28" t="n"/>
      <c r="DD116" s="28" t="n"/>
      <c r="DE116" s="28" t="n"/>
      <c r="DF116" s="28" t="n"/>
      <c r="DG116" s="28" t="n"/>
      <c r="DH116" s="28" t="n"/>
      <c r="DI116" s="28" t="n"/>
      <c r="DJ116" s="28" t="n"/>
      <c r="DK116" s="28" t="n"/>
      <c r="DL116" s="28" t="n"/>
      <c r="DM116" s="28" t="n"/>
      <c r="DN116" s="28" t="n"/>
      <c r="DO116" s="28" t="n"/>
      <c r="DP116" s="28" t="n"/>
      <c r="DQ116" s="28" t="n"/>
      <c r="DR116" s="28" t="n"/>
      <c r="DS116" s="28" t="n"/>
      <c r="DT116" s="28" t="n"/>
      <c r="DU116" s="28" t="n"/>
      <c r="DV116" s="28" t="n"/>
      <c r="DW116" s="28" t="n"/>
      <c r="DX116" s="28" t="n"/>
      <c r="DY116" s="28" t="n"/>
      <c r="DZ116" s="28" t="n"/>
      <c r="EA116" s="28" t="n"/>
      <c r="EB116" s="28" t="n"/>
      <c r="EC116" s="28" t="n"/>
      <c r="ED116" s="28" t="n"/>
      <c r="EE116" s="28" t="n"/>
      <c r="EF116" s="28" t="n"/>
      <c r="EG116" s="28" t="n"/>
      <c r="EH116" s="28" t="n"/>
      <c r="EI116" s="28" t="n"/>
      <c r="EJ116" s="28" t="n"/>
      <c r="EK116" s="28" t="n"/>
      <c r="EL116" s="28" t="n"/>
      <c r="EM116" s="28" t="n"/>
      <c r="EN116" s="28" t="n"/>
      <c r="EO116" s="28" t="n"/>
      <c r="EP116" s="28" t="n"/>
      <c r="EQ116" s="28" t="n"/>
      <c r="ER116" s="28" t="n"/>
      <c r="ES116" s="28" t="n"/>
      <c r="ET116" s="28" t="n"/>
      <c r="EU116" s="28" t="n"/>
      <c r="EV116" s="28" t="n"/>
      <c r="EW116" s="28" t="n"/>
      <c r="EX116" s="28" t="n"/>
      <c r="EY116" s="28" t="n"/>
      <c r="EZ116" s="28" t="n"/>
      <c r="FA116" s="28" t="n"/>
      <c r="FB116" s="28" t="n"/>
      <c r="FC116" s="28" t="n"/>
      <c r="FD116" s="28" t="n"/>
      <c r="FE116" s="28" t="n"/>
      <c r="FF116" s="28" t="n"/>
      <c r="FG116" s="28" t="n"/>
      <c r="FH116" s="28" t="n"/>
      <c r="FI116" s="28" t="n"/>
      <c r="FJ116" s="28" t="n"/>
      <c r="FK116" s="28" t="n"/>
      <c r="FL116" s="28" t="n"/>
      <c r="FM116" s="28" t="n"/>
      <c r="FN116" s="28" t="n"/>
      <c r="FO116" s="28" t="n"/>
      <c r="FP116" s="28" t="n"/>
      <c r="FQ116" s="28" t="n"/>
      <c r="FR116" s="28" t="n"/>
      <c r="FS116" s="28" t="n"/>
      <c r="FT116" s="28" t="n"/>
      <c r="FU116" s="28" t="n"/>
      <c r="FV116" s="28" t="n"/>
      <c r="FW116" s="28" t="n"/>
      <c r="FX116" s="28" t="n"/>
      <c r="FY116" s="28" t="n"/>
      <c r="FZ116" s="28" t="n"/>
      <c r="GA116" s="28" t="n"/>
      <c r="GB116" s="28" t="n"/>
      <c r="GC116" s="28" t="n"/>
      <c r="GD116" s="28" t="n"/>
      <c r="GE116" s="28" t="n"/>
      <c r="GF116" s="28" t="n"/>
      <c r="GG116" s="28" t="n"/>
      <c r="GH116" s="28" t="n"/>
      <c r="GI116" s="28" t="n"/>
      <c r="GJ116" s="28" t="n"/>
      <c r="GK116" s="28" t="n"/>
      <c r="GL116" s="28" t="n"/>
      <c r="GM116" s="28" t="n"/>
      <c r="GN116" s="28" t="n"/>
      <c r="GO116" s="28" t="n"/>
      <c r="GP116" s="28" t="n"/>
      <c r="GQ116" s="28" t="n"/>
      <c r="GR116" s="28" t="n"/>
      <c r="GS116" s="28" t="n"/>
      <c r="GT116" s="28" t="n"/>
      <c r="GU116" s="28" t="n"/>
      <c r="GV116" s="28" t="n"/>
      <c r="GW116" s="28" t="n"/>
      <c r="GX116" s="28" t="n"/>
      <c r="GY116" s="28" t="n"/>
      <c r="GZ116" s="28" t="n"/>
      <c r="HA116" s="28" t="n"/>
      <c r="HB116" s="28" t="n"/>
      <c r="HC116" s="28" t="n"/>
      <c r="HD116" s="28" t="n"/>
      <c r="HE116" s="28" t="n"/>
      <c r="HF116" s="28" t="n"/>
      <c r="HG116" s="28" t="n"/>
      <c r="HH116" s="28" t="n"/>
      <c r="HI116" s="28" t="n"/>
      <c r="HJ116" s="28" t="n"/>
      <c r="HK116" s="28" t="n"/>
      <c r="HL116" s="28" t="n"/>
      <c r="HM116" s="28" t="n"/>
      <c r="HN116" s="28" t="n"/>
      <c r="HO116" s="28" t="n"/>
      <c r="HP116" s="28" t="n"/>
      <c r="HQ116" s="28" t="n"/>
      <c r="HR116" s="28" t="n"/>
      <c r="HS116" s="28" t="n"/>
      <c r="HT116" s="28" t="n"/>
      <c r="HU116" s="28" t="n"/>
      <c r="HV116" s="28" t="n"/>
      <c r="HW116" s="28" t="n"/>
      <c r="HX116" s="28" t="n"/>
      <c r="HY116" s="28" t="n"/>
      <c r="HZ116" s="28" t="n"/>
      <c r="IA116" s="28" t="n"/>
      <c r="IB116" s="28" t="n"/>
      <c r="IC116" s="28" t="n"/>
      <c r="ID116" s="28" t="n"/>
      <c r="IE116" s="28" t="n"/>
      <c r="IF116" s="28" t="n"/>
      <c r="IG116" s="28" t="n"/>
      <c r="IH116" s="28" t="n"/>
      <c r="II116" s="28" t="n"/>
      <c r="IJ116" s="28" t="n"/>
      <c r="IK116" s="28" t="n"/>
      <c r="IL116" s="28" t="n"/>
      <c r="IM116" s="28" t="n"/>
      <c r="IN116" s="28" t="n"/>
      <c r="IO116" s="28" t="n"/>
      <c r="IP116" s="28" t="n"/>
      <c r="IQ116" s="28" t="n"/>
      <c r="IR116" s="28" t="n"/>
      <c r="IS116" s="28" t="n"/>
      <c r="IT116" s="28" t="n"/>
      <c r="IU116" s="28" t="n"/>
      <c r="IV116" s="28" t="n"/>
      <c r="IW116" s="28" t="n"/>
      <c r="IX116" s="28" t="n"/>
      <c r="IY116" s="28" t="n"/>
      <c r="IZ116" s="28" t="n"/>
      <c r="JA116" s="28" t="n"/>
      <c r="JB116" s="28" t="n"/>
      <c r="JC116" s="28" t="n"/>
      <c r="JD116" s="28" t="n"/>
      <c r="JE116" s="28" t="n"/>
      <c r="JF116" s="28" t="n"/>
      <c r="JG116" s="28" t="n"/>
      <c r="JH116" s="28" t="n"/>
      <c r="JI116" s="28" t="n"/>
      <c r="JJ116" s="28" t="n"/>
      <c r="JK116" s="28" t="n"/>
      <c r="JL116" s="28" t="n"/>
      <c r="JM116" s="28" t="n"/>
      <c r="JN116" s="28" t="n"/>
      <c r="JO116" s="28" t="n"/>
      <c r="JP116" s="28" t="n"/>
      <c r="JQ116" s="28" t="n"/>
      <c r="JR116" s="28" t="n"/>
      <c r="JS116" s="28" t="n"/>
      <c r="JT116" s="28" t="n"/>
      <c r="JU116" s="28" t="n"/>
      <c r="JV116" s="28" t="n"/>
      <c r="JW116" s="28" t="n"/>
      <c r="JX116" s="28" t="n"/>
      <c r="JY116" s="28" t="n"/>
      <c r="JZ116" s="28" t="n"/>
      <c r="KA116" s="28" t="n"/>
      <c r="KB116" s="28" t="n"/>
      <c r="KC116" s="28" t="n"/>
      <c r="KD116" s="28" t="n"/>
      <c r="KE116" s="28" t="n"/>
      <c r="KF116" s="28" t="n"/>
      <c r="KG116" s="28" t="n"/>
      <c r="KH116" s="28" t="n"/>
      <c r="KI116" s="28" t="n"/>
      <c r="KJ116" s="28" t="n"/>
      <c r="KK116" s="28" t="n"/>
      <c r="KL116" s="28" t="n"/>
      <c r="KM116" s="28" t="n"/>
      <c r="KN116" s="28" t="n"/>
      <c r="KO116" s="28" t="n"/>
      <c r="KP116" s="28" t="n"/>
      <c r="KQ116" s="28" t="n"/>
      <c r="KR116" s="28" t="n"/>
      <c r="KS116" s="28" t="n"/>
      <c r="KT116" s="28" t="n"/>
      <c r="KU116" s="28" t="n"/>
      <c r="KV116" s="28" t="n"/>
      <c r="KW116" s="28" t="n"/>
      <c r="KX116" s="28" t="n"/>
      <c r="KY116" s="28" t="n"/>
      <c r="KZ116" s="28" t="n"/>
      <c r="LA116" s="28" t="n"/>
      <c r="LB116" s="28" t="n"/>
      <c r="LC116" s="28" t="n"/>
      <c r="LD116" s="28" t="n"/>
      <c r="LE116" s="28" t="n"/>
      <c r="LF116" s="28" t="n"/>
      <c r="LG116" s="28" t="n"/>
      <c r="LH116" s="28" t="n"/>
      <c r="LI116" s="28" t="n"/>
      <c r="LJ116" s="28" t="n"/>
      <c r="LK116" s="28" t="n"/>
      <c r="LL116" s="28" t="n"/>
      <c r="LM116" s="28" t="n"/>
      <c r="LN116" s="28" t="n"/>
      <c r="LO116" s="28" t="n"/>
      <c r="LP116" s="28" t="n"/>
      <c r="LQ116" s="28" t="n"/>
      <c r="LR116" s="28" t="n"/>
      <c r="LS116" s="28" t="n"/>
      <c r="LT116" s="28" t="n"/>
      <c r="LU116" s="28" t="n"/>
      <c r="LV116" s="28" t="n"/>
      <c r="LW116" s="28" t="n"/>
      <c r="LX116" s="28" t="n"/>
      <c r="LY116" s="28" t="n"/>
      <c r="LZ116" s="28" t="n"/>
      <c r="MA116" s="28" t="n"/>
      <c r="MB116" s="28" t="n"/>
      <c r="MC116" s="28" t="n"/>
      <c r="MD116" s="28" t="n"/>
      <c r="ME116" s="28" t="n"/>
      <c r="MF116" s="28" t="n"/>
      <c r="MG116" s="28" t="n"/>
      <c r="MH116" s="28" t="n"/>
      <c r="MI116" s="28" t="n"/>
      <c r="MJ116" s="28" t="n"/>
      <c r="MK116" s="28" t="n"/>
      <c r="ML116" s="28" t="n"/>
      <c r="MM116" s="28" t="n"/>
      <c r="MN116" s="28" t="n"/>
      <c r="MO116" s="28" t="n"/>
      <c r="MP116" s="28" t="n"/>
      <c r="MQ116" s="28" t="n"/>
      <c r="MR116" s="28" t="n"/>
      <c r="MS116" s="28" t="n"/>
      <c r="MT116" s="28" t="n"/>
      <c r="MU116" s="28" t="n"/>
      <c r="MV116" s="28" t="n"/>
      <c r="MW116" s="28" t="n"/>
      <c r="MX116" s="28" t="n"/>
      <c r="MY116" s="28" t="n"/>
      <c r="MZ116" s="28" t="n"/>
      <c r="NA116" s="28" t="n"/>
      <c r="NB116" s="28" t="n"/>
      <c r="NC116" s="28" t="n"/>
      <c r="ND116" s="28" t="n"/>
      <c r="NE116" s="28" t="n"/>
      <c r="NF116" s="28" t="n"/>
      <c r="NG116" s="28" t="n"/>
      <c r="NH116" s="28" t="n"/>
      <c r="NI116" s="28" t="n"/>
      <c r="NJ116" s="28" t="n"/>
      <c r="NK116" s="28" t="n"/>
      <c r="NL116" s="28" t="n"/>
      <c r="NM116" s="28" t="n"/>
      <c r="NN116" s="28" t="n"/>
      <c r="NO116" s="28" t="n"/>
      <c r="NP116" s="28" t="n"/>
      <c r="NQ116" s="28" t="n"/>
      <c r="NR116" s="28" t="n"/>
      <c r="NS116" s="28" t="n"/>
      <c r="NT116" s="28" t="n"/>
      <c r="NU116" s="28" t="n"/>
      <c r="NV116" s="28" t="n"/>
      <c r="NW116" s="28" t="n"/>
      <c r="NX116" s="28" t="n"/>
      <c r="NY116" s="28" t="n"/>
      <c r="NZ116" s="28" t="n"/>
      <c r="OA116" s="28" t="n"/>
      <c r="OB116" s="28" t="n"/>
      <c r="OC116" s="28" t="n"/>
      <c r="OD116" s="28" t="n"/>
      <c r="OE116" s="28" t="n"/>
      <c r="OF116" s="28" t="n"/>
      <c r="OG116" s="28" t="n"/>
      <c r="OH116" s="28" t="n"/>
      <c r="OI116" s="28" t="n"/>
      <c r="OJ116" s="28" t="n"/>
      <c r="OK116" s="28" t="n"/>
      <c r="OL116" s="28" t="n"/>
      <c r="OM116" s="28" t="n"/>
      <c r="ON116" s="28" t="n"/>
      <c r="OO116" s="28" t="n"/>
      <c r="OP116" s="28" t="n"/>
      <c r="OQ116" s="28" t="n"/>
      <c r="OR116" s="28" t="n"/>
      <c r="OS116" s="28" t="n"/>
      <c r="OT116" s="28" t="n"/>
      <c r="OU116" s="28" t="n"/>
      <c r="OV116" s="28" t="n"/>
      <c r="OW116" s="28" t="n"/>
      <c r="OX116" s="28" t="n"/>
      <c r="OY116" s="28" t="n"/>
      <c r="OZ116" s="28" t="n"/>
      <c r="PA116" s="28" t="n"/>
      <c r="PB116" s="28" t="n"/>
      <c r="PC116" s="28" t="n"/>
      <c r="PD116" s="28" t="n"/>
      <c r="PE116" s="28" t="n"/>
      <c r="PF116" s="28" t="n"/>
      <c r="PG116" s="28" t="n"/>
      <c r="PH116" s="28" t="n"/>
      <c r="PI116" s="28" t="n"/>
      <c r="PJ116" s="28" t="n"/>
      <c r="PK116" s="28" t="n"/>
      <c r="PL116" s="28" t="n"/>
      <c r="PM116" s="28" t="n"/>
      <c r="PN116" s="28" t="n"/>
      <c r="PO116" s="28" t="n"/>
      <c r="PP116" s="28" t="n"/>
      <c r="PQ116" s="28" t="n"/>
      <c r="PR116" s="28" t="n"/>
      <c r="PS116" s="28" t="n"/>
      <c r="PT116" s="28" t="n"/>
      <c r="PU116" s="28" t="n"/>
      <c r="PV116" s="28" t="n"/>
      <c r="PW116" s="28" t="n"/>
      <c r="PX116" s="28" t="n"/>
      <c r="PY116" s="28" t="n"/>
      <c r="PZ116" s="28" t="n"/>
      <c r="QA116" s="28" t="n"/>
      <c r="QB116" s="28" t="n"/>
      <c r="QC116" s="28" t="n"/>
      <c r="QD116" s="28" t="n"/>
      <c r="QE116" s="28" t="n"/>
      <c r="QF116" s="28" t="n"/>
      <c r="QG116" s="28" t="n"/>
      <c r="QH116" s="28" t="n"/>
      <c r="QI116" s="28" t="n"/>
      <c r="QJ116" s="28" t="n"/>
      <c r="QK116" s="28" t="n"/>
      <c r="QL116" s="28" t="n"/>
      <c r="QM116" s="28" t="n"/>
      <c r="QN116" s="28" t="n"/>
      <c r="QO116" s="28" t="n"/>
      <c r="QP116" s="28" t="n"/>
      <c r="QQ116" s="28" t="n"/>
      <c r="QR116" s="28" t="n"/>
      <c r="QS116" s="28" t="n"/>
      <c r="QT116" s="28" t="n"/>
      <c r="QU116" s="28" t="n"/>
      <c r="QV116" s="28" t="n"/>
      <c r="QW116" s="28" t="n"/>
      <c r="QX116" s="28" t="n"/>
      <c r="QY116" s="28" t="n"/>
      <c r="QZ116" s="28" t="n"/>
      <c r="RA116" s="28" t="n"/>
      <c r="RB116" s="28" t="n"/>
      <c r="RC116" s="28" t="n"/>
      <c r="RD116" s="28" t="n"/>
      <c r="RE116" s="28" t="n"/>
      <c r="RF116" s="28" t="n"/>
      <c r="RG116" s="28" t="n"/>
      <c r="RH116" s="28" t="n"/>
      <c r="RI116" s="28" t="n"/>
      <c r="RJ116" s="28" t="n"/>
      <c r="RK116" s="28" t="n"/>
      <c r="RL116" s="28" t="n"/>
      <c r="RM116" s="28" t="n"/>
      <c r="RN116" s="28" t="n"/>
      <c r="RO116" s="28" t="n"/>
      <c r="RP116" s="28" t="n"/>
      <c r="RQ116" s="28" t="n"/>
      <c r="RR116" s="28" t="n"/>
      <c r="RS116" s="28" t="n"/>
      <c r="RT116" s="28" t="n"/>
      <c r="RU116" s="28" t="n"/>
      <c r="RV116" s="28" t="n"/>
      <c r="RW116" s="28" t="n"/>
    </row>
    <row r="117" ht="13.05" customHeight="1">
      <c r="E117" s="21" t="inlineStr">
        <is>
          <t>deferred_tax_asset</t>
        </is>
      </c>
      <c r="F117" s="29" t="n"/>
      <c r="G117" s="29" t="inlineStr">
        <is>
          <t>kEUR</t>
        </is>
      </c>
      <c r="H117" s="29" t="n"/>
      <c r="I117" s="29" t="n"/>
      <c r="J117" s="32" t="n"/>
      <c r="K117" s="29" t="n"/>
      <c r="L117" s="33" t="n"/>
      <c r="M117" s="33" t="n"/>
      <c r="N117" s="33" t="n"/>
      <c r="O117" s="33" t="n"/>
      <c r="P117" s="33" t="n"/>
      <c r="Q117" s="33" t="n"/>
      <c r="R117" s="33" t="n"/>
      <c r="S117" s="33" t="n"/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  <c r="AE117" s="33" t="n"/>
      <c r="AF117" s="33" t="n"/>
      <c r="AG117" s="33" t="n"/>
      <c r="AH117" s="33" t="n"/>
      <c r="AI117" s="33" t="n"/>
      <c r="AJ117" s="33" t="n"/>
      <c r="AK117" s="33" t="n"/>
      <c r="AL117" s="33" t="n"/>
      <c r="AM117" s="33" t="n"/>
      <c r="AN117" s="33" t="n"/>
      <c r="AO117" s="33" t="n"/>
      <c r="AP117" s="33" t="n"/>
      <c r="AQ117" s="33" t="n"/>
      <c r="AR117" s="33" t="n"/>
      <c r="AS117" s="33" t="n"/>
      <c r="AT117" s="33" t="n"/>
      <c r="AU117" s="33" t="n"/>
      <c r="AV117" s="33" t="n"/>
      <c r="AW117" s="33" t="n"/>
      <c r="AX117" s="33" t="n"/>
      <c r="AY117" s="33" t="n"/>
      <c r="AZ117" s="33" t="n"/>
      <c r="BA117" s="33" t="n"/>
      <c r="BB117" s="33" t="n"/>
      <c r="BC117" s="33" t="n"/>
      <c r="BD117" s="33" t="n"/>
      <c r="BE117" s="33" t="n"/>
      <c r="BF117" s="33" t="n"/>
      <c r="BG117" s="33" t="n"/>
      <c r="BH117" s="33" t="n"/>
      <c r="BI117" s="33" t="n"/>
      <c r="BJ117" s="33" t="n"/>
      <c r="BK117" s="33" t="n"/>
      <c r="BL117" s="33" t="n"/>
      <c r="BM117" s="33" t="n"/>
      <c r="BN117" s="33" t="n"/>
      <c r="BO117" s="33" t="n"/>
      <c r="BP117" s="33" t="n"/>
      <c r="BQ117" s="33" t="n"/>
      <c r="BR117" s="33" t="n"/>
      <c r="BS117" s="33" t="n"/>
      <c r="BT117" s="33" t="n"/>
      <c r="BU117" s="33" t="n"/>
      <c r="BV117" s="33" t="n"/>
      <c r="BW117" s="33" t="n"/>
      <c r="BX117" s="33" t="n"/>
      <c r="BY117" s="33" t="n"/>
      <c r="BZ117" s="33" t="n"/>
      <c r="CA117" s="33" t="n"/>
      <c r="CB117" s="33" t="n"/>
      <c r="CC117" s="33" t="n"/>
      <c r="CD117" s="33" t="n"/>
      <c r="CE117" s="33" t="n"/>
      <c r="CF117" s="33" t="n"/>
      <c r="CG117" s="33" t="n"/>
      <c r="CH117" s="33" t="n"/>
      <c r="CI117" s="33" t="n"/>
      <c r="CJ117" s="33" t="n"/>
      <c r="CK117" s="33" t="n"/>
      <c r="CL117" s="33" t="n"/>
      <c r="CM117" s="33" t="n"/>
      <c r="CN117" s="33" t="n"/>
      <c r="CO117" s="33" t="n"/>
      <c r="CP117" s="33" t="n"/>
      <c r="CQ117" s="33" t="n"/>
      <c r="CR117" s="33" t="n"/>
      <c r="CS117" s="33" t="n"/>
      <c r="CT117" s="33" t="n"/>
      <c r="CU117" s="33" t="n"/>
      <c r="CV117" s="33" t="n"/>
      <c r="CW117" s="33" t="n"/>
      <c r="CX117" s="33" t="n"/>
      <c r="CY117" s="33" t="n"/>
      <c r="CZ117" s="33" t="n"/>
      <c r="DA117" s="33" t="n"/>
      <c r="DB117" s="33" t="n"/>
      <c r="DC117" s="33" t="n"/>
      <c r="DD117" s="33" t="n"/>
      <c r="DE117" s="33" t="n"/>
      <c r="DF117" s="33" t="n"/>
      <c r="DG117" s="33" t="n"/>
      <c r="DH117" s="33" t="n"/>
      <c r="DI117" s="33" t="n"/>
      <c r="DJ117" s="33" t="n"/>
      <c r="DK117" s="33" t="n"/>
      <c r="DL117" s="33" t="n"/>
      <c r="DM117" s="33" t="n"/>
      <c r="DN117" s="33" t="n"/>
      <c r="DO117" s="33" t="n"/>
      <c r="DP117" s="33" t="n"/>
      <c r="DQ117" s="33" t="n"/>
      <c r="DR117" s="33" t="n"/>
      <c r="DS117" s="33" t="n"/>
      <c r="DT117" s="33" t="n"/>
      <c r="DU117" s="33" t="n"/>
      <c r="DV117" s="33" t="n"/>
      <c r="DW117" s="33" t="n"/>
      <c r="DX117" s="33" t="n"/>
      <c r="DY117" s="33" t="n"/>
      <c r="DZ117" s="33" t="n"/>
      <c r="EA117" s="33" t="n"/>
      <c r="EB117" s="33" t="n"/>
      <c r="EC117" s="33" t="n"/>
      <c r="ED117" s="33" t="n"/>
      <c r="EE117" s="33" t="n"/>
      <c r="EF117" s="33" t="n"/>
      <c r="EG117" s="33" t="n"/>
      <c r="EH117" s="33" t="n"/>
      <c r="EI117" s="33" t="n"/>
      <c r="EJ117" s="33" t="n"/>
      <c r="EK117" s="33" t="n"/>
      <c r="EL117" s="33" t="n"/>
      <c r="EM117" s="33" t="n"/>
      <c r="EN117" s="33" t="n"/>
      <c r="EO117" s="33" t="n"/>
      <c r="EP117" s="33" t="n"/>
      <c r="EQ117" s="33" t="n"/>
      <c r="ER117" s="33" t="n"/>
      <c r="ES117" s="33" t="n"/>
      <c r="ET117" s="33" t="n"/>
      <c r="EU117" s="33" t="n"/>
      <c r="EV117" s="33" t="n"/>
      <c r="EW117" s="33" t="n"/>
      <c r="EX117" s="33" t="n"/>
      <c r="EY117" s="33" t="n"/>
      <c r="EZ117" s="33" t="n"/>
      <c r="FA117" s="33" t="n"/>
      <c r="FB117" s="33" t="n"/>
      <c r="FC117" s="33" t="n"/>
      <c r="FD117" s="33" t="n"/>
      <c r="FE117" s="33" t="n"/>
      <c r="FF117" s="33" t="n"/>
      <c r="FG117" s="33" t="n"/>
      <c r="FH117" s="33" t="n"/>
      <c r="FI117" s="33" t="n"/>
      <c r="FJ117" s="33" t="n"/>
      <c r="FK117" s="33" t="n"/>
      <c r="FL117" s="33" t="n"/>
      <c r="FM117" s="33" t="n"/>
      <c r="FN117" s="33" t="n"/>
      <c r="FO117" s="33" t="n"/>
      <c r="FP117" s="33" t="n"/>
      <c r="FQ117" s="33" t="n"/>
      <c r="FR117" s="33" t="n"/>
      <c r="FS117" s="33" t="n"/>
      <c r="FT117" s="33" t="n"/>
      <c r="FU117" s="33" t="n"/>
      <c r="FV117" s="33" t="n"/>
      <c r="FW117" s="33" t="n"/>
      <c r="FX117" s="33" t="n"/>
      <c r="FY117" s="33" t="n"/>
      <c r="FZ117" s="33" t="n"/>
      <c r="GA117" s="33" t="n"/>
      <c r="GB117" s="33" t="n"/>
      <c r="GC117" s="33" t="n"/>
      <c r="GD117" s="33" t="n"/>
      <c r="GE117" s="33" t="n"/>
      <c r="GF117" s="33" t="n"/>
      <c r="GG117" s="33" t="n"/>
      <c r="GH117" s="33" t="n"/>
      <c r="GI117" s="33" t="n"/>
      <c r="GJ117" s="33" t="n"/>
      <c r="GK117" s="33" t="n"/>
      <c r="GL117" s="33" t="n"/>
      <c r="GM117" s="33" t="n"/>
      <c r="GN117" s="33" t="n"/>
      <c r="GO117" s="33" t="n"/>
      <c r="GP117" s="33" t="n"/>
      <c r="GQ117" s="33" t="n"/>
      <c r="GR117" s="33" t="n"/>
      <c r="GS117" s="33" t="n"/>
      <c r="GT117" s="33" t="n"/>
      <c r="GU117" s="33" t="n"/>
      <c r="GV117" s="33" t="n"/>
      <c r="GW117" s="33" t="n"/>
      <c r="GX117" s="33" t="n"/>
      <c r="GY117" s="33" t="n"/>
      <c r="GZ117" s="33" t="n"/>
      <c r="HA117" s="33" t="n"/>
      <c r="HB117" s="33" t="n"/>
      <c r="HC117" s="33" t="n"/>
      <c r="HD117" s="33" t="n"/>
      <c r="HE117" s="33" t="n"/>
      <c r="HF117" s="33" t="n"/>
      <c r="HG117" s="33" t="n"/>
      <c r="HH117" s="33" t="n"/>
      <c r="HI117" s="33" t="n"/>
      <c r="HJ117" s="33" t="n"/>
      <c r="HK117" s="33" t="n"/>
      <c r="HL117" s="33" t="n"/>
      <c r="HM117" s="33" t="n"/>
      <c r="HN117" s="33" t="n"/>
      <c r="HO117" s="33" t="n"/>
      <c r="HP117" s="33" t="n"/>
      <c r="HQ117" s="33" t="n"/>
      <c r="HR117" s="33" t="n"/>
      <c r="HS117" s="33" t="n"/>
      <c r="HT117" s="33" t="n"/>
      <c r="HU117" s="33" t="n"/>
      <c r="HV117" s="33" t="n"/>
      <c r="HW117" s="33" t="n"/>
      <c r="HX117" s="33" t="n"/>
      <c r="HY117" s="33" t="n"/>
      <c r="HZ117" s="33" t="n"/>
      <c r="IA117" s="33" t="n"/>
      <c r="IB117" s="33" t="n"/>
      <c r="IC117" s="33" t="n"/>
      <c r="ID117" s="33" t="n"/>
      <c r="IE117" s="33" t="n"/>
      <c r="IF117" s="33" t="n"/>
      <c r="IG117" s="33" t="n"/>
      <c r="IH117" s="33" t="n"/>
      <c r="II117" s="33" t="n"/>
      <c r="IJ117" s="33" t="n"/>
      <c r="IK117" s="33" t="n"/>
      <c r="IL117" s="33" t="n"/>
      <c r="IM117" s="33" t="n"/>
      <c r="IN117" s="33" t="n"/>
      <c r="IO117" s="33" t="n"/>
      <c r="IP117" s="33" t="n"/>
      <c r="IQ117" s="33" t="n"/>
      <c r="IR117" s="33" t="n"/>
      <c r="IS117" s="33" t="n"/>
      <c r="IT117" s="33" t="n"/>
      <c r="IU117" s="33" t="n"/>
      <c r="IV117" s="33" t="n"/>
      <c r="IW117" s="33" t="n"/>
      <c r="IX117" s="33" t="n"/>
      <c r="IY117" s="33" t="n"/>
      <c r="IZ117" s="33" t="n"/>
      <c r="JA117" s="33" t="n"/>
      <c r="JB117" s="33" t="n"/>
      <c r="JC117" s="33" t="n"/>
      <c r="JD117" s="33" t="n"/>
      <c r="JE117" s="33" t="n"/>
      <c r="JF117" s="33" t="n"/>
      <c r="JG117" s="33" t="n"/>
      <c r="JH117" s="33" t="n"/>
      <c r="JI117" s="33" t="n"/>
      <c r="JJ117" s="33" t="n"/>
      <c r="JK117" s="33" t="n"/>
      <c r="JL117" s="33" t="n"/>
      <c r="JM117" s="33" t="n"/>
      <c r="JN117" s="33" t="n"/>
      <c r="JO117" s="33" t="n"/>
      <c r="JP117" s="33" t="n"/>
      <c r="JQ117" s="33" t="n"/>
      <c r="JR117" s="33" t="n"/>
      <c r="JS117" s="33" t="n"/>
      <c r="JT117" s="33" t="n"/>
      <c r="JU117" s="33" t="n"/>
      <c r="JV117" s="33" t="n"/>
      <c r="JW117" s="33" t="n"/>
      <c r="JX117" s="33" t="n"/>
      <c r="JY117" s="33" t="n"/>
      <c r="JZ117" s="33" t="n"/>
      <c r="KA117" s="33" t="n"/>
      <c r="KB117" s="33" t="n"/>
      <c r="KC117" s="33" t="n"/>
      <c r="KD117" s="33" t="n"/>
      <c r="KE117" s="33" t="n"/>
      <c r="KF117" s="33" t="n"/>
      <c r="KG117" s="33" t="n"/>
      <c r="KH117" s="33" t="n"/>
      <c r="KI117" s="33" t="n"/>
      <c r="KJ117" s="33" t="n"/>
      <c r="KK117" s="33" t="n"/>
      <c r="KL117" s="33" t="n"/>
      <c r="KM117" s="33" t="n"/>
      <c r="KN117" s="33" t="n"/>
      <c r="KO117" s="33" t="n"/>
      <c r="KP117" s="33" t="n"/>
      <c r="KQ117" s="33" t="n"/>
      <c r="KR117" s="33" t="n"/>
      <c r="KS117" s="33" t="n"/>
      <c r="KT117" s="33" t="n"/>
      <c r="KU117" s="33" t="n"/>
      <c r="KV117" s="33" t="n"/>
      <c r="KW117" s="33" t="n"/>
      <c r="KX117" s="33" t="n"/>
      <c r="KY117" s="33" t="n"/>
      <c r="KZ117" s="33" t="n"/>
      <c r="LA117" s="33" t="n"/>
      <c r="LB117" s="33" t="n"/>
      <c r="LC117" s="33" t="n"/>
      <c r="LD117" s="33" t="n"/>
      <c r="LE117" s="33" t="n"/>
      <c r="LF117" s="33" t="n"/>
      <c r="LG117" s="33" t="n"/>
      <c r="LH117" s="33" t="n"/>
      <c r="LI117" s="33" t="n"/>
      <c r="LJ117" s="33" t="n"/>
      <c r="LK117" s="33" t="n"/>
      <c r="LL117" s="33" t="n"/>
      <c r="LM117" s="33" t="n"/>
      <c r="LN117" s="33" t="n"/>
      <c r="LO117" s="33" t="n"/>
      <c r="LP117" s="33" t="n"/>
      <c r="LQ117" s="33" t="n"/>
      <c r="LR117" s="33" t="n"/>
      <c r="LS117" s="33" t="n"/>
      <c r="LT117" s="33" t="n"/>
      <c r="LU117" s="33" t="n"/>
      <c r="LV117" s="33" t="n"/>
      <c r="LW117" s="33" t="n"/>
      <c r="LX117" s="33" t="n"/>
      <c r="LY117" s="33" t="n"/>
      <c r="LZ117" s="33" t="n"/>
      <c r="MA117" s="33" t="n"/>
      <c r="MB117" s="33" t="n"/>
      <c r="MC117" s="33" t="n"/>
      <c r="MD117" s="33" t="n"/>
      <c r="ME117" s="33" t="n"/>
      <c r="MF117" s="33" t="n"/>
      <c r="MG117" s="33" t="n"/>
      <c r="MH117" s="33" t="n"/>
      <c r="MI117" s="33" t="n"/>
      <c r="MJ117" s="33" t="n"/>
      <c r="MK117" s="33" t="n"/>
      <c r="ML117" s="33" t="n"/>
      <c r="MM117" s="33" t="n"/>
      <c r="MN117" s="33" t="n"/>
      <c r="MO117" s="33" t="n"/>
      <c r="MP117" s="33" t="n"/>
      <c r="MQ117" s="33" t="n"/>
      <c r="MR117" s="33" t="n"/>
      <c r="MS117" s="33" t="n"/>
      <c r="MT117" s="33" t="n"/>
      <c r="MU117" s="33" t="n"/>
      <c r="MV117" s="33" t="n"/>
      <c r="MW117" s="33" t="n"/>
      <c r="MX117" s="33" t="n"/>
      <c r="MY117" s="33" t="n"/>
      <c r="MZ117" s="33" t="n"/>
      <c r="NA117" s="33" t="n"/>
      <c r="NB117" s="33" t="n"/>
      <c r="NC117" s="33" t="n"/>
      <c r="ND117" s="33" t="n"/>
      <c r="NE117" s="33" t="n"/>
      <c r="NF117" s="33" t="n"/>
      <c r="NG117" s="33" t="n"/>
      <c r="NH117" s="33" t="n"/>
      <c r="NI117" s="33" t="n"/>
      <c r="NJ117" s="33" t="n"/>
      <c r="NK117" s="33" t="n"/>
      <c r="NL117" s="33" t="n"/>
      <c r="NM117" s="33" t="n"/>
      <c r="NN117" s="33" t="n"/>
      <c r="NO117" s="33" t="n"/>
      <c r="NP117" s="33" t="n"/>
      <c r="NQ117" s="33" t="n"/>
      <c r="NR117" s="33" t="n"/>
      <c r="NS117" s="33" t="n"/>
      <c r="NT117" s="33" t="n"/>
      <c r="NU117" s="33" t="n"/>
      <c r="NV117" s="33" t="n"/>
      <c r="NW117" s="33" t="n"/>
      <c r="NX117" s="33" t="n"/>
      <c r="NY117" s="33" t="n"/>
      <c r="NZ117" s="33" t="n"/>
      <c r="OA117" s="33" t="n"/>
      <c r="OB117" s="33" t="n"/>
      <c r="OC117" s="33" t="n"/>
      <c r="OD117" s="33" t="n"/>
      <c r="OE117" s="33" t="n"/>
      <c r="OF117" s="33" t="n"/>
      <c r="OG117" s="33" t="n"/>
      <c r="OH117" s="33" t="n"/>
      <c r="OI117" s="33" t="n"/>
      <c r="OJ117" s="33" t="n"/>
      <c r="OK117" s="33" t="n"/>
      <c r="OL117" s="33" t="n"/>
      <c r="OM117" s="33" t="n"/>
      <c r="ON117" s="33" t="n"/>
      <c r="OO117" s="33" t="n"/>
      <c r="OP117" s="33" t="n"/>
      <c r="OQ117" s="33" t="n"/>
      <c r="OR117" s="33" t="n"/>
      <c r="OS117" s="33" t="n"/>
      <c r="OT117" s="33" t="n"/>
      <c r="OU117" s="33" t="n"/>
      <c r="OV117" s="33" t="n"/>
      <c r="OW117" s="33" t="n"/>
      <c r="OX117" s="33" t="n"/>
      <c r="OY117" s="33" t="n"/>
      <c r="OZ117" s="33" t="n"/>
      <c r="PA117" s="33" t="n"/>
      <c r="PB117" s="33" t="n"/>
      <c r="PC117" s="33" t="n"/>
      <c r="PD117" s="33" t="n"/>
      <c r="PE117" s="33" t="n"/>
      <c r="PF117" s="33" t="n"/>
      <c r="PG117" s="33" t="n"/>
      <c r="PH117" s="33" t="n"/>
      <c r="PI117" s="33" t="n"/>
      <c r="PJ117" s="33" t="n"/>
      <c r="PK117" s="33" t="n"/>
      <c r="PL117" s="33" t="n"/>
      <c r="PM117" s="33" t="n"/>
      <c r="PN117" s="33" t="n"/>
      <c r="PO117" s="33" t="n"/>
      <c r="PP117" s="33" t="n"/>
      <c r="PQ117" s="33" t="n"/>
      <c r="PR117" s="33" t="n"/>
      <c r="PS117" s="33" t="n"/>
      <c r="PT117" s="33" t="n"/>
      <c r="PU117" s="33" t="n"/>
      <c r="PV117" s="33" t="n"/>
      <c r="PW117" s="33" t="n"/>
      <c r="PX117" s="33" t="n"/>
      <c r="PY117" s="33" t="n"/>
      <c r="PZ117" s="33" t="n"/>
      <c r="QA117" s="33" t="n"/>
      <c r="QB117" s="33" t="n"/>
      <c r="QC117" s="33" t="n"/>
      <c r="QD117" s="33" t="n"/>
      <c r="QE117" s="33" t="n"/>
      <c r="QF117" s="33" t="n"/>
      <c r="QG117" s="33" t="n"/>
      <c r="QH117" s="33" t="n"/>
      <c r="QI117" s="33" t="n"/>
      <c r="QJ117" s="33" t="n"/>
      <c r="QK117" s="33" t="n"/>
      <c r="QL117" s="33" t="n"/>
      <c r="QM117" s="33" t="n"/>
      <c r="QN117" s="33" t="n"/>
      <c r="QO117" s="33" t="n"/>
      <c r="QP117" s="33" t="n"/>
      <c r="QQ117" s="33" t="n"/>
      <c r="QR117" s="33" t="n"/>
      <c r="QS117" s="33" t="n"/>
      <c r="QT117" s="33" t="n"/>
      <c r="QU117" s="33" t="n"/>
      <c r="QV117" s="33" t="n"/>
      <c r="QW117" s="33" t="n"/>
      <c r="QX117" s="33" t="n"/>
      <c r="QY117" s="33" t="n"/>
      <c r="QZ117" s="33" t="n"/>
      <c r="RA117" s="33" t="n"/>
      <c r="RB117" s="33" t="n"/>
      <c r="RC117" s="33" t="n"/>
      <c r="RD117" s="33" t="n"/>
      <c r="RE117" s="33" t="n"/>
      <c r="RF117" s="33" t="n"/>
      <c r="RG117" s="33" t="n"/>
      <c r="RH117" s="33" t="n"/>
      <c r="RI117" s="33" t="n"/>
      <c r="RJ117" s="33" t="n"/>
      <c r="RK117" s="33" t="n"/>
      <c r="RL117" s="33" t="n"/>
      <c r="RM117" s="33" t="n"/>
      <c r="RN117" s="33" t="n"/>
      <c r="RO117" s="33" t="n"/>
      <c r="RP117" s="33" t="n"/>
      <c r="RQ117" s="33" t="n"/>
      <c r="RR117" s="33" t="n"/>
      <c r="RS117" s="33" t="n"/>
      <c r="RT117" s="33" t="n"/>
      <c r="RU117" s="33" t="n"/>
      <c r="RV117" s="33" t="n"/>
      <c r="RW117" s="33" t="n"/>
    </row>
    <row r="118" ht="13.05" customHeight="1">
      <c r="E118" s="21" t="inlineStr">
        <is>
          <t>deferred_tax_liability</t>
        </is>
      </c>
      <c r="F118" s="29" t="n"/>
      <c r="G118" s="29" t="inlineStr">
        <is>
          <t>kEUR</t>
        </is>
      </c>
      <c r="H118" s="29" t="n"/>
      <c r="I118" s="29" t="n"/>
      <c r="J118" s="32" t="n"/>
      <c r="K118" s="29" t="n"/>
      <c r="L118" s="33" t="n"/>
      <c r="M118" s="33" t="n"/>
      <c r="N118" s="33" t="n"/>
      <c r="O118" s="33" t="n"/>
      <c r="P118" s="33" t="n"/>
      <c r="Q118" s="33" t="n"/>
      <c r="R118" s="33" t="n"/>
      <c r="S118" s="33" t="n"/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  <c r="AE118" s="33" t="n"/>
      <c r="AF118" s="33" t="n"/>
      <c r="AG118" s="33" t="n"/>
      <c r="AH118" s="33" t="n"/>
      <c r="AI118" s="33" t="n"/>
      <c r="AJ118" s="33" t="n"/>
      <c r="AK118" s="33" t="n"/>
      <c r="AL118" s="33" t="n"/>
      <c r="AM118" s="33" t="n"/>
      <c r="AN118" s="33" t="n"/>
      <c r="AO118" s="33" t="n"/>
      <c r="AP118" s="33" t="n"/>
      <c r="AQ118" s="33" t="n"/>
      <c r="AR118" s="33" t="n"/>
      <c r="AS118" s="33" t="n"/>
      <c r="AT118" s="33" t="n"/>
      <c r="AU118" s="33" t="n"/>
      <c r="AV118" s="33" t="n"/>
      <c r="AW118" s="33" t="n"/>
      <c r="AX118" s="33" t="n"/>
      <c r="AY118" s="33" t="n"/>
      <c r="AZ118" s="33" t="n"/>
      <c r="BA118" s="33" t="n"/>
      <c r="BB118" s="33" t="n"/>
      <c r="BC118" s="33" t="n"/>
      <c r="BD118" s="33" t="n"/>
      <c r="BE118" s="33" t="n"/>
      <c r="BF118" s="33" t="n"/>
      <c r="BG118" s="33" t="n"/>
      <c r="BH118" s="33" t="n"/>
      <c r="BI118" s="33" t="n"/>
      <c r="BJ118" s="33" t="n"/>
      <c r="BK118" s="33" t="n"/>
      <c r="BL118" s="33" t="n"/>
      <c r="BM118" s="33" t="n"/>
      <c r="BN118" s="33" t="n"/>
      <c r="BO118" s="33" t="n"/>
      <c r="BP118" s="33" t="n"/>
      <c r="BQ118" s="33" t="n"/>
      <c r="BR118" s="33" t="n"/>
      <c r="BS118" s="33" t="n"/>
      <c r="BT118" s="33" t="n"/>
      <c r="BU118" s="33" t="n"/>
      <c r="BV118" s="33" t="n"/>
      <c r="BW118" s="33" t="n"/>
      <c r="BX118" s="33" t="n"/>
      <c r="BY118" s="33" t="n"/>
      <c r="BZ118" s="33" t="n"/>
      <c r="CA118" s="33" t="n"/>
      <c r="CB118" s="33" t="n"/>
      <c r="CC118" s="33" t="n"/>
      <c r="CD118" s="33" t="n"/>
      <c r="CE118" s="33" t="n"/>
      <c r="CF118" s="33" t="n"/>
      <c r="CG118" s="33" t="n"/>
      <c r="CH118" s="33" t="n"/>
      <c r="CI118" s="33" t="n"/>
      <c r="CJ118" s="33" t="n"/>
      <c r="CK118" s="33" t="n"/>
      <c r="CL118" s="33" t="n"/>
      <c r="CM118" s="33" t="n"/>
      <c r="CN118" s="33" t="n"/>
      <c r="CO118" s="33" t="n"/>
      <c r="CP118" s="33" t="n"/>
      <c r="CQ118" s="33" t="n"/>
      <c r="CR118" s="33" t="n"/>
      <c r="CS118" s="33" t="n"/>
      <c r="CT118" s="33" t="n"/>
      <c r="CU118" s="33" t="n"/>
      <c r="CV118" s="33" t="n"/>
      <c r="CW118" s="33" t="n"/>
      <c r="CX118" s="33" t="n"/>
      <c r="CY118" s="33" t="n"/>
      <c r="CZ118" s="33" t="n"/>
      <c r="DA118" s="33" t="n"/>
      <c r="DB118" s="33" t="n"/>
      <c r="DC118" s="33" t="n"/>
      <c r="DD118" s="33" t="n"/>
      <c r="DE118" s="33" t="n"/>
      <c r="DF118" s="33" t="n"/>
      <c r="DG118" s="33" t="n"/>
      <c r="DH118" s="33" t="n"/>
      <c r="DI118" s="33" t="n"/>
      <c r="DJ118" s="33" t="n"/>
      <c r="DK118" s="33" t="n"/>
      <c r="DL118" s="33" t="n"/>
      <c r="DM118" s="33" t="n"/>
      <c r="DN118" s="33" t="n"/>
      <c r="DO118" s="33" t="n"/>
      <c r="DP118" s="33" t="n"/>
      <c r="DQ118" s="33" t="n"/>
      <c r="DR118" s="33" t="n"/>
      <c r="DS118" s="33" t="n"/>
      <c r="DT118" s="33" t="n"/>
      <c r="DU118" s="33" t="n"/>
      <c r="DV118" s="33" t="n"/>
      <c r="DW118" s="33" t="n"/>
      <c r="DX118" s="33" t="n"/>
      <c r="DY118" s="33" t="n"/>
      <c r="DZ118" s="33" t="n"/>
      <c r="EA118" s="33" t="n"/>
      <c r="EB118" s="33" t="n"/>
      <c r="EC118" s="33" t="n"/>
      <c r="ED118" s="33" t="n"/>
      <c r="EE118" s="33" t="n"/>
      <c r="EF118" s="33" t="n"/>
      <c r="EG118" s="33" t="n"/>
      <c r="EH118" s="33" t="n"/>
      <c r="EI118" s="33" t="n"/>
      <c r="EJ118" s="33" t="n"/>
      <c r="EK118" s="33" t="n"/>
      <c r="EL118" s="33" t="n"/>
      <c r="EM118" s="33" t="n"/>
      <c r="EN118" s="33" t="n"/>
      <c r="EO118" s="33" t="n"/>
      <c r="EP118" s="33" t="n"/>
      <c r="EQ118" s="33" t="n"/>
      <c r="ER118" s="33" t="n"/>
      <c r="ES118" s="33" t="n"/>
      <c r="ET118" s="33" t="n"/>
      <c r="EU118" s="33" t="n"/>
      <c r="EV118" s="33" t="n"/>
      <c r="EW118" s="33" t="n"/>
      <c r="EX118" s="33" t="n"/>
      <c r="EY118" s="33" t="n"/>
      <c r="EZ118" s="33" t="n"/>
      <c r="FA118" s="33" t="n"/>
      <c r="FB118" s="33" t="n"/>
      <c r="FC118" s="33" t="n"/>
      <c r="FD118" s="33" t="n"/>
      <c r="FE118" s="33" t="n"/>
      <c r="FF118" s="33" t="n"/>
      <c r="FG118" s="33" t="n"/>
      <c r="FH118" s="33" t="n"/>
      <c r="FI118" s="33" t="n"/>
      <c r="FJ118" s="33" t="n"/>
      <c r="FK118" s="33" t="n"/>
      <c r="FL118" s="33" t="n"/>
      <c r="FM118" s="33" t="n"/>
      <c r="FN118" s="33" t="n"/>
      <c r="FO118" s="33" t="n"/>
      <c r="FP118" s="33" t="n"/>
      <c r="FQ118" s="33" t="n"/>
      <c r="FR118" s="33" t="n"/>
      <c r="FS118" s="33" t="n"/>
      <c r="FT118" s="33" t="n"/>
      <c r="FU118" s="33" t="n"/>
      <c r="FV118" s="33" t="n"/>
      <c r="FW118" s="33" t="n"/>
      <c r="FX118" s="33" t="n"/>
      <c r="FY118" s="33" t="n"/>
      <c r="FZ118" s="33" t="n"/>
      <c r="GA118" s="33" t="n"/>
      <c r="GB118" s="33" t="n"/>
      <c r="GC118" s="33" t="n"/>
      <c r="GD118" s="33" t="n"/>
      <c r="GE118" s="33" t="n"/>
      <c r="GF118" s="33" t="n"/>
      <c r="GG118" s="33" t="n"/>
      <c r="GH118" s="33" t="n"/>
      <c r="GI118" s="33" t="n"/>
      <c r="GJ118" s="33" t="n"/>
      <c r="GK118" s="33" t="n"/>
      <c r="GL118" s="33" t="n"/>
      <c r="GM118" s="33" t="n"/>
      <c r="GN118" s="33" t="n"/>
      <c r="GO118" s="33" t="n"/>
      <c r="GP118" s="33" t="n"/>
      <c r="GQ118" s="33" t="n"/>
      <c r="GR118" s="33" t="n"/>
      <c r="GS118" s="33" t="n"/>
      <c r="GT118" s="33" t="n"/>
      <c r="GU118" s="33" t="n"/>
      <c r="GV118" s="33" t="n"/>
      <c r="GW118" s="33" t="n"/>
      <c r="GX118" s="33" t="n"/>
      <c r="GY118" s="33" t="n"/>
      <c r="GZ118" s="33" t="n"/>
      <c r="HA118" s="33" t="n"/>
      <c r="HB118" s="33" t="n"/>
      <c r="HC118" s="33" t="n"/>
      <c r="HD118" s="33" t="n"/>
      <c r="HE118" s="33" t="n"/>
      <c r="HF118" s="33" t="n"/>
      <c r="HG118" s="33" t="n"/>
      <c r="HH118" s="33" t="n"/>
      <c r="HI118" s="33" t="n"/>
      <c r="HJ118" s="33" t="n"/>
      <c r="HK118" s="33" t="n"/>
      <c r="HL118" s="33" t="n"/>
      <c r="HM118" s="33" t="n"/>
      <c r="HN118" s="33" t="n"/>
      <c r="HO118" s="33" t="n"/>
      <c r="HP118" s="33" t="n"/>
      <c r="HQ118" s="33" t="n"/>
      <c r="HR118" s="33" t="n"/>
      <c r="HS118" s="33" t="n"/>
      <c r="HT118" s="33" t="n"/>
      <c r="HU118" s="33" t="n"/>
      <c r="HV118" s="33" t="n"/>
      <c r="HW118" s="33" t="n"/>
      <c r="HX118" s="33" t="n"/>
      <c r="HY118" s="33" t="n"/>
      <c r="HZ118" s="33" t="n"/>
      <c r="IA118" s="33" t="n"/>
      <c r="IB118" s="33" t="n"/>
      <c r="IC118" s="33" t="n"/>
      <c r="ID118" s="33" t="n"/>
      <c r="IE118" s="33" t="n"/>
      <c r="IF118" s="33" t="n"/>
      <c r="IG118" s="33" t="n"/>
      <c r="IH118" s="33" t="n"/>
      <c r="II118" s="33" t="n"/>
      <c r="IJ118" s="33" t="n"/>
      <c r="IK118" s="33" t="n"/>
      <c r="IL118" s="33" t="n"/>
      <c r="IM118" s="33" t="n"/>
      <c r="IN118" s="33" t="n"/>
      <c r="IO118" s="33" t="n"/>
      <c r="IP118" s="33" t="n"/>
      <c r="IQ118" s="33" t="n"/>
      <c r="IR118" s="33" t="n"/>
      <c r="IS118" s="33" t="n"/>
      <c r="IT118" s="33" t="n"/>
      <c r="IU118" s="33" t="n"/>
      <c r="IV118" s="33" t="n"/>
      <c r="IW118" s="33" t="n"/>
      <c r="IX118" s="33" t="n"/>
      <c r="IY118" s="33" t="n"/>
      <c r="IZ118" s="33" t="n"/>
      <c r="JA118" s="33" t="n"/>
      <c r="JB118" s="33" t="n"/>
      <c r="JC118" s="33" t="n"/>
      <c r="JD118" s="33" t="n"/>
      <c r="JE118" s="33" t="n"/>
      <c r="JF118" s="33" t="n"/>
      <c r="JG118" s="33" t="n"/>
      <c r="JH118" s="33" t="n"/>
      <c r="JI118" s="33" t="n"/>
      <c r="JJ118" s="33" t="n"/>
      <c r="JK118" s="33" t="n"/>
      <c r="JL118" s="33" t="n"/>
      <c r="JM118" s="33" t="n"/>
      <c r="JN118" s="33" t="n"/>
      <c r="JO118" s="33" t="n"/>
      <c r="JP118" s="33" t="n"/>
      <c r="JQ118" s="33" t="n"/>
      <c r="JR118" s="33" t="n"/>
      <c r="JS118" s="33" t="n"/>
      <c r="JT118" s="33" t="n"/>
      <c r="JU118" s="33" t="n"/>
      <c r="JV118" s="33" t="n"/>
      <c r="JW118" s="33" t="n"/>
      <c r="JX118" s="33" t="n"/>
      <c r="JY118" s="33" t="n"/>
      <c r="JZ118" s="33" t="n"/>
      <c r="KA118" s="33" t="n"/>
      <c r="KB118" s="33" t="n"/>
      <c r="KC118" s="33" t="n"/>
      <c r="KD118" s="33" t="n"/>
      <c r="KE118" s="33" t="n"/>
      <c r="KF118" s="33" t="n"/>
      <c r="KG118" s="33" t="n"/>
      <c r="KH118" s="33" t="n"/>
      <c r="KI118" s="33" t="n"/>
      <c r="KJ118" s="33" t="n"/>
      <c r="KK118" s="33" t="n"/>
      <c r="KL118" s="33" t="n"/>
      <c r="KM118" s="33" t="n"/>
      <c r="KN118" s="33" t="n"/>
      <c r="KO118" s="33" t="n"/>
      <c r="KP118" s="33" t="n"/>
      <c r="KQ118" s="33" t="n"/>
      <c r="KR118" s="33" t="n"/>
      <c r="KS118" s="33" t="n"/>
      <c r="KT118" s="33" t="n"/>
      <c r="KU118" s="33" t="n"/>
      <c r="KV118" s="33" t="n"/>
      <c r="KW118" s="33" t="n"/>
      <c r="KX118" s="33" t="n"/>
      <c r="KY118" s="33" t="n"/>
      <c r="KZ118" s="33" t="n"/>
      <c r="LA118" s="33" t="n"/>
      <c r="LB118" s="33" t="n"/>
      <c r="LC118" s="33" t="n"/>
      <c r="LD118" s="33" t="n"/>
      <c r="LE118" s="33" t="n"/>
      <c r="LF118" s="33" t="n"/>
      <c r="LG118" s="33" t="n"/>
      <c r="LH118" s="33" t="n"/>
      <c r="LI118" s="33" t="n"/>
      <c r="LJ118" s="33" t="n"/>
      <c r="LK118" s="33" t="n"/>
      <c r="LL118" s="33" t="n"/>
      <c r="LM118" s="33" t="n"/>
      <c r="LN118" s="33" t="n"/>
      <c r="LO118" s="33" t="n"/>
      <c r="LP118" s="33" t="n"/>
      <c r="LQ118" s="33" t="n"/>
      <c r="LR118" s="33" t="n"/>
      <c r="LS118" s="33" t="n"/>
      <c r="LT118" s="33" t="n"/>
      <c r="LU118" s="33" t="n"/>
      <c r="LV118" s="33" t="n"/>
      <c r="LW118" s="33" t="n"/>
      <c r="LX118" s="33" t="n"/>
      <c r="LY118" s="33" t="n"/>
      <c r="LZ118" s="33" t="n"/>
      <c r="MA118" s="33" t="n"/>
      <c r="MB118" s="33" t="n"/>
      <c r="MC118" s="33" t="n"/>
      <c r="MD118" s="33" t="n"/>
      <c r="ME118" s="33" t="n"/>
      <c r="MF118" s="33" t="n"/>
      <c r="MG118" s="33" t="n"/>
      <c r="MH118" s="33" t="n"/>
      <c r="MI118" s="33" t="n"/>
      <c r="MJ118" s="33" t="n"/>
      <c r="MK118" s="33" t="n"/>
      <c r="ML118" s="33" t="n"/>
      <c r="MM118" s="33" t="n"/>
      <c r="MN118" s="33" t="n"/>
      <c r="MO118" s="33" t="n"/>
      <c r="MP118" s="33" t="n"/>
      <c r="MQ118" s="33" t="n"/>
      <c r="MR118" s="33" t="n"/>
      <c r="MS118" s="33" t="n"/>
      <c r="MT118" s="33" t="n"/>
      <c r="MU118" s="33" t="n"/>
      <c r="MV118" s="33" t="n"/>
      <c r="MW118" s="33" t="n"/>
      <c r="MX118" s="33" t="n"/>
      <c r="MY118" s="33" t="n"/>
      <c r="MZ118" s="33" t="n"/>
      <c r="NA118" s="33" t="n"/>
      <c r="NB118" s="33" t="n"/>
      <c r="NC118" s="33" t="n"/>
      <c r="ND118" s="33" t="n"/>
      <c r="NE118" s="33" t="n"/>
      <c r="NF118" s="33" t="n"/>
      <c r="NG118" s="33" t="n"/>
      <c r="NH118" s="33" t="n"/>
      <c r="NI118" s="33" t="n"/>
      <c r="NJ118" s="33" t="n"/>
      <c r="NK118" s="33" t="n"/>
      <c r="NL118" s="33" t="n"/>
      <c r="NM118" s="33" t="n"/>
      <c r="NN118" s="33" t="n"/>
      <c r="NO118" s="33" t="n"/>
      <c r="NP118" s="33" t="n"/>
      <c r="NQ118" s="33" t="n"/>
      <c r="NR118" s="33" t="n"/>
      <c r="NS118" s="33" t="n"/>
      <c r="NT118" s="33" t="n"/>
      <c r="NU118" s="33" t="n"/>
      <c r="NV118" s="33" t="n"/>
      <c r="NW118" s="33" t="n"/>
      <c r="NX118" s="33" t="n"/>
      <c r="NY118" s="33" t="n"/>
      <c r="NZ118" s="33" t="n"/>
      <c r="OA118" s="33" t="n"/>
      <c r="OB118" s="33" t="n"/>
      <c r="OC118" s="33" t="n"/>
      <c r="OD118" s="33" t="n"/>
      <c r="OE118" s="33" t="n"/>
      <c r="OF118" s="33" t="n"/>
      <c r="OG118" s="33" t="n"/>
      <c r="OH118" s="33" t="n"/>
      <c r="OI118" s="33" t="n"/>
      <c r="OJ118" s="33" t="n"/>
      <c r="OK118" s="33" t="n"/>
      <c r="OL118" s="33" t="n"/>
      <c r="OM118" s="33" t="n"/>
      <c r="ON118" s="33" t="n"/>
      <c r="OO118" s="33" t="n"/>
      <c r="OP118" s="33" t="n"/>
      <c r="OQ118" s="33" t="n"/>
      <c r="OR118" s="33" t="n"/>
      <c r="OS118" s="33" t="n"/>
      <c r="OT118" s="33" t="n"/>
      <c r="OU118" s="33" t="n"/>
      <c r="OV118" s="33" t="n"/>
      <c r="OW118" s="33" t="n"/>
      <c r="OX118" s="33" t="n"/>
      <c r="OY118" s="33" t="n"/>
      <c r="OZ118" s="33" t="n"/>
      <c r="PA118" s="33" t="n"/>
      <c r="PB118" s="33" t="n"/>
      <c r="PC118" s="33" t="n"/>
      <c r="PD118" s="33" t="n"/>
      <c r="PE118" s="33" t="n"/>
      <c r="PF118" s="33" t="n"/>
      <c r="PG118" s="33" t="n"/>
      <c r="PH118" s="33" t="n"/>
      <c r="PI118" s="33" t="n"/>
      <c r="PJ118" s="33" t="n"/>
      <c r="PK118" s="33" t="n"/>
      <c r="PL118" s="33" t="n"/>
      <c r="PM118" s="33" t="n"/>
      <c r="PN118" s="33" t="n"/>
      <c r="PO118" s="33" t="n"/>
      <c r="PP118" s="33" t="n"/>
      <c r="PQ118" s="33" t="n"/>
      <c r="PR118" s="33" t="n"/>
      <c r="PS118" s="33" t="n"/>
      <c r="PT118" s="33" t="n"/>
      <c r="PU118" s="33" t="n"/>
      <c r="PV118" s="33" t="n"/>
      <c r="PW118" s="33" t="n"/>
      <c r="PX118" s="33" t="n"/>
      <c r="PY118" s="33" t="n"/>
      <c r="PZ118" s="33" t="n"/>
      <c r="QA118" s="33" t="n"/>
      <c r="QB118" s="33" t="n"/>
      <c r="QC118" s="33" t="n"/>
      <c r="QD118" s="33" t="n"/>
      <c r="QE118" s="33" t="n"/>
      <c r="QF118" s="33" t="n"/>
      <c r="QG118" s="33" t="n"/>
      <c r="QH118" s="33" t="n"/>
      <c r="QI118" s="33" t="n"/>
      <c r="QJ118" s="33" t="n"/>
      <c r="QK118" s="33" t="n"/>
      <c r="QL118" s="33" t="n"/>
      <c r="QM118" s="33" t="n"/>
      <c r="QN118" s="33" t="n"/>
      <c r="QO118" s="33" t="n"/>
      <c r="QP118" s="33" t="n"/>
      <c r="QQ118" s="33" t="n"/>
      <c r="QR118" s="33" t="n"/>
      <c r="QS118" s="33" t="n"/>
      <c r="QT118" s="33" t="n"/>
      <c r="QU118" s="33" t="n"/>
      <c r="QV118" s="33" t="n"/>
      <c r="QW118" s="33" t="n"/>
      <c r="QX118" s="33" t="n"/>
      <c r="QY118" s="33" t="n"/>
      <c r="QZ118" s="33" t="n"/>
      <c r="RA118" s="33" t="n"/>
      <c r="RB118" s="33" t="n"/>
      <c r="RC118" s="33" t="n"/>
      <c r="RD118" s="33" t="n"/>
      <c r="RE118" s="33" t="n"/>
      <c r="RF118" s="33" t="n"/>
      <c r="RG118" s="33" t="n"/>
      <c r="RH118" s="33" t="n"/>
      <c r="RI118" s="33" t="n"/>
      <c r="RJ118" s="33" t="n"/>
      <c r="RK118" s="33" t="n"/>
      <c r="RL118" s="33" t="n"/>
      <c r="RM118" s="33" t="n"/>
      <c r="RN118" s="33" t="n"/>
      <c r="RO118" s="33" t="n"/>
      <c r="RP118" s="33" t="n"/>
      <c r="RQ118" s="33" t="n"/>
      <c r="RR118" s="33" t="n"/>
      <c r="RS118" s="33" t="n"/>
      <c r="RT118" s="33" t="n"/>
      <c r="RU118" s="33" t="n"/>
      <c r="RV118" s="33" t="n"/>
      <c r="RW118" s="33" t="n"/>
    </row>
    <row r="119" ht="5.25" customHeight="1"/>
    <row r="120" ht="13.05" customHeight="1">
      <c r="E120" s="25" t="inlineStr">
        <is>
          <t>Tax Charge (accrued)</t>
        </is>
      </c>
      <c r="F120" s="26" t="n"/>
      <c r="G120" s="26" t="inlineStr">
        <is>
          <t>kEUR</t>
        </is>
      </c>
      <c r="H120" s="26" t="n"/>
      <c r="I120" s="26" t="n"/>
      <c r="J120" s="27" t="n">
        <v>491775.8012965729</v>
      </c>
      <c r="K120" s="26" t="n"/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  <c r="DB120" s="28" t="n">
        <v>0</v>
      </c>
      <c r="DC120" s="28" t="n">
        <v>0</v>
      </c>
      <c r="DD120" s="28" t="n">
        <v>0</v>
      </c>
      <c r="DE120" s="28" t="n">
        <v>0</v>
      </c>
      <c r="DF120" s="28" t="n">
        <v>0</v>
      </c>
      <c r="DG120" s="28" t="n">
        <v>0</v>
      </c>
      <c r="DH120" s="28" t="n">
        <v>0</v>
      </c>
      <c r="DI120" s="28" t="n">
        <v>0</v>
      </c>
      <c r="DJ120" s="28" t="n">
        <v>0</v>
      </c>
      <c r="DK120" s="28" t="n">
        <v>0</v>
      </c>
      <c r="DL120" s="28" t="n">
        <v>0</v>
      </c>
      <c r="DM120" s="28" t="n">
        <v>0</v>
      </c>
      <c r="DN120" s="28" t="n">
        <v>0</v>
      </c>
      <c r="DO120" s="28" t="n">
        <v>0</v>
      </c>
      <c r="DP120" s="28" t="n">
        <v>0</v>
      </c>
      <c r="DQ120" s="28" t="n">
        <v>0</v>
      </c>
      <c r="DR120" s="28" t="n">
        <v>0</v>
      </c>
      <c r="DS120" s="28" t="n">
        <v>0</v>
      </c>
      <c r="DT120" s="28" t="n">
        <v>0</v>
      </c>
      <c r="DU120" s="28" t="n">
        <v>0</v>
      </c>
      <c r="DV120" s="28" t="n">
        <v>0</v>
      </c>
      <c r="DW120" s="28" t="n">
        <v>0</v>
      </c>
      <c r="DX120" s="28" t="n">
        <v>0</v>
      </c>
      <c r="DY120" s="28" t="n">
        <v>0</v>
      </c>
      <c r="DZ120" s="28" t="n">
        <v>0</v>
      </c>
      <c r="EA120" s="28" t="n">
        <v>0</v>
      </c>
      <c r="EB120" s="28" t="n">
        <v>0</v>
      </c>
      <c r="EC120" s="28" t="n">
        <v>0</v>
      </c>
      <c r="ED120" s="28" t="n">
        <v>0</v>
      </c>
      <c r="EE120" s="28" t="n">
        <v>0</v>
      </c>
      <c r="EF120" s="28" t="n">
        <v>0</v>
      </c>
      <c r="EG120" s="28" t="n">
        <v>0</v>
      </c>
      <c r="EH120" s="28" t="n">
        <v>0</v>
      </c>
      <c r="EI120" s="28" t="n">
        <v>0</v>
      </c>
      <c r="EJ120" s="28" t="n">
        <v>0</v>
      </c>
      <c r="EK120" s="28" t="n">
        <v>0</v>
      </c>
      <c r="EL120" s="28" t="n">
        <v>0</v>
      </c>
      <c r="EM120" s="28" t="n">
        <v>0</v>
      </c>
      <c r="EN120" s="28" t="n">
        <v>0</v>
      </c>
      <c r="EO120" s="28" t="n">
        <v>0</v>
      </c>
      <c r="EP120" s="28" t="n">
        <v>0</v>
      </c>
      <c r="EQ120" s="28" t="n">
        <v>0</v>
      </c>
      <c r="ER120" s="28" t="n">
        <v>0</v>
      </c>
      <c r="ES120" s="28" t="n">
        <v>0</v>
      </c>
      <c r="ET120" s="28" t="n">
        <v>0</v>
      </c>
      <c r="EU120" s="28" t="n">
        <v>0</v>
      </c>
      <c r="EV120" s="28" t="n">
        <v>0</v>
      </c>
      <c r="EW120" s="28" t="n">
        <v>0</v>
      </c>
      <c r="EX120" s="28" t="n">
        <v>0</v>
      </c>
      <c r="EY120" s="28" t="n">
        <v>0</v>
      </c>
      <c r="EZ120" s="28" t="n">
        <v>0</v>
      </c>
      <c r="FA120" s="28" t="n">
        <v>0</v>
      </c>
      <c r="FB120" s="28" t="n">
        <v>0</v>
      </c>
      <c r="FC120" s="28" t="n">
        <v>0</v>
      </c>
      <c r="FD120" s="28" t="n">
        <v>0</v>
      </c>
      <c r="FE120" s="28" t="n">
        <v>0</v>
      </c>
      <c r="FF120" s="28" t="n">
        <v>0</v>
      </c>
      <c r="FG120" s="28" t="n">
        <v>0</v>
      </c>
      <c r="FH120" s="28" t="n">
        <v>0</v>
      </c>
      <c r="FI120" s="28" t="n">
        <v>0</v>
      </c>
      <c r="FJ120" s="28" t="n">
        <v>0</v>
      </c>
      <c r="FK120" s="28" t="n">
        <v>0</v>
      </c>
      <c r="FL120" s="28" t="n">
        <v>1288.491110493592</v>
      </c>
      <c r="FM120" s="28" t="n">
        <v>1288.491110493592</v>
      </c>
      <c r="FN120" s="28" t="n">
        <v>1288.491110493592</v>
      </c>
      <c r="FO120" s="28" t="n">
        <v>1288.491110493592</v>
      </c>
      <c r="FP120" s="28" t="n">
        <v>1288.491110493592</v>
      </c>
      <c r="FQ120" s="28" t="n">
        <v>1288.491110493592</v>
      </c>
      <c r="FR120" s="28" t="n">
        <v>1288.491110493592</v>
      </c>
      <c r="FS120" s="28" t="n">
        <v>1288.491110493592</v>
      </c>
      <c r="FT120" s="28" t="n">
        <v>1288.491110493592</v>
      </c>
      <c r="FU120" s="28" t="n">
        <v>1288.491110493592</v>
      </c>
      <c r="FV120" s="28" t="n">
        <v>1288.491110493592</v>
      </c>
      <c r="FW120" s="28" t="n">
        <v>1288.491110493592</v>
      </c>
      <c r="FX120" s="28" t="n">
        <v>1403.893224995571</v>
      </c>
      <c r="FY120" s="28" t="n">
        <v>1403.893224995571</v>
      </c>
      <c r="FZ120" s="28" t="n">
        <v>1403.893224995571</v>
      </c>
      <c r="GA120" s="28" t="n">
        <v>1403.893224995571</v>
      </c>
      <c r="GB120" s="28" t="n">
        <v>1403.893224995571</v>
      </c>
      <c r="GC120" s="28" t="n">
        <v>1403.893224995571</v>
      </c>
      <c r="GD120" s="28" t="n">
        <v>1403.893224995571</v>
      </c>
      <c r="GE120" s="28" t="n">
        <v>1403.893224995571</v>
      </c>
      <c r="GF120" s="28" t="n">
        <v>1403.893224995571</v>
      </c>
      <c r="GG120" s="28" t="n">
        <v>1403.893224995571</v>
      </c>
      <c r="GH120" s="28" t="n">
        <v>1403.893224995571</v>
      </c>
      <c r="GI120" s="28" t="n">
        <v>1403.893224995571</v>
      </c>
      <c r="GJ120" s="28" t="n">
        <v>1428.151265230743</v>
      </c>
      <c r="GK120" s="28" t="n">
        <v>1428.151265230743</v>
      </c>
      <c r="GL120" s="28" t="n">
        <v>1428.151265230743</v>
      </c>
      <c r="GM120" s="28" t="n">
        <v>1428.151265230743</v>
      </c>
      <c r="GN120" s="28" t="n">
        <v>1428.151265230743</v>
      </c>
      <c r="GO120" s="28" t="n">
        <v>1428.151265230743</v>
      </c>
      <c r="GP120" s="28" t="n">
        <v>1428.151265230743</v>
      </c>
      <c r="GQ120" s="28" t="n">
        <v>1428.151265230743</v>
      </c>
      <c r="GR120" s="28" t="n">
        <v>1428.151265230743</v>
      </c>
      <c r="GS120" s="28" t="n">
        <v>1428.151265230743</v>
      </c>
      <c r="GT120" s="28" t="n">
        <v>1428.151265230743</v>
      </c>
      <c r="GU120" s="28" t="n">
        <v>1428.151265230743</v>
      </c>
      <c r="GV120" s="28" t="n">
        <v>2406.875089178822</v>
      </c>
      <c r="GW120" s="28" t="n">
        <v>2406.875089178822</v>
      </c>
      <c r="GX120" s="28" t="n">
        <v>2406.875089178822</v>
      </c>
      <c r="GY120" s="28" t="n">
        <v>2406.875089178822</v>
      </c>
      <c r="GZ120" s="28" t="n">
        <v>2406.875089178822</v>
      </c>
      <c r="HA120" s="28" t="n">
        <v>2406.875089178822</v>
      </c>
      <c r="HB120" s="28" t="n">
        <v>2406.875089178822</v>
      </c>
      <c r="HC120" s="28" t="n">
        <v>2406.875089178822</v>
      </c>
      <c r="HD120" s="28" t="n">
        <v>2406.875089178822</v>
      </c>
      <c r="HE120" s="28" t="n">
        <v>2406.875089178822</v>
      </c>
      <c r="HF120" s="28" t="n">
        <v>2406.875089178822</v>
      </c>
      <c r="HG120" s="28" t="n">
        <v>2406.875089178822</v>
      </c>
      <c r="HH120" s="28" t="n">
        <v>1723.822420966693</v>
      </c>
      <c r="HI120" s="28" t="n">
        <v>1723.822420966693</v>
      </c>
      <c r="HJ120" s="28" t="n">
        <v>1723.822420966693</v>
      </c>
      <c r="HK120" s="28" t="n">
        <v>1723.822420966693</v>
      </c>
      <c r="HL120" s="28" t="n">
        <v>1723.822420966693</v>
      </c>
      <c r="HM120" s="28" t="n">
        <v>1723.822420966693</v>
      </c>
      <c r="HN120" s="28" t="n">
        <v>1723.822420966693</v>
      </c>
      <c r="HO120" s="28" t="n">
        <v>1723.822420966693</v>
      </c>
      <c r="HP120" s="28" t="n">
        <v>1723.822420966693</v>
      </c>
      <c r="HQ120" s="28" t="n">
        <v>1723.822420966693</v>
      </c>
      <c r="HR120" s="28" t="n">
        <v>1723.822420966693</v>
      </c>
      <c r="HS120" s="28" t="n">
        <v>1723.822420966693</v>
      </c>
      <c r="HT120" s="28" t="n">
        <v>1808.850160266759</v>
      </c>
      <c r="HU120" s="28" t="n">
        <v>1808.850160266759</v>
      </c>
      <c r="HV120" s="28" t="n">
        <v>1808.850160266759</v>
      </c>
      <c r="HW120" s="28" t="n">
        <v>1808.850160266759</v>
      </c>
      <c r="HX120" s="28" t="n">
        <v>1808.850160266759</v>
      </c>
      <c r="HY120" s="28" t="n">
        <v>1808.850160266759</v>
      </c>
      <c r="HZ120" s="28" t="n">
        <v>1808.850160266759</v>
      </c>
      <c r="IA120" s="28" t="n">
        <v>1808.850160266759</v>
      </c>
      <c r="IB120" s="28" t="n">
        <v>1808.850160266759</v>
      </c>
      <c r="IC120" s="28" t="n">
        <v>1808.850160266759</v>
      </c>
      <c r="ID120" s="28" t="n">
        <v>1808.850160266759</v>
      </c>
      <c r="IE120" s="28" t="n">
        <v>1808.850160266759</v>
      </c>
      <c r="IF120" s="28" t="n">
        <v>2550.239411925038</v>
      </c>
      <c r="IG120" s="28" t="n">
        <v>2550.239411925038</v>
      </c>
      <c r="IH120" s="28" t="n">
        <v>2550.239411925038</v>
      </c>
      <c r="II120" s="28" t="n">
        <v>2550.239411925038</v>
      </c>
      <c r="IJ120" s="28" t="n">
        <v>2550.239411925038</v>
      </c>
      <c r="IK120" s="28" t="n">
        <v>2550.239411925038</v>
      </c>
      <c r="IL120" s="28" t="n">
        <v>2550.239411925038</v>
      </c>
      <c r="IM120" s="28" t="n">
        <v>2550.239411925038</v>
      </c>
      <c r="IN120" s="28" t="n">
        <v>2550.239411925038</v>
      </c>
      <c r="IO120" s="28" t="n">
        <v>2550.239411925038</v>
      </c>
      <c r="IP120" s="28" t="n">
        <v>2550.239411925038</v>
      </c>
      <c r="IQ120" s="28" t="n">
        <v>2550.239411925038</v>
      </c>
      <c r="IR120" s="28" t="n">
        <v>1862.195514558686</v>
      </c>
      <c r="IS120" s="28" t="n">
        <v>1862.195514558686</v>
      </c>
      <c r="IT120" s="28" t="n">
        <v>1862.195514558686</v>
      </c>
      <c r="IU120" s="28" t="n">
        <v>1862.195514558686</v>
      </c>
      <c r="IV120" s="28" t="n">
        <v>1862.195514558686</v>
      </c>
      <c r="IW120" s="28" t="n">
        <v>1862.195514558686</v>
      </c>
      <c r="IX120" s="28" t="n">
        <v>1862.195514558686</v>
      </c>
      <c r="IY120" s="28" t="n">
        <v>1862.195514558686</v>
      </c>
      <c r="IZ120" s="28" t="n">
        <v>1862.195514558686</v>
      </c>
      <c r="JA120" s="28" t="n">
        <v>1862.195514558686</v>
      </c>
      <c r="JB120" s="28" t="n">
        <v>1862.195514558686</v>
      </c>
      <c r="JC120" s="28" t="n">
        <v>1862.195514558686</v>
      </c>
      <c r="JD120" s="28" t="n">
        <v>2078.298068154159</v>
      </c>
      <c r="JE120" s="28" t="n">
        <v>2078.298068154159</v>
      </c>
      <c r="JF120" s="28" t="n">
        <v>2078.298068154159</v>
      </c>
      <c r="JG120" s="28" t="n">
        <v>2078.298068154159</v>
      </c>
      <c r="JH120" s="28" t="n">
        <v>2078.298068154159</v>
      </c>
      <c r="JI120" s="28" t="n">
        <v>2078.298068154159</v>
      </c>
      <c r="JJ120" s="28" t="n">
        <v>2078.298068154159</v>
      </c>
      <c r="JK120" s="28" t="n">
        <v>2078.298068154159</v>
      </c>
      <c r="JL120" s="28" t="n">
        <v>2078.298068154159</v>
      </c>
      <c r="JM120" s="28" t="n">
        <v>2078.298068154159</v>
      </c>
      <c r="JN120" s="28" t="n">
        <v>2078.298068154159</v>
      </c>
      <c r="JO120" s="28" t="n">
        <v>2078.298068154159</v>
      </c>
      <c r="JP120" s="28" t="n">
        <v>2905.875960696065</v>
      </c>
      <c r="JQ120" s="28" t="n">
        <v>2905.875960696065</v>
      </c>
      <c r="JR120" s="28" t="n">
        <v>2905.875960696065</v>
      </c>
      <c r="JS120" s="28" t="n">
        <v>2905.875960696065</v>
      </c>
      <c r="JT120" s="28" t="n">
        <v>2905.875960696065</v>
      </c>
      <c r="JU120" s="28" t="n">
        <v>2905.875960696065</v>
      </c>
      <c r="JV120" s="28" t="n">
        <v>2905.875960696065</v>
      </c>
      <c r="JW120" s="28" t="n">
        <v>2905.875960696065</v>
      </c>
      <c r="JX120" s="28" t="n">
        <v>2905.875960696065</v>
      </c>
      <c r="JY120" s="28" t="n">
        <v>2905.875960696065</v>
      </c>
      <c r="JZ120" s="28" t="n">
        <v>2905.875960696065</v>
      </c>
      <c r="KA120" s="28" t="n">
        <v>2905.875960696065</v>
      </c>
      <c r="KB120" s="28" t="n">
        <v>2049.132393855606</v>
      </c>
      <c r="KC120" s="28" t="n">
        <v>2049.132393855606</v>
      </c>
      <c r="KD120" s="28" t="n">
        <v>2049.132393855606</v>
      </c>
      <c r="KE120" s="28" t="n">
        <v>2049.132393855606</v>
      </c>
      <c r="KF120" s="28" t="n">
        <v>2049.132393855606</v>
      </c>
      <c r="KG120" s="28" t="n">
        <v>2049.132393855606</v>
      </c>
      <c r="KH120" s="28" t="n">
        <v>2049.132393855606</v>
      </c>
      <c r="KI120" s="28" t="n">
        <v>2049.132393855606</v>
      </c>
      <c r="KJ120" s="28" t="n">
        <v>2049.132393855606</v>
      </c>
      <c r="KK120" s="28" t="n">
        <v>2049.132393855606</v>
      </c>
      <c r="KL120" s="28" t="n">
        <v>2049.132393855606</v>
      </c>
      <c r="KM120" s="28" t="n">
        <v>2049.132393855606</v>
      </c>
      <c r="KN120" s="28" t="n">
        <v>2117.694907766476</v>
      </c>
      <c r="KO120" s="28" t="n">
        <v>2117.694907766476</v>
      </c>
      <c r="KP120" s="28" t="n">
        <v>2117.694907766476</v>
      </c>
      <c r="KQ120" s="28" t="n">
        <v>2117.694907766476</v>
      </c>
      <c r="KR120" s="28" t="n">
        <v>2117.694907766476</v>
      </c>
      <c r="KS120" s="28" t="n">
        <v>2117.694907766476</v>
      </c>
      <c r="KT120" s="28" t="n">
        <v>2117.694907766476</v>
      </c>
      <c r="KU120" s="28" t="n">
        <v>2117.694907766476</v>
      </c>
      <c r="KV120" s="28" t="n">
        <v>2117.694907766476</v>
      </c>
      <c r="KW120" s="28" t="n">
        <v>2117.694907766476</v>
      </c>
      <c r="KX120" s="28" t="n">
        <v>2117.694907766476</v>
      </c>
      <c r="KY120" s="28" t="n">
        <v>2117.694907766476</v>
      </c>
      <c r="KZ120" s="28" t="n">
        <v>3137.615404914908</v>
      </c>
      <c r="LA120" s="28" t="n">
        <v>3137.615404914908</v>
      </c>
      <c r="LB120" s="28" t="n">
        <v>3137.615404914908</v>
      </c>
      <c r="LC120" s="28" t="n">
        <v>3137.615404914908</v>
      </c>
      <c r="LD120" s="28" t="n">
        <v>3137.615404914908</v>
      </c>
      <c r="LE120" s="28" t="n">
        <v>3137.615404914908</v>
      </c>
      <c r="LF120" s="28" t="n">
        <v>3137.615404914908</v>
      </c>
      <c r="LG120" s="28" t="n">
        <v>3137.615404914908</v>
      </c>
      <c r="LH120" s="28" t="n">
        <v>3137.615404914908</v>
      </c>
      <c r="LI120" s="28" t="n">
        <v>3137.615404914908</v>
      </c>
      <c r="LJ120" s="28" t="n">
        <v>3137.615404914908</v>
      </c>
      <c r="LK120" s="28" t="n">
        <v>3137.615404914908</v>
      </c>
      <c r="LL120" s="28" t="n">
        <v>2096.370173169657</v>
      </c>
      <c r="LM120" s="28" t="n">
        <v>2096.370173169657</v>
      </c>
      <c r="LN120" s="28" t="n">
        <v>2096.370173169657</v>
      </c>
      <c r="LO120" s="28" t="n">
        <v>2096.370173169657</v>
      </c>
      <c r="LP120" s="28" t="n">
        <v>2096.370173169657</v>
      </c>
      <c r="LQ120" s="28" t="n">
        <v>2096.370173169657</v>
      </c>
      <c r="LR120" s="28" t="n">
        <v>2096.370173169657</v>
      </c>
      <c r="LS120" s="28" t="n">
        <v>2096.370173169657</v>
      </c>
      <c r="LT120" s="28" t="n">
        <v>2096.370173169657</v>
      </c>
      <c r="LU120" s="28" t="n">
        <v>2096.370173169657</v>
      </c>
      <c r="LV120" s="28" t="n">
        <v>2096.370173169657</v>
      </c>
      <c r="LW120" s="28" t="n">
        <v>2096.370173169657</v>
      </c>
      <c r="LX120" s="28" t="n">
        <v>877.2599079766279</v>
      </c>
      <c r="LY120" s="28" t="n">
        <v>877.2599079766279</v>
      </c>
      <c r="LZ120" s="28" t="n">
        <v>877.2599079766279</v>
      </c>
      <c r="MA120" s="28" t="n">
        <v>877.2599079766279</v>
      </c>
      <c r="MB120" s="28" t="n">
        <v>877.2599079766279</v>
      </c>
      <c r="MC120" s="28" t="n">
        <v>877.2599079766279</v>
      </c>
      <c r="MD120" s="28" t="n">
        <v>877.2599079766279</v>
      </c>
      <c r="ME120" s="28" t="n">
        <v>877.2599079766279</v>
      </c>
      <c r="MF120" s="28" t="n">
        <v>877.2599079766279</v>
      </c>
      <c r="MG120" s="28" t="n">
        <v>877.2599079766279</v>
      </c>
      <c r="MH120" s="28" t="n">
        <v>877.2599079766279</v>
      </c>
      <c r="MI120" s="28" t="n">
        <v>877.2599079766279</v>
      </c>
      <c r="MJ120" s="28" t="n">
        <v>969.8347337418759</v>
      </c>
      <c r="MK120" s="28" t="n">
        <v>969.8347337418759</v>
      </c>
      <c r="ML120" s="28" t="n">
        <v>969.8347337418759</v>
      </c>
      <c r="MM120" s="28" t="n">
        <v>969.8347337418759</v>
      </c>
      <c r="MN120" s="28" t="n">
        <v>969.8347337418759</v>
      </c>
      <c r="MO120" s="28" t="n">
        <v>969.8347337418759</v>
      </c>
      <c r="MP120" s="28" t="n">
        <v>969.8347337418759</v>
      </c>
      <c r="MQ120" s="28" t="n">
        <v>969.8347337418759</v>
      </c>
      <c r="MR120" s="28" t="n">
        <v>969.8347337418759</v>
      </c>
      <c r="MS120" s="28" t="n">
        <v>969.8347337418759</v>
      </c>
      <c r="MT120" s="28" t="n">
        <v>969.8347337418759</v>
      </c>
      <c r="MU120" s="28" t="n">
        <v>969.8347337418759</v>
      </c>
      <c r="MV120" s="28" t="n">
        <v>1062.369224425831</v>
      </c>
      <c r="MW120" s="28" t="n">
        <v>1062.369224425831</v>
      </c>
      <c r="MX120" s="28" t="n">
        <v>1062.369224425831</v>
      </c>
      <c r="MY120" s="28" t="n">
        <v>1062.369224425831</v>
      </c>
      <c r="MZ120" s="28" t="n">
        <v>1062.369224425831</v>
      </c>
      <c r="NA120" s="28" t="n">
        <v>1062.369224425831</v>
      </c>
      <c r="NB120" s="28" t="n">
        <v>1062.369224425831</v>
      </c>
      <c r="NC120" s="28" t="n">
        <v>1062.369224425831</v>
      </c>
      <c r="ND120" s="28" t="n">
        <v>1062.369224425831</v>
      </c>
      <c r="NE120" s="28" t="n">
        <v>1062.369224425831</v>
      </c>
      <c r="NF120" s="28" t="n">
        <v>1062.369224425831</v>
      </c>
      <c r="NG120" s="28" t="n">
        <v>1062.369224425831</v>
      </c>
      <c r="NH120" s="28" t="n">
        <v>1154.887423370601</v>
      </c>
      <c r="NI120" s="28" t="n">
        <v>1154.887423370601</v>
      </c>
      <c r="NJ120" s="28" t="n">
        <v>1154.887423370601</v>
      </c>
      <c r="NK120" s="28" t="n">
        <v>1154.887423370601</v>
      </c>
      <c r="NL120" s="28" t="n">
        <v>1154.887423370601</v>
      </c>
      <c r="NM120" s="28" t="n">
        <v>1154.887423370601</v>
      </c>
      <c r="NN120" s="28" t="n">
        <v>1154.887423370601</v>
      </c>
      <c r="NO120" s="28" t="n">
        <v>1154.887423370601</v>
      </c>
      <c r="NP120" s="28" t="n">
        <v>1154.887423370601</v>
      </c>
      <c r="NQ120" s="28" t="n">
        <v>1154.887423370601</v>
      </c>
      <c r="NR120" s="28" t="n">
        <v>1154.887423370601</v>
      </c>
      <c r="NS120" s="28" t="n">
        <v>1154.887423370601</v>
      </c>
      <c r="NT120" s="28" t="n">
        <v>1247.412862381361</v>
      </c>
      <c r="NU120" s="28" t="n">
        <v>1247.412862381361</v>
      </c>
      <c r="NV120" s="28" t="n">
        <v>1247.412862381361</v>
      </c>
      <c r="NW120" s="28" t="n">
        <v>1247.412862381361</v>
      </c>
      <c r="NX120" s="28" t="n">
        <v>1247.412862381361</v>
      </c>
      <c r="NY120" s="28" t="n">
        <v>1247.412862381361</v>
      </c>
      <c r="NZ120" s="28" t="n">
        <v>1247.412862381361</v>
      </c>
      <c r="OA120" s="28" t="n">
        <v>1247.412862381361</v>
      </c>
      <c r="OB120" s="28" t="n">
        <v>1247.412862381361</v>
      </c>
      <c r="OC120" s="28" t="n">
        <v>1247.412862381361</v>
      </c>
      <c r="OD120" s="28" t="n">
        <v>1247.412862381361</v>
      </c>
      <c r="OE120" s="28" t="n">
        <v>1247.412862381361</v>
      </c>
      <c r="OF120" s="28" t="n">
        <v>1332.885314848627</v>
      </c>
      <c r="OG120" s="28" t="n">
        <v>1332.885314848627</v>
      </c>
      <c r="OH120" s="28" t="n">
        <v>1332.885314848627</v>
      </c>
      <c r="OI120" s="28" t="n">
        <v>1332.885314848627</v>
      </c>
      <c r="OJ120" s="28" t="n">
        <v>1332.885314848627</v>
      </c>
      <c r="OK120" s="28" t="n">
        <v>1332.885314848627</v>
      </c>
      <c r="OL120" s="28" t="n">
        <v>1332.885314848627</v>
      </c>
      <c r="OM120" s="28" t="n">
        <v>1332.885314848627</v>
      </c>
      <c r="ON120" s="28" t="n">
        <v>1332.885314848627</v>
      </c>
      <c r="OO120" s="28" t="n">
        <v>1332.885314848627</v>
      </c>
      <c r="OP120" s="28" t="n">
        <v>1332.885314848627</v>
      </c>
      <c r="OQ120" s="28" t="n">
        <v>1332.885314848627</v>
      </c>
      <c r="OR120" s="28" t="n">
        <v>1381.982387897352</v>
      </c>
      <c r="OS120" s="28" t="n">
        <v>1381.982387897352</v>
      </c>
      <c r="OT120" s="28" t="n">
        <v>1381.982387897352</v>
      </c>
      <c r="OU120" s="28" t="n">
        <v>1381.982387897352</v>
      </c>
      <c r="OV120" s="28" t="n">
        <v>1381.982387897352</v>
      </c>
      <c r="OW120" s="28" t="n">
        <v>1381.982387897352</v>
      </c>
      <c r="OX120" s="28" t="n">
        <v>1381.982387897352</v>
      </c>
      <c r="OY120" s="28" t="n">
        <v>1381.982387897352</v>
      </c>
      <c r="OZ120" s="28" t="n">
        <v>1381.982387897352</v>
      </c>
      <c r="PA120" s="28" t="n">
        <v>1381.982387897352</v>
      </c>
      <c r="PB120" s="28" t="n">
        <v>1381.982387897352</v>
      </c>
      <c r="PC120" s="28" t="n">
        <v>1381.982387897352</v>
      </c>
      <c r="PD120" s="28" t="n">
        <v>1426.094932081309</v>
      </c>
      <c r="PE120" s="28" t="n">
        <v>1426.094932081309</v>
      </c>
      <c r="PF120" s="28" t="n">
        <v>1426.094932081309</v>
      </c>
      <c r="PG120" s="28" t="n">
        <v>1426.094932081309</v>
      </c>
      <c r="PH120" s="28" t="n">
        <v>1426.094932081309</v>
      </c>
      <c r="PI120" s="28" t="n">
        <v>1426.094932081309</v>
      </c>
      <c r="PJ120" s="28" t="n">
        <v>1426.094932081309</v>
      </c>
      <c r="PK120" s="28" t="n">
        <v>1426.094932081309</v>
      </c>
      <c r="PL120" s="28" t="n">
        <v>1426.094932081309</v>
      </c>
      <c r="PM120" s="28" t="n">
        <v>1426.094932081309</v>
      </c>
      <c r="PN120" s="28" t="n">
        <v>1426.094932081309</v>
      </c>
      <c r="PO120" s="28" t="n">
        <v>1426.094932081309</v>
      </c>
      <c r="PP120" s="28" t="n">
        <v>1470.304084807104</v>
      </c>
      <c r="PQ120" s="28" t="n">
        <v>1470.304084807104</v>
      </c>
      <c r="PR120" s="28" t="n">
        <v>1470.304084807104</v>
      </c>
      <c r="PS120" s="28" t="n">
        <v>1470.304084807104</v>
      </c>
      <c r="PT120" s="28" t="n">
        <v>1470.304084807104</v>
      </c>
      <c r="PU120" s="28" t="n">
        <v>1470.304084807104</v>
      </c>
      <c r="PV120" s="28" t="n">
        <v>1470.304084807104</v>
      </c>
      <c r="PW120" s="28" t="n">
        <v>1470.304084807104</v>
      </c>
      <c r="PX120" s="28" t="n">
        <v>1470.304084807104</v>
      </c>
      <c r="PY120" s="28" t="n">
        <v>1470.304084807104</v>
      </c>
      <c r="PZ120" s="28" t="n">
        <v>1470.304084807104</v>
      </c>
      <c r="QA120" s="28" t="n">
        <v>1470.304084807104</v>
      </c>
      <c r="QB120" s="28" t="n">
        <v>1200.780797010946</v>
      </c>
      <c r="QC120" s="28" t="n">
        <v>1200.780797010946</v>
      </c>
      <c r="QD120" s="28" t="n">
        <v>1200.780797010946</v>
      </c>
      <c r="QE120" s="28" t="n">
        <v>1200.780797010946</v>
      </c>
      <c r="QF120" s="28" t="n">
        <v>1200.780797010946</v>
      </c>
      <c r="QG120" s="28" t="n">
        <v>1200.780797010946</v>
      </c>
      <c r="QH120" s="28" t="n">
        <v>1200.780797010946</v>
      </c>
      <c r="QI120" s="28" t="n">
        <v>1200.780797010946</v>
      </c>
      <c r="QJ120" s="28" t="n">
        <v>1200.780797010946</v>
      </c>
      <c r="QK120" s="28" t="n">
        <v>1200.780797010946</v>
      </c>
      <c r="QL120" s="28" t="n">
        <v>1200.780797010946</v>
      </c>
      <c r="QM120" s="28" t="n">
        <v>1200.780797010946</v>
      </c>
      <c r="QN120" s="28" t="n">
        <v>0</v>
      </c>
      <c r="QO120" s="28" t="n">
        <v>0</v>
      </c>
      <c r="QP120" s="28" t="n">
        <v>0</v>
      </c>
      <c r="QQ120" s="28" t="n">
        <v>0</v>
      </c>
      <c r="QR120" s="28" t="n">
        <v>0</v>
      </c>
      <c r="QS120" s="28" t="n">
        <v>0</v>
      </c>
      <c r="QT120" s="28" t="n">
        <v>0</v>
      </c>
      <c r="QU120" s="28" t="n">
        <v>0</v>
      </c>
      <c r="QV120" s="28" t="n">
        <v>0</v>
      </c>
      <c r="QW120" s="28" t="n">
        <v>0</v>
      </c>
      <c r="QX120" s="28" t="n">
        <v>0</v>
      </c>
      <c r="QY120" s="28" t="n">
        <v>0</v>
      </c>
      <c r="QZ120" s="28" t="n">
        <v>0</v>
      </c>
      <c r="RA120" s="28" t="n">
        <v>0</v>
      </c>
      <c r="RB120" s="28" t="n">
        <v>0</v>
      </c>
      <c r="RC120" s="28" t="n">
        <v>0</v>
      </c>
      <c r="RD120" s="28" t="n">
        <v>0</v>
      </c>
      <c r="RE120" s="28" t="n">
        <v>0</v>
      </c>
      <c r="RF120" s="28" t="n">
        <v>0</v>
      </c>
      <c r="RG120" s="28" t="n">
        <v>0</v>
      </c>
      <c r="RH120" s="28" t="n">
        <v>0</v>
      </c>
      <c r="RI120" s="28" t="n">
        <v>0</v>
      </c>
      <c r="RJ120" s="28" t="n">
        <v>0</v>
      </c>
      <c r="RK120" s="28" t="n">
        <v>0</v>
      </c>
      <c r="RL120" s="28" t="n">
        <v>0</v>
      </c>
      <c r="RM120" s="28" t="n">
        <v>0</v>
      </c>
      <c r="RN120" s="28" t="n">
        <v>0</v>
      </c>
      <c r="RO120" s="28" t="n">
        <v>0</v>
      </c>
      <c r="RP120" s="28" t="n">
        <v>0</v>
      </c>
      <c r="RQ120" s="28" t="n">
        <v>0</v>
      </c>
      <c r="RR120" s="28" t="n">
        <v>0</v>
      </c>
      <c r="RS120" s="28" t="n">
        <v>0</v>
      </c>
      <c r="RT120" s="28" t="n">
        <v>0</v>
      </c>
      <c r="RU120" s="28" t="n">
        <v>0</v>
      </c>
      <c r="RV120" s="28" t="n">
        <v>0</v>
      </c>
      <c r="RW120" s="28" t="n">
        <v>0</v>
      </c>
    </row>
    <row r="121" ht="13.05" customHeight="1">
      <c r="E121" s="21" t="inlineStr">
        <is>
          <t>loss_carried_forward</t>
        </is>
      </c>
      <c r="F121" s="29" t="n"/>
      <c r="G121" s="29" t="inlineStr">
        <is>
          <t>kEUR</t>
        </is>
      </c>
      <c r="H121" s="29" t="n"/>
      <c r="I121" s="29" t="n"/>
      <c r="J121" s="32" t="n">
        <v>2735461.092707923</v>
      </c>
      <c r="K121" s="29" t="n"/>
      <c r="L121" s="33" t="n">
        <v>3050.416666666667</v>
      </c>
      <c r="M121" s="33" t="n">
        <v>3050.416666666667</v>
      </c>
      <c r="N121" s="33" t="n">
        <v>3050.416666666667</v>
      </c>
      <c r="O121" s="33" t="n">
        <v>3050.416666666667</v>
      </c>
      <c r="P121" s="33" t="n">
        <v>3050.416666666667</v>
      </c>
      <c r="Q121" s="33" t="n">
        <v>3050.416666666667</v>
      </c>
      <c r="R121" s="33" t="n">
        <v>3050.416666666667</v>
      </c>
      <c r="S121" s="33" t="n">
        <v>3050.416666666667</v>
      </c>
      <c r="T121" s="33" t="n">
        <v>3050.416666666667</v>
      </c>
      <c r="U121" s="33" t="n">
        <v>3050.416666666667</v>
      </c>
      <c r="V121" s="33" t="n">
        <v>3050.416666666667</v>
      </c>
      <c r="W121" s="33" t="n">
        <v>3050.416666666667</v>
      </c>
      <c r="X121" s="33" t="n">
        <v>6100.833333333333</v>
      </c>
      <c r="Y121" s="33" t="n">
        <v>6100.833333333333</v>
      </c>
      <c r="Z121" s="33" t="n">
        <v>6100.833333333333</v>
      </c>
      <c r="AA121" s="33" t="n">
        <v>6100.833333333333</v>
      </c>
      <c r="AB121" s="33" t="n">
        <v>6100.833333333333</v>
      </c>
      <c r="AC121" s="33" t="n">
        <v>6100.833333333333</v>
      </c>
      <c r="AD121" s="33" t="n">
        <v>6100.833333333333</v>
      </c>
      <c r="AE121" s="33" t="n">
        <v>6100.833333333333</v>
      </c>
      <c r="AF121" s="33" t="n">
        <v>6100.833333333333</v>
      </c>
      <c r="AG121" s="33" t="n">
        <v>6100.833333333333</v>
      </c>
      <c r="AH121" s="33" t="n">
        <v>6100.833333333333</v>
      </c>
      <c r="AI121" s="33" t="n">
        <v>6100.833333333333</v>
      </c>
      <c r="AJ121" s="33" t="n">
        <v>9151.25</v>
      </c>
      <c r="AK121" s="33" t="n">
        <v>9151.25</v>
      </c>
      <c r="AL121" s="33" t="n">
        <v>9151.25</v>
      </c>
      <c r="AM121" s="33" t="n">
        <v>9151.25</v>
      </c>
      <c r="AN121" s="33" t="n">
        <v>9151.25</v>
      </c>
      <c r="AO121" s="33" t="n">
        <v>9151.25</v>
      </c>
      <c r="AP121" s="33" t="n">
        <v>9151.25</v>
      </c>
      <c r="AQ121" s="33" t="n">
        <v>9151.25</v>
      </c>
      <c r="AR121" s="33" t="n">
        <v>9151.25</v>
      </c>
      <c r="AS121" s="33" t="n">
        <v>9151.25</v>
      </c>
      <c r="AT121" s="33" t="n">
        <v>9151.25</v>
      </c>
      <c r="AU121" s="33" t="n">
        <v>9151.25</v>
      </c>
      <c r="AV121" s="33" t="n">
        <v>12201.66666666667</v>
      </c>
      <c r="AW121" s="33" t="n">
        <v>12201.66666666667</v>
      </c>
      <c r="AX121" s="33" t="n">
        <v>12201.66666666667</v>
      </c>
      <c r="AY121" s="33" t="n">
        <v>12201.66666666667</v>
      </c>
      <c r="AZ121" s="33" t="n">
        <v>12201.66666666667</v>
      </c>
      <c r="BA121" s="33" t="n">
        <v>12201.66666666667</v>
      </c>
      <c r="BB121" s="33" t="n">
        <v>12201.66666666667</v>
      </c>
      <c r="BC121" s="33" t="n">
        <v>12201.66666666667</v>
      </c>
      <c r="BD121" s="33" t="n">
        <v>12201.66666666667</v>
      </c>
      <c r="BE121" s="33" t="n">
        <v>12201.66666666667</v>
      </c>
      <c r="BF121" s="33" t="n">
        <v>12201.66666666667</v>
      </c>
      <c r="BG121" s="33" t="n">
        <v>12201.66666666667</v>
      </c>
      <c r="BH121" s="33" t="n">
        <v>16958.66363148148</v>
      </c>
      <c r="BI121" s="33" t="n">
        <v>16958.66363148148</v>
      </c>
      <c r="BJ121" s="33" t="n">
        <v>16958.66363148148</v>
      </c>
      <c r="BK121" s="33" t="n">
        <v>16958.66363148148</v>
      </c>
      <c r="BL121" s="33" t="n">
        <v>16958.66363148148</v>
      </c>
      <c r="BM121" s="33" t="n">
        <v>16958.66363148148</v>
      </c>
      <c r="BN121" s="33" t="n">
        <v>16958.66363148148</v>
      </c>
      <c r="BO121" s="33" t="n">
        <v>16958.66363148148</v>
      </c>
      <c r="BP121" s="33" t="n">
        <v>16958.66363148148</v>
      </c>
      <c r="BQ121" s="33" t="n">
        <v>16958.66363148148</v>
      </c>
      <c r="BR121" s="33" t="n">
        <v>16958.66363148148</v>
      </c>
      <c r="BS121" s="33" t="n">
        <v>16958.66363148148</v>
      </c>
      <c r="BT121" s="33" t="n">
        <v>24116.78064074074</v>
      </c>
      <c r="BU121" s="33" t="n">
        <v>24116.78064074074</v>
      </c>
      <c r="BV121" s="33" t="n">
        <v>24116.78064074074</v>
      </c>
      <c r="BW121" s="33" t="n">
        <v>24116.78064074074</v>
      </c>
      <c r="BX121" s="33" t="n">
        <v>24116.78064074074</v>
      </c>
      <c r="BY121" s="33" t="n">
        <v>24116.78064074074</v>
      </c>
      <c r="BZ121" s="33" t="n">
        <v>24116.78064074074</v>
      </c>
      <c r="CA121" s="33" t="n">
        <v>24116.78064074074</v>
      </c>
      <c r="CB121" s="33" t="n">
        <v>24116.78064074074</v>
      </c>
      <c r="CC121" s="33" t="n">
        <v>24116.78064074074</v>
      </c>
      <c r="CD121" s="33" t="n">
        <v>24116.78064074074</v>
      </c>
      <c r="CE121" s="33" t="n">
        <v>24116.78064074074</v>
      </c>
      <c r="CF121" s="33" t="n">
        <v>33086.881452248</v>
      </c>
      <c r="CG121" s="33" t="n">
        <v>33086.881452248</v>
      </c>
      <c r="CH121" s="33" t="n">
        <v>33086.881452248</v>
      </c>
      <c r="CI121" s="33" t="n">
        <v>33086.881452248</v>
      </c>
      <c r="CJ121" s="33" t="n">
        <v>33086.881452248</v>
      </c>
      <c r="CK121" s="33" t="n">
        <v>33086.881452248</v>
      </c>
      <c r="CL121" s="33" t="n">
        <v>33086.881452248</v>
      </c>
      <c r="CM121" s="33" t="n">
        <v>33086.881452248</v>
      </c>
      <c r="CN121" s="33" t="n">
        <v>33086.881452248</v>
      </c>
      <c r="CO121" s="33" t="n">
        <v>33086.881452248</v>
      </c>
      <c r="CP121" s="33" t="n">
        <v>33086.881452248</v>
      </c>
      <c r="CQ121" s="33" t="n">
        <v>33086.881452248</v>
      </c>
      <c r="CR121" s="33" t="n">
        <v>21914.12577651099</v>
      </c>
      <c r="CS121" s="33" t="n">
        <v>21914.12577651099</v>
      </c>
      <c r="CT121" s="33" t="n">
        <v>21914.12577651099</v>
      </c>
      <c r="CU121" s="33" t="n">
        <v>21914.12577651099</v>
      </c>
      <c r="CV121" s="33" t="n">
        <v>21914.12577651099</v>
      </c>
      <c r="CW121" s="33" t="n">
        <v>21914.12577651099</v>
      </c>
      <c r="CX121" s="33" t="n">
        <v>21914.12577651099</v>
      </c>
      <c r="CY121" s="33" t="n">
        <v>21914.12577651099</v>
      </c>
      <c r="CZ121" s="33" t="n">
        <v>21914.12577651099</v>
      </c>
      <c r="DA121" s="33" t="n">
        <v>21914.12577651099</v>
      </c>
      <c r="DB121" s="33" t="n">
        <v>21914.12577651099</v>
      </c>
      <c r="DC121" s="33" t="n">
        <v>21914.12577651099</v>
      </c>
      <c r="DD121" s="33" t="n">
        <v>19156.35230819387</v>
      </c>
      <c r="DE121" s="33" t="n">
        <v>19156.35230819387</v>
      </c>
      <c r="DF121" s="33" t="n">
        <v>19156.35230819387</v>
      </c>
      <c r="DG121" s="33" t="n">
        <v>19156.35230819387</v>
      </c>
      <c r="DH121" s="33" t="n">
        <v>19156.35230819387</v>
      </c>
      <c r="DI121" s="33" t="n">
        <v>19156.35230819387</v>
      </c>
      <c r="DJ121" s="33" t="n">
        <v>19156.35230819387</v>
      </c>
      <c r="DK121" s="33" t="n">
        <v>19156.35230819387</v>
      </c>
      <c r="DL121" s="33" t="n">
        <v>19156.35230819387</v>
      </c>
      <c r="DM121" s="33" t="n">
        <v>19156.35230819387</v>
      </c>
      <c r="DN121" s="33" t="n">
        <v>19156.35230819387</v>
      </c>
      <c r="DO121" s="33" t="n">
        <v>19156.35230819387</v>
      </c>
      <c r="DP121" s="33" t="n">
        <v>15820.82643219827</v>
      </c>
      <c r="DQ121" s="33" t="n">
        <v>15820.82643219827</v>
      </c>
      <c r="DR121" s="33" t="n">
        <v>15820.82643219827</v>
      </c>
      <c r="DS121" s="33" t="n">
        <v>15820.82643219827</v>
      </c>
      <c r="DT121" s="33" t="n">
        <v>15820.82643219827</v>
      </c>
      <c r="DU121" s="33" t="n">
        <v>15820.82643219827</v>
      </c>
      <c r="DV121" s="33" t="n">
        <v>15820.82643219827</v>
      </c>
      <c r="DW121" s="33" t="n">
        <v>15820.82643219827</v>
      </c>
      <c r="DX121" s="33" t="n">
        <v>15820.82643219827</v>
      </c>
      <c r="DY121" s="33" t="n">
        <v>15820.82643219827</v>
      </c>
      <c r="DZ121" s="33" t="n">
        <v>15820.82643219827</v>
      </c>
      <c r="EA121" s="33" t="n">
        <v>15820.82643219827</v>
      </c>
      <c r="EB121" s="33" t="n">
        <v>10702.71372202001</v>
      </c>
      <c r="EC121" s="33" t="n">
        <v>10702.71372202001</v>
      </c>
      <c r="ED121" s="33" t="n">
        <v>10702.71372202001</v>
      </c>
      <c r="EE121" s="33" t="n">
        <v>10702.71372202001</v>
      </c>
      <c r="EF121" s="33" t="n">
        <v>10702.71372202001</v>
      </c>
      <c r="EG121" s="33" t="n">
        <v>10702.71372202001</v>
      </c>
      <c r="EH121" s="33" t="n">
        <v>10702.71372202001</v>
      </c>
      <c r="EI121" s="33" t="n">
        <v>10702.71372202001</v>
      </c>
      <c r="EJ121" s="33" t="n">
        <v>10702.71372202001</v>
      </c>
      <c r="EK121" s="33" t="n">
        <v>10702.71372202001</v>
      </c>
      <c r="EL121" s="33" t="n">
        <v>10702.71372202001</v>
      </c>
      <c r="EM121" s="33" t="n">
        <v>10702.71372202001</v>
      </c>
      <c r="EN121" s="33" t="n">
        <v>7367.885234494225</v>
      </c>
      <c r="EO121" s="33" t="n">
        <v>7367.885234494225</v>
      </c>
      <c r="EP121" s="33" t="n">
        <v>7367.885234494225</v>
      </c>
      <c r="EQ121" s="33" t="n">
        <v>7367.885234494225</v>
      </c>
      <c r="ER121" s="33" t="n">
        <v>7367.885234494225</v>
      </c>
      <c r="ES121" s="33" t="n">
        <v>7367.885234494225</v>
      </c>
      <c r="ET121" s="33" t="n">
        <v>7367.885234494225</v>
      </c>
      <c r="EU121" s="33" t="n">
        <v>7367.885234494225</v>
      </c>
      <c r="EV121" s="33" t="n">
        <v>7367.885234494225</v>
      </c>
      <c r="EW121" s="33" t="n">
        <v>7367.885234494225</v>
      </c>
      <c r="EX121" s="33" t="n">
        <v>7367.885234494225</v>
      </c>
      <c r="EY121" s="33" t="n">
        <v>7367.885234494225</v>
      </c>
      <c r="EZ121" s="33" t="n">
        <v>2815.837595690949</v>
      </c>
      <c r="FA121" s="33" t="n">
        <v>2815.837595690949</v>
      </c>
      <c r="FB121" s="33" t="n">
        <v>2815.837595690949</v>
      </c>
      <c r="FC121" s="33" t="n">
        <v>2815.837595690949</v>
      </c>
      <c r="FD121" s="33" t="n">
        <v>2815.837595690949</v>
      </c>
      <c r="FE121" s="33" t="n">
        <v>2815.837595690949</v>
      </c>
      <c r="FF121" s="33" t="n">
        <v>2815.837595690949</v>
      </c>
      <c r="FG121" s="33" t="n">
        <v>2815.837595690949</v>
      </c>
      <c r="FH121" s="33" t="n">
        <v>2815.837595690949</v>
      </c>
      <c r="FI121" s="33" t="n">
        <v>2815.837595690949</v>
      </c>
      <c r="FJ121" s="33" t="n">
        <v>2815.837595690949</v>
      </c>
      <c r="FK121" s="33" t="n">
        <v>2815.837595690949</v>
      </c>
      <c r="FL121" s="33" t="n">
        <v>0</v>
      </c>
      <c r="FM121" s="33" t="n">
        <v>0</v>
      </c>
      <c r="FN121" s="33" t="n">
        <v>0</v>
      </c>
      <c r="FO121" s="33" t="n">
        <v>0</v>
      </c>
      <c r="FP121" s="33" t="n">
        <v>0</v>
      </c>
      <c r="FQ121" s="33" t="n">
        <v>0</v>
      </c>
      <c r="FR121" s="33" t="n">
        <v>0</v>
      </c>
      <c r="FS121" s="33" t="n">
        <v>0</v>
      </c>
      <c r="FT121" s="33" t="n">
        <v>0</v>
      </c>
      <c r="FU121" s="33" t="n">
        <v>0</v>
      </c>
      <c r="FV121" s="33" t="n">
        <v>0</v>
      </c>
      <c r="FW121" s="33" t="n">
        <v>0</v>
      </c>
      <c r="FX121" s="33" t="n">
        <v>0</v>
      </c>
      <c r="FY121" s="33" t="n">
        <v>0</v>
      </c>
      <c r="FZ121" s="33" t="n">
        <v>0</v>
      </c>
      <c r="GA121" s="33" t="n">
        <v>0</v>
      </c>
      <c r="GB121" s="33" t="n">
        <v>0</v>
      </c>
      <c r="GC121" s="33" t="n">
        <v>0</v>
      </c>
      <c r="GD121" s="33" t="n">
        <v>0</v>
      </c>
      <c r="GE121" s="33" t="n">
        <v>0</v>
      </c>
      <c r="GF121" s="33" t="n">
        <v>0</v>
      </c>
      <c r="GG121" s="33" t="n">
        <v>0</v>
      </c>
      <c r="GH121" s="33" t="n">
        <v>0</v>
      </c>
      <c r="GI121" s="33" t="n">
        <v>0</v>
      </c>
      <c r="GJ121" s="33" t="n">
        <v>0</v>
      </c>
      <c r="GK121" s="33" t="n">
        <v>0</v>
      </c>
      <c r="GL121" s="33" t="n">
        <v>0</v>
      </c>
      <c r="GM121" s="33" t="n">
        <v>0</v>
      </c>
      <c r="GN121" s="33" t="n">
        <v>0</v>
      </c>
      <c r="GO121" s="33" t="n">
        <v>0</v>
      </c>
      <c r="GP121" s="33" t="n">
        <v>0</v>
      </c>
      <c r="GQ121" s="33" t="n">
        <v>0</v>
      </c>
      <c r="GR121" s="33" t="n">
        <v>0</v>
      </c>
      <c r="GS121" s="33" t="n">
        <v>0</v>
      </c>
      <c r="GT121" s="33" t="n">
        <v>0</v>
      </c>
      <c r="GU121" s="33" t="n">
        <v>0</v>
      </c>
      <c r="GV121" s="33" t="n">
        <v>0</v>
      </c>
      <c r="GW121" s="33" t="n">
        <v>0</v>
      </c>
      <c r="GX121" s="33" t="n">
        <v>0</v>
      </c>
      <c r="GY121" s="33" t="n">
        <v>0</v>
      </c>
      <c r="GZ121" s="33" t="n">
        <v>0</v>
      </c>
      <c r="HA121" s="33" t="n">
        <v>0</v>
      </c>
      <c r="HB121" s="33" t="n">
        <v>0</v>
      </c>
      <c r="HC121" s="33" t="n">
        <v>0</v>
      </c>
      <c r="HD121" s="33" t="n">
        <v>0</v>
      </c>
      <c r="HE121" s="33" t="n">
        <v>0</v>
      </c>
      <c r="HF121" s="33" t="n">
        <v>0</v>
      </c>
      <c r="HG121" s="33" t="n">
        <v>0</v>
      </c>
      <c r="HH121" s="33" t="n">
        <v>0</v>
      </c>
      <c r="HI121" s="33" t="n">
        <v>0</v>
      </c>
      <c r="HJ121" s="33" t="n">
        <v>0</v>
      </c>
      <c r="HK121" s="33" t="n">
        <v>0</v>
      </c>
      <c r="HL121" s="33" t="n">
        <v>0</v>
      </c>
      <c r="HM121" s="33" t="n">
        <v>0</v>
      </c>
      <c r="HN121" s="33" t="n">
        <v>0</v>
      </c>
      <c r="HO121" s="33" t="n">
        <v>0</v>
      </c>
      <c r="HP121" s="33" t="n">
        <v>0</v>
      </c>
      <c r="HQ121" s="33" t="n">
        <v>0</v>
      </c>
      <c r="HR121" s="33" t="n">
        <v>0</v>
      </c>
      <c r="HS121" s="33" t="n">
        <v>0</v>
      </c>
      <c r="HT121" s="33" t="n">
        <v>0</v>
      </c>
      <c r="HU121" s="33" t="n">
        <v>0</v>
      </c>
      <c r="HV121" s="33" t="n">
        <v>0</v>
      </c>
      <c r="HW121" s="33" t="n">
        <v>0</v>
      </c>
      <c r="HX121" s="33" t="n">
        <v>0</v>
      </c>
      <c r="HY121" s="33" t="n">
        <v>0</v>
      </c>
      <c r="HZ121" s="33" t="n">
        <v>0</v>
      </c>
      <c r="IA121" s="33" t="n">
        <v>0</v>
      </c>
      <c r="IB121" s="33" t="n">
        <v>0</v>
      </c>
      <c r="IC121" s="33" t="n">
        <v>0</v>
      </c>
      <c r="ID121" s="33" t="n">
        <v>0</v>
      </c>
      <c r="IE121" s="33" t="n">
        <v>0</v>
      </c>
      <c r="IF121" s="33" t="n">
        <v>0</v>
      </c>
      <c r="IG121" s="33" t="n">
        <v>0</v>
      </c>
      <c r="IH121" s="33" t="n">
        <v>0</v>
      </c>
      <c r="II121" s="33" t="n">
        <v>0</v>
      </c>
      <c r="IJ121" s="33" t="n">
        <v>0</v>
      </c>
      <c r="IK121" s="33" t="n">
        <v>0</v>
      </c>
      <c r="IL121" s="33" t="n">
        <v>0</v>
      </c>
      <c r="IM121" s="33" t="n">
        <v>0</v>
      </c>
      <c r="IN121" s="33" t="n">
        <v>0</v>
      </c>
      <c r="IO121" s="33" t="n">
        <v>0</v>
      </c>
      <c r="IP121" s="33" t="n">
        <v>0</v>
      </c>
      <c r="IQ121" s="33" t="n">
        <v>0</v>
      </c>
      <c r="IR121" s="33" t="n">
        <v>0</v>
      </c>
      <c r="IS121" s="33" t="n">
        <v>0</v>
      </c>
      <c r="IT121" s="33" t="n">
        <v>0</v>
      </c>
      <c r="IU121" s="33" t="n">
        <v>0</v>
      </c>
      <c r="IV121" s="33" t="n">
        <v>0</v>
      </c>
      <c r="IW121" s="33" t="n">
        <v>0</v>
      </c>
      <c r="IX121" s="33" t="n">
        <v>0</v>
      </c>
      <c r="IY121" s="33" t="n">
        <v>0</v>
      </c>
      <c r="IZ121" s="33" t="n">
        <v>0</v>
      </c>
      <c r="JA121" s="33" t="n">
        <v>0</v>
      </c>
      <c r="JB121" s="33" t="n">
        <v>0</v>
      </c>
      <c r="JC121" s="33" t="n">
        <v>0</v>
      </c>
      <c r="JD121" s="33" t="n">
        <v>0</v>
      </c>
      <c r="JE121" s="33" t="n">
        <v>0</v>
      </c>
      <c r="JF121" s="33" t="n">
        <v>0</v>
      </c>
      <c r="JG121" s="33" t="n">
        <v>0</v>
      </c>
      <c r="JH121" s="33" t="n">
        <v>0</v>
      </c>
      <c r="JI121" s="33" t="n">
        <v>0</v>
      </c>
      <c r="JJ121" s="33" t="n">
        <v>0</v>
      </c>
      <c r="JK121" s="33" t="n">
        <v>0</v>
      </c>
      <c r="JL121" s="33" t="n">
        <v>0</v>
      </c>
      <c r="JM121" s="33" t="n">
        <v>0</v>
      </c>
      <c r="JN121" s="33" t="n">
        <v>0</v>
      </c>
      <c r="JO121" s="33" t="n">
        <v>0</v>
      </c>
      <c r="JP121" s="33" t="n">
        <v>0</v>
      </c>
      <c r="JQ121" s="33" t="n">
        <v>0</v>
      </c>
      <c r="JR121" s="33" t="n">
        <v>0</v>
      </c>
      <c r="JS121" s="33" t="n">
        <v>0</v>
      </c>
      <c r="JT121" s="33" t="n">
        <v>0</v>
      </c>
      <c r="JU121" s="33" t="n">
        <v>0</v>
      </c>
      <c r="JV121" s="33" t="n">
        <v>0</v>
      </c>
      <c r="JW121" s="33" t="n">
        <v>0</v>
      </c>
      <c r="JX121" s="33" t="n">
        <v>0</v>
      </c>
      <c r="JY121" s="33" t="n">
        <v>0</v>
      </c>
      <c r="JZ121" s="33" t="n">
        <v>0</v>
      </c>
      <c r="KA121" s="33" t="n">
        <v>0</v>
      </c>
      <c r="KB121" s="33" t="n">
        <v>0</v>
      </c>
      <c r="KC121" s="33" t="n">
        <v>0</v>
      </c>
      <c r="KD121" s="33" t="n">
        <v>0</v>
      </c>
      <c r="KE121" s="33" t="n">
        <v>0</v>
      </c>
      <c r="KF121" s="33" t="n">
        <v>0</v>
      </c>
      <c r="KG121" s="33" t="n">
        <v>0</v>
      </c>
      <c r="KH121" s="33" t="n">
        <v>0</v>
      </c>
      <c r="KI121" s="33" t="n">
        <v>0</v>
      </c>
      <c r="KJ121" s="33" t="n">
        <v>0</v>
      </c>
      <c r="KK121" s="33" t="n">
        <v>0</v>
      </c>
      <c r="KL121" s="33" t="n">
        <v>0</v>
      </c>
      <c r="KM121" s="33" t="n">
        <v>0</v>
      </c>
      <c r="KN121" s="33" t="n">
        <v>0</v>
      </c>
      <c r="KO121" s="33" t="n">
        <v>0</v>
      </c>
      <c r="KP121" s="33" t="n">
        <v>0</v>
      </c>
      <c r="KQ121" s="33" t="n">
        <v>0</v>
      </c>
      <c r="KR121" s="33" t="n">
        <v>0</v>
      </c>
      <c r="KS121" s="33" t="n">
        <v>0</v>
      </c>
      <c r="KT121" s="33" t="n">
        <v>0</v>
      </c>
      <c r="KU121" s="33" t="n">
        <v>0</v>
      </c>
      <c r="KV121" s="33" t="n">
        <v>0</v>
      </c>
      <c r="KW121" s="33" t="n">
        <v>0</v>
      </c>
      <c r="KX121" s="33" t="n">
        <v>0</v>
      </c>
      <c r="KY121" s="33" t="n">
        <v>0</v>
      </c>
      <c r="KZ121" s="33" t="n">
        <v>0</v>
      </c>
      <c r="LA121" s="33" t="n">
        <v>0</v>
      </c>
      <c r="LB121" s="33" t="n">
        <v>0</v>
      </c>
      <c r="LC121" s="33" t="n">
        <v>0</v>
      </c>
      <c r="LD121" s="33" t="n">
        <v>0</v>
      </c>
      <c r="LE121" s="33" t="n">
        <v>0</v>
      </c>
      <c r="LF121" s="33" t="n">
        <v>0</v>
      </c>
      <c r="LG121" s="33" t="n">
        <v>0</v>
      </c>
      <c r="LH121" s="33" t="n">
        <v>0</v>
      </c>
      <c r="LI121" s="33" t="n">
        <v>0</v>
      </c>
      <c r="LJ121" s="33" t="n">
        <v>0</v>
      </c>
      <c r="LK121" s="33" t="n">
        <v>0</v>
      </c>
      <c r="LL121" s="33" t="n">
        <v>0</v>
      </c>
      <c r="LM121" s="33" t="n">
        <v>0</v>
      </c>
      <c r="LN121" s="33" t="n">
        <v>0</v>
      </c>
      <c r="LO121" s="33" t="n">
        <v>0</v>
      </c>
      <c r="LP121" s="33" t="n">
        <v>0</v>
      </c>
      <c r="LQ121" s="33" t="n">
        <v>0</v>
      </c>
      <c r="LR121" s="33" t="n">
        <v>0</v>
      </c>
      <c r="LS121" s="33" t="n">
        <v>0</v>
      </c>
      <c r="LT121" s="33" t="n">
        <v>0</v>
      </c>
      <c r="LU121" s="33" t="n">
        <v>0</v>
      </c>
      <c r="LV121" s="33" t="n">
        <v>0</v>
      </c>
      <c r="LW121" s="33" t="n">
        <v>0</v>
      </c>
      <c r="LX121" s="33" t="n">
        <v>0</v>
      </c>
      <c r="LY121" s="33" t="n">
        <v>0</v>
      </c>
      <c r="LZ121" s="33" t="n">
        <v>0</v>
      </c>
      <c r="MA121" s="33" t="n">
        <v>0</v>
      </c>
      <c r="MB121" s="33" t="n">
        <v>0</v>
      </c>
      <c r="MC121" s="33" t="n">
        <v>0</v>
      </c>
      <c r="MD121" s="33" t="n">
        <v>0</v>
      </c>
      <c r="ME121" s="33" t="n">
        <v>0</v>
      </c>
      <c r="MF121" s="33" t="n">
        <v>0</v>
      </c>
      <c r="MG121" s="33" t="n">
        <v>0</v>
      </c>
      <c r="MH121" s="33" t="n">
        <v>0</v>
      </c>
      <c r="MI121" s="33" t="n">
        <v>0</v>
      </c>
      <c r="MJ121" s="33" t="n">
        <v>0</v>
      </c>
      <c r="MK121" s="33" t="n">
        <v>0</v>
      </c>
      <c r="ML121" s="33" t="n">
        <v>0</v>
      </c>
      <c r="MM121" s="33" t="n">
        <v>0</v>
      </c>
      <c r="MN121" s="33" t="n">
        <v>0</v>
      </c>
      <c r="MO121" s="33" t="n">
        <v>0</v>
      </c>
      <c r="MP121" s="33" t="n">
        <v>0</v>
      </c>
      <c r="MQ121" s="33" t="n">
        <v>0</v>
      </c>
      <c r="MR121" s="33" t="n">
        <v>0</v>
      </c>
      <c r="MS121" s="33" t="n">
        <v>0</v>
      </c>
      <c r="MT121" s="33" t="n">
        <v>0</v>
      </c>
      <c r="MU121" s="33" t="n">
        <v>0</v>
      </c>
      <c r="MV121" s="33" t="n">
        <v>0</v>
      </c>
      <c r="MW121" s="33" t="n">
        <v>0</v>
      </c>
      <c r="MX121" s="33" t="n">
        <v>0</v>
      </c>
      <c r="MY121" s="33" t="n">
        <v>0</v>
      </c>
      <c r="MZ121" s="33" t="n">
        <v>0</v>
      </c>
      <c r="NA121" s="33" t="n">
        <v>0</v>
      </c>
      <c r="NB121" s="33" t="n">
        <v>0</v>
      </c>
      <c r="NC121" s="33" t="n">
        <v>0</v>
      </c>
      <c r="ND121" s="33" t="n">
        <v>0</v>
      </c>
      <c r="NE121" s="33" t="n">
        <v>0</v>
      </c>
      <c r="NF121" s="33" t="n">
        <v>0</v>
      </c>
      <c r="NG121" s="33" t="n">
        <v>0</v>
      </c>
      <c r="NH121" s="33" t="n">
        <v>0</v>
      </c>
      <c r="NI121" s="33" t="n">
        <v>0</v>
      </c>
      <c r="NJ121" s="33" t="n">
        <v>0</v>
      </c>
      <c r="NK121" s="33" t="n">
        <v>0</v>
      </c>
      <c r="NL121" s="33" t="n">
        <v>0</v>
      </c>
      <c r="NM121" s="33" t="n">
        <v>0</v>
      </c>
      <c r="NN121" s="33" t="n">
        <v>0</v>
      </c>
      <c r="NO121" s="33" t="n">
        <v>0</v>
      </c>
      <c r="NP121" s="33" t="n">
        <v>0</v>
      </c>
      <c r="NQ121" s="33" t="n">
        <v>0</v>
      </c>
      <c r="NR121" s="33" t="n">
        <v>0</v>
      </c>
      <c r="NS121" s="33" t="n">
        <v>0</v>
      </c>
      <c r="NT121" s="33" t="n">
        <v>0</v>
      </c>
      <c r="NU121" s="33" t="n">
        <v>0</v>
      </c>
      <c r="NV121" s="33" t="n">
        <v>0</v>
      </c>
      <c r="NW121" s="33" t="n">
        <v>0</v>
      </c>
      <c r="NX121" s="33" t="n">
        <v>0</v>
      </c>
      <c r="NY121" s="33" t="n">
        <v>0</v>
      </c>
      <c r="NZ121" s="33" t="n">
        <v>0</v>
      </c>
      <c r="OA121" s="33" t="n">
        <v>0</v>
      </c>
      <c r="OB121" s="33" t="n">
        <v>0</v>
      </c>
      <c r="OC121" s="33" t="n">
        <v>0</v>
      </c>
      <c r="OD121" s="33" t="n">
        <v>0</v>
      </c>
      <c r="OE121" s="33" t="n">
        <v>0</v>
      </c>
      <c r="OF121" s="33" t="n">
        <v>0</v>
      </c>
      <c r="OG121" s="33" t="n">
        <v>0</v>
      </c>
      <c r="OH121" s="33" t="n">
        <v>0</v>
      </c>
      <c r="OI121" s="33" t="n">
        <v>0</v>
      </c>
      <c r="OJ121" s="33" t="n">
        <v>0</v>
      </c>
      <c r="OK121" s="33" t="n">
        <v>0</v>
      </c>
      <c r="OL121" s="33" t="n">
        <v>0</v>
      </c>
      <c r="OM121" s="33" t="n">
        <v>0</v>
      </c>
      <c r="ON121" s="33" t="n">
        <v>0</v>
      </c>
      <c r="OO121" s="33" t="n">
        <v>0</v>
      </c>
      <c r="OP121" s="33" t="n">
        <v>0</v>
      </c>
      <c r="OQ121" s="33" t="n">
        <v>0</v>
      </c>
      <c r="OR121" s="33" t="n">
        <v>0</v>
      </c>
      <c r="OS121" s="33" t="n">
        <v>0</v>
      </c>
      <c r="OT121" s="33" t="n">
        <v>0</v>
      </c>
      <c r="OU121" s="33" t="n">
        <v>0</v>
      </c>
      <c r="OV121" s="33" t="n">
        <v>0</v>
      </c>
      <c r="OW121" s="33" t="n">
        <v>0</v>
      </c>
      <c r="OX121" s="33" t="n">
        <v>0</v>
      </c>
      <c r="OY121" s="33" t="n">
        <v>0</v>
      </c>
      <c r="OZ121" s="33" t="n">
        <v>0</v>
      </c>
      <c r="PA121" s="33" t="n">
        <v>0</v>
      </c>
      <c r="PB121" s="33" t="n">
        <v>0</v>
      </c>
      <c r="PC121" s="33" t="n">
        <v>0</v>
      </c>
      <c r="PD121" s="33" t="n">
        <v>0</v>
      </c>
      <c r="PE121" s="33" t="n">
        <v>0</v>
      </c>
      <c r="PF121" s="33" t="n">
        <v>0</v>
      </c>
      <c r="PG121" s="33" t="n">
        <v>0</v>
      </c>
      <c r="PH121" s="33" t="n">
        <v>0</v>
      </c>
      <c r="PI121" s="33" t="n">
        <v>0</v>
      </c>
      <c r="PJ121" s="33" t="n">
        <v>0</v>
      </c>
      <c r="PK121" s="33" t="n">
        <v>0</v>
      </c>
      <c r="PL121" s="33" t="n">
        <v>0</v>
      </c>
      <c r="PM121" s="33" t="n">
        <v>0</v>
      </c>
      <c r="PN121" s="33" t="n">
        <v>0</v>
      </c>
      <c r="PO121" s="33" t="n">
        <v>0</v>
      </c>
      <c r="PP121" s="33" t="n">
        <v>0</v>
      </c>
      <c r="PQ121" s="33" t="n">
        <v>0</v>
      </c>
      <c r="PR121" s="33" t="n">
        <v>0</v>
      </c>
      <c r="PS121" s="33" t="n">
        <v>0</v>
      </c>
      <c r="PT121" s="33" t="n">
        <v>0</v>
      </c>
      <c r="PU121" s="33" t="n">
        <v>0</v>
      </c>
      <c r="PV121" s="33" t="n">
        <v>0</v>
      </c>
      <c r="PW121" s="33" t="n">
        <v>0</v>
      </c>
      <c r="PX121" s="33" t="n">
        <v>0</v>
      </c>
      <c r="PY121" s="33" t="n">
        <v>0</v>
      </c>
      <c r="PZ121" s="33" t="n">
        <v>0</v>
      </c>
      <c r="QA121" s="33" t="n">
        <v>0</v>
      </c>
      <c r="QB121" s="33" t="n">
        <v>0</v>
      </c>
      <c r="QC121" s="33" t="n">
        <v>0</v>
      </c>
      <c r="QD121" s="33" t="n">
        <v>0</v>
      </c>
      <c r="QE121" s="33" t="n">
        <v>0</v>
      </c>
      <c r="QF121" s="33" t="n">
        <v>0</v>
      </c>
      <c r="QG121" s="33" t="n">
        <v>0</v>
      </c>
      <c r="QH121" s="33" t="n">
        <v>0</v>
      </c>
      <c r="QI121" s="33" t="n">
        <v>0</v>
      </c>
      <c r="QJ121" s="33" t="n">
        <v>0</v>
      </c>
      <c r="QK121" s="33" t="n">
        <v>0</v>
      </c>
      <c r="QL121" s="33" t="n">
        <v>0</v>
      </c>
      <c r="QM121" s="33" t="n">
        <v>0</v>
      </c>
      <c r="QN121" s="33" t="n">
        <v>7502.15784726679</v>
      </c>
      <c r="QO121" s="33" t="n">
        <v>7502.15784726679</v>
      </c>
      <c r="QP121" s="33" t="n">
        <v>7502.15784726679</v>
      </c>
      <c r="QQ121" s="33" t="n">
        <v>7502.15784726679</v>
      </c>
      <c r="QR121" s="33" t="n">
        <v>7502.15784726679</v>
      </c>
      <c r="QS121" s="33" t="n">
        <v>7502.15784726679</v>
      </c>
      <c r="QT121" s="33" t="n">
        <v>7502.15784726679</v>
      </c>
      <c r="QU121" s="33" t="n">
        <v>7502.15784726679</v>
      </c>
      <c r="QV121" s="33" t="n">
        <v>7502.15784726679</v>
      </c>
      <c r="QW121" s="33" t="n">
        <v>7502.15784726679</v>
      </c>
      <c r="QX121" s="33" t="n">
        <v>7502.15784726679</v>
      </c>
      <c r="QY121" s="33" t="n">
        <v>7502.15784726679</v>
      </c>
      <c r="QZ121" s="33" t="n">
        <v>15127.48698061498</v>
      </c>
      <c r="RA121" s="33" t="n">
        <v>15127.48698061498</v>
      </c>
      <c r="RB121" s="33" t="n">
        <v>15127.48698061498</v>
      </c>
      <c r="RC121" s="33" t="n">
        <v>15127.48698061498</v>
      </c>
      <c r="RD121" s="33" t="n">
        <v>15127.48698061498</v>
      </c>
      <c r="RE121" s="33" t="n">
        <v>15127.48698061498</v>
      </c>
      <c r="RF121" s="33" t="n">
        <v>15127.48698061498</v>
      </c>
      <c r="RG121" s="33" t="n">
        <v>15127.48698061498</v>
      </c>
      <c r="RH121" s="33" t="n">
        <v>15127.48698061498</v>
      </c>
      <c r="RI121" s="33" t="n">
        <v>15127.48698061498</v>
      </c>
      <c r="RJ121" s="33" t="n">
        <v>15127.48698061498</v>
      </c>
      <c r="RK121" s="33" t="n">
        <v>15127.48698061498</v>
      </c>
      <c r="RL121" s="33" t="n">
        <v>22881.21277086661</v>
      </c>
      <c r="RM121" s="33" t="n">
        <v>22881.21277086661</v>
      </c>
      <c r="RN121" s="33" t="n">
        <v>22881.21277086661</v>
      </c>
      <c r="RO121" s="33" t="n">
        <v>22881.21277086661</v>
      </c>
      <c r="RP121" s="33" t="n">
        <v>22881.21277086661</v>
      </c>
      <c r="RQ121" s="33" t="n">
        <v>22881.21277086661</v>
      </c>
      <c r="RR121" s="33" t="n">
        <v>22881.21277086661</v>
      </c>
      <c r="RS121" s="33" t="n">
        <v>22881.21277086661</v>
      </c>
      <c r="RT121" s="33" t="n">
        <v>22881.21277086661</v>
      </c>
      <c r="RU121" s="33" t="n">
        <v>22881.21277086661</v>
      </c>
      <c r="RV121" s="33" t="n">
        <v>22881.21277086661</v>
      </c>
      <c r="RW121" s="33" t="n">
        <v>22881.21277086661</v>
      </c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9CCFF"/>
    <outlinePr summaryBelow="1" summaryRight="1"/>
    <pageSetUpPr/>
  </sheetPr>
  <dimension ref="A1:RW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FS_Monthly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5" t="inlineStr">
        <is>
          <t>Gross Revenue</t>
        </is>
      </c>
      <c r="F6" s="26" t="n"/>
      <c r="G6" s="26" t="inlineStr">
        <is>
          <t>kEUR</t>
        </is>
      </c>
      <c r="H6" s="26" t="n"/>
      <c r="I6" s="26" t="n"/>
      <c r="J6" s="27" t="n">
        <v>4980700.495299425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6648.864239690722</v>
      </c>
      <c r="CR6" s="28" t="n">
        <v>21233.78010718002</v>
      </c>
      <c r="CS6" s="28" t="n">
        <v>21245.55007000274</v>
      </c>
      <c r="CT6" s="28" t="n">
        <v>21257.34083151406</v>
      </c>
      <c r="CU6" s="28" t="n">
        <v>21269.15242846733</v>
      </c>
      <c r="CV6" s="28" t="n">
        <v>21280.98489768083</v>
      </c>
      <c r="CW6" s="28" t="n">
        <v>21292.8382760379</v>
      </c>
      <c r="CX6" s="28" t="n">
        <v>21304.71260048708</v>
      </c>
      <c r="CY6" s="28" t="n">
        <v>21316.60790804217</v>
      </c>
      <c r="CZ6" s="28" t="n">
        <v>21328.52423578241</v>
      </c>
      <c r="DA6" s="28" t="n">
        <v>21340.46162085254</v>
      </c>
      <c r="DB6" s="28" t="n">
        <v>21352.42010046295</v>
      </c>
      <c r="DC6" s="28" t="n">
        <v>21364.39971188976</v>
      </c>
      <c r="DD6" s="28" t="n">
        <v>12646.90049247501</v>
      </c>
      <c r="DE6" s="28" t="n">
        <v>12658.92247962667</v>
      </c>
      <c r="DF6" s="28" t="n">
        <v>12670.96571081886</v>
      </c>
      <c r="DG6" s="28" t="n">
        <v>12683.03022359189</v>
      </c>
      <c r="DH6" s="28" t="n">
        <v>12695.11605555242</v>
      </c>
      <c r="DI6" s="28" t="n">
        <v>12707.22324437356</v>
      </c>
      <c r="DJ6" s="28" t="n">
        <v>12719.35182779501</v>
      </c>
      <c r="DK6" s="28" t="n">
        <v>12731.50184362313</v>
      </c>
      <c r="DL6" s="28" t="n">
        <v>12743.6733297311</v>
      </c>
      <c r="DM6" s="28" t="n">
        <v>12755.86632405905</v>
      </c>
      <c r="DN6" s="28" t="n">
        <v>12768.08086461411</v>
      </c>
      <c r="DO6" s="28" t="n">
        <v>12780.31698947061</v>
      </c>
      <c r="DP6" s="28" t="n">
        <v>13041.15807010346</v>
      </c>
      <c r="DQ6" s="28" t="n">
        <v>13053.43747805501</v>
      </c>
      <c r="DR6" s="28" t="n">
        <v>13065.7385849351</v>
      </c>
      <c r="DS6" s="28" t="n">
        <v>13078.06142908788</v>
      </c>
      <c r="DT6" s="28" t="n">
        <v>13090.40604892527</v>
      </c>
      <c r="DU6" s="28" t="n">
        <v>13102.77248292704</v>
      </c>
      <c r="DV6" s="28" t="n">
        <v>13115.160769641</v>
      </c>
      <c r="DW6" s="28" t="n">
        <v>13127.57094768304</v>
      </c>
      <c r="DX6" s="28" t="n">
        <v>13140.0030557373</v>
      </c>
      <c r="DY6" s="28" t="n">
        <v>13152.45713255629</v>
      </c>
      <c r="DZ6" s="28" t="n">
        <v>13164.93321696099</v>
      </c>
      <c r="EA6" s="28" t="n">
        <v>13177.43134784098</v>
      </c>
      <c r="EB6" s="28" t="n">
        <v>14645.45156415455</v>
      </c>
      <c r="EC6" s="28" t="n">
        <v>14657.99390492886</v>
      </c>
      <c r="ED6" s="28" t="n">
        <v>14670.55840926002</v>
      </c>
      <c r="EE6" s="28" t="n">
        <v>14683.14511631323</v>
      </c>
      <c r="EF6" s="28" t="n">
        <v>14695.75406532288</v>
      </c>
      <c r="EG6" s="28" t="n">
        <v>14708.38529559272</v>
      </c>
      <c r="EH6" s="28" t="n">
        <v>14721.03884649594</v>
      </c>
      <c r="EI6" s="28" t="n">
        <v>14733.7147574753</v>
      </c>
      <c r="EJ6" s="28" t="n">
        <v>14746.41306804328</v>
      </c>
      <c r="EK6" s="28" t="n">
        <v>14759.13381778216</v>
      </c>
      <c r="EL6" s="28" t="n">
        <v>14771.87704634417</v>
      </c>
      <c r="EM6" s="28" t="n">
        <v>14784.64279345162</v>
      </c>
      <c r="EN6" s="28" t="n">
        <v>12689.01443223035</v>
      </c>
      <c r="EO6" s="28" t="n">
        <v>12701.82533587649</v>
      </c>
      <c r="EP6" s="28" t="n">
        <v>12714.65887765664</v>
      </c>
      <c r="EQ6" s="28" t="n">
        <v>12727.51509757461</v>
      </c>
      <c r="ER6" s="28" t="n">
        <v>12740.39403570494</v>
      </c>
      <c r="ES6" s="28" t="n">
        <v>12753.29573219293</v>
      </c>
      <c r="ET6" s="28" t="n">
        <v>12766.22022725486</v>
      </c>
      <c r="EU6" s="28" t="n">
        <v>12779.16756117808</v>
      </c>
      <c r="EV6" s="28" t="n">
        <v>12792.13777432109</v>
      </c>
      <c r="EW6" s="28" t="n">
        <v>12805.13090711375</v>
      </c>
      <c r="EX6" s="28" t="n">
        <v>12818.14700005735</v>
      </c>
      <c r="EY6" s="28" t="n">
        <v>12831.18609372474</v>
      </c>
      <c r="EZ6" s="28" t="n">
        <v>13738.16489542715</v>
      </c>
      <c r="FA6" s="28" t="n">
        <v>13751.25011254761</v>
      </c>
      <c r="FB6" s="28" t="n">
        <v>13764.35845254112</v>
      </c>
      <c r="FC6" s="28" t="n">
        <v>13777.4899562681</v>
      </c>
      <c r="FD6" s="28" t="n">
        <v>13790.64466466114</v>
      </c>
      <c r="FE6" s="28" t="n">
        <v>13803.82261872518</v>
      </c>
      <c r="FF6" s="28" t="n">
        <v>13817.02385953763</v>
      </c>
      <c r="FG6" s="28" t="n">
        <v>13830.24842824847</v>
      </c>
      <c r="FH6" s="28" t="n">
        <v>13843.49636608041</v>
      </c>
      <c r="FI6" s="28" t="n">
        <v>13856.76771432899</v>
      </c>
      <c r="FJ6" s="28" t="n">
        <v>13870.06251436274</v>
      </c>
      <c r="FK6" s="28" t="n">
        <v>13883.38080762329</v>
      </c>
      <c r="FL6" s="28" t="n">
        <v>16133.88930229214</v>
      </c>
      <c r="FM6" s="28" t="n">
        <v>16147.2547066242</v>
      </c>
      <c r="FN6" s="28" t="n">
        <v>16160.64372894783</v>
      </c>
      <c r="FO6" s="28" t="n">
        <v>16174.05641099835</v>
      </c>
      <c r="FP6" s="28" t="n">
        <v>16187.49279458486</v>
      </c>
      <c r="FQ6" s="28" t="n">
        <v>16200.9529215903</v>
      </c>
      <c r="FR6" s="28" t="n">
        <v>16214.43683397164</v>
      </c>
      <c r="FS6" s="28" t="n">
        <v>16227.94457376</v>
      </c>
      <c r="FT6" s="28" t="n">
        <v>16241.47618306077</v>
      </c>
      <c r="FU6" s="28" t="n">
        <v>16255.03170405372</v>
      </c>
      <c r="FV6" s="28" t="n">
        <v>16268.6111789932</v>
      </c>
      <c r="FW6" s="28" t="n">
        <v>16282.21465020819</v>
      </c>
      <c r="FX6" s="28" t="n">
        <v>13544.67549343581</v>
      </c>
      <c r="FY6" s="28" t="n">
        <v>13558.32708448812</v>
      </c>
      <c r="FZ6" s="28" t="n">
        <v>13572.00279925226</v>
      </c>
      <c r="GA6" s="28" t="n">
        <v>13585.70268035719</v>
      </c>
      <c r="GB6" s="28" t="n">
        <v>13599.42677050724</v>
      </c>
      <c r="GC6" s="28" t="n">
        <v>13613.17511248218</v>
      </c>
      <c r="GD6" s="28" t="n">
        <v>13626.94774913739</v>
      </c>
      <c r="GE6" s="28" t="n">
        <v>13640.74472340397</v>
      </c>
      <c r="GF6" s="28" t="n">
        <v>13654.56607828889</v>
      </c>
      <c r="GG6" s="28" t="n">
        <v>13668.41185687511</v>
      </c>
      <c r="GH6" s="28" t="n">
        <v>13682.28210232173</v>
      </c>
      <c r="GI6" s="28" t="n">
        <v>13696.1768578641</v>
      </c>
      <c r="GJ6" s="28" t="n">
        <v>13472.42950014733</v>
      </c>
      <c r="GK6" s="28" t="n">
        <v>13486.37340589306</v>
      </c>
      <c r="GL6" s="28" t="n">
        <v>13500.34195189958</v>
      </c>
      <c r="GM6" s="28" t="n">
        <v>13514.33518170867</v>
      </c>
      <c r="GN6" s="28" t="n">
        <v>13528.35313893906</v>
      </c>
      <c r="GO6" s="28" t="n">
        <v>13542.39586728654</v>
      </c>
      <c r="GP6" s="28" t="n">
        <v>13556.46341052413</v>
      </c>
      <c r="GQ6" s="28" t="n">
        <v>13570.55581250219</v>
      </c>
      <c r="GR6" s="28" t="n">
        <v>13584.67311714858</v>
      </c>
      <c r="GS6" s="28" t="n">
        <v>13598.81536846878</v>
      </c>
      <c r="GT6" s="28" t="n">
        <v>13612.98261054602</v>
      </c>
      <c r="GU6" s="28" t="n">
        <v>13627.17488754145</v>
      </c>
      <c r="GV6" s="28" t="n">
        <v>16586.64224369424</v>
      </c>
      <c r="GW6" s="28" t="n">
        <v>16600.88472332175</v>
      </c>
      <c r="GX6" s="28" t="n">
        <v>16615.15237081963</v>
      </c>
      <c r="GY6" s="28" t="n">
        <v>16629.44523066201</v>
      </c>
      <c r="GZ6" s="28" t="n">
        <v>16643.76334740159</v>
      </c>
      <c r="HA6" s="28" t="n">
        <v>16658.10676566981</v>
      </c>
      <c r="HB6" s="28" t="n">
        <v>16672.47553017698</v>
      </c>
      <c r="HC6" s="28" t="n">
        <v>16686.86968571239</v>
      </c>
      <c r="HD6" s="28" t="n">
        <v>16701.28927714453</v>
      </c>
      <c r="HE6" s="28" t="n">
        <v>16715.73434942112</v>
      </c>
      <c r="HF6" s="28" t="n">
        <v>16730.20494756934</v>
      </c>
      <c r="HG6" s="28" t="n">
        <v>16744.70111669593</v>
      </c>
      <c r="HH6" s="28" t="n">
        <v>14166.47290198734</v>
      </c>
      <c r="HI6" s="28" t="n">
        <v>14181.02034870987</v>
      </c>
      <c r="HJ6" s="28" t="n">
        <v>14195.5935022098</v>
      </c>
      <c r="HK6" s="28" t="n">
        <v>14210.19240791356</v>
      </c>
      <c r="HL6" s="28" t="n">
        <v>14224.81711132783</v>
      </c>
      <c r="HM6" s="28" t="n">
        <v>14239.46765803972</v>
      </c>
      <c r="HN6" s="28" t="n">
        <v>14254.14409371689</v>
      </c>
      <c r="HO6" s="28" t="n">
        <v>14268.84646410771</v>
      </c>
      <c r="HP6" s="28" t="n">
        <v>14283.57481504139</v>
      </c>
      <c r="HQ6" s="28" t="n">
        <v>14298.3291924281</v>
      </c>
      <c r="HR6" s="28" t="n">
        <v>14313.10964225917</v>
      </c>
      <c r="HS6" s="28" t="n">
        <v>14327.91621060718</v>
      </c>
      <c r="HT6" s="28" t="n">
        <v>14311.41561029281</v>
      </c>
      <c r="HU6" s="28" t="n">
        <v>14326.27455421829</v>
      </c>
      <c r="HV6" s="28" t="n">
        <v>14341.15975536754</v>
      </c>
      <c r="HW6" s="28" t="n">
        <v>14356.07126013968</v>
      </c>
      <c r="HX6" s="28" t="n">
        <v>14371.0091150158</v>
      </c>
      <c r="HY6" s="28" t="n">
        <v>14385.97336655916</v>
      </c>
      <c r="HZ6" s="28" t="n">
        <v>14400.96406141527</v>
      </c>
      <c r="IA6" s="28" t="n">
        <v>14415.98124631209</v>
      </c>
      <c r="IB6" s="28" t="n">
        <v>14431.02496806012</v>
      </c>
      <c r="IC6" s="28" t="n">
        <v>14446.09527355263</v>
      </c>
      <c r="ID6" s="28" t="n">
        <v>14461.19220976571</v>
      </c>
      <c r="IE6" s="28" t="n">
        <v>14476.31582375847</v>
      </c>
      <c r="IF6" s="28" t="n">
        <v>16649.04949600654</v>
      </c>
      <c r="IG6" s="28" t="n">
        <v>16664.22660706882</v>
      </c>
      <c r="IH6" s="28" t="n">
        <v>16679.43053758768</v>
      </c>
      <c r="II6" s="28" t="n">
        <v>16694.66133495575</v>
      </c>
      <c r="IJ6" s="28" t="n">
        <v>16709.91904664941</v>
      </c>
      <c r="IK6" s="28" t="n">
        <v>16725.20372022894</v>
      </c>
      <c r="IL6" s="28" t="n">
        <v>16740.51540333866</v>
      </c>
      <c r="IM6" s="28" t="n">
        <v>16755.85414370707</v>
      </c>
      <c r="IN6" s="28" t="n">
        <v>16771.21998914705</v>
      </c>
      <c r="IO6" s="28" t="n">
        <v>16786.61298755591</v>
      </c>
      <c r="IP6" s="28" t="n">
        <v>16802.03318691565</v>
      </c>
      <c r="IQ6" s="28" t="n">
        <v>16817.48063529304</v>
      </c>
      <c r="IR6" s="28" t="n">
        <v>14226.70538083978</v>
      </c>
      <c r="IS6" s="28" t="n">
        <v>14242.20747179268</v>
      </c>
      <c r="IT6" s="28" t="n">
        <v>14257.73695647377</v>
      </c>
      <c r="IU6" s="28" t="n">
        <v>14273.29388329049</v>
      </c>
      <c r="IV6" s="28" t="n">
        <v>14288.87830073579</v>
      </c>
      <c r="IW6" s="28" t="n">
        <v>14304.49025738834</v>
      </c>
      <c r="IX6" s="28" t="n">
        <v>14320.12980191265</v>
      </c>
      <c r="IY6" s="28" t="n">
        <v>14335.7969830592</v>
      </c>
      <c r="IZ6" s="28" t="n">
        <v>14351.49184966465</v>
      </c>
      <c r="JA6" s="28" t="n">
        <v>14367.21445065195</v>
      </c>
      <c r="JB6" s="28" t="n">
        <v>14382.96483503048</v>
      </c>
      <c r="JC6" s="28" t="n">
        <v>14398.74305189625</v>
      </c>
      <c r="JD6" s="28" t="n">
        <v>14822.96581709868</v>
      </c>
      <c r="JE6" s="28" t="n">
        <v>14838.7998465741</v>
      </c>
      <c r="JF6" s="28" t="n">
        <v>14854.66185634593</v>
      </c>
      <c r="JG6" s="28" t="n">
        <v>14870.55189585811</v>
      </c>
      <c r="JH6" s="28" t="n">
        <v>14886.47001464196</v>
      </c>
      <c r="JI6" s="28" t="n">
        <v>14902.41626231634</v>
      </c>
      <c r="JJ6" s="28" t="n">
        <v>14918.39068858777</v>
      </c>
      <c r="JK6" s="28" t="n">
        <v>14934.39334325062</v>
      </c>
      <c r="JL6" s="28" t="n">
        <v>14950.42427618727</v>
      </c>
      <c r="JM6" s="28" t="n">
        <v>14966.4835373682</v>
      </c>
      <c r="JN6" s="28" t="n">
        <v>14982.57117685224</v>
      </c>
      <c r="JO6" s="28" t="n">
        <v>14998.68724478664</v>
      </c>
      <c r="JP6" s="28" t="n">
        <v>17462.24845807397</v>
      </c>
      <c r="JQ6" s="28" t="n">
        <v>17478.42153370554</v>
      </c>
      <c r="JR6" s="28" t="n">
        <v>17494.62318876161</v>
      </c>
      <c r="JS6" s="28" t="n">
        <v>17510.85347374484</v>
      </c>
      <c r="JT6" s="28" t="n">
        <v>17527.11243924715</v>
      </c>
      <c r="JU6" s="28" t="n">
        <v>17543.40013594985</v>
      </c>
      <c r="JV6" s="28" t="n">
        <v>17559.71661462382</v>
      </c>
      <c r="JW6" s="28" t="n">
        <v>17576.06192612965</v>
      </c>
      <c r="JX6" s="28" t="n">
        <v>17592.43612141779</v>
      </c>
      <c r="JY6" s="28" t="n">
        <v>17608.83925152876</v>
      </c>
      <c r="JZ6" s="28" t="n">
        <v>17625.27136759325</v>
      </c>
      <c r="KA6" s="28" t="n">
        <v>17641.7325208323</v>
      </c>
      <c r="KB6" s="28" t="n">
        <v>14491.88942922414</v>
      </c>
      <c r="KC6" s="28" t="n">
        <v>14508.40881083768</v>
      </c>
      <c r="KD6" s="28" t="n">
        <v>14524.95738383263</v>
      </c>
      <c r="KE6" s="28" t="n">
        <v>14541.53519979307</v>
      </c>
      <c r="KF6" s="28" t="n">
        <v>14558.14231039419</v>
      </c>
      <c r="KG6" s="28" t="n">
        <v>14574.77876740254</v>
      </c>
      <c r="KH6" s="28" t="n">
        <v>14591.44462267612</v>
      </c>
      <c r="KI6" s="28" t="n">
        <v>14608.13992816456</v>
      </c>
      <c r="KJ6" s="28" t="n">
        <v>14624.86473590932</v>
      </c>
      <c r="KK6" s="28" t="n">
        <v>14641.61909804379</v>
      </c>
      <c r="KL6" s="28" t="n">
        <v>14658.40306679351</v>
      </c>
      <c r="KM6" s="28" t="n">
        <v>14675.21669447629</v>
      </c>
      <c r="KN6" s="28" t="n">
        <v>14610.64336683574</v>
      </c>
      <c r="KO6" s="28" t="n">
        <v>14627.51646970807</v>
      </c>
      <c r="KP6" s="28" t="n">
        <v>14644.41938902228</v>
      </c>
      <c r="KQ6" s="28" t="n">
        <v>14661.35217746697</v>
      </c>
      <c r="KR6" s="28" t="n">
        <v>14678.31488782385</v>
      </c>
      <c r="KS6" s="28" t="n">
        <v>14695.30757296788</v>
      </c>
      <c r="KT6" s="28" t="n">
        <v>14712.33028586751</v>
      </c>
      <c r="KU6" s="28" t="n">
        <v>14729.38307958472</v>
      </c>
      <c r="KV6" s="28" t="n">
        <v>14746.46600727531</v>
      </c>
      <c r="KW6" s="28" t="n">
        <v>14763.57912218898</v>
      </c>
      <c r="KX6" s="28" t="n">
        <v>14780.72247766956</v>
      </c>
      <c r="KY6" s="28" t="n">
        <v>14797.8961271551</v>
      </c>
      <c r="KZ6" s="28" t="n">
        <v>17905.35012417811</v>
      </c>
      <c r="LA6" s="28" t="n">
        <v>17922.58452236569</v>
      </c>
      <c r="LB6" s="28" t="n">
        <v>17939.84937543972</v>
      </c>
      <c r="LC6" s="28" t="n">
        <v>17957.14473721698</v>
      </c>
      <c r="LD6" s="28" t="n">
        <v>17974.47066160937</v>
      </c>
      <c r="LE6" s="28" t="n">
        <v>17991.82720262406</v>
      </c>
      <c r="LF6" s="28" t="n">
        <v>18009.21441436364</v>
      </c>
      <c r="LG6" s="28" t="n">
        <v>18026.63235102633</v>
      </c>
      <c r="LH6" s="28" t="n">
        <v>18044.08106690609</v>
      </c>
      <c r="LI6" s="28" t="n">
        <v>18061.56061639285</v>
      </c>
      <c r="LJ6" s="28" t="n">
        <v>18079.07105397266</v>
      </c>
      <c r="LK6" s="28" t="n">
        <v>18096.61243422781</v>
      </c>
      <c r="LL6" s="28" t="n">
        <v>14731.76814517041</v>
      </c>
      <c r="LM6" s="28" t="n">
        <v>14749.37157490918</v>
      </c>
      <c r="LN6" s="28" t="n">
        <v>14767.00611164966</v>
      </c>
      <c r="LO6" s="28" t="n">
        <v>14784.67181036097</v>
      </c>
      <c r="LP6" s="28" t="n">
        <v>14802.36872610942</v>
      </c>
      <c r="LQ6" s="28" t="n">
        <v>14820.09691405858</v>
      </c>
      <c r="LR6" s="28" t="n">
        <v>14837.85642946954</v>
      </c>
      <c r="LS6" s="28" t="n">
        <v>14855.64732770101</v>
      </c>
      <c r="LT6" s="28" t="n">
        <v>14873.46966420955</v>
      </c>
      <c r="LU6" s="28" t="n">
        <v>14891.3234945497</v>
      </c>
      <c r="LV6" s="28" t="n">
        <v>14909.20887437418</v>
      </c>
      <c r="LW6" s="28" t="n">
        <v>10157.12585943404</v>
      </c>
      <c r="LX6" s="28" t="n">
        <v>10175.07450557887</v>
      </c>
      <c r="LY6" s="28" t="n">
        <v>10193.05486875693</v>
      </c>
      <c r="LZ6" s="28" t="n">
        <v>10211.06700501535</v>
      </c>
      <c r="MA6" s="28" t="n">
        <v>10229.11097050032</v>
      </c>
      <c r="MB6" s="28" t="n">
        <v>10247.18682145723</v>
      </c>
      <c r="MC6" s="28" t="n">
        <v>10265.29461423086</v>
      </c>
      <c r="MD6" s="28" t="n">
        <v>10283.43440526555</v>
      </c>
      <c r="ME6" s="28" t="n">
        <v>10301.60625110541</v>
      </c>
      <c r="MF6" s="28" t="n">
        <v>10319.81020839444</v>
      </c>
      <c r="MG6" s="28" t="n">
        <v>10338.04633387675</v>
      </c>
      <c r="MH6" s="28" t="n">
        <v>10356.31468439671</v>
      </c>
      <c r="MI6" s="28" t="n">
        <v>10374.61531689917</v>
      </c>
      <c r="MJ6" s="28" t="n">
        <v>10392.94828842957</v>
      </c>
      <c r="MK6" s="28" t="n">
        <v>10411.31365613418</v>
      </c>
      <c r="ML6" s="28" t="n">
        <v>10429.71147726025</v>
      </c>
      <c r="MM6" s="28" t="n">
        <v>10448.14180915616</v>
      </c>
      <c r="MN6" s="28" t="n">
        <v>10466.60470927169</v>
      </c>
      <c r="MO6" s="28" t="n">
        <v>10485.10023515808</v>
      </c>
      <c r="MP6" s="28" t="n">
        <v>10503.6284444683</v>
      </c>
      <c r="MQ6" s="28" t="n">
        <v>10522.1893949572</v>
      </c>
      <c r="MR6" s="28" t="n">
        <v>10540.78314448168</v>
      </c>
      <c r="MS6" s="28" t="n">
        <v>10559.40975100088</v>
      </c>
      <c r="MT6" s="28" t="n">
        <v>10578.06927257636</v>
      </c>
      <c r="MU6" s="28" t="n">
        <v>10596.76176737228</v>
      </c>
      <c r="MV6" s="28" t="n">
        <v>10615.48729365557</v>
      </c>
      <c r="MW6" s="28" t="n">
        <v>10634.24590979616</v>
      </c>
      <c r="MX6" s="28" t="n">
        <v>10653.03767426708</v>
      </c>
      <c r="MY6" s="28" t="n">
        <v>10671.86264564472</v>
      </c>
      <c r="MZ6" s="28" t="n">
        <v>10690.72088260896</v>
      </c>
      <c r="NA6" s="28" t="n">
        <v>10709.6124439434</v>
      </c>
      <c r="NB6" s="28" t="n">
        <v>10728.53738853548</v>
      </c>
      <c r="NC6" s="28" t="n">
        <v>10747.49577537672</v>
      </c>
      <c r="ND6" s="28" t="n">
        <v>10766.4876635629</v>
      </c>
      <c r="NE6" s="28" t="n">
        <v>10785.51311229419</v>
      </c>
      <c r="NF6" s="28" t="n">
        <v>10804.5721808754</v>
      </c>
      <c r="NG6" s="28" t="n">
        <v>10823.66492871613</v>
      </c>
      <c r="NH6" s="28" t="n">
        <v>10842.79141533097</v>
      </c>
      <c r="NI6" s="28" t="n">
        <v>10861.95170033967</v>
      </c>
      <c r="NJ6" s="28" t="n">
        <v>10881.14584346732</v>
      </c>
      <c r="NK6" s="28" t="n">
        <v>10900.37390454459</v>
      </c>
      <c r="NL6" s="28" t="n">
        <v>10919.63594350783</v>
      </c>
      <c r="NM6" s="28" t="n">
        <v>10938.93202039934</v>
      </c>
      <c r="NN6" s="28" t="n">
        <v>10958.2621953675</v>
      </c>
      <c r="NO6" s="28" t="n">
        <v>10977.62652866698</v>
      </c>
      <c r="NP6" s="28" t="n">
        <v>10997.02508065894</v>
      </c>
      <c r="NQ6" s="28" t="n">
        <v>11016.45791181119</v>
      </c>
      <c r="NR6" s="28" t="n">
        <v>11035.92508269839</v>
      </c>
      <c r="NS6" s="28" t="n">
        <v>11055.42665400227</v>
      </c>
      <c r="NT6" s="28" t="n">
        <v>11074.96268651175</v>
      </c>
      <c r="NU6" s="28" t="n">
        <v>11094.53324112319</v>
      </c>
      <c r="NV6" s="28" t="n">
        <v>11114.13837884057</v>
      </c>
      <c r="NW6" s="28" t="n">
        <v>11133.77816077565</v>
      </c>
      <c r="NX6" s="28" t="n">
        <v>11153.45264814819</v>
      </c>
      <c r="NY6" s="28" t="n">
        <v>11173.16190228614</v>
      </c>
      <c r="NZ6" s="28" t="n">
        <v>11192.9059846258</v>
      </c>
      <c r="OA6" s="28" t="n">
        <v>11212.68495671206</v>
      </c>
      <c r="OB6" s="28" t="n">
        <v>11232.49888019855</v>
      </c>
      <c r="OC6" s="28" t="n">
        <v>11252.34781684784</v>
      </c>
      <c r="OD6" s="28" t="n">
        <v>11272.23182853167</v>
      </c>
      <c r="OE6" s="28" t="n">
        <v>11292.15097723109</v>
      </c>
      <c r="OF6" s="28" t="n">
        <v>11312.10532503668</v>
      </c>
      <c r="OG6" s="28" t="n">
        <v>11332.09493414874</v>
      </c>
      <c r="OH6" s="28" t="n">
        <v>11352.11986687749</v>
      </c>
      <c r="OI6" s="28" t="n">
        <v>11372.18018564326</v>
      </c>
      <c r="OJ6" s="28" t="n">
        <v>11392.27595297666</v>
      </c>
      <c r="OK6" s="28" t="n">
        <v>11412.40723151884</v>
      </c>
      <c r="OL6" s="28" t="n">
        <v>11432.5740840216</v>
      </c>
      <c r="OM6" s="28" t="n">
        <v>11452.77657334765</v>
      </c>
      <c r="ON6" s="28" t="n">
        <v>11473.0147624708</v>
      </c>
      <c r="OO6" s="28" t="n">
        <v>11493.2887144761</v>
      </c>
      <c r="OP6" s="28" t="n">
        <v>11513.59849256011</v>
      </c>
      <c r="OQ6" s="28" t="n">
        <v>11533.94416003105</v>
      </c>
      <c r="OR6" s="28" t="n">
        <v>11554.32578030903</v>
      </c>
      <c r="OS6" s="28" t="n">
        <v>11574.7434169262</v>
      </c>
      <c r="OT6" s="28" t="n">
        <v>11595.19713352701</v>
      </c>
      <c r="OU6" s="28" t="n">
        <v>11615.68699386834</v>
      </c>
      <c r="OV6" s="28" t="n">
        <v>11636.21306181978</v>
      </c>
      <c r="OW6" s="28" t="n">
        <v>11656.77540136374</v>
      </c>
      <c r="OX6" s="28" t="n">
        <v>11677.37407659571</v>
      </c>
      <c r="OY6" s="28" t="n">
        <v>11698.00915172446</v>
      </c>
      <c r="OZ6" s="28" t="n">
        <v>11718.6806910722</v>
      </c>
      <c r="PA6" s="28" t="n">
        <v>11739.38875907482</v>
      </c>
      <c r="PB6" s="28" t="n">
        <v>11760.13342028205</v>
      </c>
      <c r="PC6" s="28" t="n">
        <v>11780.91473935772</v>
      </c>
      <c r="PD6" s="28" t="n">
        <v>11801.73278107989</v>
      </c>
      <c r="PE6" s="28" t="n">
        <v>11822.58761034113</v>
      </c>
      <c r="PF6" s="28" t="n">
        <v>11843.47929214865</v>
      </c>
      <c r="PG6" s="28" t="n">
        <v>11864.40789162454</v>
      </c>
      <c r="PH6" s="28" t="n">
        <v>11885.37347400599</v>
      </c>
      <c r="PI6" s="28" t="n">
        <v>11906.37610464544</v>
      </c>
      <c r="PJ6" s="28" t="n">
        <v>11927.41584901081</v>
      </c>
      <c r="PK6" s="28" t="n">
        <v>11948.49277268576</v>
      </c>
      <c r="PL6" s="28" t="n">
        <v>11969.60694136979</v>
      </c>
      <c r="PM6" s="28" t="n">
        <v>11990.7584208785</v>
      </c>
      <c r="PN6" s="28" t="n">
        <v>12011.94727714384</v>
      </c>
      <c r="PO6" s="28" t="n">
        <v>12033.17357621421</v>
      </c>
      <c r="PP6" s="28" t="n">
        <v>12054.43738425476</v>
      </c>
      <c r="PQ6" s="28" t="n">
        <v>12075.73876754756</v>
      </c>
      <c r="PR6" s="28" t="n">
        <v>12097.07779249178</v>
      </c>
      <c r="PS6" s="28" t="n">
        <v>12118.45452560396</v>
      </c>
      <c r="PT6" s="28" t="n">
        <v>12139.86903351814</v>
      </c>
      <c r="PU6" s="28" t="n">
        <v>12161.32138298616</v>
      </c>
      <c r="PV6" s="28" t="n">
        <v>12182.81164087776</v>
      </c>
      <c r="PW6" s="28" t="n">
        <v>12204.3398741809</v>
      </c>
      <c r="PX6" s="28" t="n">
        <v>12225.90615000187</v>
      </c>
      <c r="PY6" s="28" t="n">
        <v>12247.51053556557</v>
      </c>
      <c r="PZ6" s="28" t="n">
        <v>12269.15309821568</v>
      </c>
      <c r="QA6" s="28" t="n">
        <v>12290.8339054149</v>
      </c>
      <c r="QB6" s="28" t="n">
        <v>12312.55302474512</v>
      </c>
      <c r="QC6" s="28" t="n">
        <v>12334.31052390767</v>
      </c>
      <c r="QD6" s="28" t="n">
        <v>12356.10647072351</v>
      </c>
      <c r="QE6" s="28" t="n">
        <v>12377.94093313345</v>
      </c>
      <c r="QF6" s="28" t="n">
        <v>12399.81397919835</v>
      </c>
      <c r="QG6" s="28" t="n">
        <v>12421.72567709935</v>
      </c>
      <c r="QH6" s="28" t="n">
        <v>12443.67609513805</v>
      </c>
      <c r="QI6" s="28" t="n">
        <v>12465.66530173679</v>
      </c>
      <c r="QJ6" s="28" t="n">
        <v>12487.69336543878</v>
      </c>
      <c r="QK6" s="28" t="n">
        <v>12509.76035490836</v>
      </c>
      <c r="QL6" s="28" t="n">
        <v>12531.86633893122</v>
      </c>
      <c r="QM6" s="28" t="n">
        <v>0</v>
      </c>
      <c r="QN6" s="28" t="n">
        <v>0</v>
      </c>
      <c r="QO6" s="28" t="n">
        <v>0</v>
      </c>
      <c r="QP6" s="28" t="n">
        <v>0</v>
      </c>
      <c r="QQ6" s="28" t="n">
        <v>0</v>
      </c>
      <c r="QR6" s="28" t="n">
        <v>0</v>
      </c>
      <c r="QS6" s="28" t="n">
        <v>0</v>
      </c>
      <c r="QT6" s="28" t="n">
        <v>0</v>
      </c>
      <c r="QU6" s="28" t="n">
        <v>0</v>
      </c>
      <c r="QV6" s="28" t="n">
        <v>0</v>
      </c>
      <c r="QW6" s="28" t="n">
        <v>0</v>
      </c>
      <c r="QX6" s="28" t="n">
        <v>0</v>
      </c>
      <c r="QY6" s="28" t="n">
        <v>0</v>
      </c>
      <c r="QZ6" s="28" t="n">
        <v>0</v>
      </c>
      <c r="RA6" s="28" t="n">
        <v>0</v>
      </c>
      <c r="RB6" s="28" t="n">
        <v>0</v>
      </c>
      <c r="RC6" s="28" t="n">
        <v>0</v>
      </c>
      <c r="RD6" s="28" t="n">
        <v>0</v>
      </c>
      <c r="RE6" s="28" t="n">
        <v>0</v>
      </c>
      <c r="RF6" s="28" t="n">
        <v>0</v>
      </c>
      <c r="RG6" s="28" t="n">
        <v>0</v>
      </c>
      <c r="RH6" s="28" t="n">
        <v>0</v>
      </c>
      <c r="RI6" s="28" t="n">
        <v>0</v>
      </c>
      <c r="RJ6" s="28" t="n">
        <v>0</v>
      </c>
      <c r="RK6" s="28" t="n">
        <v>0</v>
      </c>
      <c r="RL6" s="28" t="n">
        <v>0</v>
      </c>
      <c r="RM6" s="28" t="n">
        <v>0</v>
      </c>
      <c r="RN6" s="28" t="n">
        <v>0</v>
      </c>
      <c r="RO6" s="28" t="n">
        <v>0</v>
      </c>
      <c r="RP6" s="28" t="n">
        <v>0</v>
      </c>
      <c r="RQ6" s="28" t="n">
        <v>0</v>
      </c>
      <c r="RR6" s="28" t="n">
        <v>0</v>
      </c>
      <c r="RS6" s="28" t="n">
        <v>0</v>
      </c>
      <c r="RT6" s="28" t="n">
        <v>0</v>
      </c>
      <c r="RU6" s="28" t="n">
        <v>0</v>
      </c>
      <c r="RV6" s="28" t="n">
        <v>0</v>
      </c>
      <c r="RW6" s="28" t="n">
        <v>0</v>
      </c>
    </row>
    <row r="7" hidden="1" outlineLevel="1" ht="13.05" customHeight="1">
      <c r="E7" s="25" t="inlineStr">
        <is>
          <t>Total OPEX</t>
        </is>
      </c>
      <c r="F7" s="26" t="n"/>
      <c r="G7" s="26" t="inlineStr">
        <is>
          <t>kEUR</t>
        </is>
      </c>
      <c r="H7" s="26" t="n"/>
      <c r="I7" s="26" t="n"/>
      <c r="J7" s="27" t="n">
        <v>2099444.430994115</v>
      </c>
      <c r="K7" s="26" t="n"/>
      <c r="L7" s="28" t="n">
        <v>3050.416666666667</v>
      </c>
      <c r="M7" s="28" t="n">
        <v>3050.416666666667</v>
      </c>
      <c r="N7" s="28" t="n">
        <v>3050.416666666667</v>
      </c>
      <c r="O7" s="28" t="n">
        <v>3050.416666666667</v>
      </c>
      <c r="P7" s="28" t="n">
        <v>3050.416666666667</v>
      </c>
      <c r="Q7" s="28" t="n">
        <v>3050.416666666667</v>
      </c>
      <c r="R7" s="28" t="n">
        <v>3050.416666666667</v>
      </c>
      <c r="S7" s="28" t="n">
        <v>3050.416666666667</v>
      </c>
      <c r="T7" s="28" t="n">
        <v>3050.416666666667</v>
      </c>
      <c r="U7" s="28" t="n">
        <v>3050.416666666667</v>
      </c>
      <c r="V7" s="28" t="n">
        <v>3050.416666666667</v>
      </c>
      <c r="W7" s="28" t="n">
        <v>3050.416666666667</v>
      </c>
      <c r="X7" s="28" t="n">
        <v>3050.416666666667</v>
      </c>
      <c r="Y7" s="28" t="n">
        <v>3050.416666666667</v>
      </c>
      <c r="Z7" s="28" t="n">
        <v>3050.416666666667</v>
      </c>
      <c r="AA7" s="28" t="n">
        <v>3050.416666666667</v>
      </c>
      <c r="AB7" s="28" t="n">
        <v>3050.416666666667</v>
      </c>
      <c r="AC7" s="28" t="n">
        <v>3050.416666666667</v>
      </c>
      <c r="AD7" s="28" t="n">
        <v>3050.416666666667</v>
      </c>
      <c r="AE7" s="28" t="n">
        <v>3050.416666666667</v>
      </c>
      <c r="AF7" s="28" t="n">
        <v>3050.416666666667</v>
      </c>
      <c r="AG7" s="28" t="n">
        <v>3050.416666666667</v>
      </c>
      <c r="AH7" s="28" t="n">
        <v>3050.416666666667</v>
      </c>
      <c r="AI7" s="28" t="n">
        <v>3050.416666666667</v>
      </c>
      <c r="AJ7" s="28" t="n">
        <v>3050.416666666667</v>
      </c>
      <c r="AK7" s="28" t="n">
        <v>3050.416666666667</v>
      </c>
      <c r="AL7" s="28" t="n">
        <v>3050.416666666667</v>
      </c>
      <c r="AM7" s="28" t="n">
        <v>3050.416666666667</v>
      </c>
      <c r="AN7" s="28" t="n">
        <v>3050.416666666667</v>
      </c>
      <c r="AO7" s="28" t="n">
        <v>3050.416666666667</v>
      </c>
      <c r="AP7" s="28" t="n">
        <v>3050.416666666667</v>
      </c>
      <c r="AQ7" s="28" t="n">
        <v>3050.416666666667</v>
      </c>
      <c r="AR7" s="28" t="n">
        <v>3050.416666666667</v>
      </c>
      <c r="AS7" s="28" t="n">
        <v>3050.416666666667</v>
      </c>
      <c r="AT7" s="28" t="n">
        <v>3050.416666666667</v>
      </c>
      <c r="AU7" s="28" t="n">
        <v>3050.416666666667</v>
      </c>
      <c r="AV7" s="28" t="n">
        <v>3050.416666666667</v>
      </c>
      <c r="AW7" s="28" t="n">
        <v>3050.416666666667</v>
      </c>
      <c r="AX7" s="28" t="n">
        <v>3050.416666666667</v>
      </c>
      <c r="AY7" s="28" t="n">
        <v>3050.416666666667</v>
      </c>
      <c r="AZ7" s="28" t="n">
        <v>3050.416666666667</v>
      </c>
      <c r="BA7" s="28" t="n">
        <v>3050.416666666667</v>
      </c>
      <c r="BB7" s="28" t="n">
        <v>3050.416666666667</v>
      </c>
      <c r="BC7" s="28" t="n">
        <v>3050.416666666667</v>
      </c>
      <c r="BD7" s="28" t="n">
        <v>3050.416666666667</v>
      </c>
      <c r="BE7" s="28" t="n">
        <v>3050.416666666667</v>
      </c>
      <c r="BF7" s="28" t="n">
        <v>3050.416666666667</v>
      </c>
      <c r="BG7" s="28" t="n">
        <v>3050.416666666667</v>
      </c>
      <c r="BH7" s="28" t="n">
        <v>3050.416666666667</v>
      </c>
      <c r="BI7" s="28" t="n">
        <v>3050.416666666667</v>
      </c>
      <c r="BJ7" s="28" t="n">
        <v>3050.416666666667</v>
      </c>
      <c r="BK7" s="28" t="n">
        <v>3050.416666666667</v>
      </c>
      <c r="BL7" s="28" t="n">
        <v>3050.416666666667</v>
      </c>
      <c r="BM7" s="28" t="n">
        <v>3050.416666666667</v>
      </c>
      <c r="BN7" s="28" t="n">
        <v>3050.416666666667</v>
      </c>
      <c r="BO7" s="28" t="n">
        <v>3050.416666666667</v>
      </c>
      <c r="BP7" s="28" t="n">
        <v>3050.416666666667</v>
      </c>
      <c r="BQ7" s="28" t="n">
        <v>3050.416666666667</v>
      </c>
      <c r="BR7" s="28" t="n">
        <v>3050.416666666667</v>
      </c>
      <c r="BS7" s="28" t="n">
        <v>3050.416666666667</v>
      </c>
      <c r="BT7" s="28" t="n">
        <v>3050.416666666667</v>
      </c>
      <c r="BU7" s="28" t="n">
        <v>3050.416666666667</v>
      </c>
      <c r="BV7" s="28" t="n">
        <v>3050.416666666667</v>
      </c>
      <c r="BW7" s="28" t="n">
        <v>3050.416666666667</v>
      </c>
      <c r="BX7" s="28" t="n">
        <v>3050.416666666667</v>
      </c>
      <c r="BY7" s="28" t="n">
        <v>3050.416666666667</v>
      </c>
      <c r="BZ7" s="28" t="n">
        <v>3050.416666666667</v>
      </c>
      <c r="CA7" s="28" t="n">
        <v>3050.416666666667</v>
      </c>
      <c r="CB7" s="28" t="n">
        <v>3050.416666666667</v>
      </c>
      <c r="CC7" s="28" t="n">
        <v>3050.416666666667</v>
      </c>
      <c r="CD7" s="28" t="n">
        <v>3050.416666666667</v>
      </c>
      <c r="CE7" s="28" t="n">
        <v>3050.416666666667</v>
      </c>
      <c r="CF7" s="28" t="n">
        <v>3050.416666666667</v>
      </c>
      <c r="CG7" s="28" t="n">
        <v>3050.416666666667</v>
      </c>
      <c r="CH7" s="28" t="n">
        <v>3050.416666666667</v>
      </c>
      <c r="CI7" s="28" t="n">
        <v>3050.416666666667</v>
      </c>
      <c r="CJ7" s="28" t="n">
        <v>3050.416666666667</v>
      </c>
      <c r="CK7" s="28" t="n">
        <v>3050.416666666667</v>
      </c>
      <c r="CL7" s="28" t="n">
        <v>3050.416666666667</v>
      </c>
      <c r="CM7" s="28" t="n">
        <v>3050.416666666667</v>
      </c>
      <c r="CN7" s="28" t="n">
        <v>3050.416666666667</v>
      </c>
      <c r="CO7" s="28" t="n">
        <v>3050.416666666667</v>
      </c>
      <c r="CP7" s="28" t="n">
        <v>3050.416666666667</v>
      </c>
      <c r="CQ7" s="28" t="n">
        <v>3050.416666666667</v>
      </c>
      <c r="CR7" s="28" t="n">
        <v>3050.416666666667</v>
      </c>
      <c r="CS7" s="28" t="n">
        <v>3050.416666666667</v>
      </c>
      <c r="CT7" s="28" t="n">
        <v>3050.416666666667</v>
      </c>
      <c r="CU7" s="28" t="n">
        <v>3050.416666666667</v>
      </c>
      <c r="CV7" s="28" t="n">
        <v>3050.416666666667</v>
      </c>
      <c r="CW7" s="28" t="n">
        <v>3050.416666666667</v>
      </c>
      <c r="CX7" s="28" t="n">
        <v>3050.416666666667</v>
      </c>
      <c r="CY7" s="28" t="n">
        <v>3050.416666666667</v>
      </c>
      <c r="CZ7" s="28" t="n">
        <v>3050.416666666667</v>
      </c>
      <c r="DA7" s="28" t="n">
        <v>3050.416666666667</v>
      </c>
      <c r="DB7" s="28" t="n">
        <v>3050.416666666667</v>
      </c>
      <c r="DC7" s="28" t="n">
        <v>3050.416666666667</v>
      </c>
      <c r="DD7" s="28" t="n">
        <v>3126.677083333333</v>
      </c>
      <c r="DE7" s="28" t="n">
        <v>3126.677083333333</v>
      </c>
      <c r="DF7" s="28" t="n">
        <v>3126.677083333333</v>
      </c>
      <c r="DG7" s="28" t="n">
        <v>3126.677083333333</v>
      </c>
      <c r="DH7" s="28" t="n">
        <v>3126.677083333333</v>
      </c>
      <c r="DI7" s="28" t="n">
        <v>3126.677083333333</v>
      </c>
      <c r="DJ7" s="28" t="n">
        <v>3126.677083333333</v>
      </c>
      <c r="DK7" s="28" t="n">
        <v>3126.677083333333</v>
      </c>
      <c r="DL7" s="28" t="n">
        <v>3126.677083333333</v>
      </c>
      <c r="DM7" s="28" t="n">
        <v>3126.677083333333</v>
      </c>
      <c r="DN7" s="28" t="n">
        <v>3126.677083333333</v>
      </c>
      <c r="DO7" s="28" t="n">
        <v>3126.677083333333</v>
      </c>
      <c r="DP7" s="28" t="n">
        <v>3204.844010416667</v>
      </c>
      <c r="DQ7" s="28" t="n">
        <v>3204.844010416667</v>
      </c>
      <c r="DR7" s="28" t="n">
        <v>3204.844010416667</v>
      </c>
      <c r="DS7" s="28" t="n">
        <v>3204.844010416667</v>
      </c>
      <c r="DT7" s="28" t="n">
        <v>3204.844010416667</v>
      </c>
      <c r="DU7" s="28" t="n">
        <v>3204.844010416667</v>
      </c>
      <c r="DV7" s="28" t="n">
        <v>3204.844010416667</v>
      </c>
      <c r="DW7" s="28" t="n">
        <v>3204.844010416667</v>
      </c>
      <c r="DX7" s="28" t="n">
        <v>3204.844010416667</v>
      </c>
      <c r="DY7" s="28" t="n">
        <v>3204.844010416667</v>
      </c>
      <c r="DZ7" s="28" t="n">
        <v>3204.844010416667</v>
      </c>
      <c r="EA7" s="28" t="n">
        <v>3204.844010416667</v>
      </c>
      <c r="EB7" s="28" t="n">
        <v>3284.965110677083</v>
      </c>
      <c r="EC7" s="28" t="n">
        <v>3284.965110677083</v>
      </c>
      <c r="ED7" s="28" t="n">
        <v>3284.965110677083</v>
      </c>
      <c r="EE7" s="28" t="n">
        <v>3284.965110677083</v>
      </c>
      <c r="EF7" s="28" t="n">
        <v>3284.965110677083</v>
      </c>
      <c r="EG7" s="28" t="n">
        <v>3284.965110677083</v>
      </c>
      <c r="EH7" s="28" t="n">
        <v>3284.965110677083</v>
      </c>
      <c r="EI7" s="28" t="n">
        <v>3284.965110677083</v>
      </c>
      <c r="EJ7" s="28" t="n">
        <v>3284.965110677083</v>
      </c>
      <c r="EK7" s="28" t="n">
        <v>3284.965110677083</v>
      </c>
      <c r="EL7" s="28" t="n">
        <v>3284.965110677083</v>
      </c>
      <c r="EM7" s="28" t="n">
        <v>3284.965110677083</v>
      </c>
      <c r="EN7" s="28" t="n">
        <v>3367.089238444009</v>
      </c>
      <c r="EO7" s="28" t="n">
        <v>3367.089238444009</v>
      </c>
      <c r="EP7" s="28" t="n">
        <v>3367.089238444009</v>
      </c>
      <c r="EQ7" s="28" t="n">
        <v>3367.089238444009</v>
      </c>
      <c r="ER7" s="28" t="n">
        <v>3367.089238444009</v>
      </c>
      <c r="ES7" s="28" t="n">
        <v>3367.089238444009</v>
      </c>
      <c r="ET7" s="28" t="n">
        <v>3367.089238444009</v>
      </c>
      <c r="EU7" s="28" t="n">
        <v>3367.089238444009</v>
      </c>
      <c r="EV7" s="28" t="n">
        <v>3367.089238444009</v>
      </c>
      <c r="EW7" s="28" t="n">
        <v>3367.089238444009</v>
      </c>
      <c r="EX7" s="28" t="n">
        <v>3367.089238444009</v>
      </c>
      <c r="EY7" s="28" t="n">
        <v>3367.089238444009</v>
      </c>
      <c r="EZ7" s="28" t="n">
        <v>3451.266469405109</v>
      </c>
      <c r="FA7" s="28" t="n">
        <v>3451.266469405109</v>
      </c>
      <c r="FB7" s="28" t="n">
        <v>3451.266469405109</v>
      </c>
      <c r="FC7" s="28" t="n">
        <v>3451.266469405109</v>
      </c>
      <c r="FD7" s="28" t="n">
        <v>3451.266469405109</v>
      </c>
      <c r="FE7" s="28" t="n">
        <v>3451.266469405109</v>
      </c>
      <c r="FF7" s="28" t="n">
        <v>3451.266469405109</v>
      </c>
      <c r="FG7" s="28" t="n">
        <v>3451.266469405109</v>
      </c>
      <c r="FH7" s="28" t="n">
        <v>3451.266469405109</v>
      </c>
      <c r="FI7" s="28" t="n">
        <v>3451.266469405109</v>
      </c>
      <c r="FJ7" s="28" t="n">
        <v>3451.266469405109</v>
      </c>
      <c r="FK7" s="28" t="n">
        <v>3451.266469405109</v>
      </c>
      <c r="FL7" s="28" t="n">
        <v>3537.548131140236</v>
      </c>
      <c r="FM7" s="28" t="n">
        <v>3537.548131140236</v>
      </c>
      <c r="FN7" s="28" t="n">
        <v>3537.548131140236</v>
      </c>
      <c r="FO7" s="28" t="n">
        <v>3537.548131140236</v>
      </c>
      <c r="FP7" s="28" t="n">
        <v>3537.548131140236</v>
      </c>
      <c r="FQ7" s="28" t="n">
        <v>3537.548131140236</v>
      </c>
      <c r="FR7" s="28" t="n">
        <v>3537.548131140236</v>
      </c>
      <c r="FS7" s="28" t="n">
        <v>3537.548131140236</v>
      </c>
      <c r="FT7" s="28" t="n">
        <v>3537.548131140236</v>
      </c>
      <c r="FU7" s="28" t="n">
        <v>3537.548131140236</v>
      </c>
      <c r="FV7" s="28" t="n">
        <v>3537.548131140236</v>
      </c>
      <c r="FW7" s="28" t="n">
        <v>3537.548131140236</v>
      </c>
      <c r="FX7" s="28" t="n">
        <v>3625.986834418743</v>
      </c>
      <c r="FY7" s="28" t="n">
        <v>3625.986834418743</v>
      </c>
      <c r="FZ7" s="28" t="n">
        <v>3625.986834418743</v>
      </c>
      <c r="GA7" s="28" t="n">
        <v>3625.986834418743</v>
      </c>
      <c r="GB7" s="28" t="n">
        <v>3625.986834418743</v>
      </c>
      <c r="GC7" s="28" t="n">
        <v>3625.986834418743</v>
      </c>
      <c r="GD7" s="28" t="n">
        <v>3625.986834418743</v>
      </c>
      <c r="GE7" s="28" t="n">
        <v>3625.986834418743</v>
      </c>
      <c r="GF7" s="28" t="n">
        <v>3625.986834418743</v>
      </c>
      <c r="GG7" s="28" t="n">
        <v>3625.986834418743</v>
      </c>
      <c r="GH7" s="28" t="n">
        <v>3625.986834418743</v>
      </c>
      <c r="GI7" s="28" t="n">
        <v>3625.986834418743</v>
      </c>
      <c r="GJ7" s="28" t="n">
        <v>3716.63650527921</v>
      </c>
      <c r="GK7" s="28" t="n">
        <v>3716.63650527921</v>
      </c>
      <c r="GL7" s="28" t="n">
        <v>3716.63650527921</v>
      </c>
      <c r="GM7" s="28" t="n">
        <v>3716.63650527921</v>
      </c>
      <c r="GN7" s="28" t="n">
        <v>3716.63650527921</v>
      </c>
      <c r="GO7" s="28" t="n">
        <v>3716.63650527921</v>
      </c>
      <c r="GP7" s="28" t="n">
        <v>3716.63650527921</v>
      </c>
      <c r="GQ7" s="28" t="n">
        <v>3716.63650527921</v>
      </c>
      <c r="GR7" s="28" t="n">
        <v>3716.63650527921</v>
      </c>
      <c r="GS7" s="28" t="n">
        <v>3716.63650527921</v>
      </c>
      <c r="GT7" s="28" t="n">
        <v>3716.63650527921</v>
      </c>
      <c r="GU7" s="28" t="n">
        <v>3716.63650527921</v>
      </c>
      <c r="GV7" s="28" t="n">
        <v>3809.55241791119</v>
      </c>
      <c r="GW7" s="28" t="n">
        <v>3809.55241791119</v>
      </c>
      <c r="GX7" s="28" t="n">
        <v>3809.55241791119</v>
      </c>
      <c r="GY7" s="28" t="n">
        <v>3809.55241791119</v>
      </c>
      <c r="GZ7" s="28" t="n">
        <v>3809.55241791119</v>
      </c>
      <c r="HA7" s="28" t="n">
        <v>3809.55241791119</v>
      </c>
      <c r="HB7" s="28" t="n">
        <v>3809.55241791119</v>
      </c>
      <c r="HC7" s="28" t="n">
        <v>3809.55241791119</v>
      </c>
      <c r="HD7" s="28" t="n">
        <v>3809.55241791119</v>
      </c>
      <c r="HE7" s="28" t="n">
        <v>3809.55241791119</v>
      </c>
      <c r="HF7" s="28" t="n">
        <v>3809.55241791119</v>
      </c>
      <c r="HG7" s="28" t="n">
        <v>3809.55241791119</v>
      </c>
      <c r="HH7" s="28" t="n">
        <v>3904.791228358969</v>
      </c>
      <c r="HI7" s="28" t="n">
        <v>3904.791228358969</v>
      </c>
      <c r="HJ7" s="28" t="n">
        <v>3904.791228358969</v>
      </c>
      <c r="HK7" s="28" t="n">
        <v>3904.791228358969</v>
      </c>
      <c r="HL7" s="28" t="n">
        <v>3904.791228358969</v>
      </c>
      <c r="HM7" s="28" t="n">
        <v>3904.791228358969</v>
      </c>
      <c r="HN7" s="28" t="n">
        <v>3904.791228358969</v>
      </c>
      <c r="HO7" s="28" t="n">
        <v>3904.791228358969</v>
      </c>
      <c r="HP7" s="28" t="n">
        <v>3904.791228358969</v>
      </c>
      <c r="HQ7" s="28" t="n">
        <v>3904.791228358969</v>
      </c>
      <c r="HR7" s="28" t="n">
        <v>3904.791228358969</v>
      </c>
      <c r="HS7" s="28" t="n">
        <v>3904.791228358969</v>
      </c>
      <c r="HT7" s="28" t="n">
        <v>4002.411009067944</v>
      </c>
      <c r="HU7" s="28" t="n">
        <v>4002.411009067944</v>
      </c>
      <c r="HV7" s="28" t="n">
        <v>4002.411009067944</v>
      </c>
      <c r="HW7" s="28" t="n">
        <v>4002.411009067944</v>
      </c>
      <c r="HX7" s="28" t="n">
        <v>4002.411009067944</v>
      </c>
      <c r="HY7" s="28" t="n">
        <v>4002.411009067944</v>
      </c>
      <c r="HZ7" s="28" t="n">
        <v>4002.411009067944</v>
      </c>
      <c r="IA7" s="28" t="n">
        <v>4002.411009067944</v>
      </c>
      <c r="IB7" s="28" t="n">
        <v>4002.411009067944</v>
      </c>
      <c r="IC7" s="28" t="n">
        <v>4002.411009067944</v>
      </c>
      <c r="ID7" s="28" t="n">
        <v>4002.411009067944</v>
      </c>
      <c r="IE7" s="28" t="n">
        <v>4002.411009067944</v>
      </c>
      <c r="IF7" s="28" t="n">
        <v>4102.471284294642</v>
      </c>
      <c r="IG7" s="28" t="n">
        <v>4102.471284294642</v>
      </c>
      <c r="IH7" s="28" t="n">
        <v>4102.471284294642</v>
      </c>
      <c r="II7" s="28" t="n">
        <v>4102.471284294642</v>
      </c>
      <c r="IJ7" s="28" t="n">
        <v>4102.471284294642</v>
      </c>
      <c r="IK7" s="28" t="n">
        <v>4102.471284294642</v>
      </c>
      <c r="IL7" s="28" t="n">
        <v>4102.471284294642</v>
      </c>
      <c r="IM7" s="28" t="n">
        <v>4102.471284294642</v>
      </c>
      <c r="IN7" s="28" t="n">
        <v>4102.471284294642</v>
      </c>
      <c r="IO7" s="28" t="n">
        <v>4102.471284294642</v>
      </c>
      <c r="IP7" s="28" t="n">
        <v>4102.471284294642</v>
      </c>
      <c r="IQ7" s="28" t="n">
        <v>4102.471284294642</v>
      </c>
      <c r="IR7" s="28" t="n">
        <v>4205.033066402008</v>
      </c>
      <c r="IS7" s="28" t="n">
        <v>4205.033066402008</v>
      </c>
      <c r="IT7" s="28" t="n">
        <v>4205.033066402008</v>
      </c>
      <c r="IU7" s="28" t="n">
        <v>4205.033066402008</v>
      </c>
      <c r="IV7" s="28" t="n">
        <v>4205.033066402008</v>
      </c>
      <c r="IW7" s="28" t="n">
        <v>4205.033066402008</v>
      </c>
      <c r="IX7" s="28" t="n">
        <v>4205.033066402008</v>
      </c>
      <c r="IY7" s="28" t="n">
        <v>4205.033066402008</v>
      </c>
      <c r="IZ7" s="28" t="n">
        <v>4205.033066402008</v>
      </c>
      <c r="JA7" s="28" t="n">
        <v>4205.033066402008</v>
      </c>
      <c r="JB7" s="28" t="n">
        <v>4205.033066402008</v>
      </c>
      <c r="JC7" s="28" t="n">
        <v>4205.033066402008</v>
      </c>
      <c r="JD7" s="28" t="n">
        <v>4310.158893062058</v>
      </c>
      <c r="JE7" s="28" t="n">
        <v>4310.158893062058</v>
      </c>
      <c r="JF7" s="28" t="n">
        <v>4310.158893062058</v>
      </c>
      <c r="JG7" s="28" t="n">
        <v>4310.158893062058</v>
      </c>
      <c r="JH7" s="28" t="n">
        <v>4310.158893062058</v>
      </c>
      <c r="JI7" s="28" t="n">
        <v>4310.158893062058</v>
      </c>
      <c r="JJ7" s="28" t="n">
        <v>4310.158893062058</v>
      </c>
      <c r="JK7" s="28" t="n">
        <v>4310.158893062058</v>
      </c>
      <c r="JL7" s="28" t="n">
        <v>4310.158893062058</v>
      </c>
      <c r="JM7" s="28" t="n">
        <v>4310.158893062058</v>
      </c>
      <c r="JN7" s="28" t="n">
        <v>4310.158893062058</v>
      </c>
      <c r="JO7" s="28" t="n">
        <v>4310.158893062058</v>
      </c>
      <c r="JP7" s="28" t="n">
        <v>4417.912865388608</v>
      </c>
      <c r="JQ7" s="28" t="n">
        <v>4417.912865388608</v>
      </c>
      <c r="JR7" s="28" t="n">
        <v>4417.912865388608</v>
      </c>
      <c r="JS7" s="28" t="n">
        <v>4417.912865388608</v>
      </c>
      <c r="JT7" s="28" t="n">
        <v>4417.912865388608</v>
      </c>
      <c r="JU7" s="28" t="n">
        <v>4417.912865388608</v>
      </c>
      <c r="JV7" s="28" t="n">
        <v>4417.912865388608</v>
      </c>
      <c r="JW7" s="28" t="n">
        <v>4417.912865388608</v>
      </c>
      <c r="JX7" s="28" t="n">
        <v>4417.912865388608</v>
      </c>
      <c r="JY7" s="28" t="n">
        <v>4417.912865388608</v>
      </c>
      <c r="JZ7" s="28" t="n">
        <v>4417.912865388608</v>
      </c>
      <c r="KA7" s="28" t="n">
        <v>4417.912865388608</v>
      </c>
      <c r="KB7" s="28" t="n">
        <v>4528.360687023323</v>
      </c>
      <c r="KC7" s="28" t="n">
        <v>4528.360687023323</v>
      </c>
      <c r="KD7" s="28" t="n">
        <v>4528.360687023323</v>
      </c>
      <c r="KE7" s="28" t="n">
        <v>4528.360687023323</v>
      </c>
      <c r="KF7" s="28" t="n">
        <v>4528.360687023323</v>
      </c>
      <c r="KG7" s="28" t="n">
        <v>4528.360687023323</v>
      </c>
      <c r="KH7" s="28" t="n">
        <v>4528.360687023323</v>
      </c>
      <c r="KI7" s="28" t="n">
        <v>4528.360687023323</v>
      </c>
      <c r="KJ7" s="28" t="n">
        <v>4528.360687023323</v>
      </c>
      <c r="KK7" s="28" t="n">
        <v>4528.360687023323</v>
      </c>
      <c r="KL7" s="28" t="n">
        <v>4528.360687023323</v>
      </c>
      <c r="KM7" s="28" t="n">
        <v>4528.360687023323</v>
      </c>
      <c r="KN7" s="28" t="n">
        <v>4641.569704198906</v>
      </c>
      <c r="KO7" s="28" t="n">
        <v>4641.569704198906</v>
      </c>
      <c r="KP7" s="28" t="n">
        <v>4641.569704198906</v>
      </c>
      <c r="KQ7" s="28" t="n">
        <v>4641.569704198906</v>
      </c>
      <c r="KR7" s="28" t="n">
        <v>4641.569704198906</v>
      </c>
      <c r="KS7" s="28" t="n">
        <v>4641.569704198906</v>
      </c>
      <c r="KT7" s="28" t="n">
        <v>4641.569704198906</v>
      </c>
      <c r="KU7" s="28" t="n">
        <v>4641.569704198906</v>
      </c>
      <c r="KV7" s="28" t="n">
        <v>4641.569704198906</v>
      </c>
      <c r="KW7" s="28" t="n">
        <v>4641.569704198906</v>
      </c>
      <c r="KX7" s="28" t="n">
        <v>4641.569704198906</v>
      </c>
      <c r="KY7" s="28" t="n">
        <v>4641.569704198906</v>
      </c>
      <c r="KZ7" s="28" t="n">
        <v>4757.608946803878</v>
      </c>
      <c r="LA7" s="28" t="n">
        <v>4757.608946803878</v>
      </c>
      <c r="LB7" s="28" t="n">
        <v>4757.608946803878</v>
      </c>
      <c r="LC7" s="28" t="n">
        <v>4757.608946803878</v>
      </c>
      <c r="LD7" s="28" t="n">
        <v>4757.608946803878</v>
      </c>
      <c r="LE7" s="28" t="n">
        <v>4757.608946803878</v>
      </c>
      <c r="LF7" s="28" t="n">
        <v>4757.608946803878</v>
      </c>
      <c r="LG7" s="28" t="n">
        <v>4757.608946803878</v>
      </c>
      <c r="LH7" s="28" t="n">
        <v>4757.608946803878</v>
      </c>
      <c r="LI7" s="28" t="n">
        <v>4757.608946803878</v>
      </c>
      <c r="LJ7" s="28" t="n">
        <v>4757.608946803878</v>
      </c>
      <c r="LK7" s="28" t="n">
        <v>4757.608946803878</v>
      </c>
      <c r="LL7" s="28" t="n">
        <v>4876.549170473974</v>
      </c>
      <c r="LM7" s="28" t="n">
        <v>4876.549170473974</v>
      </c>
      <c r="LN7" s="28" t="n">
        <v>4876.549170473974</v>
      </c>
      <c r="LO7" s="28" t="n">
        <v>4876.549170473974</v>
      </c>
      <c r="LP7" s="28" t="n">
        <v>4876.549170473974</v>
      </c>
      <c r="LQ7" s="28" t="n">
        <v>4876.549170473974</v>
      </c>
      <c r="LR7" s="28" t="n">
        <v>4876.549170473974</v>
      </c>
      <c r="LS7" s="28" t="n">
        <v>4876.549170473974</v>
      </c>
      <c r="LT7" s="28" t="n">
        <v>4876.549170473974</v>
      </c>
      <c r="LU7" s="28" t="n">
        <v>4876.549170473974</v>
      </c>
      <c r="LV7" s="28" t="n">
        <v>4876.549170473974</v>
      </c>
      <c r="LW7" s="28" t="n">
        <v>4876.549170473974</v>
      </c>
      <c r="LX7" s="28" t="n">
        <v>4998.462899735823</v>
      </c>
      <c r="LY7" s="28" t="n">
        <v>4998.462899735823</v>
      </c>
      <c r="LZ7" s="28" t="n">
        <v>4998.462899735823</v>
      </c>
      <c r="MA7" s="28" t="n">
        <v>4998.462899735823</v>
      </c>
      <c r="MB7" s="28" t="n">
        <v>4998.462899735823</v>
      </c>
      <c r="MC7" s="28" t="n">
        <v>4998.462899735823</v>
      </c>
      <c r="MD7" s="28" t="n">
        <v>4998.462899735823</v>
      </c>
      <c r="ME7" s="28" t="n">
        <v>4998.462899735823</v>
      </c>
      <c r="MF7" s="28" t="n">
        <v>4998.462899735823</v>
      </c>
      <c r="MG7" s="28" t="n">
        <v>4998.462899735823</v>
      </c>
      <c r="MH7" s="28" t="n">
        <v>4998.462899735823</v>
      </c>
      <c r="MI7" s="28" t="n">
        <v>4998.462899735823</v>
      </c>
      <c r="MJ7" s="28" t="n">
        <v>5123.424472229219</v>
      </c>
      <c r="MK7" s="28" t="n">
        <v>5123.424472229219</v>
      </c>
      <c r="ML7" s="28" t="n">
        <v>5123.424472229219</v>
      </c>
      <c r="MM7" s="28" t="n">
        <v>5123.424472229219</v>
      </c>
      <c r="MN7" s="28" t="n">
        <v>5123.424472229219</v>
      </c>
      <c r="MO7" s="28" t="n">
        <v>5123.424472229219</v>
      </c>
      <c r="MP7" s="28" t="n">
        <v>5123.424472229219</v>
      </c>
      <c r="MQ7" s="28" t="n">
        <v>5123.424472229219</v>
      </c>
      <c r="MR7" s="28" t="n">
        <v>5123.424472229219</v>
      </c>
      <c r="MS7" s="28" t="n">
        <v>5123.424472229219</v>
      </c>
      <c r="MT7" s="28" t="n">
        <v>5123.424472229219</v>
      </c>
      <c r="MU7" s="28" t="n">
        <v>5123.424472229219</v>
      </c>
      <c r="MV7" s="28" t="n">
        <v>5251.51008403495</v>
      </c>
      <c r="MW7" s="28" t="n">
        <v>5251.51008403495</v>
      </c>
      <c r="MX7" s="28" t="n">
        <v>5251.51008403495</v>
      </c>
      <c r="MY7" s="28" t="n">
        <v>5251.51008403495</v>
      </c>
      <c r="MZ7" s="28" t="n">
        <v>5251.51008403495</v>
      </c>
      <c r="NA7" s="28" t="n">
        <v>5251.51008403495</v>
      </c>
      <c r="NB7" s="28" t="n">
        <v>5251.51008403495</v>
      </c>
      <c r="NC7" s="28" t="n">
        <v>5251.51008403495</v>
      </c>
      <c r="ND7" s="28" t="n">
        <v>5251.51008403495</v>
      </c>
      <c r="NE7" s="28" t="n">
        <v>5251.51008403495</v>
      </c>
      <c r="NF7" s="28" t="n">
        <v>5251.51008403495</v>
      </c>
      <c r="NG7" s="28" t="n">
        <v>5251.51008403495</v>
      </c>
      <c r="NH7" s="28" t="n">
        <v>5382.797836135822</v>
      </c>
      <c r="NI7" s="28" t="n">
        <v>5382.797836135822</v>
      </c>
      <c r="NJ7" s="28" t="n">
        <v>5382.797836135822</v>
      </c>
      <c r="NK7" s="28" t="n">
        <v>5382.797836135822</v>
      </c>
      <c r="NL7" s="28" t="n">
        <v>5382.797836135822</v>
      </c>
      <c r="NM7" s="28" t="n">
        <v>5382.797836135822</v>
      </c>
      <c r="NN7" s="28" t="n">
        <v>5382.797836135822</v>
      </c>
      <c r="NO7" s="28" t="n">
        <v>5382.797836135822</v>
      </c>
      <c r="NP7" s="28" t="n">
        <v>5382.797836135822</v>
      </c>
      <c r="NQ7" s="28" t="n">
        <v>5382.797836135822</v>
      </c>
      <c r="NR7" s="28" t="n">
        <v>5382.797836135822</v>
      </c>
      <c r="NS7" s="28" t="n">
        <v>5382.797836135822</v>
      </c>
      <c r="NT7" s="28" t="n">
        <v>5517.367782039217</v>
      </c>
      <c r="NU7" s="28" t="n">
        <v>5517.367782039217</v>
      </c>
      <c r="NV7" s="28" t="n">
        <v>5517.367782039217</v>
      </c>
      <c r="NW7" s="28" t="n">
        <v>5517.367782039217</v>
      </c>
      <c r="NX7" s="28" t="n">
        <v>5517.367782039217</v>
      </c>
      <c r="NY7" s="28" t="n">
        <v>5517.367782039217</v>
      </c>
      <c r="NZ7" s="28" t="n">
        <v>5517.367782039217</v>
      </c>
      <c r="OA7" s="28" t="n">
        <v>5517.367782039217</v>
      </c>
      <c r="OB7" s="28" t="n">
        <v>5517.367782039217</v>
      </c>
      <c r="OC7" s="28" t="n">
        <v>5517.367782039217</v>
      </c>
      <c r="OD7" s="28" t="n">
        <v>5517.367782039217</v>
      </c>
      <c r="OE7" s="28" t="n">
        <v>5517.367782039217</v>
      </c>
      <c r="OF7" s="28" t="n">
        <v>5655.301976590197</v>
      </c>
      <c r="OG7" s="28" t="n">
        <v>5655.301976590197</v>
      </c>
      <c r="OH7" s="28" t="n">
        <v>5655.301976590197</v>
      </c>
      <c r="OI7" s="28" t="n">
        <v>5655.301976590197</v>
      </c>
      <c r="OJ7" s="28" t="n">
        <v>5655.301976590197</v>
      </c>
      <c r="OK7" s="28" t="n">
        <v>5655.301976590197</v>
      </c>
      <c r="OL7" s="28" t="n">
        <v>5655.301976590197</v>
      </c>
      <c r="OM7" s="28" t="n">
        <v>5655.301976590197</v>
      </c>
      <c r="ON7" s="28" t="n">
        <v>5655.301976590197</v>
      </c>
      <c r="OO7" s="28" t="n">
        <v>5655.301976590197</v>
      </c>
      <c r="OP7" s="28" t="n">
        <v>5655.301976590197</v>
      </c>
      <c r="OQ7" s="28" t="n">
        <v>5655.301976590197</v>
      </c>
      <c r="OR7" s="28" t="n">
        <v>5796.684526004951</v>
      </c>
      <c r="OS7" s="28" t="n">
        <v>5796.684526004951</v>
      </c>
      <c r="OT7" s="28" t="n">
        <v>5796.684526004951</v>
      </c>
      <c r="OU7" s="28" t="n">
        <v>5796.684526004951</v>
      </c>
      <c r="OV7" s="28" t="n">
        <v>5796.684526004951</v>
      </c>
      <c r="OW7" s="28" t="n">
        <v>5796.684526004951</v>
      </c>
      <c r="OX7" s="28" t="n">
        <v>5796.684526004951</v>
      </c>
      <c r="OY7" s="28" t="n">
        <v>5796.684526004951</v>
      </c>
      <c r="OZ7" s="28" t="n">
        <v>5796.684526004951</v>
      </c>
      <c r="PA7" s="28" t="n">
        <v>5796.684526004951</v>
      </c>
      <c r="PB7" s="28" t="n">
        <v>5796.684526004951</v>
      </c>
      <c r="PC7" s="28" t="n">
        <v>5796.684526004951</v>
      </c>
      <c r="PD7" s="28" t="n">
        <v>5941.601639155075</v>
      </c>
      <c r="PE7" s="28" t="n">
        <v>5941.601639155075</v>
      </c>
      <c r="PF7" s="28" t="n">
        <v>5941.601639155075</v>
      </c>
      <c r="PG7" s="28" t="n">
        <v>5941.601639155075</v>
      </c>
      <c r="PH7" s="28" t="n">
        <v>5941.601639155075</v>
      </c>
      <c r="PI7" s="28" t="n">
        <v>5941.601639155075</v>
      </c>
      <c r="PJ7" s="28" t="n">
        <v>5941.601639155075</v>
      </c>
      <c r="PK7" s="28" t="n">
        <v>5941.601639155075</v>
      </c>
      <c r="PL7" s="28" t="n">
        <v>5941.601639155075</v>
      </c>
      <c r="PM7" s="28" t="n">
        <v>5941.601639155075</v>
      </c>
      <c r="PN7" s="28" t="n">
        <v>5941.601639155075</v>
      </c>
      <c r="PO7" s="28" t="n">
        <v>5941.601639155075</v>
      </c>
      <c r="PP7" s="28" t="n">
        <v>6090.141680133951</v>
      </c>
      <c r="PQ7" s="28" t="n">
        <v>6090.141680133951</v>
      </c>
      <c r="PR7" s="28" t="n">
        <v>6090.141680133951</v>
      </c>
      <c r="PS7" s="28" t="n">
        <v>6090.141680133951</v>
      </c>
      <c r="PT7" s="28" t="n">
        <v>6090.141680133951</v>
      </c>
      <c r="PU7" s="28" t="n">
        <v>6090.141680133951</v>
      </c>
      <c r="PV7" s="28" t="n">
        <v>6090.141680133951</v>
      </c>
      <c r="PW7" s="28" t="n">
        <v>6090.141680133951</v>
      </c>
      <c r="PX7" s="28" t="n">
        <v>6090.141680133951</v>
      </c>
      <c r="PY7" s="28" t="n">
        <v>6090.141680133951</v>
      </c>
      <c r="PZ7" s="28" t="n">
        <v>6090.141680133951</v>
      </c>
      <c r="QA7" s="28" t="n">
        <v>6090.141680133951</v>
      </c>
      <c r="QB7" s="28" t="n">
        <v>6242.395222137299</v>
      </c>
      <c r="QC7" s="28" t="n">
        <v>6242.395222137299</v>
      </c>
      <c r="QD7" s="28" t="n">
        <v>6242.395222137299</v>
      </c>
      <c r="QE7" s="28" t="n">
        <v>6242.395222137299</v>
      </c>
      <c r="QF7" s="28" t="n">
        <v>6242.395222137299</v>
      </c>
      <c r="QG7" s="28" t="n">
        <v>6242.395222137299</v>
      </c>
      <c r="QH7" s="28" t="n">
        <v>6242.395222137299</v>
      </c>
      <c r="QI7" s="28" t="n">
        <v>6242.395222137299</v>
      </c>
      <c r="QJ7" s="28" t="n">
        <v>6242.395222137299</v>
      </c>
      <c r="QK7" s="28" t="n">
        <v>6242.395222137299</v>
      </c>
      <c r="QL7" s="28" t="n">
        <v>6242.395222137299</v>
      </c>
      <c r="QM7" s="28" t="n">
        <v>6242.395222137299</v>
      </c>
      <c r="QN7" s="28" t="n">
        <v>6398.455102690731</v>
      </c>
      <c r="QO7" s="28" t="n">
        <v>6398.455102690731</v>
      </c>
      <c r="QP7" s="28" t="n">
        <v>6398.455102690731</v>
      </c>
      <c r="QQ7" s="28" t="n">
        <v>6398.455102690731</v>
      </c>
      <c r="QR7" s="28" t="n">
        <v>6398.455102690731</v>
      </c>
      <c r="QS7" s="28" t="n">
        <v>6398.455102690731</v>
      </c>
      <c r="QT7" s="28" t="n">
        <v>6398.455102690731</v>
      </c>
      <c r="QU7" s="28" t="n">
        <v>6398.455102690731</v>
      </c>
      <c r="QV7" s="28" t="n">
        <v>6398.455102690731</v>
      </c>
      <c r="QW7" s="28" t="n">
        <v>6398.455102690731</v>
      </c>
      <c r="QX7" s="28" t="n">
        <v>6398.455102690731</v>
      </c>
      <c r="QY7" s="28" t="n">
        <v>6398.455102690731</v>
      </c>
      <c r="QZ7" s="28" t="n">
        <v>6558.416480258</v>
      </c>
      <c r="RA7" s="28" t="n">
        <v>6558.416480258</v>
      </c>
      <c r="RB7" s="28" t="n">
        <v>6558.416480258</v>
      </c>
      <c r="RC7" s="28" t="n">
        <v>6558.416480258</v>
      </c>
      <c r="RD7" s="28" t="n">
        <v>6558.416480258</v>
      </c>
      <c r="RE7" s="28" t="n">
        <v>6558.416480258</v>
      </c>
      <c r="RF7" s="28" t="n">
        <v>6558.416480258</v>
      </c>
      <c r="RG7" s="28" t="n">
        <v>6558.416480258</v>
      </c>
      <c r="RH7" s="28" t="n">
        <v>6558.416480258</v>
      </c>
      <c r="RI7" s="28" t="n">
        <v>6558.416480258</v>
      </c>
      <c r="RJ7" s="28" t="n">
        <v>6558.416480258</v>
      </c>
      <c r="RK7" s="28" t="n">
        <v>6558.416480258</v>
      </c>
      <c r="RL7" s="28" t="n">
        <v>6722.376892264449</v>
      </c>
      <c r="RM7" s="28" t="n">
        <v>6722.376892264449</v>
      </c>
      <c r="RN7" s="28" t="n">
        <v>6722.376892264449</v>
      </c>
      <c r="RO7" s="28" t="n">
        <v>6722.376892264449</v>
      </c>
      <c r="RP7" s="28" t="n">
        <v>6722.376892264449</v>
      </c>
      <c r="RQ7" s="28" t="n">
        <v>6722.376892264449</v>
      </c>
      <c r="RR7" s="28" t="n">
        <v>6722.376892264449</v>
      </c>
      <c r="RS7" s="28" t="n">
        <v>6722.376892264449</v>
      </c>
      <c r="RT7" s="28" t="n">
        <v>6722.376892264449</v>
      </c>
      <c r="RU7" s="28" t="n">
        <v>6722.376892264449</v>
      </c>
      <c r="RV7" s="28" t="n">
        <v>6722.376892264449</v>
      </c>
      <c r="RW7" s="28" t="n">
        <v>6722.376892264449</v>
      </c>
    </row>
    <row r="8" hidden="1" outlineLevel="1" ht="13.05" customHeight="1">
      <c r="E8" s="50" t="inlineStr">
        <is>
          <t>EBITDA</t>
        </is>
      </c>
      <c r="F8" s="51" t="n"/>
      <c r="G8" s="51" t="inlineStr">
        <is>
          <t>kEUR</t>
        </is>
      </c>
      <c r="H8" s="51" t="n"/>
      <c r="I8" s="51" t="n"/>
      <c r="J8" s="52" t="n">
        <v>2881256.06430531</v>
      </c>
      <c r="K8" s="51" t="n"/>
      <c r="L8" s="53">
        <f>'Revenue'!L27+'Revenue'!L66-'Costs'!L17+'Costs'!L24</f>
        <v/>
      </c>
      <c r="M8" s="53">
        <f>'Revenue'!M27+'Revenue'!M66-'Costs'!M17+'Costs'!M24</f>
        <v/>
      </c>
      <c r="N8" s="53">
        <f>'Revenue'!N27+'Revenue'!N66-'Costs'!N17+'Costs'!N24</f>
        <v/>
      </c>
      <c r="O8" s="53">
        <f>'Revenue'!O27+'Revenue'!O66-'Costs'!O17+'Costs'!O24</f>
        <v/>
      </c>
      <c r="P8" s="53">
        <f>'Revenue'!P27+'Revenue'!P66-'Costs'!P17+'Costs'!P24</f>
        <v/>
      </c>
      <c r="Q8" s="53">
        <f>'Revenue'!Q27+'Revenue'!Q66-'Costs'!Q17+'Costs'!Q24</f>
        <v/>
      </c>
      <c r="R8" s="53">
        <f>'Revenue'!R27+'Revenue'!R66-'Costs'!R17+'Costs'!R24</f>
        <v/>
      </c>
      <c r="S8" s="53">
        <f>'Revenue'!S27+'Revenue'!S66-'Costs'!S17+'Costs'!S24</f>
        <v/>
      </c>
      <c r="T8" s="53">
        <f>'Revenue'!T27+'Revenue'!T66-'Costs'!T17+'Costs'!T24</f>
        <v/>
      </c>
      <c r="U8" s="53">
        <f>'Revenue'!U27+'Revenue'!U66-'Costs'!U17+'Costs'!U24</f>
        <v/>
      </c>
      <c r="V8" s="53">
        <f>'Revenue'!V27+'Revenue'!V66-'Costs'!V17+'Costs'!V24</f>
        <v/>
      </c>
      <c r="W8" s="53">
        <f>'Revenue'!W27+'Revenue'!W66-'Costs'!W17+'Costs'!W24</f>
        <v/>
      </c>
      <c r="X8" s="53">
        <f>'Revenue'!X27+'Revenue'!X66-'Costs'!X17+'Costs'!X24</f>
        <v/>
      </c>
      <c r="Y8" s="53">
        <f>'Revenue'!Y27+'Revenue'!Y66-'Costs'!Y17+'Costs'!Y24</f>
        <v/>
      </c>
      <c r="Z8" s="53">
        <f>'Revenue'!Z27+'Revenue'!Z66-'Costs'!Z17+'Costs'!Z24</f>
        <v/>
      </c>
      <c r="AA8" s="53">
        <f>'Revenue'!AA27+'Revenue'!AA66-'Costs'!AA17+'Costs'!AA24</f>
        <v/>
      </c>
      <c r="AB8" s="53">
        <f>'Revenue'!AB27+'Revenue'!AB66-'Costs'!AB17+'Costs'!AB24</f>
        <v/>
      </c>
      <c r="AC8" s="53">
        <f>'Revenue'!AC27+'Revenue'!AC66-'Costs'!AC17+'Costs'!AC24</f>
        <v/>
      </c>
      <c r="AD8" s="53">
        <f>'Revenue'!AD27+'Revenue'!AD66-'Costs'!AD17+'Costs'!AD24</f>
        <v/>
      </c>
      <c r="AE8" s="53">
        <f>'Revenue'!AE27+'Revenue'!AE66-'Costs'!AE17+'Costs'!AE24</f>
        <v/>
      </c>
      <c r="AF8" s="53">
        <f>'Revenue'!AF27+'Revenue'!AF66-'Costs'!AF17+'Costs'!AF24</f>
        <v/>
      </c>
      <c r="AG8" s="53">
        <f>'Revenue'!AG27+'Revenue'!AG66-'Costs'!AG17+'Costs'!AG24</f>
        <v/>
      </c>
      <c r="AH8" s="53">
        <f>'Revenue'!AH27+'Revenue'!AH66-'Costs'!AH17+'Costs'!AH24</f>
        <v/>
      </c>
      <c r="AI8" s="53">
        <f>'Revenue'!AI27+'Revenue'!AI66-'Costs'!AI17+'Costs'!AI24</f>
        <v/>
      </c>
      <c r="AJ8" s="53">
        <f>'Revenue'!AJ27+'Revenue'!AJ66-'Costs'!AJ17+'Costs'!AJ24</f>
        <v/>
      </c>
      <c r="AK8" s="53">
        <f>'Revenue'!AK27+'Revenue'!AK66-'Costs'!AK17+'Costs'!AK24</f>
        <v/>
      </c>
      <c r="AL8" s="53">
        <f>'Revenue'!AL27+'Revenue'!AL66-'Costs'!AL17+'Costs'!AL24</f>
        <v/>
      </c>
      <c r="AM8" s="53">
        <f>'Revenue'!AM27+'Revenue'!AM66-'Costs'!AM17+'Costs'!AM24</f>
        <v/>
      </c>
      <c r="AN8" s="53">
        <f>'Revenue'!AN27+'Revenue'!AN66-'Costs'!AN17+'Costs'!AN24</f>
        <v/>
      </c>
      <c r="AO8" s="53">
        <f>'Revenue'!AO27+'Revenue'!AO66-'Costs'!AO17+'Costs'!AO24</f>
        <v/>
      </c>
      <c r="AP8" s="53">
        <f>'Revenue'!AP27+'Revenue'!AP66-'Costs'!AP17+'Costs'!AP24</f>
        <v/>
      </c>
      <c r="AQ8" s="53">
        <f>'Revenue'!AQ27+'Revenue'!AQ66-'Costs'!AQ17+'Costs'!AQ24</f>
        <v/>
      </c>
      <c r="AR8" s="53">
        <f>'Revenue'!AR27+'Revenue'!AR66-'Costs'!AR17+'Costs'!AR24</f>
        <v/>
      </c>
      <c r="AS8" s="53">
        <f>'Revenue'!AS27+'Revenue'!AS66-'Costs'!AS17+'Costs'!AS24</f>
        <v/>
      </c>
      <c r="AT8" s="53">
        <f>'Revenue'!AT27+'Revenue'!AT66-'Costs'!AT17+'Costs'!AT24</f>
        <v/>
      </c>
      <c r="AU8" s="53">
        <f>'Revenue'!AU27+'Revenue'!AU66-'Costs'!AU17+'Costs'!AU24</f>
        <v/>
      </c>
      <c r="AV8" s="53">
        <f>'Revenue'!AV27+'Revenue'!AV66-'Costs'!AV17+'Costs'!AV24</f>
        <v/>
      </c>
      <c r="AW8" s="53">
        <f>'Revenue'!AW27+'Revenue'!AW66-'Costs'!AW17+'Costs'!AW24</f>
        <v/>
      </c>
      <c r="AX8" s="53">
        <f>'Revenue'!AX27+'Revenue'!AX66-'Costs'!AX17+'Costs'!AX24</f>
        <v/>
      </c>
      <c r="AY8" s="53">
        <f>'Revenue'!AY27+'Revenue'!AY66-'Costs'!AY17+'Costs'!AY24</f>
        <v/>
      </c>
      <c r="AZ8" s="53">
        <f>'Revenue'!AZ27+'Revenue'!AZ66-'Costs'!AZ17+'Costs'!AZ24</f>
        <v/>
      </c>
      <c r="BA8" s="53">
        <f>'Revenue'!BA27+'Revenue'!BA66-'Costs'!BA17+'Costs'!BA24</f>
        <v/>
      </c>
      <c r="BB8" s="53">
        <f>'Revenue'!BB27+'Revenue'!BB66-'Costs'!BB17+'Costs'!BB24</f>
        <v/>
      </c>
      <c r="BC8" s="53">
        <f>'Revenue'!BC27+'Revenue'!BC66-'Costs'!BC17+'Costs'!BC24</f>
        <v/>
      </c>
      <c r="BD8" s="53">
        <f>'Revenue'!BD27+'Revenue'!BD66-'Costs'!BD17+'Costs'!BD24</f>
        <v/>
      </c>
      <c r="BE8" s="53">
        <f>'Revenue'!BE27+'Revenue'!BE66-'Costs'!BE17+'Costs'!BE24</f>
        <v/>
      </c>
      <c r="BF8" s="53">
        <f>'Revenue'!BF27+'Revenue'!BF66-'Costs'!BF17+'Costs'!BF24</f>
        <v/>
      </c>
      <c r="BG8" s="53">
        <f>'Revenue'!BG27+'Revenue'!BG66-'Costs'!BG17+'Costs'!BG24</f>
        <v/>
      </c>
      <c r="BH8" s="53">
        <f>'Revenue'!BH27+'Revenue'!BH66-'Costs'!BH17+'Costs'!BH24</f>
        <v/>
      </c>
      <c r="BI8" s="53">
        <f>'Revenue'!BI27+'Revenue'!BI66-'Costs'!BI17+'Costs'!BI24</f>
        <v/>
      </c>
      <c r="BJ8" s="53">
        <f>'Revenue'!BJ27+'Revenue'!BJ66-'Costs'!BJ17+'Costs'!BJ24</f>
        <v/>
      </c>
      <c r="BK8" s="53">
        <f>'Revenue'!BK27+'Revenue'!BK66-'Costs'!BK17+'Costs'!BK24</f>
        <v/>
      </c>
      <c r="BL8" s="53">
        <f>'Revenue'!BL27+'Revenue'!BL66-'Costs'!BL17+'Costs'!BL24</f>
        <v/>
      </c>
      <c r="BM8" s="53">
        <f>'Revenue'!BM27+'Revenue'!BM66-'Costs'!BM17+'Costs'!BM24</f>
        <v/>
      </c>
      <c r="BN8" s="53">
        <f>'Revenue'!BN27+'Revenue'!BN66-'Costs'!BN17+'Costs'!BN24</f>
        <v/>
      </c>
      <c r="BO8" s="53">
        <f>'Revenue'!BO27+'Revenue'!BO66-'Costs'!BO17+'Costs'!BO24</f>
        <v/>
      </c>
      <c r="BP8" s="53">
        <f>'Revenue'!BP27+'Revenue'!BP66-'Costs'!BP17+'Costs'!BP24</f>
        <v/>
      </c>
      <c r="BQ8" s="53">
        <f>'Revenue'!BQ27+'Revenue'!BQ66-'Costs'!BQ17+'Costs'!BQ24</f>
        <v/>
      </c>
      <c r="BR8" s="53">
        <f>'Revenue'!BR27+'Revenue'!BR66-'Costs'!BR17+'Costs'!BR24</f>
        <v/>
      </c>
      <c r="BS8" s="53">
        <f>'Revenue'!BS27+'Revenue'!BS66-'Costs'!BS17+'Costs'!BS24</f>
        <v/>
      </c>
      <c r="BT8" s="53">
        <f>'Revenue'!BT27+'Revenue'!BT66-'Costs'!BT17+'Costs'!BT24</f>
        <v/>
      </c>
      <c r="BU8" s="53">
        <f>'Revenue'!BU27+'Revenue'!BU66-'Costs'!BU17+'Costs'!BU24</f>
        <v/>
      </c>
      <c r="BV8" s="53">
        <f>'Revenue'!BV27+'Revenue'!BV66-'Costs'!BV17+'Costs'!BV24</f>
        <v/>
      </c>
      <c r="BW8" s="53">
        <f>'Revenue'!BW27+'Revenue'!BW66-'Costs'!BW17+'Costs'!BW24</f>
        <v/>
      </c>
      <c r="BX8" s="53">
        <f>'Revenue'!BX27+'Revenue'!BX66-'Costs'!BX17+'Costs'!BX24</f>
        <v/>
      </c>
      <c r="BY8" s="53">
        <f>'Revenue'!BY27+'Revenue'!BY66-'Costs'!BY17+'Costs'!BY24</f>
        <v/>
      </c>
      <c r="BZ8" s="53">
        <f>'Revenue'!BZ27+'Revenue'!BZ66-'Costs'!BZ17+'Costs'!BZ24</f>
        <v/>
      </c>
      <c r="CA8" s="53">
        <f>'Revenue'!CA27+'Revenue'!CA66-'Costs'!CA17+'Costs'!CA24</f>
        <v/>
      </c>
      <c r="CB8" s="53">
        <f>'Revenue'!CB27+'Revenue'!CB66-'Costs'!CB17+'Costs'!CB24</f>
        <v/>
      </c>
      <c r="CC8" s="53">
        <f>'Revenue'!CC27+'Revenue'!CC66-'Costs'!CC17+'Costs'!CC24</f>
        <v/>
      </c>
      <c r="CD8" s="53">
        <f>'Revenue'!CD27+'Revenue'!CD66-'Costs'!CD17+'Costs'!CD24</f>
        <v/>
      </c>
      <c r="CE8" s="53">
        <f>'Revenue'!CE27+'Revenue'!CE66-'Costs'!CE17+'Costs'!CE24</f>
        <v/>
      </c>
      <c r="CF8" s="53">
        <f>'Revenue'!CF27+'Revenue'!CF66-'Costs'!CF17+'Costs'!CF24</f>
        <v/>
      </c>
      <c r="CG8" s="53">
        <f>'Revenue'!CG27+'Revenue'!CG66-'Costs'!CG17+'Costs'!CG24</f>
        <v/>
      </c>
      <c r="CH8" s="53">
        <f>'Revenue'!CH27+'Revenue'!CH66-'Costs'!CH17+'Costs'!CH24</f>
        <v/>
      </c>
      <c r="CI8" s="53">
        <f>'Revenue'!CI27+'Revenue'!CI66-'Costs'!CI17+'Costs'!CI24</f>
        <v/>
      </c>
      <c r="CJ8" s="53">
        <f>'Revenue'!CJ27+'Revenue'!CJ66-'Costs'!CJ17+'Costs'!CJ24</f>
        <v/>
      </c>
      <c r="CK8" s="53">
        <f>'Revenue'!CK27+'Revenue'!CK66-'Costs'!CK17+'Costs'!CK24</f>
        <v/>
      </c>
      <c r="CL8" s="53">
        <f>'Revenue'!CL27+'Revenue'!CL66-'Costs'!CL17+'Costs'!CL24</f>
        <v/>
      </c>
      <c r="CM8" s="53">
        <f>'Revenue'!CM27+'Revenue'!CM66-'Costs'!CM17+'Costs'!CM24</f>
        <v/>
      </c>
      <c r="CN8" s="53">
        <f>'Revenue'!CN27+'Revenue'!CN66-'Costs'!CN17+'Costs'!CN24</f>
        <v/>
      </c>
      <c r="CO8" s="53">
        <f>'Revenue'!CO27+'Revenue'!CO66-'Costs'!CO17+'Costs'!CO24</f>
        <v/>
      </c>
      <c r="CP8" s="53">
        <f>'Revenue'!CP27+'Revenue'!CP66-'Costs'!CP17+'Costs'!CP24</f>
        <v/>
      </c>
      <c r="CQ8" s="53">
        <f>'Revenue'!CQ27+'Revenue'!CQ66-'Costs'!CQ17+'Costs'!CQ24</f>
        <v/>
      </c>
      <c r="CR8" s="53">
        <f>'Revenue'!CR27+'Revenue'!CR66-'Costs'!CR17+'Costs'!CR24</f>
        <v/>
      </c>
      <c r="CS8" s="53">
        <f>'Revenue'!CS27+'Revenue'!CS66-'Costs'!CS17+'Costs'!CS24</f>
        <v/>
      </c>
      <c r="CT8" s="53">
        <f>'Revenue'!CT27+'Revenue'!CT66-'Costs'!CT17+'Costs'!CT24</f>
        <v/>
      </c>
      <c r="CU8" s="53">
        <f>'Revenue'!CU27+'Revenue'!CU66-'Costs'!CU17+'Costs'!CU24</f>
        <v/>
      </c>
      <c r="CV8" s="53">
        <f>'Revenue'!CV27+'Revenue'!CV66-'Costs'!CV17+'Costs'!CV24</f>
        <v/>
      </c>
      <c r="CW8" s="53">
        <f>'Revenue'!CW27+'Revenue'!CW66-'Costs'!CW17+'Costs'!CW24</f>
        <v/>
      </c>
      <c r="CX8" s="53">
        <f>'Revenue'!CX27+'Revenue'!CX66-'Costs'!CX17+'Costs'!CX24</f>
        <v/>
      </c>
      <c r="CY8" s="53">
        <f>'Revenue'!CY27+'Revenue'!CY66-'Costs'!CY17+'Costs'!CY24</f>
        <v/>
      </c>
      <c r="CZ8" s="53">
        <f>'Revenue'!CZ27+'Revenue'!CZ66-'Costs'!CZ17+'Costs'!CZ24</f>
        <v/>
      </c>
      <c r="DA8" s="53">
        <f>'Revenue'!DA27+'Revenue'!DA66-'Costs'!DA17+'Costs'!DA24</f>
        <v/>
      </c>
      <c r="DB8" s="53">
        <f>'Revenue'!DB27+'Revenue'!DB66-'Costs'!DB17+'Costs'!DB24</f>
        <v/>
      </c>
      <c r="DC8" s="53">
        <f>'Revenue'!DC27+'Revenue'!DC66-'Costs'!DC17+'Costs'!DC24</f>
        <v/>
      </c>
      <c r="DD8" s="53">
        <f>'Revenue'!DD27+'Revenue'!DD66-'Costs'!DD17+'Costs'!DD24</f>
        <v/>
      </c>
      <c r="DE8" s="53">
        <f>'Revenue'!DE27+'Revenue'!DE66-'Costs'!DE17+'Costs'!DE24</f>
        <v/>
      </c>
      <c r="DF8" s="53">
        <f>'Revenue'!DF27+'Revenue'!DF66-'Costs'!DF17+'Costs'!DF24</f>
        <v/>
      </c>
      <c r="DG8" s="53">
        <f>'Revenue'!DG27+'Revenue'!DG66-'Costs'!DG17+'Costs'!DG24</f>
        <v/>
      </c>
      <c r="DH8" s="53">
        <f>'Revenue'!DH27+'Revenue'!DH66-'Costs'!DH17+'Costs'!DH24</f>
        <v/>
      </c>
      <c r="DI8" s="53">
        <f>'Revenue'!DI27+'Revenue'!DI66-'Costs'!DI17+'Costs'!DI24</f>
        <v/>
      </c>
      <c r="DJ8" s="53">
        <f>'Revenue'!DJ27+'Revenue'!DJ66-'Costs'!DJ17+'Costs'!DJ24</f>
        <v/>
      </c>
      <c r="DK8" s="53">
        <f>'Revenue'!DK27+'Revenue'!DK66-'Costs'!DK17+'Costs'!DK24</f>
        <v/>
      </c>
      <c r="DL8" s="53">
        <f>'Revenue'!DL27+'Revenue'!DL66-'Costs'!DL17+'Costs'!DL24</f>
        <v/>
      </c>
      <c r="DM8" s="53">
        <f>'Revenue'!DM27+'Revenue'!DM66-'Costs'!DM17+'Costs'!DM24</f>
        <v/>
      </c>
      <c r="DN8" s="53">
        <f>'Revenue'!DN27+'Revenue'!DN66-'Costs'!DN17+'Costs'!DN24</f>
        <v/>
      </c>
      <c r="DO8" s="53">
        <f>'Revenue'!DO27+'Revenue'!DO66-'Costs'!DO17+'Costs'!DO24</f>
        <v/>
      </c>
      <c r="DP8" s="53">
        <f>'Revenue'!DP27+'Revenue'!DP66-'Costs'!DP17+'Costs'!DP24</f>
        <v/>
      </c>
      <c r="DQ8" s="53">
        <f>'Revenue'!DQ27+'Revenue'!DQ66-'Costs'!DQ17+'Costs'!DQ24</f>
        <v/>
      </c>
      <c r="DR8" s="53">
        <f>'Revenue'!DR27+'Revenue'!DR66-'Costs'!DR17+'Costs'!DR24</f>
        <v/>
      </c>
      <c r="DS8" s="53">
        <f>'Revenue'!DS27+'Revenue'!DS66-'Costs'!DS17+'Costs'!DS24</f>
        <v/>
      </c>
      <c r="DT8" s="53">
        <f>'Revenue'!DT27+'Revenue'!DT66-'Costs'!DT17+'Costs'!DT24</f>
        <v/>
      </c>
      <c r="DU8" s="53">
        <f>'Revenue'!DU27+'Revenue'!DU66-'Costs'!DU17+'Costs'!DU24</f>
        <v/>
      </c>
      <c r="DV8" s="53">
        <f>'Revenue'!DV27+'Revenue'!DV66-'Costs'!DV17+'Costs'!DV24</f>
        <v/>
      </c>
      <c r="DW8" s="53">
        <f>'Revenue'!DW27+'Revenue'!DW66-'Costs'!DW17+'Costs'!DW24</f>
        <v/>
      </c>
      <c r="DX8" s="53">
        <f>'Revenue'!DX27+'Revenue'!DX66-'Costs'!DX17+'Costs'!DX24</f>
        <v/>
      </c>
      <c r="DY8" s="53">
        <f>'Revenue'!DY27+'Revenue'!DY66-'Costs'!DY17+'Costs'!DY24</f>
        <v/>
      </c>
      <c r="DZ8" s="53">
        <f>'Revenue'!DZ27+'Revenue'!DZ66-'Costs'!DZ17+'Costs'!DZ24</f>
        <v/>
      </c>
      <c r="EA8" s="53">
        <f>'Revenue'!EA27+'Revenue'!EA66-'Costs'!EA17+'Costs'!EA24</f>
        <v/>
      </c>
      <c r="EB8" s="53">
        <f>'Revenue'!EB27+'Revenue'!EB66-'Costs'!EB17+'Costs'!EB24</f>
        <v/>
      </c>
      <c r="EC8" s="53">
        <f>'Revenue'!EC27+'Revenue'!EC66-'Costs'!EC17+'Costs'!EC24</f>
        <v/>
      </c>
      <c r="ED8" s="53">
        <f>'Revenue'!ED27+'Revenue'!ED66-'Costs'!ED17+'Costs'!ED24</f>
        <v/>
      </c>
      <c r="EE8" s="53">
        <f>'Revenue'!EE27+'Revenue'!EE66-'Costs'!EE17+'Costs'!EE24</f>
        <v/>
      </c>
      <c r="EF8" s="53">
        <f>'Revenue'!EF27+'Revenue'!EF66-'Costs'!EF17+'Costs'!EF24</f>
        <v/>
      </c>
      <c r="EG8" s="53">
        <f>'Revenue'!EG27+'Revenue'!EG66-'Costs'!EG17+'Costs'!EG24</f>
        <v/>
      </c>
      <c r="EH8" s="53">
        <f>'Revenue'!EH27+'Revenue'!EH66-'Costs'!EH17+'Costs'!EH24</f>
        <v/>
      </c>
      <c r="EI8" s="53">
        <f>'Revenue'!EI27+'Revenue'!EI66-'Costs'!EI17+'Costs'!EI24</f>
        <v/>
      </c>
      <c r="EJ8" s="53">
        <f>'Revenue'!EJ27+'Revenue'!EJ66-'Costs'!EJ17+'Costs'!EJ24</f>
        <v/>
      </c>
      <c r="EK8" s="53">
        <f>'Revenue'!EK27+'Revenue'!EK66-'Costs'!EK17+'Costs'!EK24</f>
        <v/>
      </c>
      <c r="EL8" s="53">
        <f>'Revenue'!EL27+'Revenue'!EL66-'Costs'!EL17+'Costs'!EL24</f>
        <v/>
      </c>
      <c r="EM8" s="53">
        <f>'Revenue'!EM27+'Revenue'!EM66-'Costs'!EM17+'Costs'!EM24</f>
        <v/>
      </c>
      <c r="EN8" s="53">
        <f>'Revenue'!EN27+'Revenue'!EN66-'Costs'!EN17+'Costs'!EN24</f>
        <v/>
      </c>
      <c r="EO8" s="53">
        <f>'Revenue'!EO27+'Revenue'!EO66-'Costs'!EO17+'Costs'!EO24</f>
        <v/>
      </c>
      <c r="EP8" s="53">
        <f>'Revenue'!EP27+'Revenue'!EP66-'Costs'!EP17+'Costs'!EP24</f>
        <v/>
      </c>
      <c r="EQ8" s="53">
        <f>'Revenue'!EQ27+'Revenue'!EQ66-'Costs'!EQ17+'Costs'!EQ24</f>
        <v/>
      </c>
      <c r="ER8" s="53">
        <f>'Revenue'!ER27+'Revenue'!ER66-'Costs'!ER17+'Costs'!ER24</f>
        <v/>
      </c>
      <c r="ES8" s="53">
        <f>'Revenue'!ES27+'Revenue'!ES66-'Costs'!ES17+'Costs'!ES24</f>
        <v/>
      </c>
      <c r="ET8" s="53">
        <f>'Revenue'!ET27+'Revenue'!ET66-'Costs'!ET17+'Costs'!ET24</f>
        <v/>
      </c>
      <c r="EU8" s="53">
        <f>'Revenue'!EU27+'Revenue'!EU66-'Costs'!EU17+'Costs'!EU24</f>
        <v/>
      </c>
      <c r="EV8" s="53">
        <f>'Revenue'!EV27+'Revenue'!EV66-'Costs'!EV17+'Costs'!EV24</f>
        <v/>
      </c>
      <c r="EW8" s="53">
        <f>'Revenue'!EW27+'Revenue'!EW66-'Costs'!EW17+'Costs'!EW24</f>
        <v/>
      </c>
      <c r="EX8" s="53">
        <f>'Revenue'!EX27+'Revenue'!EX66-'Costs'!EX17+'Costs'!EX24</f>
        <v/>
      </c>
      <c r="EY8" s="53">
        <f>'Revenue'!EY27+'Revenue'!EY66-'Costs'!EY17+'Costs'!EY24</f>
        <v/>
      </c>
      <c r="EZ8" s="53">
        <f>'Revenue'!EZ27+'Revenue'!EZ66-'Costs'!EZ17+'Costs'!EZ24</f>
        <v/>
      </c>
      <c r="FA8" s="53">
        <f>'Revenue'!FA27+'Revenue'!FA66-'Costs'!FA17+'Costs'!FA24</f>
        <v/>
      </c>
      <c r="FB8" s="53">
        <f>'Revenue'!FB27+'Revenue'!FB66-'Costs'!FB17+'Costs'!FB24</f>
        <v/>
      </c>
      <c r="FC8" s="53">
        <f>'Revenue'!FC27+'Revenue'!FC66-'Costs'!FC17+'Costs'!FC24</f>
        <v/>
      </c>
      <c r="FD8" s="53">
        <f>'Revenue'!FD27+'Revenue'!FD66-'Costs'!FD17+'Costs'!FD24</f>
        <v/>
      </c>
      <c r="FE8" s="53">
        <f>'Revenue'!FE27+'Revenue'!FE66-'Costs'!FE17+'Costs'!FE24</f>
        <v/>
      </c>
      <c r="FF8" s="53">
        <f>'Revenue'!FF27+'Revenue'!FF66-'Costs'!FF17+'Costs'!FF24</f>
        <v/>
      </c>
      <c r="FG8" s="53">
        <f>'Revenue'!FG27+'Revenue'!FG66-'Costs'!FG17+'Costs'!FG24</f>
        <v/>
      </c>
      <c r="FH8" s="53">
        <f>'Revenue'!FH27+'Revenue'!FH66-'Costs'!FH17+'Costs'!FH24</f>
        <v/>
      </c>
      <c r="FI8" s="53">
        <f>'Revenue'!FI27+'Revenue'!FI66-'Costs'!FI17+'Costs'!FI24</f>
        <v/>
      </c>
      <c r="FJ8" s="53">
        <f>'Revenue'!FJ27+'Revenue'!FJ66-'Costs'!FJ17+'Costs'!FJ24</f>
        <v/>
      </c>
      <c r="FK8" s="53">
        <f>'Revenue'!FK27+'Revenue'!FK66-'Costs'!FK17+'Costs'!FK24</f>
        <v/>
      </c>
      <c r="FL8" s="53">
        <f>'Revenue'!FL27+'Revenue'!FL66-'Costs'!FL17+'Costs'!FL24</f>
        <v/>
      </c>
      <c r="FM8" s="53">
        <f>'Revenue'!FM27+'Revenue'!FM66-'Costs'!FM17+'Costs'!FM24</f>
        <v/>
      </c>
      <c r="FN8" s="53">
        <f>'Revenue'!FN27+'Revenue'!FN66-'Costs'!FN17+'Costs'!FN24</f>
        <v/>
      </c>
      <c r="FO8" s="53">
        <f>'Revenue'!FO27+'Revenue'!FO66-'Costs'!FO17+'Costs'!FO24</f>
        <v/>
      </c>
      <c r="FP8" s="53">
        <f>'Revenue'!FP27+'Revenue'!FP66-'Costs'!FP17+'Costs'!FP24</f>
        <v/>
      </c>
      <c r="FQ8" s="53">
        <f>'Revenue'!FQ27+'Revenue'!FQ66-'Costs'!FQ17+'Costs'!FQ24</f>
        <v/>
      </c>
      <c r="FR8" s="53">
        <f>'Revenue'!FR27+'Revenue'!FR66-'Costs'!FR17+'Costs'!FR24</f>
        <v/>
      </c>
      <c r="FS8" s="53">
        <f>'Revenue'!FS27+'Revenue'!FS66-'Costs'!FS17+'Costs'!FS24</f>
        <v/>
      </c>
      <c r="FT8" s="53">
        <f>'Revenue'!FT27+'Revenue'!FT66-'Costs'!FT17+'Costs'!FT24</f>
        <v/>
      </c>
      <c r="FU8" s="53">
        <f>'Revenue'!FU27+'Revenue'!FU66-'Costs'!FU17+'Costs'!FU24</f>
        <v/>
      </c>
      <c r="FV8" s="53">
        <f>'Revenue'!FV27+'Revenue'!FV66-'Costs'!FV17+'Costs'!FV24</f>
        <v/>
      </c>
      <c r="FW8" s="53">
        <f>'Revenue'!FW27+'Revenue'!FW66-'Costs'!FW17+'Costs'!FW24</f>
        <v/>
      </c>
      <c r="FX8" s="53">
        <f>'Revenue'!FX27+'Revenue'!FX66-'Costs'!FX17+'Costs'!FX24</f>
        <v/>
      </c>
      <c r="FY8" s="53">
        <f>'Revenue'!FY27+'Revenue'!FY66-'Costs'!FY17+'Costs'!FY24</f>
        <v/>
      </c>
      <c r="FZ8" s="53">
        <f>'Revenue'!FZ27+'Revenue'!FZ66-'Costs'!FZ17+'Costs'!FZ24</f>
        <v/>
      </c>
      <c r="GA8" s="53">
        <f>'Revenue'!GA27+'Revenue'!GA66-'Costs'!GA17+'Costs'!GA24</f>
        <v/>
      </c>
      <c r="GB8" s="53">
        <f>'Revenue'!GB27+'Revenue'!GB66-'Costs'!GB17+'Costs'!GB24</f>
        <v/>
      </c>
      <c r="GC8" s="53">
        <f>'Revenue'!GC27+'Revenue'!GC66-'Costs'!GC17+'Costs'!GC24</f>
        <v/>
      </c>
      <c r="GD8" s="53">
        <f>'Revenue'!GD27+'Revenue'!GD66-'Costs'!GD17+'Costs'!GD24</f>
        <v/>
      </c>
      <c r="GE8" s="53">
        <f>'Revenue'!GE27+'Revenue'!GE66-'Costs'!GE17+'Costs'!GE24</f>
        <v/>
      </c>
      <c r="GF8" s="53">
        <f>'Revenue'!GF27+'Revenue'!GF66-'Costs'!GF17+'Costs'!GF24</f>
        <v/>
      </c>
      <c r="GG8" s="53">
        <f>'Revenue'!GG27+'Revenue'!GG66-'Costs'!GG17+'Costs'!GG24</f>
        <v/>
      </c>
      <c r="GH8" s="53">
        <f>'Revenue'!GH27+'Revenue'!GH66-'Costs'!GH17+'Costs'!GH24</f>
        <v/>
      </c>
      <c r="GI8" s="53">
        <f>'Revenue'!GI27+'Revenue'!GI66-'Costs'!GI17+'Costs'!GI24</f>
        <v/>
      </c>
      <c r="GJ8" s="53">
        <f>'Revenue'!GJ27+'Revenue'!GJ66-'Costs'!GJ17+'Costs'!GJ24</f>
        <v/>
      </c>
      <c r="GK8" s="53">
        <f>'Revenue'!GK27+'Revenue'!GK66-'Costs'!GK17+'Costs'!GK24</f>
        <v/>
      </c>
      <c r="GL8" s="53">
        <f>'Revenue'!GL27+'Revenue'!GL66-'Costs'!GL17+'Costs'!GL24</f>
        <v/>
      </c>
      <c r="GM8" s="53">
        <f>'Revenue'!GM27+'Revenue'!GM66-'Costs'!GM17+'Costs'!GM24</f>
        <v/>
      </c>
      <c r="GN8" s="53">
        <f>'Revenue'!GN27+'Revenue'!GN66-'Costs'!GN17+'Costs'!GN24</f>
        <v/>
      </c>
      <c r="GO8" s="53">
        <f>'Revenue'!GO27+'Revenue'!GO66-'Costs'!GO17+'Costs'!GO24</f>
        <v/>
      </c>
      <c r="GP8" s="53">
        <f>'Revenue'!GP27+'Revenue'!GP66-'Costs'!GP17+'Costs'!GP24</f>
        <v/>
      </c>
      <c r="GQ8" s="53">
        <f>'Revenue'!GQ27+'Revenue'!GQ66-'Costs'!GQ17+'Costs'!GQ24</f>
        <v/>
      </c>
      <c r="GR8" s="53">
        <f>'Revenue'!GR27+'Revenue'!GR66-'Costs'!GR17+'Costs'!GR24</f>
        <v/>
      </c>
      <c r="GS8" s="53">
        <f>'Revenue'!GS27+'Revenue'!GS66-'Costs'!GS17+'Costs'!GS24</f>
        <v/>
      </c>
      <c r="GT8" s="53">
        <f>'Revenue'!GT27+'Revenue'!GT66-'Costs'!GT17+'Costs'!GT24</f>
        <v/>
      </c>
      <c r="GU8" s="53">
        <f>'Revenue'!GU27+'Revenue'!GU66-'Costs'!GU17+'Costs'!GU24</f>
        <v/>
      </c>
      <c r="GV8" s="53">
        <f>'Revenue'!GV27+'Revenue'!GV66-'Costs'!GV17+'Costs'!GV24</f>
        <v/>
      </c>
      <c r="GW8" s="53">
        <f>'Revenue'!GW27+'Revenue'!GW66-'Costs'!GW17+'Costs'!GW24</f>
        <v/>
      </c>
      <c r="GX8" s="53">
        <f>'Revenue'!GX27+'Revenue'!GX66-'Costs'!GX17+'Costs'!GX24</f>
        <v/>
      </c>
      <c r="GY8" s="53">
        <f>'Revenue'!GY27+'Revenue'!GY66-'Costs'!GY17+'Costs'!GY24</f>
        <v/>
      </c>
      <c r="GZ8" s="53">
        <f>'Revenue'!GZ27+'Revenue'!GZ66-'Costs'!GZ17+'Costs'!GZ24</f>
        <v/>
      </c>
      <c r="HA8" s="53">
        <f>'Revenue'!HA27+'Revenue'!HA66-'Costs'!HA17+'Costs'!HA24</f>
        <v/>
      </c>
      <c r="HB8" s="53">
        <f>'Revenue'!HB27+'Revenue'!HB66-'Costs'!HB17+'Costs'!HB24</f>
        <v/>
      </c>
      <c r="HC8" s="53">
        <f>'Revenue'!HC27+'Revenue'!HC66-'Costs'!HC17+'Costs'!HC24</f>
        <v/>
      </c>
      <c r="HD8" s="53">
        <f>'Revenue'!HD27+'Revenue'!HD66-'Costs'!HD17+'Costs'!HD24</f>
        <v/>
      </c>
      <c r="HE8" s="53">
        <f>'Revenue'!HE27+'Revenue'!HE66-'Costs'!HE17+'Costs'!HE24</f>
        <v/>
      </c>
      <c r="HF8" s="53">
        <f>'Revenue'!HF27+'Revenue'!HF66-'Costs'!HF17+'Costs'!HF24</f>
        <v/>
      </c>
      <c r="HG8" s="53">
        <f>'Revenue'!HG27+'Revenue'!HG66-'Costs'!HG17+'Costs'!HG24</f>
        <v/>
      </c>
      <c r="HH8" s="53">
        <f>'Revenue'!HH27+'Revenue'!HH66-'Costs'!HH17+'Costs'!HH24</f>
        <v/>
      </c>
      <c r="HI8" s="53">
        <f>'Revenue'!HI27+'Revenue'!HI66-'Costs'!HI17+'Costs'!HI24</f>
        <v/>
      </c>
      <c r="HJ8" s="53">
        <f>'Revenue'!HJ27+'Revenue'!HJ66-'Costs'!HJ17+'Costs'!HJ24</f>
        <v/>
      </c>
      <c r="HK8" s="53">
        <f>'Revenue'!HK27+'Revenue'!HK66-'Costs'!HK17+'Costs'!HK24</f>
        <v/>
      </c>
      <c r="HL8" s="53">
        <f>'Revenue'!HL27+'Revenue'!HL66-'Costs'!HL17+'Costs'!HL24</f>
        <v/>
      </c>
      <c r="HM8" s="53">
        <f>'Revenue'!HM27+'Revenue'!HM66-'Costs'!HM17+'Costs'!HM24</f>
        <v/>
      </c>
      <c r="HN8" s="53">
        <f>'Revenue'!HN27+'Revenue'!HN66-'Costs'!HN17+'Costs'!HN24</f>
        <v/>
      </c>
      <c r="HO8" s="53">
        <f>'Revenue'!HO27+'Revenue'!HO66-'Costs'!HO17+'Costs'!HO24</f>
        <v/>
      </c>
      <c r="HP8" s="53">
        <f>'Revenue'!HP27+'Revenue'!HP66-'Costs'!HP17+'Costs'!HP24</f>
        <v/>
      </c>
      <c r="HQ8" s="53">
        <f>'Revenue'!HQ27+'Revenue'!HQ66-'Costs'!HQ17+'Costs'!HQ24</f>
        <v/>
      </c>
      <c r="HR8" s="53">
        <f>'Revenue'!HR27+'Revenue'!HR66-'Costs'!HR17+'Costs'!HR24</f>
        <v/>
      </c>
      <c r="HS8" s="53">
        <f>'Revenue'!HS27+'Revenue'!HS66-'Costs'!HS17+'Costs'!HS24</f>
        <v/>
      </c>
      <c r="HT8" s="53">
        <f>'Revenue'!HT27+'Revenue'!HT66-'Costs'!HT17+'Costs'!HT24</f>
        <v/>
      </c>
      <c r="HU8" s="53">
        <f>'Revenue'!HU27+'Revenue'!HU66-'Costs'!HU17+'Costs'!HU24</f>
        <v/>
      </c>
      <c r="HV8" s="53">
        <f>'Revenue'!HV27+'Revenue'!HV66-'Costs'!HV17+'Costs'!HV24</f>
        <v/>
      </c>
      <c r="HW8" s="53">
        <f>'Revenue'!HW27+'Revenue'!HW66-'Costs'!HW17+'Costs'!HW24</f>
        <v/>
      </c>
      <c r="HX8" s="53">
        <f>'Revenue'!HX27+'Revenue'!HX66-'Costs'!HX17+'Costs'!HX24</f>
        <v/>
      </c>
      <c r="HY8" s="53">
        <f>'Revenue'!HY27+'Revenue'!HY66-'Costs'!HY17+'Costs'!HY24</f>
        <v/>
      </c>
      <c r="HZ8" s="53">
        <f>'Revenue'!HZ27+'Revenue'!HZ66-'Costs'!HZ17+'Costs'!HZ24</f>
        <v/>
      </c>
      <c r="IA8" s="53">
        <f>'Revenue'!IA27+'Revenue'!IA66-'Costs'!IA17+'Costs'!IA24</f>
        <v/>
      </c>
      <c r="IB8" s="53">
        <f>'Revenue'!IB27+'Revenue'!IB66-'Costs'!IB17+'Costs'!IB24</f>
        <v/>
      </c>
      <c r="IC8" s="53">
        <f>'Revenue'!IC27+'Revenue'!IC66-'Costs'!IC17+'Costs'!IC24</f>
        <v/>
      </c>
      <c r="ID8" s="53">
        <f>'Revenue'!ID27+'Revenue'!ID66-'Costs'!ID17+'Costs'!ID24</f>
        <v/>
      </c>
      <c r="IE8" s="53">
        <f>'Revenue'!IE27+'Revenue'!IE66-'Costs'!IE17+'Costs'!IE24</f>
        <v/>
      </c>
      <c r="IF8" s="53">
        <f>'Revenue'!IF27+'Revenue'!IF66-'Costs'!IF17+'Costs'!IF24</f>
        <v/>
      </c>
      <c r="IG8" s="53">
        <f>'Revenue'!IG27+'Revenue'!IG66-'Costs'!IG17+'Costs'!IG24</f>
        <v/>
      </c>
      <c r="IH8" s="53">
        <f>'Revenue'!IH27+'Revenue'!IH66-'Costs'!IH17+'Costs'!IH24</f>
        <v/>
      </c>
      <c r="II8" s="53">
        <f>'Revenue'!II27+'Revenue'!II66-'Costs'!II17+'Costs'!II24</f>
        <v/>
      </c>
      <c r="IJ8" s="53">
        <f>'Revenue'!IJ27+'Revenue'!IJ66-'Costs'!IJ17+'Costs'!IJ24</f>
        <v/>
      </c>
      <c r="IK8" s="53">
        <f>'Revenue'!IK27+'Revenue'!IK66-'Costs'!IK17+'Costs'!IK24</f>
        <v/>
      </c>
      <c r="IL8" s="53">
        <f>'Revenue'!IL27+'Revenue'!IL66-'Costs'!IL17+'Costs'!IL24</f>
        <v/>
      </c>
      <c r="IM8" s="53">
        <f>'Revenue'!IM27+'Revenue'!IM66-'Costs'!IM17+'Costs'!IM24</f>
        <v/>
      </c>
      <c r="IN8" s="53">
        <f>'Revenue'!IN27+'Revenue'!IN66-'Costs'!IN17+'Costs'!IN24</f>
        <v/>
      </c>
      <c r="IO8" s="53">
        <f>'Revenue'!IO27+'Revenue'!IO66-'Costs'!IO17+'Costs'!IO24</f>
        <v/>
      </c>
      <c r="IP8" s="53">
        <f>'Revenue'!IP27+'Revenue'!IP66-'Costs'!IP17+'Costs'!IP24</f>
        <v/>
      </c>
      <c r="IQ8" s="53">
        <f>'Revenue'!IQ27+'Revenue'!IQ66-'Costs'!IQ17+'Costs'!IQ24</f>
        <v/>
      </c>
      <c r="IR8" s="53">
        <f>'Revenue'!IR27+'Revenue'!IR66-'Costs'!IR17+'Costs'!IR24</f>
        <v/>
      </c>
      <c r="IS8" s="53">
        <f>'Revenue'!IS27+'Revenue'!IS66-'Costs'!IS17+'Costs'!IS24</f>
        <v/>
      </c>
      <c r="IT8" s="53">
        <f>'Revenue'!IT27+'Revenue'!IT66-'Costs'!IT17+'Costs'!IT24</f>
        <v/>
      </c>
      <c r="IU8" s="53">
        <f>'Revenue'!IU27+'Revenue'!IU66-'Costs'!IU17+'Costs'!IU24</f>
        <v/>
      </c>
      <c r="IV8" s="53">
        <f>'Revenue'!IV27+'Revenue'!IV66-'Costs'!IV17+'Costs'!IV24</f>
        <v/>
      </c>
      <c r="IW8" s="53">
        <f>'Revenue'!IW27+'Revenue'!IW66-'Costs'!IW17+'Costs'!IW24</f>
        <v/>
      </c>
      <c r="IX8" s="53">
        <f>'Revenue'!IX27+'Revenue'!IX66-'Costs'!IX17+'Costs'!IX24</f>
        <v/>
      </c>
      <c r="IY8" s="53">
        <f>'Revenue'!IY27+'Revenue'!IY66-'Costs'!IY17+'Costs'!IY24</f>
        <v/>
      </c>
      <c r="IZ8" s="53">
        <f>'Revenue'!IZ27+'Revenue'!IZ66-'Costs'!IZ17+'Costs'!IZ24</f>
        <v/>
      </c>
      <c r="JA8" s="53">
        <f>'Revenue'!JA27+'Revenue'!JA66-'Costs'!JA17+'Costs'!JA24</f>
        <v/>
      </c>
      <c r="JB8" s="53">
        <f>'Revenue'!JB27+'Revenue'!JB66-'Costs'!JB17+'Costs'!JB24</f>
        <v/>
      </c>
      <c r="JC8" s="53">
        <f>'Revenue'!JC27+'Revenue'!JC66-'Costs'!JC17+'Costs'!JC24</f>
        <v/>
      </c>
      <c r="JD8" s="53">
        <f>'Revenue'!JD27+'Revenue'!JD66-'Costs'!JD17+'Costs'!JD24</f>
        <v/>
      </c>
      <c r="JE8" s="53">
        <f>'Revenue'!JE27+'Revenue'!JE66-'Costs'!JE17+'Costs'!JE24</f>
        <v/>
      </c>
      <c r="JF8" s="53">
        <f>'Revenue'!JF27+'Revenue'!JF66-'Costs'!JF17+'Costs'!JF24</f>
        <v/>
      </c>
      <c r="JG8" s="53">
        <f>'Revenue'!JG27+'Revenue'!JG66-'Costs'!JG17+'Costs'!JG24</f>
        <v/>
      </c>
      <c r="JH8" s="53">
        <f>'Revenue'!JH27+'Revenue'!JH66-'Costs'!JH17+'Costs'!JH24</f>
        <v/>
      </c>
      <c r="JI8" s="53">
        <f>'Revenue'!JI27+'Revenue'!JI66-'Costs'!JI17+'Costs'!JI24</f>
        <v/>
      </c>
      <c r="JJ8" s="53">
        <f>'Revenue'!JJ27+'Revenue'!JJ66-'Costs'!JJ17+'Costs'!JJ24</f>
        <v/>
      </c>
      <c r="JK8" s="53">
        <f>'Revenue'!JK27+'Revenue'!JK66-'Costs'!JK17+'Costs'!JK24</f>
        <v/>
      </c>
      <c r="JL8" s="53">
        <f>'Revenue'!JL27+'Revenue'!JL66-'Costs'!JL17+'Costs'!JL24</f>
        <v/>
      </c>
      <c r="JM8" s="53">
        <f>'Revenue'!JM27+'Revenue'!JM66-'Costs'!JM17+'Costs'!JM24</f>
        <v/>
      </c>
      <c r="JN8" s="53">
        <f>'Revenue'!JN27+'Revenue'!JN66-'Costs'!JN17+'Costs'!JN24</f>
        <v/>
      </c>
      <c r="JO8" s="53">
        <f>'Revenue'!JO27+'Revenue'!JO66-'Costs'!JO17+'Costs'!JO24</f>
        <v/>
      </c>
      <c r="JP8" s="53">
        <f>'Revenue'!JP27+'Revenue'!JP66-'Costs'!JP17+'Costs'!JP24</f>
        <v/>
      </c>
      <c r="JQ8" s="53">
        <f>'Revenue'!JQ27+'Revenue'!JQ66-'Costs'!JQ17+'Costs'!JQ24</f>
        <v/>
      </c>
      <c r="JR8" s="53">
        <f>'Revenue'!JR27+'Revenue'!JR66-'Costs'!JR17+'Costs'!JR24</f>
        <v/>
      </c>
      <c r="JS8" s="53">
        <f>'Revenue'!JS27+'Revenue'!JS66-'Costs'!JS17+'Costs'!JS24</f>
        <v/>
      </c>
      <c r="JT8" s="53">
        <f>'Revenue'!JT27+'Revenue'!JT66-'Costs'!JT17+'Costs'!JT24</f>
        <v/>
      </c>
      <c r="JU8" s="53">
        <f>'Revenue'!JU27+'Revenue'!JU66-'Costs'!JU17+'Costs'!JU24</f>
        <v/>
      </c>
      <c r="JV8" s="53">
        <f>'Revenue'!JV27+'Revenue'!JV66-'Costs'!JV17+'Costs'!JV24</f>
        <v/>
      </c>
      <c r="JW8" s="53">
        <f>'Revenue'!JW27+'Revenue'!JW66-'Costs'!JW17+'Costs'!JW24</f>
        <v/>
      </c>
      <c r="JX8" s="53">
        <f>'Revenue'!JX27+'Revenue'!JX66-'Costs'!JX17+'Costs'!JX24</f>
        <v/>
      </c>
      <c r="JY8" s="53">
        <f>'Revenue'!JY27+'Revenue'!JY66-'Costs'!JY17+'Costs'!JY24</f>
        <v/>
      </c>
      <c r="JZ8" s="53">
        <f>'Revenue'!JZ27+'Revenue'!JZ66-'Costs'!JZ17+'Costs'!JZ24</f>
        <v/>
      </c>
      <c r="KA8" s="53">
        <f>'Revenue'!KA27+'Revenue'!KA66-'Costs'!KA17+'Costs'!KA24</f>
        <v/>
      </c>
      <c r="KB8" s="53">
        <f>'Revenue'!KB27+'Revenue'!KB66-'Costs'!KB17+'Costs'!KB24</f>
        <v/>
      </c>
      <c r="KC8" s="53">
        <f>'Revenue'!KC27+'Revenue'!KC66-'Costs'!KC17+'Costs'!KC24</f>
        <v/>
      </c>
      <c r="KD8" s="53">
        <f>'Revenue'!KD27+'Revenue'!KD66-'Costs'!KD17+'Costs'!KD24</f>
        <v/>
      </c>
      <c r="KE8" s="53">
        <f>'Revenue'!KE27+'Revenue'!KE66-'Costs'!KE17+'Costs'!KE24</f>
        <v/>
      </c>
      <c r="KF8" s="53">
        <f>'Revenue'!KF27+'Revenue'!KF66-'Costs'!KF17+'Costs'!KF24</f>
        <v/>
      </c>
      <c r="KG8" s="53">
        <f>'Revenue'!KG27+'Revenue'!KG66-'Costs'!KG17+'Costs'!KG24</f>
        <v/>
      </c>
      <c r="KH8" s="53">
        <f>'Revenue'!KH27+'Revenue'!KH66-'Costs'!KH17+'Costs'!KH24</f>
        <v/>
      </c>
      <c r="KI8" s="53">
        <f>'Revenue'!KI27+'Revenue'!KI66-'Costs'!KI17+'Costs'!KI24</f>
        <v/>
      </c>
      <c r="KJ8" s="53">
        <f>'Revenue'!KJ27+'Revenue'!KJ66-'Costs'!KJ17+'Costs'!KJ24</f>
        <v/>
      </c>
      <c r="KK8" s="53">
        <f>'Revenue'!KK27+'Revenue'!KK66-'Costs'!KK17+'Costs'!KK24</f>
        <v/>
      </c>
      <c r="KL8" s="53">
        <f>'Revenue'!KL27+'Revenue'!KL66-'Costs'!KL17+'Costs'!KL24</f>
        <v/>
      </c>
      <c r="KM8" s="53">
        <f>'Revenue'!KM27+'Revenue'!KM66-'Costs'!KM17+'Costs'!KM24</f>
        <v/>
      </c>
      <c r="KN8" s="53">
        <f>'Revenue'!KN27+'Revenue'!KN66-'Costs'!KN17+'Costs'!KN24</f>
        <v/>
      </c>
      <c r="KO8" s="53">
        <f>'Revenue'!KO27+'Revenue'!KO66-'Costs'!KO17+'Costs'!KO24</f>
        <v/>
      </c>
      <c r="KP8" s="53">
        <f>'Revenue'!KP27+'Revenue'!KP66-'Costs'!KP17+'Costs'!KP24</f>
        <v/>
      </c>
      <c r="KQ8" s="53">
        <f>'Revenue'!KQ27+'Revenue'!KQ66-'Costs'!KQ17+'Costs'!KQ24</f>
        <v/>
      </c>
      <c r="KR8" s="53">
        <f>'Revenue'!KR27+'Revenue'!KR66-'Costs'!KR17+'Costs'!KR24</f>
        <v/>
      </c>
      <c r="KS8" s="53">
        <f>'Revenue'!KS27+'Revenue'!KS66-'Costs'!KS17+'Costs'!KS24</f>
        <v/>
      </c>
      <c r="KT8" s="53">
        <f>'Revenue'!KT27+'Revenue'!KT66-'Costs'!KT17+'Costs'!KT24</f>
        <v/>
      </c>
      <c r="KU8" s="53">
        <f>'Revenue'!KU27+'Revenue'!KU66-'Costs'!KU17+'Costs'!KU24</f>
        <v/>
      </c>
      <c r="KV8" s="53">
        <f>'Revenue'!KV27+'Revenue'!KV66-'Costs'!KV17+'Costs'!KV24</f>
        <v/>
      </c>
      <c r="KW8" s="53">
        <f>'Revenue'!KW27+'Revenue'!KW66-'Costs'!KW17+'Costs'!KW24</f>
        <v/>
      </c>
      <c r="KX8" s="53">
        <f>'Revenue'!KX27+'Revenue'!KX66-'Costs'!KX17+'Costs'!KX24</f>
        <v/>
      </c>
      <c r="KY8" s="53">
        <f>'Revenue'!KY27+'Revenue'!KY66-'Costs'!KY17+'Costs'!KY24</f>
        <v/>
      </c>
      <c r="KZ8" s="53">
        <f>'Revenue'!KZ27+'Revenue'!KZ66-'Costs'!KZ17+'Costs'!KZ24</f>
        <v/>
      </c>
      <c r="LA8" s="53">
        <f>'Revenue'!LA27+'Revenue'!LA66-'Costs'!LA17+'Costs'!LA24</f>
        <v/>
      </c>
      <c r="LB8" s="53">
        <f>'Revenue'!LB27+'Revenue'!LB66-'Costs'!LB17+'Costs'!LB24</f>
        <v/>
      </c>
      <c r="LC8" s="53">
        <f>'Revenue'!LC27+'Revenue'!LC66-'Costs'!LC17+'Costs'!LC24</f>
        <v/>
      </c>
      <c r="LD8" s="53">
        <f>'Revenue'!LD27+'Revenue'!LD66-'Costs'!LD17+'Costs'!LD24</f>
        <v/>
      </c>
      <c r="LE8" s="53">
        <f>'Revenue'!LE27+'Revenue'!LE66-'Costs'!LE17+'Costs'!LE24</f>
        <v/>
      </c>
      <c r="LF8" s="53">
        <f>'Revenue'!LF27+'Revenue'!LF66-'Costs'!LF17+'Costs'!LF24</f>
        <v/>
      </c>
      <c r="LG8" s="53">
        <f>'Revenue'!LG27+'Revenue'!LG66-'Costs'!LG17+'Costs'!LG24</f>
        <v/>
      </c>
      <c r="LH8" s="53">
        <f>'Revenue'!LH27+'Revenue'!LH66-'Costs'!LH17+'Costs'!LH24</f>
        <v/>
      </c>
      <c r="LI8" s="53">
        <f>'Revenue'!LI27+'Revenue'!LI66-'Costs'!LI17+'Costs'!LI24</f>
        <v/>
      </c>
      <c r="LJ8" s="53">
        <f>'Revenue'!LJ27+'Revenue'!LJ66-'Costs'!LJ17+'Costs'!LJ24</f>
        <v/>
      </c>
      <c r="LK8" s="53">
        <f>'Revenue'!LK27+'Revenue'!LK66-'Costs'!LK17+'Costs'!LK24</f>
        <v/>
      </c>
      <c r="LL8" s="53">
        <f>'Revenue'!LL27+'Revenue'!LL66-'Costs'!LL17+'Costs'!LL24</f>
        <v/>
      </c>
      <c r="LM8" s="53">
        <f>'Revenue'!LM27+'Revenue'!LM66-'Costs'!LM17+'Costs'!LM24</f>
        <v/>
      </c>
      <c r="LN8" s="53">
        <f>'Revenue'!LN27+'Revenue'!LN66-'Costs'!LN17+'Costs'!LN24</f>
        <v/>
      </c>
      <c r="LO8" s="53">
        <f>'Revenue'!LO27+'Revenue'!LO66-'Costs'!LO17+'Costs'!LO24</f>
        <v/>
      </c>
      <c r="LP8" s="53">
        <f>'Revenue'!LP27+'Revenue'!LP66-'Costs'!LP17+'Costs'!LP24</f>
        <v/>
      </c>
      <c r="LQ8" s="53">
        <f>'Revenue'!LQ27+'Revenue'!LQ66-'Costs'!LQ17+'Costs'!LQ24</f>
        <v/>
      </c>
      <c r="LR8" s="53">
        <f>'Revenue'!LR27+'Revenue'!LR66-'Costs'!LR17+'Costs'!LR24</f>
        <v/>
      </c>
      <c r="LS8" s="53">
        <f>'Revenue'!LS27+'Revenue'!LS66-'Costs'!LS17+'Costs'!LS24</f>
        <v/>
      </c>
      <c r="LT8" s="53">
        <f>'Revenue'!LT27+'Revenue'!LT66-'Costs'!LT17+'Costs'!LT24</f>
        <v/>
      </c>
      <c r="LU8" s="53">
        <f>'Revenue'!LU27+'Revenue'!LU66-'Costs'!LU17+'Costs'!LU24</f>
        <v/>
      </c>
      <c r="LV8" s="53">
        <f>'Revenue'!LV27+'Revenue'!LV66-'Costs'!LV17+'Costs'!LV24</f>
        <v/>
      </c>
      <c r="LW8" s="53">
        <f>'Revenue'!LW27+'Revenue'!LW66-'Costs'!LW17+'Costs'!LW24</f>
        <v/>
      </c>
      <c r="LX8" s="53">
        <f>'Revenue'!LX27+'Revenue'!LX66-'Costs'!LX17+'Costs'!LX24</f>
        <v/>
      </c>
      <c r="LY8" s="53">
        <f>'Revenue'!LY27+'Revenue'!LY66-'Costs'!LY17+'Costs'!LY24</f>
        <v/>
      </c>
      <c r="LZ8" s="53">
        <f>'Revenue'!LZ27+'Revenue'!LZ66-'Costs'!LZ17+'Costs'!LZ24</f>
        <v/>
      </c>
      <c r="MA8" s="53">
        <f>'Revenue'!MA27+'Revenue'!MA66-'Costs'!MA17+'Costs'!MA24</f>
        <v/>
      </c>
      <c r="MB8" s="53">
        <f>'Revenue'!MB27+'Revenue'!MB66-'Costs'!MB17+'Costs'!MB24</f>
        <v/>
      </c>
      <c r="MC8" s="53">
        <f>'Revenue'!MC27+'Revenue'!MC66-'Costs'!MC17+'Costs'!MC24</f>
        <v/>
      </c>
      <c r="MD8" s="53">
        <f>'Revenue'!MD27+'Revenue'!MD66-'Costs'!MD17+'Costs'!MD24</f>
        <v/>
      </c>
      <c r="ME8" s="53">
        <f>'Revenue'!ME27+'Revenue'!ME66-'Costs'!ME17+'Costs'!ME24</f>
        <v/>
      </c>
      <c r="MF8" s="53">
        <f>'Revenue'!MF27+'Revenue'!MF66-'Costs'!MF17+'Costs'!MF24</f>
        <v/>
      </c>
      <c r="MG8" s="53">
        <f>'Revenue'!MG27+'Revenue'!MG66-'Costs'!MG17+'Costs'!MG24</f>
        <v/>
      </c>
      <c r="MH8" s="53">
        <f>'Revenue'!MH27+'Revenue'!MH66-'Costs'!MH17+'Costs'!MH24</f>
        <v/>
      </c>
      <c r="MI8" s="53">
        <f>'Revenue'!MI27+'Revenue'!MI66-'Costs'!MI17+'Costs'!MI24</f>
        <v/>
      </c>
      <c r="MJ8" s="53">
        <f>'Revenue'!MJ27+'Revenue'!MJ66-'Costs'!MJ17+'Costs'!MJ24</f>
        <v/>
      </c>
      <c r="MK8" s="53">
        <f>'Revenue'!MK27+'Revenue'!MK66-'Costs'!MK17+'Costs'!MK24</f>
        <v/>
      </c>
      <c r="ML8" s="53">
        <f>'Revenue'!ML27+'Revenue'!ML66-'Costs'!ML17+'Costs'!ML24</f>
        <v/>
      </c>
      <c r="MM8" s="53">
        <f>'Revenue'!MM27+'Revenue'!MM66-'Costs'!MM17+'Costs'!MM24</f>
        <v/>
      </c>
      <c r="MN8" s="53">
        <f>'Revenue'!MN27+'Revenue'!MN66-'Costs'!MN17+'Costs'!MN24</f>
        <v/>
      </c>
      <c r="MO8" s="53">
        <f>'Revenue'!MO27+'Revenue'!MO66-'Costs'!MO17+'Costs'!MO24</f>
        <v/>
      </c>
      <c r="MP8" s="53">
        <f>'Revenue'!MP27+'Revenue'!MP66-'Costs'!MP17+'Costs'!MP24</f>
        <v/>
      </c>
      <c r="MQ8" s="53">
        <f>'Revenue'!MQ27+'Revenue'!MQ66-'Costs'!MQ17+'Costs'!MQ24</f>
        <v/>
      </c>
      <c r="MR8" s="53">
        <f>'Revenue'!MR27+'Revenue'!MR66-'Costs'!MR17+'Costs'!MR24</f>
        <v/>
      </c>
      <c r="MS8" s="53">
        <f>'Revenue'!MS27+'Revenue'!MS66-'Costs'!MS17+'Costs'!MS24</f>
        <v/>
      </c>
      <c r="MT8" s="53">
        <f>'Revenue'!MT27+'Revenue'!MT66-'Costs'!MT17+'Costs'!MT24</f>
        <v/>
      </c>
      <c r="MU8" s="53">
        <f>'Revenue'!MU27+'Revenue'!MU66-'Costs'!MU17+'Costs'!MU24</f>
        <v/>
      </c>
      <c r="MV8" s="53">
        <f>'Revenue'!MV27+'Revenue'!MV66-'Costs'!MV17+'Costs'!MV24</f>
        <v/>
      </c>
      <c r="MW8" s="53">
        <f>'Revenue'!MW27+'Revenue'!MW66-'Costs'!MW17+'Costs'!MW24</f>
        <v/>
      </c>
      <c r="MX8" s="53">
        <f>'Revenue'!MX27+'Revenue'!MX66-'Costs'!MX17+'Costs'!MX24</f>
        <v/>
      </c>
      <c r="MY8" s="53">
        <f>'Revenue'!MY27+'Revenue'!MY66-'Costs'!MY17+'Costs'!MY24</f>
        <v/>
      </c>
      <c r="MZ8" s="53">
        <f>'Revenue'!MZ27+'Revenue'!MZ66-'Costs'!MZ17+'Costs'!MZ24</f>
        <v/>
      </c>
      <c r="NA8" s="53">
        <f>'Revenue'!NA27+'Revenue'!NA66-'Costs'!NA17+'Costs'!NA24</f>
        <v/>
      </c>
      <c r="NB8" s="53">
        <f>'Revenue'!NB27+'Revenue'!NB66-'Costs'!NB17+'Costs'!NB24</f>
        <v/>
      </c>
      <c r="NC8" s="53">
        <f>'Revenue'!NC27+'Revenue'!NC66-'Costs'!NC17+'Costs'!NC24</f>
        <v/>
      </c>
      <c r="ND8" s="53">
        <f>'Revenue'!ND27+'Revenue'!ND66-'Costs'!ND17+'Costs'!ND24</f>
        <v/>
      </c>
      <c r="NE8" s="53">
        <f>'Revenue'!NE27+'Revenue'!NE66-'Costs'!NE17+'Costs'!NE24</f>
        <v/>
      </c>
      <c r="NF8" s="53">
        <f>'Revenue'!NF27+'Revenue'!NF66-'Costs'!NF17+'Costs'!NF24</f>
        <v/>
      </c>
      <c r="NG8" s="53">
        <f>'Revenue'!NG27+'Revenue'!NG66-'Costs'!NG17+'Costs'!NG24</f>
        <v/>
      </c>
      <c r="NH8" s="53">
        <f>'Revenue'!NH27+'Revenue'!NH66-'Costs'!NH17+'Costs'!NH24</f>
        <v/>
      </c>
      <c r="NI8" s="53">
        <f>'Revenue'!NI27+'Revenue'!NI66-'Costs'!NI17+'Costs'!NI24</f>
        <v/>
      </c>
      <c r="NJ8" s="53">
        <f>'Revenue'!NJ27+'Revenue'!NJ66-'Costs'!NJ17+'Costs'!NJ24</f>
        <v/>
      </c>
      <c r="NK8" s="53">
        <f>'Revenue'!NK27+'Revenue'!NK66-'Costs'!NK17+'Costs'!NK24</f>
        <v/>
      </c>
      <c r="NL8" s="53">
        <f>'Revenue'!NL27+'Revenue'!NL66-'Costs'!NL17+'Costs'!NL24</f>
        <v/>
      </c>
      <c r="NM8" s="53">
        <f>'Revenue'!NM27+'Revenue'!NM66-'Costs'!NM17+'Costs'!NM24</f>
        <v/>
      </c>
      <c r="NN8" s="53">
        <f>'Revenue'!NN27+'Revenue'!NN66-'Costs'!NN17+'Costs'!NN24</f>
        <v/>
      </c>
      <c r="NO8" s="53">
        <f>'Revenue'!NO27+'Revenue'!NO66-'Costs'!NO17+'Costs'!NO24</f>
        <v/>
      </c>
      <c r="NP8" s="53">
        <f>'Revenue'!NP27+'Revenue'!NP66-'Costs'!NP17+'Costs'!NP24</f>
        <v/>
      </c>
      <c r="NQ8" s="53">
        <f>'Revenue'!NQ27+'Revenue'!NQ66-'Costs'!NQ17+'Costs'!NQ24</f>
        <v/>
      </c>
      <c r="NR8" s="53">
        <f>'Revenue'!NR27+'Revenue'!NR66-'Costs'!NR17+'Costs'!NR24</f>
        <v/>
      </c>
      <c r="NS8" s="53">
        <f>'Revenue'!NS27+'Revenue'!NS66-'Costs'!NS17+'Costs'!NS24</f>
        <v/>
      </c>
      <c r="NT8" s="53">
        <f>'Revenue'!NT27+'Revenue'!NT66-'Costs'!NT17+'Costs'!NT24</f>
        <v/>
      </c>
      <c r="NU8" s="53">
        <f>'Revenue'!NU27+'Revenue'!NU66-'Costs'!NU17+'Costs'!NU24</f>
        <v/>
      </c>
      <c r="NV8" s="53">
        <f>'Revenue'!NV27+'Revenue'!NV66-'Costs'!NV17+'Costs'!NV24</f>
        <v/>
      </c>
      <c r="NW8" s="53">
        <f>'Revenue'!NW27+'Revenue'!NW66-'Costs'!NW17+'Costs'!NW24</f>
        <v/>
      </c>
      <c r="NX8" s="53">
        <f>'Revenue'!NX27+'Revenue'!NX66-'Costs'!NX17+'Costs'!NX24</f>
        <v/>
      </c>
      <c r="NY8" s="53">
        <f>'Revenue'!NY27+'Revenue'!NY66-'Costs'!NY17+'Costs'!NY24</f>
        <v/>
      </c>
      <c r="NZ8" s="53">
        <f>'Revenue'!NZ27+'Revenue'!NZ66-'Costs'!NZ17+'Costs'!NZ24</f>
        <v/>
      </c>
      <c r="OA8" s="53">
        <f>'Revenue'!OA27+'Revenue'!OA66-'Costs'!OA17+'Costs'!OA24</f>
        <v/>
      </c>
      <c r="OB8" s="53">
        <f>'Revenue'!OB27+'Revenue'!OB66-'Costs'!OB17+'Costs'!OB24</f>
        <v/>
      </c>
      <c r="OC8" s="53">
        <f>'Revenue'!OC27+'Revenue'!OC66-'Costs'!OC17+'Costs'!OC24</f>
        <v/>
      </c>
      <c r="OD8" s="53">
        <f>'Revenue'!OD27+'Revenue'!OD66-'Costs'!OD17+'Costs'!OD24</f>
        <v/>
      </c>
      <c r="OE8" s="53">
        <f>'Revenue'!OE27+'Revenue'!OE66-'Costs'!OE17+'Costs'!OE24</f>
        <v/>
      </c>
      <c r="OF8" s="53">
        <f>'Revenue'!OF27+'Revenue'!OF66-'Costs'!OF17+'Costs'!OF24</f>
        <v/>
      </c>
      <c r="OG8" s="53">
        <f>'Revenue'!OG27+'Revenue'!OG66-'Costs'!OG17+'Costs'!OG24</f>
        <v/>
      </c>
      <c r="OH8" s="53">
        <f>'Revenue'!OH27+'Revenue'!OH66-'Costs'!OH17+'Costs'!OH24</f>
        <v/>
      </c>
      <c r="OI8" s="53">
        <f>'Revenue'!OI27+'Revenue'!OI66-'Costs'!OI17+'Costs'!OI24</f>
        <v/>
      </c>
      <c r="OJ8" s="53">
        <f>'Revenue'!OJ27+'Revenue'!OJ66-'Costs'!OJ17+'Costs'!OJ24</f>
        <v/>
      </c>
      <c r="OK8" s="53">
        <f>'Revenue'!OK27+'Revenue'!OK66-'Costs'!OK17+'Costs'!OK24</f>
        <v/>
      </c>
      <c r="OL8" s="53">
        <f>'Revenue'!OL27+'Revenue'!OL66-'Costs'!OL17+'Costs'!OL24</f>
        <v/>
      </c>
      <c r="OM8" s="53">
        <f>'Revenue'!OM27+'Revenue'!OM66-'Costs'!OM17+'Costs'!OM24</f>
        <v/>
      </c>
      <c r="ON8" s="53">
        <f>'Revenue'!ON27+'Revenue'!ON66-'Costs'!ON17+'Costs'!ON24</f>
        <v/>
      </c>
      <c r="OO8" s="53">
        <f>'Revenue'!OO27+'Revenue'!OO66-'Costs'!OO17+'Costs'!OO24</f>
        <v/>
      </c>
      <c r="OP8" s="53">
        <f>'Revenue'!OP27+'Revenue'!OP66-'Costs'!OP17+'Costs'!OP24</f>
        <v/>
      </c>
      <c r="OQ8" s="53">
        <f>'Revenue'!OQ27+'Revenue'!OQ66-'Costs'!OQ17+'Costs'!OQ24</f>
        <v/>
      </c>
      <c r="OR8" s="53">
        <f>'Revenue'!OR27+'Revenue'!OR66-'Costs'!OR17+'Costs'!OR24</f>
        <v/>
      </c>
      <c r="OS8" s="53">
        <f>'Revenue'!OS27+'Revenue'!OS66-'Costs'!OS17+'Costs'!OS24</f>
        <v/>
      </c>
      <c r="OT8" s="53">
        <f>'Revenue'!OT27+'Revenue'!OT66-'Costs'!OT17+'Costs'!OT24</f>
        <v/>
      </c>
      <c r="OU8" s="53">
        <f>'Revenue'!OU27+'Revenue'!OU66-'Costs'!OU17+'Costs'!OU24</f>
        <v/>
      </c>
      <c r="OV8" s="53">
        <f>'Revenue'!OV27+'Revenue'!OV66-'Costs'!OV17+'Costs'!OV24</f>
        <v/>
      </c>
      <c r="OW8" s="53">
        <f>'Revenue'!OW27+'Revenue'!OW66-'Costs'!OW17+'Costs'!OW24</f>
        <v/>
      </c>
      <c r="OX8" s="53">
        <f>'Revenue'!OX27+'Revenue'!OX66-'Costs'!OX17+'Costs'!OX24</f>
        <v/>
      </c>
      <c r="OY8" s="53">
        <f>'Revenue'!OY27+'Revenue'!OY66-'Costs'!OY17+'Costs'!OY24</f>
        <v/>
      </c>
      <c r="OZ8" s="53">
        <f>'Revenue'!OZ27+'Revenue'!OZ66-'Costs'!OZ17+'Costs'!OZ24</f>
        <v/>
      </c>
      <c r="PA8" s="53">
        <f>'Revenue'!PA27+'Revenue'!PA66-'Costs'!PA17+'Costs'!PA24</f>
        <v/>
      </c>
      <c r="PB8" s="53">
        <f>'Revenue'!PB27+'Revenue'!PB66-'Costs'!PB17+'Costs'!PB24</f>
        <v/>
      </c>
      <c r="PC8" s="53">
        <f>'Revenue'!PC27+'Revenue'!PC66-'Costs'!PC17+'Costs'!PC24</f>
        <v/>
      </c>
      <c r="PD8" s="53">
        <f>'Revenue'!PD27+'Revenue'!PD66-'Costs'!PD17+'Costs'!PD24</f>
        <v/>
      </c>
      <c r="PE8" s="53">
        <f>'Revenue'!PE27+'Revenue'!PE66-'Costs'!PE17+'Costs'!PE24</f>
        <v/>
      </c>
      <c r="PF8" s="53">
        <f>'Revenue'!PF27+'Revenue'!PF66-'Costs'!PF17+'Costs'!PF24</f>
        <v/>
      </c>
      <c r="PG8" s="53">
        <f>'Revenue'!PG27+'Revenue'!PG66-'Costs'!PG17+'Costs'!PG24</f>
        <v/>
      </c>
      <c r="PH8" s="53">
        <f>'Revenue'!PH27+'Revenue'!PH66-'Costs'!PH17+'Costs'!PH24</f>
        <v/>
      </c>
      <c r="PI8" s="53">
        <f>'Revenue'!PI27+'Revenue'!PI66-'Costs'!PI17+'Costs'!PI24</f>
        <v/>
      </c>
      <c r="PJ8" s="53">
        <f>'Revenue'!PJ27+'Revenue'!PJ66-'Costs'!PJ17+'Costs'!PJ24</f>
        <v/>
      </c>
      <c r="PK8" s="53">
        <f>'Revenue'!PK27+'Revenue'!PK66-'Costs'!PK17+'Costs'!PK24</f>
        <v/>
      </c>
      <c r="PL8" s="53">
        <f>'Revenue'!PL27+'Revenue'!PL66-'Costs'!PL17+'Costs'!PL24</f>
        <v/>
      </c>
      <c r="PM8" s="53">
        <f>'Revenue'!PM27+'Revenue'!PM66-'Costs'!PM17+'Costs'!PM24</f>
        <v/>
      </c>
      <c r="PN8" s="53">
        <f>'Revenue'!PN27+'Revenue'!PN66-'Costs'!PN17+'Costs'!PN24</f>
        <v/>
      </c>
      <c r="PO8" s="53">
        <f>'Revenue'!PO27+'Revenue'!PO66-'Costs'!PO17+'Costs'!PO24</f>
        <v/>
      </c>
      <c r="PP8" s="53">
        <f>'Revenue'!PP27+'Revenue'!PP66-'Costs'!PP17+'Costs'!PP24</f>
        <v/>
      </c>
      <c r="PQ8" s="53">
        <f>'Revenue'!PQ27+'Revenue'!PQ66-'Costs'!PQ17+'Costs'!PQ24</f>
        <v/>
      </c>
      <c r="PR8" s="53">
        <f>'Revenue'!PR27+'Revenue'!PR66-'Costs'!PR17+'Costs'!PR24</f>
        <v/>
      </c>
      <c r="PS8" s="53">
        <f>'Revenue'!PS27+'Revenue'!PS66-'Costs'!PS17+'Costs'!PS24</f>
        <v/>
      </c>
      <c r="PT8" s="53">
        <f>'Revenue'!PT27+'Revenue'!PT66-'Costs'!PT17+'Costs'!PT24</f>
        <v/>
      </c>
      <c r="PU8" s="53">
        <f>'Revenue'!PU27+'Revenue'!PU66-'Costs'!PU17+'Costs'!PU24</f>
        <v/>
      </c>
      <c r="PV8" s="53">
        <f>'Revenue'!PV27+'Revenue'!PV66-'Costs'!PV17+'Costs'!PV24</f>
        <v/>
      </c>
      <c r="PW8" s="53">
        <f>'Revenue'!PW27+'Revenue'!PW66-'Costs'!PW17+'Costs'!PW24</f>
        <v/>
      </c>
      <c r="PX8" s="53">
        <f>'Revenue'!PX27+'Revenue'!PX66-'Costs'!PX17+'Costs'!PX24</f>
        <v/>
      </c>
      <c r="PY8" s="53">
        <f>'Revenue'!PY27+'Revenue'!PY66-'Costs'!PY17+'Costs'!PY24</f>
        <v/>
      </c>
      <c r="PZ8" s="53">
        <f>'Revenue'!PZ27+'Revenue'!PZ66-'Costs'!PZ17+'Costs'!PZ24</f>
        <v/>
      </c>
      <c r="QA8" s="53">
        <f>'Revenue'!QA27+'Revenue'!QA66-'Costs'!QA17+'Costs'!QA24</f>
        <v/>
      </c>
      <c r="QB8" s="53">
        <f>'Revenue'!QB27+'Revenue'!QB66-'Costs'!QB17+'Costs'!QB24</f>
        <v/>
      </c>
      <c r="QC8" s="53">
        <f>'Revenue'!QC27+'Revenue'!QC66-'Costs'!QC17+'Costs'!QC24</f>
        <v/>
      </c>
      <c r="QD8" s="53">
        <f>'Revenue'!QD27+'Revenue'!QD66-'Costs'!QD17+'Costs'!QD24</f>
        <v/>
      </c>
      <c r="QE8" s="53">
        <f>'Revenue'!QE27+'Revenue'!QE66-'Costs'!QE17+'Costs'!QE24</f>
        <v/>
      </c>
      <c r="QF8" s="53">
        <f>'Revenue'!QF27+'Revenue'!QF66-'Costs'!QF17+'Costs'!QF24</f>
        <v/>
      </c>
      <c r="QG8" s="53">
        <f>'Revenue'!QG27+'Revenue'!QG66-'Costs'!QG17+'Costs'!QG24</f>
        <v/>
      </c>
      <c r="QH8" s="53">
        <f>'Revenue'!QH27+'Revenue'!QH66-'Costs'!QH17+'Costs'!QH24</f>
        <v/>
      </c>
      <c r="QI8" s="53">
        <f>'Revenue'!QI27+'Revenue'!QI66-'Costs'!QI17+'Costs'!QI24</f>
        <v/>
      </c>
      <c r="QJ8" s="53">
        <f>'Revenue'!QJ27+'Revenue'!QJ66-'Costs'!QJ17+'Costs'!QJ24</f>
        <v/>
      </c>
      <c r="QK8" s="53">
        <f>'Revenue'!QK27+'Revenue'!QK66-'Costs'!QK17+'Costs'!QK24</f>
        <v/>
      </c>
      <c r="QL8" s="53">
        <f>'Revenue'!QL27+'Revenue'!QL66-'Costs'!QL17+'Costs'!QL24</f>
        <v/>
      </c>
      <c r="QM8" s="53">
        <f>'Revenue'!QM27+'Revenue'!QM66-'Costs'!QM17+'Costs'!QM24</f>
        <v/>
      </c>
      <c r="QN8" s="53">
        <f>'Revenue'!QN27+'Revenue'!QN66-'Costs'!QN17+'Costs'!QN24</f>
        <v/>
      </c>
      <c r="QO8" s="53">
        <f>'Revenue'!QO27+'Revenue'!QO66-'Costs'!QO17+'Costs'!QO24</f>
        <v/>
      </c>
      <c r="QP8" s="53">
        <f>'Revenue'!QP27+'Revenue'!QP66-'Costs'!QP17+'Costs'!QP24</f>
        <v/>
      </c>
      <c r="QQ8" s="53">
        <f>'Revenue'!QQ27+'Revenue'!QQ66-'Costs'!QQ17+'Costs'!QQ24</f>
        <v/>
      </c>
      <c r="QR8" s="53">
        <f>'Revenue'!QR27+'Revenue'!QR66-'Costs'!QR17+'Costs'!QR24</f>
        <v/>
      </c>
      <c r="QS8" s="53">
        <f>'Revenue'!QS27+'Revenue'!QS66-'Costs'!QS17+'Costs'!QS24</f>
        <v/>
      </c>
      <c r="QT8" s="53">
        <f>'Revenue'!QT27+'Revenue'!QT66-'Costs'!QT17+'Costs'!QT24</f>
        <v/>
      </c>
      <c r="QU8" s="53">
        <f>'Revenue'!QU27+'Revenue'!QU66-'Costs'!QU17+'Costs'!QU24</f>
        <v/>
      </c>
      <c r="QV8" s="53">
        <f>'Revenue'!QV27+'Revenue'!QV66-'Costs'!QV17+'Costs'!QV24</f>
        <v/>
      </c>
      <c r="QW8" s="53">
        <f>'Revenue'!QW27+'Revenue'!QW66-'Costs'!QW17+'Costs'!QW24</f>
        <v/>
      </c>
      <c r="QX8" s="53">
        <f>'Revenue'!QX27+'Revenue'!QX66-'Costs'!QX17+'Costs'!QX24</f>
        <v/>
      </c>
      <c r="QY8" s="53">
        <f>'Revenue'!QY27+'Revenue'!QY66-'Costs'!QY17+'Costs'!QY24</f>
        <v/>
      </c>
      <c r="QZ8" s="53">
        <f>'Revenue'!QZ27+'Revenue'!QZ66-'Costs'!QZ17+'Costs'!QZ24</f>
        <v/>
      </c>
      <c r="RA8" s="53">
        <f>'Revenue'!RA27+'Revenue'!RA66-'Costs'!RA17+'Costs'!RA24</f>
        <v/>
      </c>
      <c r="RB8" s="53">
        <f>'Revenue'!RB27+'Revenue'!RB66-'Costs'!RB17+'Costs'!RB24</f>
        <v/>
      </c>
      <c r="RC8" s="53">
        <f>'Revenue'!RC27+'Revenue'!RC66-'Costs'!RC17+'Costs'!RC24</f>
        <v/>
      </c>
      <c r="RD8" s="53">
        <f>'Revenue'!RD27+'Revenue'!RD66-'Costs'!RD17+'Costs'!RD24</f>
        <v/>
      </c>
      <c r="RE8" s="53">
        <f>'Revenue'!RE27+'Revenue'!RE66-'Costs'!RE17+'Costs'!RE24</f>
        <v/>
      </c>
      <c r="RF8" s="53">
        <f>'Revenue'!RF27+'Revenue'!RF66-'Costs'!RF17+'Costs'!RF24</f>
        <v/>
      </c>
      <c r="RG8" s="53">
        <f>'Revenue'!RG27+'Revenue'!RG66-'Costs'!RG17+'Costs'!RG24</f>
        <v/>
      </c>
      <c r="RH8" s="53">
        <f>'Revenue'!RH27+'Revenue'!RH66-'Costs'!RH17+'Costs'!RH24</f>
        <v/>
      </c>
      <c r="RI8" s="53">
        <f>'Revenue'!RI27+'Revenue'!RI66-'Costs'!RI17+'Costs'!RI24</f>
        <v/>
      </c>
      <c r="RJ8" s="53">
        <f>'Revenue'!RJ27+'Revenue'!RJ66-'Costs'!RJ17+'Costs'!RJ24</f>
        <v/>
      </c>
      <c r="RK8" s="53">
        <f>'Revenue'!RK27+'Revenue'!RK66-'Costs'!RK17+'Costs'!RK24</f>
        <v/>
      </c>
      <c r="RL8" s="53">
        <f>'Revenue'!RL27+'Revenue'!RL66-'Costs'!RL17+'Costs'!RL24</f>
        <v/>
      </c>
      <c r="RM8" s="53">
        <f>'Revenue'!RM27+'Revenue'!RM66-'Costs'!RM17+'Costs'!RM24</f>
        <v/>
      </c>
      <c r="RN8" s="53">
        <f>'Revenue'!RN27+'Revenue'!RN66-'Costs'!RN17+'Costs'!RN24</f>
        <v/>
      </c>
      <c r="RO8" s="53">
        <f>'Revenue'!RO27+'Revenue'!RO66-'Costs'!RO17+'Costs'!RO24</f>
        <v/>
      </c>
      <c r="RP8" s="53">
        <f>'Revenue'!RP27+'Revenue'!RP66-'Costs'!RP17+'Costs'!RP24</f>
        <v/>
      </c>
      <c r="RQ8" s="53">
        <f>'Revenue'!RQ27+'Revenue'!RQ66-'Costs'!RQ17+'Costs'!RQ24</f>
        <v/>
      </c>
      <c r="RR8" s="53">
        <f>'Revenue'!RR27+'Revenue'!RR66-'Costs'!RR17+'Costs'!RR24</f>
        <v/>
      </c>
      <c r="RS8" s="53">
        <f>'Revenue'!RS27+'Revenue'!RS66-'Costs'!RS17+'Costs'!RS24</f>
        <v/>
      </c>
      <c r="RT8" s="53">
        <f>'Revenue'!RT27+'Revenue'!RT66-'Costs'!RT17+'Costs'!RT24</f>
        <v/>
      </c>
      <c r="RU8" s="53">
        <f>'Revenue'!RU27+'Revenue'!RU66-'Costs'!RU17+'Costs'!RU24</f>
        <v/>
      </c>
      <c r="RV8" s="53">
        <f>'Revenue'!RV27+'Revenue'!RV66-'Costs'!RV17+'Costs'!RV24</f>
        <v/>
      </c>
      <c r="RW8" s="53">
        <f>'Revenue'!RW27+'Revenue'!RW66-'Costs'!RW17+'Costs'!RW24</f>
        <v/>
      </c>
    </row>
    <row r="9" hidden="1" outlineLevel="1" ht="13.05" customHeight="1">
      <c r="E9" s="25" t="inlineStr">
        <is>
          <t>Depreciation &amp; Amortisation</t>
        </is>
      </c>
      <c r="F9" s="26" t="n"/>
      <c r="G9" s="26" t="inlineStr">
        <is>
          <t>kEUR</t>
        </is>
      </c>
      <c r="H9" s="26" t="n"/>
      <c r="I9" s="26" t="n"/>
      <c r="J9" s="27" t="n">
        <v>816346.5835004596</v>
      </c>
      <c r="K9" s="26" t="n"/>
      <c r="L9" s="28" t="n">
        <v>0</v>
      </c>
      <c r="M9" s="28" t="n">
        <v>0</v>
      </c>
      <c r="N9" s="28" t="n">
        <v>0</v>
      </c>
      <c r="O9" s="28" t="n">
        <v>0</v>
      </c>
      <c r="P9" s="28" t="n">
        <v>0</v>
      </c>
      <c r="Q9" s="28" t="n">
        <v>0</v>
      </c>
      <c r="R9" s="28" t="n">
        <v>0</v>
      </c>
      <c r="S9" s="28" t="n">
        <v>0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</v>
      </c>
      <c r="AH9" s="28" t="n">
        <v>0</v>
      </c>
      <c r="AI9" s="28" t="n">
        <v>0</v>
      </c>
      <c r="AJ9" s="28" t="n">
        <v>0</v>
      </c>
      <c r="AK9" s="28" t="n">
        <v>0</v>
      </c>
      <c r="AL9" s="28" t="n">
        <v>0</v>
      </c>
      <c r="AM9" s="28" t="n">
        <v>0</v>
      </c>
      <c r="AN9" s="28" t="n">
        <v>0</v>
      </c>
      <c r="AO9" s="28" t="n">
        <v>0</v>
      </c>
      <c r="AP9" s="28" t="n">
        <v>0</v>
      </c>
      <c r="AQ9" s="28" t="n">
        <v>0</v>
      </c>
      <c r="AR9" s="28" t="n">
        <v>0</v>
      </c>
      <c r="AS9" s="28" t="n">
        <v>0</v>
      </c>
      <c r="AT9" s="28" t="n">
        <v>0</v>
      </c>
      <c r="AU9" s="28" t="n">
        <v>0</v>
      </c>
      <c r="AV9" s="28" t="n">
        <v>0</v>
      </c>
      <c r="AW9" s="28" t="n">
        <v>0</v>
      </c>
      <c r="AX9" s="28" t="n">
        <v>0</v>
      </c>
      <c r="AY9" s="28" t="n">
        <v>0</v>
      </c>
      <c r="AZ9" s="28" t="n">
        <v>0</v>
      </c>
      <c r="BA9" s="28" t="n">
        <v>0</v>
      </c>
      <c r="BB9" s="28" t="n">
        <v>0</v>
      </c>
      <c r="BC9" s="28" t="n">
        <v>0</v>
      </c>
      <c r="BD9" s="28" t="n">
        <v>0</v>
      </c>
      <c r="BE9" s="28" t="n">
        <v>0</v>
      </c>
      <c r="BF9" s="28" t="n">
        <v>0</v>
      </c>
      <c r="BG9" s="28" t="n">
        <v>0</v>
      </c>
      <c r="BH9" s="28" t="n">
        <v>1088.2</v>
      </c>
      <c r="BI9" s="28" t="n">
        <v>1088.2</v>
      </c>
      <c r="BJ9" s="28" t="n">
        <v>1088.2</v>
      </c>
      <c r="BK9" s="28" t="n">
        <v>1088.2</v>
      </c>
      <c r="BL9" s="28" t="n">
        <v>1088.2</v>
      </c>
      <c r="BM9" s="28" t="n">
        <v>1088.2</v>
      </c>
      <c r="BN9" s="28" t="n">
        <v>1088.2</v>
      </c>
      <c r="BO9" s="28" t="n">
        <v>1088.2</v>
      </c>
      <c r="BP9" s="28" t="n">
        <v>1088.2</v>
      </c>
      <c r="BQ9" s="28" t="n">
        <v>1088.2</v>
      </c>
      <c r="BR9" s="28" t="n">
        <v>1088.2</v>
      </c>
      <c r="BS9" s="28" t="n">
        <v>1088.2</v>
      </c>
      <c r="BT9" s="28" t="n">
        <v>2140.126666666667</v>
      </c>
      <c r="BU9" s="28" t="n">
        <v>2140.126666666667</v>
      </c>
      <c r="BV9" s="28" t="n">
        <v>2140.126666666667</v>
      </c>
      <c r="BW9" s="28" t="n">
        <v>2140.126666666667</v>
      </c>
      <c r="BX9" s="28" t="n">
        <v>2140.126666666667</v>
      </c>
      <c r="BY9" s="28" t="n">
        <v>2140.126666666667</v>
      </c>
      <c r="BZ9" s="28" t="n">
        <v>2140.126666666667</v>
      </c>
      <c r="CA9" s="28" t="n">
        <v>2140.126666666667</v>
      </c>
      <c r="CB9" s="28" t="n">
        <v>2140.126666666667</v>
      </c>
      <c r="CC9" s="28" t="n">
        <v>2140.126666666667</v>
      </c>
      <c r="CD9" s="28" t="n">
        <v>2140.126666666667</v>
      </c>
      <c r="CE9" s="28" t="n">
        <v>2140.126666666667</v>
      </c>
      <c r="CF9" s="28" t="n">
        <v>3156.989111111111</v>
      </c>
      <c r="CG9" s="28" t="n">
        <v>3156.989111111111</v>
      </c>
      <c r="CH9" s="28" t="n">
        <v>3156.989111111111</v>
      </c>
      <c r="CI9" s="28" t="n">
        <v>3156.989111111111</v>
      </c>
      <c r="CJ9" s="28" t="n">
        <v>3156.989111111111</v>
      </c>
      <c r="CK9" s="28" t="n">
        <v>3156.989111111111</v>
      </c>
      <c r="CL9" s="28" t="n">
        <v>3156.989111111111</v>
      </c>
      <c r="CM9" s="28" t="n">
        <v>3156.989111111111</v>
      </c>
      <c r="CN9" s="28" t="n">
        <v>3156.989111111111</v>
      </c>
      <c r="CO9" s="28" t="n">
        <v>3156.989111111111</v>
      </c>
      <c r="CP9" s="28" t="n">
        <v>3156.989111111111</v>
      </c>
      <c r="CQ9" s="28" t="n">
        <v>3156.989111111111</v>
      </c>
      <c r="CR9" s="28" t="n">
        <v>3051.756140740741</v>
      </c>
      <c r="CS9" s="28" t="n">
        <v>3051.756140740741</v>
      </c>
      <c r="CT9" s="28" t="n">
        <v>3051.756140740741</v>
      </c>
      <c r="CU9" s="28" t="n">
        <v>3051.756140740741</v>
      </c>
      <c r="CV9" s="28" t="n">
        <v>3051.756140740741</v>
      </c>
      <c r="CW9" s="28" t="n">
        <v>3051.756140740741</v>
      </c>
      <c r="CX9" s="28" t="n">
        <v>3051.756140740741</v>
      </c>
      <c r="CY9" s="28" t="n">
        <v>3051.756140740741</v>
      </c>
      <c r="CZ9" s="28" t="n">
        <v>3051.756140740741</v>
      </c>
      <c r="DA9" s="28" t="n">
        <v>3051.756140740741</v>
      </c>
      <c r="DB9" s="28" t="n">
        <v>3051.756140740741</v>
      </c>
      <c r="DC9" s="28" t="n">
        <v>3051.756140740741</v>
      </c>
      <c r="DD9" s="28" t="n">
        <v>2950.030936049383</v>
      </c>
      <c r="DE9" s="28" t="n">
        <v>2950.030936049383</v>
      </c>
      <c r="DF9" s="28" t="n">
        <v>2950.030936049383</v>
      </c>
      <c r="DG9" s="28" t="n">
        <v>2950.030936049383</v>
      </c>
      <c r="DH9" s="28" t="n">
        <v>2950.030936049383</v>
      </c>
      <c r="DI9" s="28" t="n">
        <v>2950.030936049383</v>
      </c>
      <c r="DJ9" s="28" t="n">
        <v>2950.030936049383</v>
      </c>
      <c r="DK9" s="28" t="n">
        <v>2950.030936049383</v>
      </c>
      <c r="DL9" s="28" t="n">
        <v>2950.030936049383</v>
      </c>
      <c r="DM9" s="28" t="n">
        <v>2950.030936049383</v>
      </c>
      <c r="DN9" s="28" t="n">
        <v>2950.030936049383</v>
      </c>
      <c r="DO9" s="28" t="n">
        <v>2950.030936049383</v>
      </c>
      <c r="DP9" s="28" t="n">
        <v>2851.696571514403</v>
      </c>
      <c r="DQ9" s="28" t="n">
        <v>2851.696571514403</v>
      </c>
      <c r="DR9" s="28" t="n">
        <v>2851.696571514403</v>
      </c>
      <c r="DS9" s="28" t="n">
        <v>2851.696571514403</v>
      </c>
      <c r="DT9" s="28" t="n">
        <v>2851.696571514403</v>
      </c>
      <c r="DU9" s="28" t="n">
        <v>2851.696571514403</v>
      </c>
      <c r="DV9" s="28" t="n">
        <v>2851.696571514403</v>
      </c>
      <c r="DW9" s="28" t="n">
        <v>2851.696571514403</v>
      </c>
      <c r="DX9" s="28" t="n">
        <v>2851.696571514403</v>
      </c>
      <c r="DY9" s="28" t="n">
        <v>2851.696571514403</v>
      </c>
      <c r="DZ9" s="28" t="n">
        <v>2851.696571514403</v>
      </c>
      <c r="EA9" s="28" t="n">
        <v>2851.696571514403</v>
      </c>
      <c r="EB9" s="28" t="n">
        <v>2756.64001913059</v>
      </c>
      <c r="EC9" s="28" t="n">
        <v>2756.64001913059</v>
      </c>
      <c r="ED9" s="28" t="n">
        <v>2756.64001913059</v>
      </c>
      <c r="EE9" s="28" t="n">
        <v>2756.64001913059</v>
      </c>
      <c r="EF9" s="28" t="n">
        <v>2756.64001913059</v>
      </c>
      <c r="EG9" s="28" t="n">
        <v>2756.64001913059</v>
      </c>
      <c r="EH9" s="28" t="n">
        <v>2756.64001913059</v>
      </c>
      <c r="EI9" s="28" t="n">
        <v>2756.64001913059</v>
      </c>
      <c r="EJ9" s="28" t="n">
        <v>2756.64001913059</v>
      </c>
      <c r="EK9" s="28" t="n">
        <v>2756.64001913059</v>
      </c>
      <c r="EL9" s="28" t="n">
        <v>2756.64001913059</v>
      </c>
      <c r="EM9" s="28" t="n">
        <v>2756.64001913059</v>
      </c>
      <c r="EN9" s="28" t="n">
        <v>2664.752018492903</v>
      </c>
      <c r="EO9" s="28" t="n">
        <v>2664.752018492903</v>
      </c>
      <c r="EP9" s="28" t="n">
        <v>2664.752018492903</v>
      </c>
      <c r="EQ9" s="28" t="n">
        <v>2664.752018492903</v>
      </c>
      <c r="ER9" s="28" t="n">
        <v>2664.752018492903</v>
      </c>
      <c r="ES9" s="28" t="n">
        <v>2664.752018492903</v>
      </c>
      <c r="ET9" s="28" t="n">
        <v>2664.752018492903</v>
      </c>
      <c r="EU9" s="28" t="n">
        <v>2664.752018492903</v>
      </c>
      <c r="EV9" s="28" t="n">
        <v>2664.752018492903</v>
      </c>
      <c r="EW9" s="28" t="n">
        <v>2664.752018492903</v>
      </c>
      <c r="EX9" s="28" t="n">
        <v>2664.752018492903</v>
      </c>
      <c r="EY9" s="28" t="n">
        <v>2664.752018492903</v>
      </c>
      <c r="EZ9" s="28" t="n">
        <v>2575.926951209807</v>
      </c>
      <c r="FA9" s="28" t="n">
        <v>2575.926951209807</v>
      </c>
      <c r="FB9" s="28" t="n">
        <v>2575.926951209807</v>
      </c>
      <c r="FC9" s="28" t="n">
        <v>2575.926951209807</v>
      </c>
      <c r="FD9" s="28" t="n">
        <v>2575.926951209807</v>
      </c>
      <c r="FE9" s="28" t="n">
        <v>2575.926951209807</v>
      </c>
      <c r="FF9" s="28" t="n">
        <v>2575.926951209807</v>
      </c>
      <c r="FG9" s="28" t="n">
        <v>2575.926951209807</v>
      </c>
      <c r="FH9" s="28" t="n">
        <v>2575.926951209807</v>
      </c>
      <c r="FI9" s="28" t="n">
        <v>2575.926951209807</v>
      </c>
      <c r="FJ9" s="28" t="n">
        <v>2575.926951209807</v>
      </c>
      <c r="FK9" s="28" t="n">
        <v>2575.926951209807</v>
      </c>
      <c r="FL9" s="28" t="n">
        <v>2490.062719502813</v>
      </c>
      <c r="FM9" s="28" t="n">
        <v>2490.062719502813</v>
      </c>
      <c r="FN9" s="28" t="n">
        <v>2490.062719502813</v>
      </c>
      <c r="FO9" s="28" t="n">
        <v>2490.062719502813</v>
      </c>
      <c r="FP9" s="28" t="n">
        <v>2490.062719502813</v>
      </c>
      <c r="FQ9" s="28" t="n">
        <v>2490.062719502813</v>
      </c>
      <c r="FR9" s="28" t="n">
        <v>2490.062719502813</v>
      </c>
      <c r="FS9" s="28" t="n">
        <v>2490.062719502813</v>
      </c>
      <c r="FT9" s="28" t="n">
        <v>2490.062719502813</v>
      </c>
      <c r="FU9" s="28" t="n">
        <v>2490.062719502813</v>
      </c>
      <c r="FV9" s="28" t="n">
        <v>2490.062719502813</v>
      </c>
      <c r="FW9" s="28" t="n">
        <v>2490.062719502813</v>
      </c>
      <c r="FX9" s="28" t="n">
        <v>2407.060628852719</v>
      </c>
      <c r="FY9" s="28" t="n">
        <v>2407.060628852719</v>
      </c>
      <c r="FZ9" s="28" t="n">
        <v>2407.060628852719</v>
      </c>
      <c r="GA9" s="28" t="n">
        <v>2407.060628852719</v>
      </c>
      <c r="GB9" s="28" t="n">
        <v>2407.060628852719</v>
      </c>
      <c r="GC9" s="28" t="n">
        <v>2407.060628852719</v>
      </c>
      <c r="GD9" s="28" t="n">
        <v>2407.060628852719</v>
      </c>
      <c r="GE9" s="28" t="n">
        <v>2407.060628852719</v>
      </c>
      <c r="GF9" s="28" t="n">
        <v>2407.060628852719</v>
      </c>
      <c r="GG9" s="28" t="n">
        <v>2407.060628852719</v>
      </c>
      <c r="GH9" s="28" t="n">
        <v>2407.060628852719</v>
      </c>
      <c r="GI9" s="28" t="n">
        <v>2407.060628852719</v>
      </c>
      <c r="GJ9" s="28" t="n">
        <v>2326.825274557628</v>
      </c>
      <c r="GK9" s="28" t="n">
        <v>2326.825274557628</v>
      </c>
      <c r="GL9" s="28" t="n">
        <v>2326.825274557628</v>
      </c>
      <c r="GM9" s="28" t="n">
        <v>2326.825274557628</v>
      </c>
      <c r="GN9" s="28" t="n">
        <v>2326.825274557628</v>
      </c>
      <c r="GO9" s="28" t="n">
        <v>2326.825274557628</v>
      </c>
      <c r="GP9" s="28" t="n">
        <v>2326.825274557628</v>
      </c>
      <c r="GQ9" s="28" t="n">
        <v>2326.825274557628</v>
      </c>
      <c r="GR9" s="28" t="n">
        <v>2326.825274557628</v>
      </c>
      <c r="GS9" s="28" t="n">
        <v>2326.825274557628</v>
      </c>
      <c r="GT9" s="28" t="n">
        <v>2326.825274557628</v>
      </c>
      <c r="GU9" s="28" t="n">
        <v>2326.825274557628</v>
      </c>
      <c r="GV9" s="28" t="n">
        <v>2249.264432072374</v>
      </c>
      <c r="GW9" s="28" t="n">
        <v>2249.264432072374</v>
      </c>
      <c r="GX9" s="28" t="n">
        <v>2249.264432072374</v>
      </c>
      <c r="GY9" s="28" t="n">
        <v>2249.264432072374</v>
      </c>
      <c r="GZ9" s="28" t="n">
        <v>2249.264432072374</v>
      </c>
      <c r="HA9" s="28" t="n">
        <v>2249.264432072374</v>
      </c>
      <c r="HB9" s="28" t="n">
        <v>2249.264432072374</v>
      </c>
      <c r="HC9" s="28" t="n">
        <v>2249.264432072374</v>
      </c>
      <c r="HD9" s="28" t="n">
        <v>2249.264432072374</v>
      </c>
      <c r="HE9" s="28" t="n">
        <v>2249.264432072374</v>
      </c>
      <c r="HF9" s="28" t="n">
        <v>2249.264432072374</v>
      </c>
      <c r="HG9" s="28" t="n">
        <v>2249.264432072374</v>
      </c>
      <c r="HH9" s="28" t="n">
        <v>2174.288951003295</v>
      </c>
      <c r="HI9" s="28" t="n">
        <v>2174.288951003295</v>
      </c>
      <c r="HJ9" s="28" t="n">
        <v>2174.288951003295</v>
      </c>
      <c r="HK9" s="28" t="n">
        <v>2174.288951003295</v>
      </c>
      <c r="HL9" s="28" t="n">
        <v>2174.288951003295</v>
      </c>
      <c r="HM9" s="28" t="n">
        <v>2174.288951003295</v>
      </c>
      <c r="HN9" s="28" t="n">
        <v>2174.288951003295</v>
      </c>
      <c r="HO9" s="28" t="n">
        <v>2174.288951003295</v>
      </c>
      <c r="HP9" s="28" t="n">
        <v>2174.288951003295</v>
      </c>
      <c r="HQ9" s="28" t="n">
        <v>2174.288951003295</v>
      </c>
      <c r="HR9" s="28" t="n">
        <v>2174.288951003295</v>
      </c>
      <c r="HS9" s="28" t="n">
        <v>2174.288951003295</v>
      </c>
      <c r="HT9" s="28" t="n">
        <v>2101.812652636518</v>
      </c>
      <c r="HU9" s="28" t="n">
        <v>2101.812652636518</v>
      </c>
      <c r="HV9" s="28" t="n">
        <v>2101.812652636518</v>
      </c>
      <c r="HW9" s="28" t="n">
        <v>2101.812652636518</v>
      </c>
      <c r="HX9" s="28" t="n">
        <v>2101.812652636518</v>
      </c>
      <c r="HY9" s="28" t="n">
        <v>2101.812652636518</v>
      </c>
      <c r="HZ9" s="28" t="n">
        <v>2101.812652636518</v>
      </c>
      <c r="IA9" s="28" t="n">
        <v>2101.812652636518</v>
      </c>
      <c r="IB9" s="28" t="n">
        <v>2101.812652636518</v>
      </c>
      <c r="IC9" s="28" t="n">
        <v>2101.812652636518</v>
      </c>
      <c r="ID9" s="28" t="n">
        <v>2101.812652636518</v>
      </c>
      <c r="IE9" s="28" t="n">
        <v>2101.812652636518</v>
      </c>
      <c r="IF9" s="28" t="n">
        <v>2031.752230881967</v>
      </c>
      <c r="IG9" s="28" t="n">
        <v>2031.752230881967</v>
      </c>
      <c r="IH9" s="28" t="n">
        <v>2031.752230881967</v>
      </c>
      <c r="II9" s="28" t="n">
        <v>2031.752230881967</v>
      </c>
      <c r="IJ9" s="28" t="n">
        <v>2031.752230881967</v>
      </c>
      <c r="IK9" s="28" t="n">
        <v>2031.752230881967</v>
      </c>
      <c r="IL9" s="28" t="n">
        <v>2031.752230881967</v>
      </c>
      <c r="IM9" s="28" t="n">
        <v>2031.752230881967</v>
      </c>
      <c r="IN9" s="28" t="n">
        <v>2031.752230881967</v>
      </c>
      <c r="IO9" s="28" t="n">
        <v>2031.752230881967</v>
      </c>
      <c r="IP9" s="28" t="n">
        <v>2031.752230881967</v>
      </c>
      <c r="IQ9" s="28" t="n">
        <v>2031.752230881967</v>
      </c>
      <c r="IR9" s="28" t="n">
        <v>1964.027156519235</v>
      </c>
      <c r="IS9" s="28" t="n">
        <v>1964.027156519235</v>
      </c>
      <c r="IT9" s="28" t="n">
        <v>1964.027156519235</v>
      </c>
      <c r="IU9" s="28" t="n">
        <v>1964.027156519235</v>
      </c>
      <c r="IV9" s="28" t="n">
        <v>1964.027156519235</v>
      </c>
      <c r="IW9" s="28" t="n">
        <v>1964.027156519235</v>
      </c>
      <c r="IX9" s="28" t="n">
        <v>1964.027156519235</v>
      </c>
      <c r="IY9" s="28" t="n">
        <v>1964.027156519235</v>
      </c>
      <c r="IZ9" s="28" t="n">
        <v>1964.027156519235</v>
      </c>
      <c r="JA9" s="28" t="n">
        <v>1964.027156519235</v>
      </c>
      <c r="JB9" s="28" t="n">
        <v>1964.027156519235</v>
      </c>
      <c r="JC9" s="28" t="n">
        <v>1964.027156519235</v>
      </c>
      <c r="JD9" s="28" t="n">
        <v>1898.559584635261</v>
      </c>
      <c r="JE9" s="28" t="n">
        <v>1898.559584635261</v>
      </c>
      <c r="JF9" s="28" t="n">
        <v>1898.559584635261</v>
      </c>
      <c r="JG9" s="28" t="n">
        <v>1898.559584635261</v>
      </c>
      <c r="JH9" s="28" t="n">
        <v>1898.559584635261</v>
      </c>
      <c r="JI9" s="28" t="n">
        <v>1898.559584635261</v>
      </c>
      <c r="JJ9" s="28" t="n">
        <v>1898.559584635261</v>
      </c>
      <c r="JK9" s="28" t="n">
        <v>1898.559584635261</v>
      </c>
      <c r="JL9" s="28" t="n">
        <v>1898.559584635261</v>
      </c>
      <c r="JM9" s="28" t="n">
        <v>1898.559584635261</v>
      </c>
      <c r="JN9" s="28" t="n">
        <v>1898.559584635261</v>
      </c>
      <c r="JO9" s="28" t="n">
        <v>1898.559584635261</v>
      </c>
      <c r="JP9" s="28" t="n">
        <v>1835.274265147419</v>
      </c>
      <c r="JQ9" s="28" t="n">
        <v>1835.274265147419</v>
      </c>
      <c r="JR9" s="28" t="n">
        <v>1835.274265147419</v>
      </c>
      <c r="JS9" s="28" t="n">
        <v>1835.274265147419</v>
      </c>
      <c r="JT9" s="28" t="n">
        <v>1835.274265147419</v>
      </c>
      <c r="JU9" s="28" t="n">
        <v>1835.274265147419</v>
      </c>
      <c r="JV9" s="28" t="n">
        <v>1835.274265147419</v>
      </c>
      <c r="JW9" s="28" t="n">
        <v>1835.274265147419</v>
      </c>
      <c r="JX9" s="28" t="n">
        <v>1835.274265147419</v>
      </c>
      <c r="JY9" s="28" t="n">
        <v>1835.274265147419</v>
      </c>
      <c r="JZ9" s="28" t="n">
        <v>1835.274265147419</v>
      </c>
      <c r="KA9" s="28" t="n">
        <v>1835.274265147419</v>
      </c>
      <c r="KB9" s="28" t="n">
        <v>1774.098456309172</v>
      </c>
      <c r="KC9" s="28" t="n">
        <v>1774.098456309172</v>
      </c>
      <c r="KD9" s="28" t="n">
        <v>1774.098456309172</v>
      </c>
      <c r="KE9" s="28" t="n">
        <v>1774.098456309172</v>
      </c>
      <c r="KF9" s="28" t="n">
        <v>1774.098456309172</v>
      </c>
      <c r="KG9" s="28" t="n">
        <v>1774.098456309172</v>
      </c>
      <c r="KH9" s="28" t="n">
        <v>1774.098456309172</v>
      </c>
      <c r="KI9" s="28" t="n">
        <v>1774.098456309172</v>
      </c>
      <c r="KJ9" s="28" t="n">
        <v>1774.098456309172</v>
      </c>
      <c r="KK9" s="28" t="n">
        <v>1774.098456309172</v>
      </c>
      <c r="KL9" s="28" t="n">
        <v>1774.098456309172</v>
      </c>
      <c r="KM9" s="28" t="n">
        <v>1774.098456309172</v>
      </c>
      <c r="KN9" s="28" t="n">
        <v>1714.961841098866</v>
      </c>
      <c r="KO9" s="28" t="n">
        <v>1714.961841098866</v>
      </c>
      <c r="KP9" s="28" t="n">
        <v>1714.961841098866</v>
      </c>
      <c r="KQ9" s="28" t="n">
        <v>1714.961841098866</v>
      </c>
      <c r="KR9" s="28" t="n">
        <v>1714.961841098866</v>
      </c>
      <c r="KS9" s="28" t="n">
        <v>1714.961841098866</v>
      </c>
      <c r="KT9" s="28" t="n">
        <v>1714.961841098866</v>
      </c>
      <c r="KU9" s="28" t="n">
        <v>1714.961841098866</v>
      </c>
      <c r="KV9" s="28" t="n">
        <v>1714.961841098866</v>
      </c>
      <c r="KW9" s="28" t="n">
        <v>1714.961841098866</v>
      </c>
      <c r="KX9" s="28" t="n">
        <v>1714.961841098866</v>
      </c>
      <c r="KY9" s="28" t="n">
        <v>1714.961841098866</v>
      </c>
      <c r="KZ9" s="28" t="n">
        <v>1657.79644639557</v>
      </c>
      <c r="LA9" s="28" t="n">
        <v>1657.79644639557</v>
      </c>
      <c r="LB9" s="28" t="n">
        <v>1657.79644639557</v>
      </c>
      <c r="LC9" s="28" t="n">
        <v>1657.79644639557</v>
      </c>
      <c r="LD9" s="28" t="n">
        <v>1657.79644639557</v>
      </c>
      <c r="LE9" s="28" t="n">
        <v>1657.79644639557</v>
      </c>
      <c r="LF9" s="28" t="n">
        <v>1657.79644639557</v>
      </c>
      <c r="LG9" s="28" t="n">
        <v>1657.79644639557</v>
      </c>
      <c r="LH9" s="28" t="n">
        <v>1657.79644639557</v>
      </c>
      <c r="LI9" s="28" t="n">
        <v>1657.79644639557</v>
      </c>
      <c r="LJ9" s="28" t="n">
        <v>1657.79644639557</v>
      </c>
      <c r="LK9" s="28" t="n">
        <v>1657.79644639557</v>
      </c>
      <c r="LL9" s="28" t="n">
        <v>1602.536564849051</v>
      </c>
      <c r="LM9" s="28" t="n">
        <v>1602.536564849051</v>
      </c>
      <c r="LN9" s="28" t="n">
        <v>1602.536564849051</v>
      </c>
      <c r="LO9" s="28" t="n">
        <v>1602.536564849051</v>
      </c>
      <c r="LP9" s="28" t="n">
        <v>1602.536564849051</v>
      </c>
      <c r="LQ9" s="28" t="n">
        <v>1602.536564849051</v>
      </c>
      <c r="LR9" s="28" t="n">
        <v>1602.536564849051</v>
      </c>
      <c r="LS9" s="28" t="n">
        <v>1602.536564849051</v>
      </c>
      <c r="LT9" s="28" t="n">
        <v>1602.536564849051</v>
      </c>
      <c r="LU9" s="28" t="n">
        <v>1602.536564849051</v>
      </c>
      <c r="LV9" s="28" t="n">
        <v>1602.536564849051</v>
      </c>
      <c r="LW9" s="28" t="n">
        <v>1602.536564849051</v>
      </c>
      <c r="LX9" s="28" t="n">
        <v>1549.118679354083</v>
      </c>
      <c r="LY9" s="28" t="n">
        <v>1549.118679354083</v>
      </c>
      <c r="LZ9" s="28" t="n">
        <v>1549.118679354083</v>
      </c>
      <c r="MA9" s="28" t="n">
        <v>1549.118679354083</v>
      </c>
      <c r="MB9" s="28" t="n">
        <v>1549.118679354083</v>
      </c>
      <c r="MC9" s="28" t="n">
        <v>1549.118679354083</v>
      </c>
      <c r="MD9" s="28" t="n">
        <v>1549.118679354083</v>
      </c>
      <c r="ME9" s="28" t="n">
        <v>1549.118679354083</v>
      </c>
      <c r="MF9" s="28" t="n">
        <v>1549.118679354083</v>
      </c>
      <c r="MG9" s="28" t="n">
        <v>1549.118679354083</v>
      </c>
      <c r="MH9" s="28" t="n">
        <v>1549.118679354083</v>
      </c>
      <c r="MI9" s="28" t="n">
        <v>1549.118679354083</v>
      </c>
      <c r="MJ9" s="28" t="n">
        <v>1497.48139004228</v>
      </c>
      <c r="MK9" s="28" t="n">
        <v>1497.48139004228</v>
      </c>
      <c r="ML9" s="28" t="n">
        <v>1497.48139004228</v>
      </c>
      <c r="MM9" s="28" t="n">
        <v>1497.48139004228</v>
      </c>
      <c r="MN9" s="28" t="n">
        <v>1497.48139004228</v>
      </c>
      <c r="MO9" s="28" t="n">
        <v>1497.48139004228</v>
      </c>
      <c r="MP9" s="28" t="n">
        <v>1497.48139004228</v>
      </c>
      <c r="MQ9" s="28" t="n">
        <v>1497.48139004228</v>
      </c>
      <c r="MR9" s="28" t="n">
        <v>1497.48139004228</v>
      </c>
      <c r="MS9" s="28" t="n">
        <v>1497.48139004228</v>
      </c>
      <c r="MT9" s="28" t="n">
        <v>1497.48139004228</v>
      </c>
      <c r="MU9" s="28" t="n">
        <v>1497.48139004228</v>
      </c>
      <c r="MV9" s="28" t="n">
        <v>1447.565343707537</v>
      </c>
      <c r="MW9" s="28" t="n">
        <v>1447.565343707537</v>
      </c>
      <c r="MX9" s="28" t="n">
        <v>1447.565343707537</v>
      </c>
      <c r="MY9" s="28" t="n">
        <v>1447.565343707537</v>
      </c>
      <c r="MZ9" s="28" t="n">
        <v>1447.565343707537</v>
      </c>
      <c r="NA9" s="28" t="n">
        <v>1447.565343707537</v>
      </c>
      <c r="NB9" s="28" t="n">
        <v>1447.565343707537</v>
      </c>
      <c r="NC9" s="28" t="n">
        <v>1447.565343707537</v>
      </c>
      <c r="ND9" s="28" t="n">
        <v>1447.565343707537</v>
      </c>
      <c r="NE9" s="28" t="n">
        <v>1447.565343707537</v>
      </c>
      <c r="NF9" s="28" t="n">
        <v>1447.565343707537</v>
      </c>
      <c r="NG9" s="28" t="n">
        <v>1447.565343707537</v>
      </c>
      <c r="NH9" s="28" t="n">
        <v>1399.313165583953</v>
      </c>
      <c r="NI9" s="28" t="n">
        <v>1399.313165583953</v>
      </c>
      <c r="NJ9" s="28" t="n">
        <v>1399.313165583953</v>
      </c>
      <c r="NK9" s="28" t="n">
        <v>1399.313165583953</v>
      </c>
      <c r="NL9" s="28" t="n">
        <v>1399.313165583953</v>
      </c>
      <c r="NM9" s="28" t="n">
        <v>1399.313165583953</v>
      </c>
      <c r="NN9" s="28" t="n">
        <v>1399.313165583953</v>
      </c>
      <c r="NO9" s="28" t="n">
        <v>1399.313165583953</v>
      </c>
      <c r="NP9" s="28" t="n">
        <v>1399.313165583953</v>
      </c>
      <c r="NQ9" s="28" t="n">
        <v>1399.313165583953</v>
      </c>
      <c r="NR9" s="28" t="n">
        <v>1399.313165583953</v>
      </c>
      <c r="NS9" s="28" t="n">
        <v>1399.313165583953</v>
      </c>
      <c r="NT9" s="28" t="n">
        <v>1352.669393397821</v>
      </c>
      <c r="NU9" s="28" t="n">
        <v>1352.669393397821</v>
      </c>
      <c r="NV9" s="28" t="n">
        <v>1352.669393397821</v>
      </c>
      <c r="NW9" s="28" t="n">
        <v>1352.669393397821</v>
      </c>
      <c r="NX9" s="28" t="n">
        <v>1352.669393397821</v>
      </c>
      <c r="NY9" s="28" t="n">
        <v>1352.669393397821</v>
      </c>
      <c r="NZ9" s="28" t="n">
        <v>1352.669393397821</v>
      </c>
      <c r="OA9" s="28" t="n">
        <v>1352.669393397821</v>
      </c>
      <c r="OB9" s="28" t="n">
        <v>1352.669393397821</v>
      </c>
      <c r="OC9" s="28" t="n">
        <v>1352.669393397821</v>
      </c>
      <c r="OD9" s="28" t="n">
        <v>1352.669393397821</v>
      </c>
      <c r="OE9" s="28" t="n">
        <v>1352.669393397821</v>
      </c>
      <c r="OF9" s="28" t="n">
        <v>1307.580413617894</v>
      </c>
      <c r="OG9" s="28" t="n">
        <v>1307.580413617894</v>
      </c>
      <c r="OH9" s="28" t="n">
        <v>1307.580413617894</v>
      </c>
      <c r="OI9" s="28" t="n">
        <v>1307.580413617894</v>
      </c>
      <c r="OJ9" s="28" t="n">
        <v>1307.580413617894</v>
      </c>
      <c r="OK9" s="28" t="n">
        <v>1307.580413617894</v>
      </c>
      <c r="OL9" s="28" t="n">
        <v>1307.580413617894</v>
      </c>
      <c r="OM9" s="28" t="n">
        <v>1307.580413617894</v>
      </c>
      <c r="ON9" s="28" t="n">
        <v>1307.580413617894</v>
      </c>
      <c r="OO9" s="28" t="n">
        <v>1307.580413617894</v>
      </c>
      <c r="OP9" s="28" t="n">
        <v>1307.580413617894</v>
      </c>
      <c r="OQ9" s="28" t="n">
        <v>1307.580413617894</v>
      </c>
      <c r="OR9" s="28" t="n">
        <v>1263.994399830631</v>
      </c>
      <c r="OS9" s="28" t="n">
        <v>1263.994399830631</v>
      </c>
      <c r="OT9" s="28" t="n">
        <v>1263.994399830631</v>
      </c>
      <c r="OU9" s="28" t="n">
        <v>1263.994399830631</v>
      </c>
      <c r="OV9" s="28" t="n">
        <v>1263.994399830631</v>
      </c>
      <c r="OW9" s="28" t="n">
        <v>1263.994399830631</v>
      </c>
      <c r="OX9" s="28" t="n">
        <v>1263.994399830631</v>
      </c>
      <c r="OY9" s="28" t="n">
        <v>1263.994399830631</v>
      </c>
      <c r="OZ9" s="28" t="n">
        <v>1263.994399830631</v>
      </c>
      <c r="PA9" s="28" t="n">
        <v>1263.994399830631</v>
      </c>
      <c r="PB9" s="28" t="n">
        <v>1263.994399830631</v>
      </c>
      <c r="PC9" s="28" t="n">
        <v>1263.994399830631</v>
      </c>
      <c r="PD9" s="28" t="n">
        <v>1221.86125316961</v>
      </c>
      <c r="PE9" s="28" t="n">
        <v>1221.86125316961</v>
      </c>
      <c r="PF9" s="28" t="n">
        <v>1221.86125316961</v>
      </c>
      <c r="PG9" s="28" t="n">
        <v>1221.86125316961</v>
      </c>
      <c r="PH9" s="28" t="n">
        <v>1221.86125316961</v>
      </c>
      <c r="PI9" s="28" t="n">
        <v>1221.86125316961</v>
      </c>
      <c r="PJ9" s="28" t="n">
        <v>1221.86125316961</v>
      </c>
      <c r="PK9" s="28" t="n">
        <v>1221.86125316961</v>
      </c>
      <c r="PL9" s="28" t="n">
        <v>1221.86125316961</v>
      </c>
      <c r="PM9" s="28" t="n">
        <v>1221.86125316961</v>
      </c>
      <c r="PN9" s="28" t="n">
        <v>1221.86125316961</v>
      </c>
      <c r="PO9" s="28" t="n">
        <v>1221.86125316961</v>
      </c>
      <c r="PP9" s="28" t="n">
        <v>1181.132544730623</v>
      </c>
      <c r="PQ9" s="28" t="n">
        <v>1181.132544730623</v>
      </c>
      <c r="PR9" s="28" t="n">
        <v>1181.132544730623</v>
      </c>
      <c r="PS9" s="28" t="n">
        <v>1181.132544730623</v>
      </c>
      <c r="PT9" s="28" t="n">
        <v>1181.132544730623</v>
      </c>
      <c r="PU9" s="28" t="n">
        <v>1181.132544730623</v>
      </c>
      <c r="PV9" s="28" t="n">
        <v>1181.132544730623</v>
      </c>
      <c r="PW9" s="28" t="n">
        <v>1181.132544730623</v>
      </c>
      <c r="PX9" s="28" t="n">
        <v>1181.132544730623</v>
      </c>
      <c r="PY9" s="28" t="n">
        <v>1181.132544730623</v>
      </c>
      <c r="PZ9" s="28" t="n">
        <v>1181.132544730623</v>
      </c>
      <c r="QA9" s="28" t="n">
        <v>1181.132544730623</v>
      </c>
      <c r="QB9" s="28" t="n">
        <v>1141.761459906269</v>
      </c>
      <c r="QC9" s="28" t="n">
        <v>1141.761459906269</v>
      </c>
      <c r="QD9" s="28" t="n">
        <v>1141.761459906269</v>
      </c>
      <c r="QE9" s="28" t="n">
        <v>1141.761459906269</v>
      </c>
      <c r="QF9" s="28" t="n">
        <v>1141.761459906269</v>
      </c>
      <c r="QG9" s="28" t="n">
        <v>1141.761459906269</v>
      </c>
      <c r="QH9" s="28" t="n">
        <v>1141.761459906269</v>
      </c>
      <c r="QI9" s="28" t="n">
        <v>1141.761459906269</v>
      </c>
      <c r="QJ9" s="28" t="n">
        <v>1141.761459906269</v>
      </c>
      <c r="QK9" s="28" t="n">
        <v>1141.761459906269</v>
      </c>
      <c r="QL9" s="28" t="n">
        <v>1141.761459906269</v>
      </c>
      <c r="QM9" s="28" t="n">
        <v>1141.761459906269</v>
      </c>
      <c r="QN9" s="28" t="n">
        <v>1103.70274457606</v>
      </c>
      <c r="QO9" s="28" t="n">
        <v>1103.70274457606</v>
      </c>
      <c r="QP9" s="28" t="n">
        <v>1103.70274457606</v>
      </c>
      <c r="QQ9" s="28" t="n">
        <v>1103.70274457606</v>
      </c>
      <c r="QR9" s="28" t="n">
        <v>1103.70274457606</v>
      </c>
      <c r="QS9" s="28" t="n">
        <v>1103.70274457606</v>
      </c>
      <c r="QT9" s="28" t="n">
        <v>1103.70274457606</v>
      </c>
      <c r="QU9" s="28" t="n">
        <v>1103.70274457606</v>
      </c>
      <c r="QV9" s="28" t="n">
        <v>1103.70274457606</v>
      </c>
      <c r="QW9" s="28" t="n">
        <v>1103.70274457606</v>
      </c>
      <c r="QX9" s="28" t="n">
        <v>1103.70274457606</v>
      </c>
      <c r="QY9" s="28" t="n">
        <v>1103.70274457606</v>
      </c>
      <c r="QZ9" s="28" t="n">
        <v>1066.912653090191</v>
      </c>
      <c r="RA9" s="28" t="n">
        <v>1066.912653090191</v>
      </c>
      <c r="RB9" s="28" t="n">
        <v>1066.912653090191</v>
      </c>
      <c r="RC9" s="28" t="n">
        <v>1066.912653090191</v>
      </c>
      <c r="RD9" s="28" t="n">
        <v>1066.912653090191</v>
      </c>
      <c r="RE9" s="28" t="n">
        <v>1066.912653090191</v>
      </c>
      <c r="RF9" s="28" t="n">
        <v>1066.912653090191</v>
      </c>
      <c r="RG9" s="28" t="n">
        <v>1066.912653090191</v>
      </c>
      <c r="RH9" s="28" t="n">
        <v>1066.912653090191</v>
      </c>
      <c r="RI9" s="28" t="n">
        <v>1066.912653090191</v>
      </c>
      <c r="RJ9" s="28" t="n">
        <v>1066.912653090191</v>
      </c>
      <c r="RK9" s="28" t="n">
        <v>1066.912653090191</v>
      </c>
      <c r="RL9" s="28" t="n">
        <v>1031.348897987185</v>
      </c>
      <c r="RM9" s="28" t="n">
        <v>1031.348897987185</v>
      </c>
      <c r="RN9" s="28" t="n">
        <v>1031.348897987185</v>
      </c>
      <c r="RO9" s="28" t="n">
        <v>1031.348897987185</v>
      </c>
      <c r="RP9" s="28" t="n">
        <v>1031.348897987185</v>
      </c>
      <c r="RQ9" s="28" t="n">
        <v>1031.348897987185</v>
      </c>
      <c r="RR9" s="28" t="n">
        <v>1031.348897987185</v>
      </c>
      <c r="RS9" s="28" t="n">
        <v>1031.348897987185</v>
      </c>
      <c r="RT9" s="28" t="n">
        <v>1031.348897987185</v>
      </c>
      <c r="RU9" s="28" t="n">
        <v>1031.348897987185</v>
      </c>
      <c r="RV9" s="28" t="n">
        <v>1031.348897987185</v>
      </c>
      <c r="RW9" s="28" t="n">
        <v>1031.348897987185</v>
      </c>
    </row>
    <row r="10" hidden="1" outlineLevel="1" ht="13.05" customHeight="1">
      <c r="E10" s="50" t="inlineStr">
        <is>
          <t>EBIT</t>
        </is>
      </c>
      <c r="F10" s="51" t="n"/>
      <c r="G10" s="51" t="inlineStr">
        <is>
          <t>kEUR</t>
        </is>
      </c>
      <c r="H10" s="51" t="n"/>
      <c r="I10" s="51" t="n"/>
      <c r="J10" s="52" t="n">
        <v>2064909.48080485</v>
      </c>
      <c r="K10" s="51" t="n"/>
      <c r="L10" s="53">
        <f>L8-L9</f>
        <v/>
      </c>
      <c r="M10" s="53">
        <f>M8-M9</f>
        <v/>
      </c>
      <c r="N10" s="53">
        <f>N8-N9</f>
        <v/>
      </c>
      <c r="O10" s="53">
        <f>O8-O9</f>
        <v/>
      </c>
      <c r="P10" s="53">
        <f>P8-P9</f>
        <v/>
      </c>
      <c r="Q10" s="53">
        <f>Q8-Q9</f>
        <v/>
      </c>
      <c r="R10" s="53">
        <f>R8-R9</f>
        <v/>
      </c>
      <c r="S10" s="53">
        <f>S8-S9</f>
        <v/>
      </c>
      <c r="T10" s="53">
        <f>T8-T9</f>
        <v/>
      </c>
      <c r="U10" s="53">
        <f>U8-U9</f>
        <v/>
      </c>
      <c r="V10" s="53">
        <f>V8-V9</f>
        <v/>
      </c>
      <c r="W10" s="53">
        <f>W8-W9</f>
        <v/>
      </c>
      <c r="X10" s="53">
        <f>X8-X9</f>
        <v/>
      </c>
      <c r="Y10" s="53">
        <f>Y8-Y9</f>
        <v/>
      </c>
      <c r="Z10" s="53">
        <f>Z8-Z9</f>
        <v/>
      </c>
      <c r="AA10" s="53">
        <f>AA8-AA9</f>
        <v/>
      </c>
      <c r="AB10" s="53">
        <f>AB8-AB9</f>
        <v/>
      </c>
      <c r="AC10" s="53">
        <f>AC8-AC9</f>
        <v/>
      </c>
      <c r="AD10" s="53">
        <f>AD8-AD9</f>
        <v/>
      </c>
      <c r="AE10" s="53">
        <f>AE8-AE9</f>
        <v/>
      </c>
      <c r="AF10" s="53">
        <f>AF8-AF9</f>
        <v/>
      </c>
      <c r="AG10" s="53">
        <f>AG8-AG9</f>
        <v/>
      </c>
      <c r="AH10" s="53">
        <f>AH8-AH9</f>
        <v/>
      </c>
      <c r="AI10" s="53">
        <f>AI8-AI9</f>
        <v/>
      </c>
      <c r="AJ10" s="53">
        <f>AJ8-AJ9</f>
        <v/>
      </c>
      <c r="AK10" s="53">
        <f>AK8-AK9</f>
        <v/>
      </c>
      <c r="AL10" s="53">
        <f>AL8-AL9</f>
        <v/>
      </c>
      <c r="AM10" s="53">
        <f>AM8-AM9</f>
        <v/>
      </c>
      <c r="AN10" s="53">
        <f>AN8-AN9</f>
        <v/>
      </c>
      <c r="AO10" s="53">
        <f>AO8-AO9</f>
        <v/>
      </c>
      <c r="AP10" s="53">
        <f>AP8-AP9</f>
        <v/>
      </c>
      <c r="AQ10" s="53">
        <f>AQ8-AQ9</f>
        <v/>
      </c>
      <c r="AR10" s="53">
        <f>AR8-AR9</f>
        <v/>
      </c>
      <c r="AS10" s="53">
        <f>AS8-AS9</f>
        <v/>
      </c>
      <c r="AT10" s="53">
        <f>AT8-AT9</f>
        <v/>
      </c>
      <c r="AU10" s="53">
        <f>AU8-AU9</f>
        <v/>
      </c>
      <c r="AV10" s="53">
        <f>AV8-AV9</f>
        <v/>
      </c>
      <c r="AW10" s="53">
        <f>AW8-AW9</f>
        <v/>
      </c>
      <c r="AX10" s="53">
        <f>AX8-AX9</f>
        <v/>
      </c>
      <c r="AY10" s="53">
        <f>AY8-AY9</f>
        <v/>
      </c>
      <c r="AZ10" s="53">
        <f>AZ8-AZ9</f>
        <v/>
      </c>
      <c r="BA10" s="53">
        <f>BA8-BA9</f>
        <v/>
      </c>
      <c r="BB10" s="53">
        <f>BB8-BB9</f>
        <v/>
      </c>
      <c r="BC10" s="53">
        <f>BC8-BC9</f>
        <v/>
      </c>
      <c r="BD10" s="53">
        <f>BD8-BD9</f>
        <v/>
      </c>
      <c r="BE10" s="53">
        <f>BE8-BE9</f>
        <v/>
      </c>
      <c r="BF10" s="53">
        <f>BF8-BF9</f>
        <v/>
      </c>
      <c r="BG10" s="53">
        <f>BG8-BG9</f>
        <v/>
      </c>
      <c r="BH10" s="53">
        <f>BH8-BH9</f>
        <v/>
      </c>
      <c r="BI10" s="53">
        <f>BI8-BI9</f>
        <v/>
      </c>
      <c r="BJ10" s="53">
        <f>BJ8-BJ9</f>
        <v/>
      </c>
      <c r="BK10" s="53">
        <f>BK8-BK9</f>
        <v/>
      </c>
      <c r="BL10" s="53">
        <f>BL8-BL9</f>
        <v/>
      </c>
      <c r="BM10" s="53">
        <f>BM8-BM9</f>
        <v/>
      </c>
      <c r="BN10" s="53">
        <f>BN8-BN9</f>
        <v/>
      </c>
      <c r="BO10" s="53">
        <f>BO8-BO9</f>
        <v/>
      </c>
      <c r="BP10" s="53">
        <f>BP8-BP9</f>
        <v/>
      </c>
      <c r="BQ10" s="53">
        <f>BQ8-BQ9</f>
        <v/>
      </c>
      <c r="BR10" s="53">
        <f>BR8-BR9</f>
        <v/>
      </c>
      <c r="BS10" s="53">
        <f>BS8-BS9</f>
        <v/>
      </c>
      <c r="BT10" s="53">
        <f>BT8-BT9</f>
        <v/>
      </c>
      <c r="BU10" s="53">
        <f>BU8-BU9</f>
        <v/>
      </c>
      <c r="BV10" s="53">
        <f>BV8-BV9</f>
        <v/>
      </c>
      <c r="BW10" s="53">
        <f>BW8-BW9</f>
        <v/>
      </c>
      <c r="BX10" s="53">
        <f>BX8-BX9</f>
        <v/>
      </c>
      <c r="BY10" s="53">
        <f>BY8-BY9</f>
        <v/>
      </c>
      <c r="BZ10" s="53">
        <f>BZ8-BZ9</f>
        <v/>
      </c>
      <c r="CA10" s="53">
        <f>CA8-CA9</f>
        <v/>
      </c>
      <c r="CB10" s="53">
        <f>CB8-CB9</f>
        <v/>
      </c>
      <c r="CC10" s="53">
        <f>CC8-CC9</f>
        <v/>
      </c>
      <c r="CD10" s="53">
        <f>CD8-CD9</f>
        <v/>
      </c>
      <c r="CE10" s="53">
        <f>CE8-CE9</f>
        <v/>
      </c>
      <c r="CF10" s="53">
        <f>CF8-CF9</f>
        <v/>
      </c>
      <c r="CG10" s="53">
        <f>CG8-CG9</f>
        <v/>
      </c>
      <c r="CH10" s="53">
        <f>CH8-CH9</f>
        <v/>
      </c>
      <c r="CI10" s="53">
        <f>CI8-CI9</f>
        <v/>
      </c>
      <c r="CJ10" s="53">
        <f>CJ8-CJ9</f>
        <v/>
      </c>
      <c r="CK10" s="53">
        <f>CK8-CK9</f>
        <v/>
      </c>
      <c r="CL10" s="53">
        <f>CL8-CL9</f>
        <v/>
      </c>
      <c r="CM10" s="53">
        <f>CM8-CM9</f>
        <v/>
      </c>
      <c r="CN10" s="53">
        <f>CN8-CN9</f>
        <v/>
      </c>
      <c r="CO10" s="53">
        <f>CO8-CO9</f>
        <v/>
      </c>
      <c r="CP10" s="53">
        <f>CP8-CP9</f>
        <v/>
      </c>
      <c r="CQ10" s="53">
        <f>CQ8-CQ9</f>
        <v/>
      </c>
      <c r="CR10" s="53">
        <f>CR8-CR9</f>
        <v/>
      </c>
      <c r="CS10" s="53">
        <f>CS8-CS9</f>
        <v/>
      </c>
      <c r="CT10" s="53">
        <f>CT8-CT9</f>
        <v/>
      </c>
      <c r="CU10" s="53">
        <f>CU8-CU9</f>
        <v/>
      </c>
      <c r="CV10" s="53">
        <f>CV8-CV9</f>
        <v/>
      </c>
      <c r="CW10" s="53">
        <f>CW8-CW9</f>
        <v/>
      </c>
      <c r="CX10" s="53">
        <f>CX8-CX9</f>
        <v/>
      </c>
      <c r="CY10" s="53">
        <f>CY8-CY9</f>
        <v/>
      </c>
      <c r="CZ10" s="53">
        <f>CZ8-CZ9</f>
        <v/>
      </c>
      <c r="DA10" s="53">
        <f>DA8-DA9</f>
        <v/>
      </c>
      <c r="DB10" s="53">
        <f>DB8-DB9</f>
        <v/>
      </c>
      <c r="DC10" s="53">
        <f>DC8-DC9</f>
        <v/>
      </c>
      <c r="DD10" s="53">
        <f>DD8-DD9</f>
        <v/>
      </c>
      <c r="DE10" s="53">
        <f>DE8-DE9</f>
        <v/>
      </c>
      <c r="DF10" s="53">
        <f>DF8-DF9</f>
        <v/>
      </c>
      <c r="DG10" s="53">
        <f>DG8-DG9</f>
        <v/>
      </c>
      <c r="DH10" s="53">
        <f>DH8-DH9</f>
        <v/>
      </c>
      <c r="DI10" s="53">
        <f>DI8-DI9</f>
        <v/>
      </c>
      <c r="DJ10" s="53">
        <f>DJ8-DJ9</f>
        <v/>
      </c>
      <c r="DK10" s="53">
        <f>DK8-DK9</f>
        <v/>
      </c>
      <c r="DL10" s="53">
        <f>DL8-DL9</f>
        <v/>
      </c>
      <c r="DM10" s="53">
        <f>DM8-DM9</f>
        <v/>
      </c>
      <c r="DN10" s="53">
        <f>DN8-DN9</f>
        <v/>
      </c>
      <c r="DO10" s="53">
        <f>DO8-DO9</f>
        <v/>
      </c>
      <c r="DP10" s="53">
        <f>DP8-DP9</f>
        <v/>
      </c>
      <c r="DQ10" s="53">
        <f>DQ8-DQ9</f>
        <v/>
      </c>
      <c r="DR10" s="53">
        <f>DR8-DR9</f>
        <v/>
      </c>
      <c r="DS10" s="53">
        <f>DS8-DS9</f>
        <v/>
      </c>
      <c r="DT10" s="53">
        <f>DT8-DT9</f>
        <v/>
      </c>
      <c r="DU10" s="53">
        <f>DU8-DU9</f>
        <v/>
      </c>
      <c r="DV10" s="53">
        <f>DV8-DV9</f>
        <v/>
      </c>
      <c r="DW10" s="53">
        <f>DW8-DW9</f>
        <v/>
      </c>
      <c r="DX10" s="53">
        <f>DX8-DX9</f>
        <v/>
      </c>
      <c r="DY10" s="53">
        <f>DY8-DY9</f>
        <v/>
      </c>
      <c r="DZ10" s="53">
        <f>DZ8-DZ9</f>
        <v/>
      </c>
      <c r="EA10" s="53">
        <f>EA8-EA9</f>
        <v/>
      </c>
      <c r="EB10" s="53">
        <f>EB8-EB9</f>
        <v/>
      </c>
      <c r="EC10" s="53">
        <f>EC8-EC9</f>
        <v/>
      </c>
      <c r="ED10" s="53">
        <f>ED8-ED9</f>
        <v/>
      </c>
      <c r="EE10" s="53">
        <f>EE8-EE9</f>
        <v/>
      </c>
      <c r="EF10" s="53">
        <f>EF8-EF9</f>
        <v/>
      </c>
      <c r="EG10" s="53">
        <f>EG8-EG9</f>
        <v/>
      </c>
      <c r="EH10" s="53">
        <f>EH8-EH9</f>
        <v/>
      </c>
      <c r="EI10" s="53">
        <f>EI8-EI9</f>
        <v/>
      </c>
      <c r="EJ10" s="53">
        <f>EJ8-EJ9</f>
        <v/>
      </c>
      <c r="EK10" s="53">
        <f>EK8-EK9</f>
        <v/>
      </c>
      <c r="EL10" s="53">
        <f>EL8-EL9</f>
        <v/>
      </c>
      <c r="EM10" s="53">
        <f>EM8-EM9</f>
        <v/>
      </c>
      <c r="EN10" s="53">
        <f>EN8-EN9</f>
        <v/>
      </c>
      <c r="EO10" s="53">
        <f>EO8-EO9</f>
        <v/>
      </c>
      <c r="EP10" s="53">
        <f>EP8-EP9</f>
        <v/>
      </c>
      <c r="EQ10" s="53">
        <f>EQ8-EQ9</f>
        <v/>
      </c>
      <c r="ER10" s="53">
        <f>ER8-ER9</f>
        <v/>
      </c>
      <c r="ES10" s="53">
        <f>ES8-ES9</f>
        <v/>
      </c>
      <c r="ET10" s="53">
        <f>ET8-ET9</f>
        <v/>
      </c>
      <c r="EU10" s="53">
        <f>EU8-EU9</f>
        <v/>
      </c>
      <c r="EV10" s="53">
        <f>EV8-EV9</f>
        <v/>
      </c>
      <c r="EW10" s="53">
        <f>EW8-EW9</f>
        <v/>
      </c>
      <c r="EX10" s="53">
        <f>EX8-EX9</f>
        <v/>
      </c>
      <c r="EY10" s="53">
        <f>EY8-EY9</f>
        <v/>
      </c>
      <c r="EZ10" s="53">
        <f>EZ8-EZ9</f>
        <v/>
      </c>
      <c r="FA10" s="53">
        <f>FA8-FA9</f>
        <v/>
      </c>
      <c r="FB10" s="53">
        <f>FB8-FB9</f>
        <v/>
      </c>
      <c r="FC10" s="53">
        <f>FC8-FC9</f>
        <v/>
      </c>
      <c r="FD10" s="53">
        <f>FD8-FD9</f>
        <v/>
      </c>
      <c r="FE10" s="53">
        <f>FE8-FE9</f>
        <v/>
      </c>
      <c r="FF10" s="53">
        <f>FF8-FF9</f>
        <v/>
      </c>
      <c r="FG10" s="53">
        <f>FG8-FG9</f>
        <v/>
      </c>
      <c r="FH10" s="53">
        <f>FH8-FH9</f>
        <v/>
      </c>
      <c r="FI10" s="53">
        <f>FI8-FI9</f>
        <v/>
      </c>
      <c r="FJ10" s="53">
        <f>FJ8-FJ9</f>
        <v/>
      </c>
      <c r="FK10" s="53">
        <f>FK8-FK9</f>
        <v/>
      </c>
      <c r="FL10" s="53">
        <f>FL8-FL9</f>
        <v/>
      </c>
      <c r="FM10" s="53">
        <f>FM8-FM9</f>
        <v/>
      </c>
      <c r="FN10" s="53">
        <f>FN8-FN9</f>
        <v/>
      </c>
      <c r="FO10" s="53">
        <f>FO8-FO9</f>
        <v/>
      </c>
      <c r="FP10" s="53">
        <f>FP8-FP9</f>
        <v/>
      </c>
      <c r="FQ10" s="53">
        <f>FQ8-FQ9</f>
        <v/>
      </c>
      <c r="FR10" s="53">
        <f>FR8-FR9</f>
        <v/>
      </c>
      <c r="FS10" s="53">
        <f>FS8-FS9</f>
        <v/>
      </c>
      <c r="FT10" s="53">
        <f>FT8-FT9</f>
        <v/>
      </c>
      <c r="FU10" s="53">
        <f>FU8-FU9</f>
        <v/>
      </c>
      <c r="FV10" s="53">
        <f>FV8-FV9</f>
        <v/>
      </c>
      <c r="FW10" s="53">
        <f>FW8-FW9</f>
        <v/>
      </c>
      <c r="FX10" s="53">
        <f>FX8-FX9</f>
        <v/>
      </c>
      <c r="FY10" s="53">
        <f>FY8-FY9</f>
        <v/>
      </c>
      <c r="FZ10" s="53">
        <f>FZ8-FZ9</f>
        <v/>
      </c>
      <c r="GA10" s="53">
        <f>GA8-GA9</f>
        <v/>
      </c>
      <c r="GB10" s="53">
        <f>GB8-GB9</f>
        <v/>
      </c>
      <c r="GC10" s="53">
        <f>GC8-GC9</f>
        <v/>
      </c>
      <c r="GD10" s="53">
        <f>GD8-GD9</f>
        <v/>
      </c>
      <c r="GE10" s="53">
        <f>GE8-GE9</f>
        <v/>
      </c>
      <c r="GF10" s="53">
        <f>GF8-GF9</f>
        <v/>
      </c>
      <c r="GG10" s="53">
        <f>GG8-GG9</f>
        <v/>
      </c>
      <c r="GH10" s="53">
        <f>GH8-GH9</f>
        <v/>
      </c>
      <c r="GI10" s="53">
        <f>GI8-GI9</f>
        <v/>
      </c>
      <c r="GJ10" s="53">
        <f>GJ8-GJ9</f>
        <v/>
      </c>
      <c r="GK10" s="53">
        <f>GK8-GK9</f>
        <v/>
      </c>
      <c r="GL10" s="53">
        <f>GL8-GL9</f>
        <v/>
      </c>
      <c r="GM10" s="53">
        <f>GM8-GM9</f>
        <v/>
      </c>
      <c r="GN10" s="53">
        <f>GN8-GN9</f>
        <v/>
      </c>
      <c r="GO10" s="53">
        <f>GO8-GO9</f>
        <v/>
      </c>
      <c r="GP10" s="53">
        <f>GP8-GP9</f>
        <v/>
      </c>
      <c r="GQ10" s="53">
        <f>GQ8-GQ9</f>
        <v/>
      </c>
      <c r="GR10" s="53">
        <f>GR8-GR9</f>
        <v/>
      </c>
      <c r="GS10" s="53">
        <f>GS8-GS9</f>
        <v/>
      </c>
      <c r="GT10" s="53">
        <f>GT8-GT9</f>
        <v/>
      </c>
      <c r="GU10" s="53">
        <f>GU8-GU9</f>
        <v/>
      </c>
      <c r="GV10" s="53">
        <f>GV8-GV9</f>
        <v/>
      </c>
      <c r="GW10" s="53">
        <f>GW8-GW9</f>
        <v/>
      </c>
      <c r="GX10" s="53">
        <f>GX8-GX9</f>
        <v/>
      </c>
      <c r="GY10" s="53">
        <f>GY8-GY9</f>
        <v/>
      </c>
      <c r="GZ10" s="53">
        <f>GZ8-GZ9</f>
        <v/>
      </c>
      <c r="HA10" s="53">
        <f>HA8-HA9</f>
        <v/>
      </c>
      <c r="HB10" s="53">
        <f>HB8-HB9</f>
        <v/>
      </c>
      <c r="HC10" s="53">
        <f>HC8-HC9</f>
        <v/>
      </c>
      <c r="HD10" s="53">
        <f>HD8-HD9</f>
        <v/>
      </c>
      <c r="HE10" s="53">
        <f>HE8-HE9</f>
        <v/>
      </c>
      <c r="HF10" s="53">
        <f>HF8-HF9</f>
        <v/>
      </c>
      <c r="HG10" s="53">
        <f>HG8-HG9</f>
        <v/>
      </c>
      <c r="HH10" s="53">
        <f>HH8-HH9</f>
        <v/>
      </c>
      <c r="HI10" s="53">
        <f>HI8-HI9</f>
        <v/>
      </c>
      <c r="HJ10" s="53">
        <f>HJ8-HJ9</f>
        <v/>
      </c>
      <c r="HK10" s="53">
        <f>HK8-HK9</f>
        <v/>
      </c>
      <c r="HL10" s="53">
        <f>HL8-HL9</f>
        <v/>
      </c>
      <c r="HM10" s="53">
        <f>HM8-HM9</f>
        <v/>
      </c>
      <c r="HN10" s="53">
        <f>HN8-HN9</f>
        <v/>
      </c>
      <c r="HO10" s="53">
        <f>HO8-HO9</f>
        <v/>
      </c>
      <c r="HP10" s="53">
        <f>HP8-HP9</f>
        <v/>
      </c>
      <c r="HQ10" s="53">
        <f>HQ8-HQ9</f>
        <v/>
      </c>
      <c r="HR10" s="53">
        <f>HR8-HR9</f>
        <v/>
      </c>
      <c r="HS10" s="53">
        <f>HS8-HS9</f>
        <v/>
      </c>
      <c r="HT10" s="53">
        <f>HT8-HT9</f>
        <v/>
      </c>
      <c r="HU10" s="53">
        <f>HU8-HU9</f>
        <v/>
      </c>
      <c r="HV10" s="53">
        <f>HV8-HV9</f>
        <v/>
      </c>
      <c r="HW10" s="53">
        <f>HW8-HW9</f>
        <v/>
      </c>
      <c r="HX10" s="53">
        <f>HX8-HX9</f>
        <v/>
      </c>
      <c r="HY10" s="53">
        <f>HY8-HY9</f>
        <v/>
      </c>
      <c r="HZ10" s="53">
        <f>HZ8-HZ9</f>
        <v/>
      </c>
      <c r="IA10" s="53">
        <f>IA8-IA9</f>
        <v/>
      </c>
      <c r="IB10" s="53">
        <f>IB8-IB9</f>
        <v/>
      </c>
      <c r="IC10" s="53">
        <f>IC8-IC9</f>
        <v/>
      </c>
      <c r="ID10" s="53">
        <f>ID8-ID9</f>
        <v/>
      </c>
      <c r="IE10" s="53">
        <f>IE8-IE9</f>
        <v/>
      </c>
      <c r="IF10" s="53">
        <f>IF8-IF9</f>
        <v/>
      </c>
      <c r="IG10" s="53">
        <f>IG8-IG9</f>
        <v/>
      </c>
      <c r="IH10" s="53">
        <f>IH8-IH9</f>
        <v/>
      </c>
      <c r="II10" s="53">
        <f>II8-II9</f>
        <v/>
      </c>
      <c r="IJ10" s="53">
        <f>IJ8-IJ9</f>
        <v/>
      </c>
      <c r="IK10" s="53">
        <f>IK8-IK9</f>
        <v/>
      </c>
      <c r="IL10" s="53">
        <f>IL8-IL9</f>
        <v/>
      </c>
      <c r="IM10" s="53">
        <f>IM8-IM9</f>
        <v/>
      </c>
      <c r="IN10" s="53">
        <f>IN8-IN9</f>
        <v/>
      </c>
      <c r="IO10" s="53">
        <f>IO8-IO9</f>
        <v/>
      </c>
      <c r="IP10" s="53">
        <f>IP8-IP9</f>
        <v/>
      </c>
      <c r="IQ10" s="53">
        <f>IQ8-IQ9</f>
        <v/>
      </c>
      <c r="IR10" s="53">
        <f>IR8-IR9</f>
        <v/>
      </c>
      <c r="IS10" s="53">
        <f>IS8-IS9</f>
        <v/>
      </c>
      <c r="IT10" s="53">
        <f>IT8-IT9</f>
        <v/>
      </c>
      <c r="IU10" s="53">
        <f>IU8-IU9</f>
        <v/>
      </c>
      <c r="IV10" s="53">
        <f>IV8-IV9</f>
        <v/>
      </c>
      <c r="IW10" s="53">
        <f>IW8-IW9</f>
        <v/>
      </c>
      <c r="IX10" s="53">
        <f>IX8-IX9</f>
        <v/>
      </c>
      <c r="IY10" s="53">
        <f>IY8-IY9</f>
        <v/>
      </c>
      <c r="IZ10" s="53">
        <f>IZ8-IZ9</f>
        <v/>
      </c>
      <c r="JA10" s="53">
        <f>JA8-JA9</f>
        <v/>
      </c>
      <c r="JB10" s="53">
        <f>JB8-JB9</f>
        <v/>
      </c>
      <c r="JC10" s="53">
        <f>JC8-JC9</f>
        <v/>
      </c>
      <c r="JD10" s="53">
        <f>JD8-JD9</f>
        <v/>
      </c>
      <c r="JE10" s="53">
        <f>JE8-JE9</f>
        <v/>
      </c>
      <c r="JF10" s="53">
        <f>JF8-JF9</f>
        <v/>
      </c>
      <c r="JG10" s="53">
        <f>JG8-JG9</f>
        <v/>
      </c>
      <c r="JH10" s="53">
        <f>JH8-JH9</f>
        <v/>
      </c>
      <c r="JI10" s="53">
        <f>JI8-JI9</f>
        <v/>
      </c>
      <c r="JJ10" s="53">
        <f>JJ8-JJ9</f>
        <v/>
      </c>
      <c r="JK10" s="53">
        <f>JK8-JK9</f>
        <v/>
      </c>
      <c r="JL10" s="53">
        <f>JL8-JL9</f>
        <v/>
      </c>
      <c r="JM10" s="53">
        <f>JM8-JM9</f>
        <v/>
      </c>
      <c r="JN10" s="53">
        <f>JN8-JN9</f>
        <v/>
      </c>
      <c r="JO10" s="53">
        <f>JO8-JO9</f>
        <v/>
      </c>
      <c r="JP10" s="53">
        <f>JP8-JP9</f>
        <v/>
      </c>
      <c r="JQ10" s="53">
        <f>JQ8-JQ9</f>
        <v/>
      </c>
      <c r="JR10" s="53">
        <f>JR8-JR9</f>
        <v/>
      </c>
      <c r="JS10" s="53">
        <f>JS8-JS9</f>
        <v/>
      </c>
      <c r="JT10" s="53">
        <f>JT8-JT9</f>
        <v/>
      </c>
      <c r="JU10" s="53">
        <f>JU8-JU9</f>
        <v/>
      </c>
      <c r="JV10" s="53">
        <f>JV8-JV9</f>
        <v/>
      </c>
      <c r="JW10" s="53">
        <f>JW8-JW9</f>
        <v/>
      </c>
      <c r="JX10" s="53">
        <f>JX8-JX9</f>
        <v/>
      </c>
      <c r="JY10" s="53">
        <f>JY8-JY9</f>
        <v/>
      </c>
      <c r="JZ10" s="53">
        <f>JZ8-JZ9</f>
        <v/>
      </c>
      <c r="KA10" s="53">
        <f>KA8-KA9</f>
        <v/>
      </c>
      <c r="KB10" s="53">
        <f>KB8-KB9</f>
        <v/>
      </c>
      <c r="KC10" s="53">
        <f>KC8-KC9</f>
        <v/>
      </c>
      <c r="KD10" s="53">
        <f>KD8-KD9</f>
        <v/>
      </c>
      <c r="KE10" s="53">
        <f>KE8-KE9</f>
        <v/>
      </c>
      <c r="KF10" s="53">
        <f>KF8-KF9</f>
        <v/>
      </c>
      <c r="KG10" s="53">
        <f>KG8-KG9</f>
        <v/>
      </c>
      <c r="KH10" s="53">
        <f>KH8-KH9</f>
        <v/>
      </c>
      <c r="KI10" s="53">
        <f>KI8-KI9</f>
        <v/>
      </c>
      <c r="KJ10" s="53">
        <f>KJ8-KJ9</f>
        <v/>
      </c>
      <c r="KK10" s="53">
        <f>KK8-KK9</f>
        <v/>
      </c>
      <c r="KL10" s="53">
        <f>KL8-KL9</f>
        <v/>
      </c>
      <c r="KM10" s="53">
        <f>KM8-KM9</f>
        <v/>
      </c>
      <c r="KN10" s="53">
        <f>KN8-KN9</f>
        <v/>
      </c>
      <c r="KO10" s="53">
        <f>KO8-KO9</f>
        <v/>
      </c>
      <c r="KP10" s="53">
        <f>KP8-KP9</f>
        <v/>
      </c>
      <c r="KQ10" s="53">
        <f>KQ8-KQ9</f>
        <v/>
      </c>
      <c r="KR10" s="53">
        <f>KR8-KR9</f>
        <v/>
      </c>
      <c r="KS10" s="53">
        <f>KS8-KS9</f>
        <v/>
      </c>
      <c r="KT10" s="53">
        <f>KT8-KT9</f>
        <v/>
      </c>
      <c r="KU10" s="53">
        <f>KU8-KU9</f>
        <v/>
      </c>
      <c r="KV10" s="53">
        <f>KV8-KV9</f>
        <v/>
      </c>
      <c r="KW10" s="53">
        <f>KW8-KW9</f>
        <v/>
      </c>
      <c r="KX10" s="53">
        <f>KX8-KX9</f>
        <v/>
      </c>
      <c r="KY10" s="53">
        <f>KY8-KY9</f>
        <v/>
      </c>
      <c r="KZ10" s="53">
        <f>KZ8-KZ9</f>
        <v/>
      </c>
      <c r="LA10" s="53">
        <f>LA8-LA9</f>
        <v/>
      </c>
      <c r="LB10" s="53">
        <f>LB8-LB9</f>
        <v/>
      </c>
      <c r="LC10" s="53">
        <f>LC8-LC9</f>
        <v/>
      </c>
      <c r="LD10" s="53">
        <f>LD8-LD9</f>
        <v/>
      </c>
      <c r="LE10" s="53">
        <f>LE8-LE9</f>
        <v/>
      </c>
      <c r="LF10" s="53">
        <f>LF8-LF9</f>
        <v/>
      </c>
      <c r="LG10" s="53">
        <f>LG8-LG9</f>
        <v/>
      </c>
      <c r="LH10" s="53">
        <f>LH8-LH9</f>
        <v/>
      </c>
      <c r="LI10" s="53">
        <f>LI8-LI9</f>
        <v/>
      </c>
      <c r="LJ10" s="53">
        <f>LJ8-LJ9</f>
        <v/>
      </c>
      <c r="LK10" s="53">
        <f>LK8-LK9</f>
        <v/>
      </c>
      <c r="LL10" s="53">
        <f>LL8-LL9</f>
        <v/>
      </c>
      <c r="LM10" s="53">
        <f>LM8-LM9</f>
        <v/>
      </c>
      <c r="LN10" s="53">
        <f>LN8-LN9</f>
        <v/>
      </c>
      <c r="LO10" s="53">
        <f>LO8-LO9</f>
        <v/>
      </c>
      <c r="LP10" s="53">
        <f>LP8-LP9</f>
        <v/>
      </c>
      <c r="LQ10" s="53">
        <f>LQ8-LQ9</f>
        <v/>
      </c>
      <c r="LR10" s="53">
        <f>LR8-LR9</f>
        <v/>
      </c>
      <c r="LS10" s="53">
        <f>LS8-LS9</f>
        <v/>
      </c>
      <c r="LT10" s="53">
        <f>LT8-LT9</f>
        <v/>
      </c>
      <c r="LU10" s="53">
        <f>LU8-LU9</f>
        <v/>
      </c>
      <c r="LV10" s="53">
        <f>LV8-LV9</f>
        <v/>
      </c>
      <c r="LW10" s="53">
        <f>LW8-LW9</f>
        <v/>
      </c>
      <c r="LX10" s="53">
        <f>LX8-LX9</f>
        <v/>
      </c>
      <c r="LY10" s="53">
        <f>LY8-LY9</f>
        <v/>
      </c>
      <c r="LZ10" s="53">
        <f>LZ8-LZ9</f>
        <v/>
      </c>
      <c r="MA10" s="53">
        <f>MA8-MA9</f>
        <v/>
      </c>
      <c r="MB10" s="53">
        <f>MB8-MB9</f>
        <v/>
      </c>
      <c r="MC10" s="53">
        <f>MC8-MC9</f>
        <v/>
      </c>
      <c r="MD10" s="53">
        <f>MD8-MD9</f>
        <v/>
      </c>
      <c r="ME10" s="53">
        <f>ME8-ME9</f>
        <v/>
      </c>
      <c r="MF10" s="53">
        <f>MF8-MF9</f>
        <v/>
      </c>
      <c r="MG10" s="53">
        <f>MG8-MG9</f>
        <v/>
      </c>
      <c r="MH10" s="53">
        <f>MH8-MH9</f>
        <v/>
      </c>
      <c r="MI10" s="53">
        <f>MI8-MI9</f>
        <v/>
      </c>
      <c r="MJ10" s="53">
        <f>MJ8-MJ9</f>
        <v/>
      </c>
      <c r="MK10" s="53">
        <f>MK8-MK9</f>
        <v/>
      </c>
      <c r="ML10" s="53">
        <f>ML8-ML9</f>
        <v/>
      </c>
      <c r="MM10" s="53">
        <f>MM8-MM9</f>
        <v/>
      </c>
      <c r="MN10" s="53">
        <f>MN8-MN9</f>
        <v/>
      </c>
      <c r="MO10" s="53">
        <f>MO8-MO9</f>
        <v/>
      </c>
      <c r="MP10" s="53">
        <f>MP8-MP9</f>
        <v/>
      </c>
      <c r="MQ10" s="53">
        <f>MQ8-MQ9</f>
        <v/>
      </c>
      <c r="MR10" s="53">
        <f>MR8-MR9</f>
        <v/>
      </c>
      <c r="MS10" s="53">
        <f>MS8-MS9</f>
        <v/>
      </c>
      <c r="MT10" s="53">
        <f>MT8-MT9</f>
        <v/>
      </c>
      <c r="MU10" s="53">
        <f>MU8-MU9</f>
        <v/>
      </c>
      <c r="MV10" s="53">
        <f>MV8-MV9</f>
        <v/>
      </c>
      <c r="MW10" s="53">
        <f>MW8-MW9</f>
        <v/>
      </c>
      <c r="MX10" s="53">
        <f>MX8-MX9</f>
        <v/>
      </c>
      <c r="MY10" s="53">
        <f>MY8-MY9</f>
        <v/>
      </c>
      <c r="MZ10" s="53">
        <f>MZ8-MZ9</f>
        <v/>
      </c>
      <c r="NA10" s="53">
        <f>NA8-NA9</f>
        <v/>
      </c>
      <c r="NB10" s="53">
        <f>NB8-NB9</f>
        <v/>
      </c>
      <c r="NC10" s="53">
        <f>NC8-NC9</f>
        <v/>
      </c>
      <c r="ND10" s="53">
        <f>ND8-ND9</f>
        <v/>
      </c>
      <c r="NE10" s="53">
        <f>NE8-NE9</f>
        <v/>
      </c>
      <c r="NF10" s="53">
        <f>NF8-NF9</f>
        <v/>
      </c>
      <c r="NG10" s="53">
        <f>NG8-NG9</f>
        <v/>
      </c>
      <c r="NH10" s="53">
        <f>NH8-NH9</f>
        <v/>
      </c>
      <c r="NI10" s="53">
        <f>NI8-NI9</f>
        <v/>
      </c>
      <c r="NJ10" s="53">
        <f>NJ8-NJ9</f>
        <v/>
      </c>
      <c r="NK10" s="53">
        <f>NK8-NK9</f>
        <v/>
      </c>
      <c r="NL10" s="53">
        <f>NL8-NL9</f>
        <v/>
      </c>
      <c r="NM10" s="53">
        <f>NM8-NM9</f>
        <v/>
      </c>
      <c r="NN10" s="53">
        <f>NN8-NN9</f>
        <v/>
      </c>
      <c r="NO10" s="53">
        <f>NO8-NO9</f>
        <v/>
      </c>
      <c r="NP10" s="53">
        <f>NP8-NP9</f>
        <v/>
      </c>
      <c r="NQ10" s="53">
        <f>NQ8-NQ9</f>
        <v/>
      </c>
      <c r="NR10" s="53">
        <f>NR8-NR9</f>
        <v/>
      </c>
      <c r="NS10" s="53">
        <f>NS8-NS9</f>
        <v/>
      </c>
      <c r="NT10" s="53">
        <f>NT8-NT9</f>
        <v/>
      </c>
      <c r="NU10" s="53">
        <f>NU8-NU9</f>
        <v/>
      </c>
      <c r="NV10" s="53">
        <f>NV8-NV9</f>
        <v/>
      </c>
      <c r="NW10" s="53">
        <f>NW8-NW9</f>
        <v/>
      </c>
      <c r="NX10" s="53">
        <f>NX8-NX9</f>
        <v/>
      </c>
      <c r="NY10" s="53">
        <f>NY8-NY9</f>
        <v/>
      </c>
      <c r="NZ10" s="53">
        <f>NZ8-NZ9</f>
        <v/>
      </c>
      <c r="OA10" s="53">
        <f>OA8-OA9</f>
        <v/>
      </c>
      <c r="OB10" s="53">
        <f>OB8-OB9</f>
        <v/>
      </c>
      <c r="OC10" s="53">
        <f>OC8-OC9</f>
        <v/>
      </c>
      <c r="OD10" s="53">
        <f>OD8-OD9</f>
        <v/>
      </c>
      <c r="OE10" s="53">
        <f>OE8-OE9</f>
        <v/>
      </c>
      <c r="OF10" s="53">
        <f>OF8-OF9</f>
        <v/>
      </c>
      <c r="OG10" s="53">
        <f>OG8-OG9</f>
        <v/>
      </c>
      <c r="OH10" s="53">
        <f>OH8-OH9</f>
        <v/>
      </c>
      <c r="OI10" s="53">
        <f>OI8-OI9</f>
        <v/>
      </c>
      <c r="OJ10" s="53">
        <f>OJ8-OJ9</f>
        <v/>
      </c>
      <c r="OK10" s="53">
        <f>OK8-OK9</f>
        <v/>
      </c>
      <c r="OL10" s="53">
        <f>OL8-OL9</f>
        <v/>
      </c>
      <c r="OM10" s="53">
        <f>OM8-OM9</f>
        <v/>
      </c>
      <c r="ON10" s="53">
        <f>ON8-ON9</f>
        <v/>
      </c>
      <c r="OO10" s="53">
        <f>OO8-OO9</f>
        <v/>
      </c>
      <c r="OP10" s="53">
        <f>OP8-OP9</f>
        <v/>
      </c>
      <c r="OQ10" s="53">
        <f>OQ8-OQ9</f>
        <v/>
      </c>
      <c r="OR10" s="53">
        <f>OR8-OR9</f>
        <v/>
      </c>
      <c r="OS10" s="53">
        <f>OS8-OS9</f>
        <v/>
      </c>
      <c r="OT10" s="53">
        <f>OT8-OT9</f>
        <v/>
      </c>
      <c r="OU10" s="53">
        <f>OU8-OU9</f>
        <v/>
      </c>
      <c r="OV10" s="53">
        <f>OV8-OV9</f>
        <v/>
      </c>
      <c r="OW10" s="53">
        <f>OW8-OW9</f>
        <v/>
      </c>
      <c r="OX10" s="53">
        <f>OX8-OX9</f>
        <v/>
      </c>
      <c r="OY10" s="53">
        <f>OY8-OY9</f>
        <v/>
      </c>
      <c r="OZ10" s="53">
        <f>OZ8-OZ9</f>
        <v/>
      </c>
      <c r="PA10" s="53">
        <f>PA8-PA9</f>
        <v/>
      </c>
      <c r="PB10" s="53">
        <f>PB8-PB9</f>
        <v/>
      </c>
      <c r="PC10" s="53">
        <f>PC8-PC9</f>
        <v/>
      </c>
      <c r="PD10" s="53">
        <f>PD8-PD9</f>
        <v/>
      </c>
      <c r="PE10" s="53">
        <f>PE8-PE9</f>
        <v/>
      </c>
      <c r="PF10" s="53">
        <f>PF8-PF9</f>
        <v/>
      </c>
      <c r="PG10" s="53">
        <f>PG8-PG9</f>
        <v/>
      </c>
      <c r="PH10" s="53">
        <f>PH8-PH9</f>
        <v/>
      </c>
      <c r="PI10" s="53">
        <f>PI8-PI9</f>
        <v/>
      </c>
      <c r="PJ10" s="53">
        <f>PJ8-PJ9</f>
        <v/>
      </c>
      <c r="PK10" s="53">
        <f>PK8-PK9</f>
        <v/>
      </c>
      <c r="PL10" s="53">
        <f>PL8-PL9</f>
        <v/>
      </c>
      <c r="PM10" s="53">
        <f>PM8-PM9</f>
        <v/>
      </c>
      <c r="PN10" s="53">
        <f>PN8-PN9</f>
        <v/>
      </c>
      <c r="PO10" s="53">
        <f>PO8-PO9</f>
        <v/>
      </c>
      <c r="PP10" s="53">
        <f>PP8-PP9</f>
        <v/>
      </c>
      <c r="PQ10" s="53">
        <f>PQ8-PQ9</f>
        <v/>
      </c>
      <c r="PR10" s="53">
        <f>PR8-PR9</f>
        <v/>
      </c>
      <c r="PS10" s="53">
        <f>PS8-PS9</f>
        <v/>
      </c>
      <c r="PT10" s="53">
        <f>PT8-PT9</f>
        <v/>
      </c>
      <c r="PU10" s="53">
        <f>PU8-PU9</f>
        <v/>
      </c>
      <c r="PV10" s="53">
        <f>PV8-PV9</f>
        <v/>
      </c>
      <c r="PW10" s="53">
        <f>PW8-PW9</f>
        <v/>
      </c>
      <c r="PX10" s="53">
        <f>PX8-PX9</f>
        <v/>
      </c>
      <c r="PY10" s="53">
        <f>PY8-PY9</f>
        <v/>
      </c>
      <c r="PZ10" s="53">
        <f>PZ8-PZ9</f>
        <v/>
      </c>
      <c r="QA10" s="53">
        <f>QA8-QA9</f>
        <v/>
      </c>
      <c r="QB10" s="53">
        <f>QB8-QB9</f>
        <v/>
      </c>
      <c r="QC10" s="53">
        <f>QC8-QC9</f>
        <v/>
      </c>
      <c r="QD10" s="53">
        <f>QD8-QD9</f>
        <v/>
      </c>
      <c r="QE10" s="53">
        <f>QE8-QE9</f>
        <v/>
      </c>
      <c r="QF10" s="53">
        <f>QF8-QF9</f>
        <v/>
      </c>
      <c r="QG10" s="53">
        <f>QG8-QG9</f>
        <v/>
      </c>
      <c r="QH10" s="53">
        <f>QH8-QH9</f>
        <v/>
      </c>
      <c r="QI10" s="53">
        <f>QI8-QI9</f>
        <v/>
      </c>
      <c r="QJ10" s="53">
        <f>QJ8-QJ9</f>
        <v/>
      </c>
      <c r="QK10" s="53">
        <f>QK8-QK9</f>
        <v/>
      </c>
      <c r="QL10" s="53">
        <f>QL8-QL9</f>
        <v/>
      </c>
      <c r="QM10" s="53">
        <f>QM8-QM9</f>
        <v/>
      </c>
      <c r="QN10" s="53">
        <f>QN8-QN9</f>
        <v/>
      </c>
      <c r="QO10" s="53">
        <f>QO8-QO9</f>
        <v/>
      </c>
      <c r="QP10" s="53">
        <f>QP8-QP9</f>
        <v/>
      </c>
      <c r="QQ10" s="53">
        <f>QQ8-QQ9</f>
        <v/>
      </c>
      <c r="QR10" s="53">
        <f>QR8-QR9</f>
        <v/>
      </c>
      <c r="QS10" s="53">
        <f>QS8-QS9</f>
        <v/>
      </c>
      <c r="QT10" s="53">
        <f>QT8-QT9</f>
        <v/>
      </c>
      <c r="QU10" s="53">
        <f>QU8-QU9</f>
        <v/>
      </c>
      <c r="QV10" s="53">
        <f>QV8-QV9</f>
        <v/>
      </c>
      <c r="QW10" s="53">
        <f>QW8-QW9</f>
        <v/>
      </c>
      <c r="QX10" s="53">
        <f>QX8-QX9</f>
        <v/>
      </c>
      <c r="QY10" s="53">
        <f>QY8-QY9</f>
        <v/>
      </c>
      <c r="QZ10" s="53">
        <f>QZ8-QZ9</f>
        <v/>
      </c>
      <c r="RA10" s="53">
        <f>RA8-RA9</f>
        <v/>
      </c>
      <c r="RB10" s="53">
        <f>RB8-RB9</f>
        <v/>
      </c>
      <c r="RC10" s="53">
        <f>RC8-RC9</f>
        <v/>
      </c>
      <c r="RD10" s="53">
        <f>RD8-RD9</f>
        <v/>
      </c>
      <c r="RE10" s="53">
        <f>RE8-RE9</f>
        <v/>
      </c>
      <c r="RF10" s="53">
        <f>RF8-RF9</f>
        <v/>
      </c>
      <c r="RG10" s="53">
        <f>RG8-RG9</f>
        <v/>
      </c>
      <c r="RH10" s="53">
        <f>RH8-RH9</f>
        <v/>
      </c>
      <c r="RI10" s="53">
        <f>RI8-RI9</f>
        <v/>
      </c>
      <c r="RJ10" s="53">
        <f>RJ8-RJ9</f>
        <v/>
      </c>
      <c r="RK10" s="53">
        <f>RK8-RK9</f>
        <v/>
      </c>
      <c r="RL10" s="53">
        <f>RL8-RL9</f>
        <v/>
      </c>
      <c r="RM10" s="53">
        <f>RM8-RM9</f>
        <v/>
      </c>
      <c r="RN10" s="53">
        <f>RN8-RN9</f>
        <v/>
      </c>
      <c r="RO10" s="53">
        <f>RO8-RO9</f>
        <v/>
      </c>
      <c r="RP10" s="53">
        <f>RP8-RP9</f>
        <v/>
      </c>
      <c r="RQ10" s="53">
        <f>RQ8-RQ9</f>
        <v/>
      </c>
      <c r="RR10" s="53">
        <f>RR8-RR9</f>
        <v/>
      </c>
      <c r="RS10" s="53">
        <f>RS8-RS9</f>
        <v/>
      </c>
      <c r="RT10" s="53">
        <f>RT8-RT9</f>
        <v/>
      </c>
      <c r="RU10" s="53">
        <f>RU8-RU9</f>
        <v/>
      </c>
      <c r="RV10" s="53">
        <f>RV8-RV9</f>
        <v/>
      </c>
      <c r="RW10" s="53">
        <f>RW8-RW9</f>
        <v/>
      </c>
    </row>
    <row r="11" hidden="1" outlineLevel="1" ht="13.05" customHeight="1">
      <c r="E11" s="25" t="inlineStr">
        <is>
          <t>Interest Expense</t>
        </is>
      </c>
      <c r="F11" s="26" t="n"/>
      <c r="G11" s="26" t="inlineStr">
        <is>
          <t>kEUR</t>
        </is>
      </c>
      <c r="H11" s="26" t="n"/>
      <c r="I11" s="26" t="n"/>
      <c r="J11" s="27" t="n">
        <v>700231.3630666732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</v>
      </c>
      <c r="AH11" s="28" t="n">
        <v>0</v>
      </c>
      <c r="AI11" s="28" t="n">
        <v>0</v>
      </c>
      <c r="AJ11" s="28" t="n">
        <v>0</v>
      </c>
      <c r="AK11" s="28" t="n">
        <v>0</v>
      </c>
      <c r="AL11" s="28" t="n">
        <v>0</v>
      </c>
      <c r="AM11" s="28" t="n">
        <v>0</v>
      </c>
      <c r="AN11" s="28" t="n">
        <v>0</v>
      </c>
      <c r="AO11" s="28" t="n">
        <v>0</v>
      </c>
      <c r="AP11" s="28" t="n">
        <v>0</v>
      </c>
      <c r="AQ11" s="28" t="n">
        <v>0</v>
      </c>
      <c r="AR11" s="28" t="n">
        <v>0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  <c r="AZ11" s="28" t="n">
        <v>0</v>
      </c>
      <c r="BA11" s="28" t="n">
        <v>0</v>
      </c>
      <c r="BB11" s="28" t="n">
        <v>0</v>
      </c>
      <c r="BC11" s="28" t="n">
        <v>0</v>
      </c>
      <c r="BD11" s="28" t="n">
        <v>0</v>
      </c>
      <c r="BE11" s="28" t="n">
        <v>0</v>
      </c>
      <c r="BF11" s="28" t="n">
        <v>0</v>
      </c>
      <c r="BG11" s="28" t="n">
        <v>0</v>
      </c>
      <c r="BH11" s="28" t="n">
        <v>0</v>
      </c>
      <c r="BI11" s="28" t="n">
        <v>112.4327814814815</v>
      </c>
      <c r="BJ11" s="28" t="n">
        <v>224.8655629629629</v>
      </c>
      <c r="BK11" s="28" t="n">
        <v>337.2983444444444</v>
      </c>
      <c r="BL11" s="28" t="n">
        <v>449.7311259259259</v>
      </c>
      <c r="BM11" s="28" t="n">
        <v>562.1639074074074</v>
      </c>
      <c r="BN11" s="28" t="n">
        <v>674.5966888888888</v>
      </c>
      <c r="BO11" s="28" t="n">
        <v>787.0294703703702</v>
      </c>
      <c r="BP11" s="28" t="n">
        <v>899.4622518518518</v>
      </c>
      <c r="BQ11" s="28" t="n">
        <v>1011.895033333333</v>
      </c>
      <c r="BR11" s="28" t="n">
        <v>1124.327814814815</v>
      </c>
      <c r="BS11" s="28" t="n">
        <v>1236.760596296296</v>
      </c>
      <c r="BT11" s="28" t="n">
        <v>1349.193377777778</v>
      </c>
      <c r="BU11" s="28" t="n">
        <v>1461.626159259259</v>
      </c>
      <c r="BV11" s="28" t="n">
        <v>1574.058940740741</v>
      </c>
      <c r="BW11" s="28" t="n">
        <v>1686.491722222223</v>
      </c>
      <c r="BX11" s="28" t="n">
        <v>1798.924503703704</v>
      </c>
      <c r="BY11" s="28" t="n">
        <v>1911.357285185185</v>
      </c>
      <c r="BZ11" s="28" t="n">
        <v>2023.790066666667</v>
      </c>
      <c r="CA11" s="28" t="n">
        <v>2136.222848148149</v>
      </c>
      <c r="CB11" s="28" t="n">
        <v>2248.65562962963</v>
      </c>
      <c r="CC11" s="28" t="n">
        <v>2361.088411111112</v>
      </c>
      <c r="CD11" s="28" t="n">
        <v>2473.521192592593</v>
      </c>
      <c r="CE11" s="28" t="n">
        <v>2585.953974074075</v>
      </c>
      <c r="CF11" s="28" t="n">
        <v>2698.386755555556</v>
      </c>
      <c r="CG11" s="28" t="n">
        <v>2810.819537037038</v>
      </c>
      <c r="CH11" s="28" t="n">
        <v>2923.25231851852</v>
      </c>
      <c r="CI11" s="28" t="n">
        <v>3035.685100000001</v>
      </c>
      <c r="CJ11" s="28" t="n">
        <v>3148.117881481483</v>
      </c>
      <c r="CK11" s="28" t="n">
        <v>3260.550662962964</v>
      </c>
      <c r="CL11" s="28" t="n">
        <v>3372.983444444445</v>
      </c>
      <c r="CM11" s="28" t="n">
        <v>3485.416225925927</v>
      </c>
      <c r="CN11" s="28" t="n">
        <v>3597.849007407408</v>
      </c>
      <c r="CO11" s="28" t="n">
        <v>3710.28178888889</v>
      </c>
      <c r="CP11" s="28" t="n">
        <v>3822.714570370372</v>
      </c>
      <c r="CQ11" s="28" t="n">
        <v>3935.147351851853</v>
      </c>
      <c r="CR11" s="28" t="n">
        <v>4047.580133333335</v>
      </c>
      <c r="CS11" s="28" t="n">
        <v>4047.580133333335</v>
      </c>
      <c r="CT11" s="28" t="n">
        <v>4047.580133333335</v>
      </c>
      <c r="CU11" s="28" t="n">
        <v>4047.580133333335</v>
      </c>
      <c r="CV11" s="28" t="n">
        <v>4047.580133333335</v>
      </c>
      <c r="CW11" s="28" t="n">
        <v>4047.580133333335</v>
      </c>
      <c r="CX11" s="28" t="n">
        <v>4034.088199555557</v>
      </c>
      <c r="CY11" s="28" t="n">
        <v>4020.59626577778</v>
      </c>
      <c r="CZ11" s="28" t="n">
        <v>4007.104332000002</v>
      </c>
      <c r="DA11" s="28" t="n">
        <v>3993.612398222225</v>
      </c>
      <c r="DB11" s="28" t="n">
        <v>3980.120464444447</v>
      </c>
      <c r="DC11" s="28" t="n">
        <v>3966.62853066667</v>
      </c>
      <c r="DD11" s="28" t="n">
        <v>3953.136596888892</v>
      </c>
      <c r="DE11" s="28" t="n">
        <v>3939.644663111114</v>
      </c>
      <c r="DF11" s="28" t="n">
        <v>3926.152729333337</v>
      </c>
      <c r="DG11" s="28" t="n">
        <v>3912.660795555559</v>
      </c>
      <c r="DH11" s="28" t="n">
        <v>3899.168861777782</v>
      </c>
      <c r="DI11" s="28" t="n">
        <v>3885.676928000004</v>
      </c>
      <c r="DJ11" s="28" t="n">
        <v>3872.184994222227</v>
      </c>
      <c r="DK11" s="28" t="n">
        <v>3858.693060444449</v>
      </c>
      <c r="DL11" s="28" t="n">
        <v>3845.201126666672</v>
      </c>
      <c r="DM11" s="28" t="n">
        <v>3831.709192888894</v>
      </c>
      <c r="DN11" s="28" t="n">
        <v>3818.217259111117</v>
      </c>
      <c r="DO11" s="28" t="n">
        <v>3804.725325333339</v>
      </c>
      <c r="DP11" s="28" t="n">
        <v>3791.233391555561</v>
      </c>
      <c r="DQ11" s="28" t="n">
        <v>3777.741457777784</v>
      </c>
      <c r="DR11" s="28" t="n">
        <v>3764.249524000006</v>
      </c>
      <c r="DS11" s="28" t="n">
        <v>3750.757590222229</v>
      </c>
      <c r="DT11" s="28" t="n">
        <v>3737.265656444451</v>
      </c>
      <c r="DU11" s="28" t="n">
        <v>3723.773722666674</v>
      </c>
      <c r="DV11" s="28" t="n">
        <v>3710.281788888896</v>
      </c>
      <c r="DW11" s="28" t="n">
        <v>3696.789855111119</v>
      </c>
      <c r="DX11" s="28" t="n">
        <v>3683.297921333341</v>
      </c>
      <c r="DY11" s="28" t="n">
        <v>3669.805987555564</v>
      </c>
      <c r="DZ11" s="28" t="n">
        <v>3656.314053777786</v>
      </c>
      <c r="EA11" s="28" t="n">
        <v>3642.822120000008</v>
      </c>
      <c r="EB11" s="28" t="n">
        <v>3629.330186222231</v>
      </c>
      <c r="EC11" s="28" t="n">
        <v>3615.838252444454</v>
      </c>
      <c r="ED11" s="28" t="n">
        <v>3602.346318666676</v>
      </c>
      <c r="EE11" s="28" t="n">
        <v>3588.854384888898</v>
      </c>
      <c r="EF11" s="28" t="n">
        <v>3575.362451111121</v>
      </c>
      <c r="EG11" s="28" t="n">
        <v>3561.870517333343</v>
      </c>
      <c r="EH11" s="28" t="n">
        <v>3548.378583555566</v>
      </c>
      <c r="EI11" s="28" t="n">
        <v>3534.886649777788</v>
      </c>
      <c r="EJ11" s="28" t="n">
        <v>3521.394716000011</v>
      </c>
      <c r="EK11" s="28" t="n">
        <v>3507.902782222233</v>
      </c>
      <c r="EL11" s="28" t="n">
        <v>3494.410848444455</v>
      </c>
      <c r="EM11" s="28" t="n">
        <v>3480.918914666678</v>
      </c>
      <c r="EN11" s="28" t="n">
        <v>3467.426980888901</v>
      </c>
      <c r="EO11" s="28" t="n">
        <v>3453.935047111123</v>
      </c>
      <c r="EP11" s="28" t="n">
        <v>3440.443113333346</v>
      </c>
      <c r="EQ11" s="28" t="n">
        <v>3426.951179555568</v>
      </c>
      <c r="ER11" s="28" t="n">
        <v>3413.45924577779</v>
      </c>
      <c r="ES11" s="28" t="n">
        <v>3399.967312000013</v>
      </c>
      <c r="ET11" s="28" t="n">
        <v>3386.475378222235</v>
      </c>
      <c r="EU11" s="28" t="n">
        <v>3372.983444444458</v>
      </c>
      <c r="EV11" s="28" t="n">
        <v>3359.49151066668</v>
      </c>
      <c r="EW11" s="28" t="n">
        <v>3345.999576888903</v>
      </c>
      <c r="EX11" s="28" t="n">
        <v>3332.507643111125</v>
      </c>
      <c r="EY11" s="28" t="n">
        <v>3319.015709333348</v>
      </c>
      <c r="EZ11" s="28" t="n">
        <v>3305.52377555557</v>
      </c>
      <c r="FA11" s="28" t="n">
        <v>3292.031841777793</v>
      </c>
      <c r="FB11" s="28" t="n">
        <v>3278.539908000015</v>
      </c>
      <c r="FC11" s="28" t="n">
        <v>3265.047974222237</v>
      </c>
      <c r="FD11" s="28" t="n">
        <v>3251.55604044446</v>
      </c>
      <c r="FE11" s="28" t="n">
        <v>3238.064106666682</v>
      </c>
      <c r="FF11" s="28" t="n">
        <v>3224.572172888905</v>
      </c>
      <c r="FG11" s="28" t="n">
        <v>3211.080239111127</v>
      </c>
      <c r="FH11" s="28" t="n">
        <v>3197.58830533335</v>
      </c>
      <c r="FI11" s="28" t="n">
        <v>3184.096371555572</v>
      </c>
      <c r="FJ11" s="28" t="n">
        <v>3170.604437777795</v>
      </c>
      <c r="FK11" s="28" t="n">
        <v>3157.112504000017</v>
      </c>
      <c r="FL11" s="28" t="n">
        <v>3143.62057022224</v>
      </c>
      <c r="FM11" s="28" t="n">
        <v>3130.128636444462</v>
      </c>
      <c r="FN11" s="28" t="n">
        <v>3116.636702666684</v>
      </c>
      <c r="FO11" s="28" t="n">
        <v>3103.144768888907</v>
      </c>
      <c r="FP11" s="28" t="n">
        <v>3089.65283511113</v>
      </c>
      <c r="FQ11" s="28" t="n">
        <v>3076.160901333352</v>
      </c>
      <c r="FR11" s="28" t="n">
        <v>3062.668967555574</v>
      </c>
      <c r="FS11" s="28" t="n">
        <v>3049.177033777797</v>
      </c>
      <c r="FT11" s="28" t="n">
        <v>3035.685100000019</v>
      </c>
      <c r="FU11" s="28" t="n">
        <v>3022.193166222242</v>
      </c>
      <c r="FV11" s="28" t="n">
        <v>3008.701232444464</v>
      </c>
      <c r="FW11" s="28" t="n">
        <v>2995.209298666687</v>
      </c>
      <c r="FX11" s="28" t="n">
        <v>2981.717364888909</v>
      </c>
      <c r="FY11" s="28" t="n">
        <v>2968.225431111131</v>
      </c>
      <c r="FZ11" s="28" t="n">
        <v>2954.733497333354</v>
      </c>
      <c r="GA11" s="28" t="n">
        <v>2941.241563555577</v>
      </c>
      <c r="GB11" s="28" t="n">
        <v>2927.749629777799</v>
      </c>
      <c r="GC11" s="28" t="n">
        <v>2914.257696000021</v>
      </c>
      <c r="GD11" s="28" t="n">
        <v>2900.765762222244</v>
      </c>
      <c r="GE11" s="28" t="n">
        <v>2887.273828444466</v>
      </c>
      <c r="GF11" s="28" t="n">
        <v>2873.781894666689</v>
      </c>
      <c r="GG11" s="28" t="n">
        <v>2860.289960888911</v>
      </c>
      <c r="GH11" s="28" t="n">
        <v>2846.798027111134</v>
      </c>
      <c r="GI11" s="28" t="n">
        <v>2833.306093333356</v>
      </c>
      <c r="GJ11" s="28" t="n">
        <v>2819.814159555578</v>
      </c>
      <c r="GK11" s="28" t="n">
        <v>2806.322225777801</v>
      </c>
      <c r="GL11" s="28" t="n">
        <v>2792.830292000024</v>
      </c>
      <c r="GM11" s="28" t="n">
        <v>2779.338358222246</v>
      </c>
      <c r="GN11" s="28" t="n">
        <v>2765.846424444469</v>
      </c>
      <c r="GO11" s="28" t="n">
        <v>2752.354490666691</v>
      </c>
      <c r="GP11" s="28" t="n">
        <v>2738.862556888913</v>
      </c>
      <c r="GQ11" s="28" t="n">
        <v>2725.370623111136</v>
      </c>
      <c r="GR11" s="28" t="n">
        <v>2711.878689333358</v>
      </c>
      <c r="GS11" s="28" t="n">
        <v>2698.386755555581</v>
      </c>
      <c r="GT11" s="28" t="n">
        <v>2684.894821777803</v>
      </c>
      <c r="GU11" s="28" t="n">
        <v>2671.402888000026</v>
      </c>
      <c r="GV11" s="28" t="n">
        <v>2657.910954222248</v>
      </c>
      <c r="GW11" s="28" t="n">
        <v>2644.419020444471</v>
      </c>
      <c r="GX11" s="28" t="n">
        <v>2630.927086666693</v>
      </c>
      <c r="GY11" s="28" t="n">
        <v>2617.435152888916</v>
      </c>
      <c r="GZ11" s="28" t="n">
        <v>2603.943219111138</v>
      </c>
      <c r="HA11" s="28" t="n">
        <v>2590.45128533336</v>
      </c>
      <c r="HB11" s="28" t="n">
        <v>2576.959351555583</v>
      </c>
      <c r="HC11" s="28" t="n">
        <v>2563.467417777806</v>
      </c>
      <c r="HD11" s="28" t="n">
        <v>2549.975484000028</v>
      </c>
      <c r="HE11" s="28" t="n">
        <v>2536.48355022225</v>
      </c>
      <c r="HF11" s="28" t="n">
        <v>2522.991616444473</v>
      </c>
      <c r="HG11" s="28" t="n">
        <v>2509.499682666695</v>
      </c>
      <c r="HH11" s="28" t="n">
        <v>2496.007748888917</v>
      </c>
      <c r="HI11" s="28" t="n">
        <v>2482.51581511114</v>
      </c>
      <c r="HJ11" s="28" t="n">
        <v>2469.023881333362</v>
      </c>
      <c r="HK11" s="28" t="n">
        <v>2455.531947555584</v>
      </c>
      <c r="HL11" s="28" t="n">
        <v>2442.040013777806</v>
      </c>
      <c r="HM11" s="28" t="n">
        <v>2428.548080000028</v>
      </c>
      <c r="HN11" s="28" t="n">
        <v>2415.05614622225</v>
      </c>
      <c r="HO11" s="28" t="n">
        <v>2401.564212444473</v>
      </c>
      <c r="HP11" s="28" t="n">
        <v>2388.072278666695</v>
      </c>
      <c r="HQ11" s="28" t="n">
        <v>2374.580344888917</v>
      </c>
      <c r="HR11" s="28" t="n">
        <v>2361.088411111139</v>
      </c>
      <c r="HS11" s="28" t="n">
        <v>2347.596477333361</v>
      </c>
      <c r="HT11" s="28" t="n">
        <v>2334.104543555583</v>
      </c>
      <c r="HU11" s="28" t="n">
        <v>2320.612609777806</v>
      </c>
      <c r="HV11" s="28" t="n">
        <v>2307.120676000028</v>
      </c>
      <c r="HW11" s="28" t="n">
        <v>2293.62874222225</v>
      </c>
      <c r="HX11" s="28" t="n">
        <v>2280.136808444473</v>
      </c>
      <c r="HY11" s="28" t="n">
        <v>2266.644874666695</v>
      </c>
      <c r="HZ11" s="28" t="n">
        <v>2253.152940888917</v>
      </c>
      <c r="IA11" s="28" t="n">
        <v>2239.661007111139</v>
      </c>
      <c r="IB11" s="28" t="n">
        <v>2226.169073333361</v>
      </c>
      <c r="IC11" s="28" t="n">
        <v>2212.677139555583</v>
      </c>
      <c r="ID11" s="28" t="n">
        <v>2199.185205777806</v>
      </c>
      <c r="IE11" s="28" t="n">
        <v>2185.693272000028</v>
      </c>
      <c r="IF11" s="28" t="n">
        <v>2172.20133822225</v>
      </c>
      <c r="IG11" s="28" t="n">
        <v>2158.709404444472</v>
      </c>
      <c r="IH11" s="28" t="n">
        <v>2145.217470666694</v>
      </c>
      <c r="II11" s="28" t="n">
        <v>2131.725536888916</v>
      </c>
      <c r="IJ11" s="28" t="n">
        <v>2118.233603111139</v>
      </c>
      <c r="IK11" s="28" t="n">
        <v>2104.741669333361</v>
      </c>
      <c r="IL11" s="28" t="n">
        <v>2091.249735555583</v>
      </c>
      <c r="IM11" s="28" t="n">
        <v>2077.757801777805</v>
      </c>
      <c r="IN11" s="28" t="n">
        <v>2064.265868000027</v>
      </c>
      <c r="IO11" s="28" t="n">
        <v>2050.773934222249</v>
      </c>
      <c r="IP11" s="28" t="n">
        <v>2037.282000444472</v>
      </c>
      <c r="IQ11" s="28" t="n">
        <v>2023.790066666694</v>
      </c>
      <c r="IR11" s="28" t="n">
        <v>2010.298132888916</v>
      </c>
      <c r="IS11" s="28" t="n">
        <v>1996.806199111138</v>
      </c>
      <c r="IT11" s="28" t="n">
        <v>1983.31426533336</v>
      </c>
      <c r="IU11" s="28" t="n">
        <v>1969.822331555583</v>
      </c>
      <c r="IV11" s="28" t="n">
        <v>1956.330397777805</v>
      </c>
      <c r="IW11" s="28" t="n">
        <v>1942.838464000027</v>
      </c>
      <c r="IX11" s="28" t="n">
        <v>1929.346530222249</v>
      </c>
      <c r="IY11" s="28" t="n">
        <v>1915.854596444471</v>
      </c>
      <c r="IZ11" s="28" t="n">
        <v>1902.362662666693</v>
      </c>
      <c r="JA11" s="28" t="n">
        <v>1888.870728888916</v>
      </c>
      <c r="JB11" s="28" t="n">
        <v>1875.378795111138</v>
      </c>
      <c r="JC11" s="28" t="n">
        <v>1861.88686133336</v>
      </c>
      <c r="JD11" s="28" t="n">
        <v>1848.394927555582</v>
      </c>
      <c r="JE11" s="28" t="n">
        <v>1834.902993777804</v>
      </c>
      <c r="JF11" s="28" t="n">
        <v>1821.411060000027</v>
      </c>
      <c r="JG11" s="28" t="n">
        <v>1807.919126222249</v>
      </c>
      <c r="JH11" s="28" t="n">
        <v>1794.427192444471</v>
      </c>
      <c r="JI11" s="28" t="n">
        <v>1780.935258666693</v>
      </c>
      <c r="JJ11" s="28" t="n">
        <v>1767.443324888915</v>
      </c>
      <c r="JK11" s="28" t="n">
        <v>1753.951391111137</v>
      </c>
      <c r="JL11" s="28" t="n">
        <v>1740.45945733336</v>
      </c>
      <c r="JM11" s="28" t="n">
        <v>1726.967523555582</v>
      </c>
      <c r="JN11" s="28" t="n">
        <v>1713.475589777804</v>
      </c>
      <c r="JO11" s="28" t="n">
        <v>1699.983656000026</v>
      </c>
      <c r="JP11" s="28" t="n">
        <v>1686.491722222248</v>
      </c>
      <c r="JQ11" s="28" t="n">
        <v>1672.999788444471</v>
      </c>
      <c r="JR11" s="28" t="n">
        <v>1659.507854666693</v>
      </c>
      <c r="JS11" s="28" t="n">
        <v>1646.015920888915</v>
      </c>
      <c r="JT11" s="28" t="n">
        <v>1632.523987111137</v>
      </c>
      <c r="JU11" s="28" t="n">
        <v>1619.032053333359</v>
      </c>
      <c r="JV11" s="28" t="n">
        <v>1605.540119555581</v>
      </c>
      <c r="JW11" s="28" t="n">
        <v>1592.048185777804</v>
      </c>
      <c r="JX11" s="28" t="n">
        <v>1578.556252000026</v>
      </c>
      <c r="JY11" s="28" t="n">
        <v>1565.064318222248</v>
      </c>
      <c r="JZ11" s="28" t="n">
        <v>1551.57238444447</v>
      </c>
      <c r="KA11" s="28" t="n">
        <v>1538.080450666692</v>
      </c>
      <c r="KB11" s="28" t="n">
        <v>1524.588516888914</v>
      </c>
      <c r="KC11" s="28" t="n">
        <v>1511.096583111137</v>
      </c>
      <c r="KD11" s="28" t="n">
        <v>1497.604649333359</v>
      </c>
      <c r="KE11" s="28" t="n">
        <v>1484.112715555581</v>
      </c>
      <c r="KF11" s="28" t="n">
        <v>1470.620781777803</v>
      </c>
      <c r="KG11" s="28" t="n">
        <v>1457.128848000026</v>
      </c>
      <c r="KH11" s="28" t="n">
        <v>1443.636914222248</v>
      </c>
      <c r="KI11" s="28" t="n">
        <v>1430.14498044447</v>
      </c>
      <c r="KJ11" s="28" t="n">
        <v>1416.653046666692</v>
      </c>
      <c r="KK11" s="28" t="n">
        <v>1403.161112888914</v>
      </c>
      <c r="KL11" s="28" t="n">
        <v>1389.669179111136</v>
      </c>
      <c r="KM11" s="28" t="n">
        <v>1376.177245333359</v>
      </c>
      <c r="KN11" s="28" t="n">
        <v>1362.685311555581</v>
      </c>
      <c r="KO11" s="28" t="n">
        <v>1349.193377777803</v>
      </c>
      <c r="KP11" s="28" t="n">
        <v>1335.701444000025</v>
      </c>
      <c r="KQ11" s="28" t="n">
        <v>1322.209510222247</v>
      </c>
      <c r="KR11" s="28" t="n">
        <v>1308.717576444469</v>
      </c>
      <c r="KS11" s="28" t="n">
        <v>1295.225642666692</v>
      </c>
      <c r="KT11" s="28" t="n">
        <v>1281.733708888914</v>
      </c>
      <c r="KU11" s="28" t="n">
        <v>1268.241775111136</v>
      </c>
      <c r="KV11" s="28" t="n">
        <v>1254.749841333358</v>
      </c>
      <c r="KW11" s="28" t="n">
        <v>1241.25790755558</v>
      </c>
      <c r="KX11" s="28" t="n">
        <v>1227.765973777803</v>
      </c>
      <c r="KY11" s="28" t="n">
        <v>1214.274040000025</v>
      </c>
      <c r="KZ11" s="28" t="n">
        <v>1200.782106222247</v>
      </c>
      <c r="LA11" s="28" t="n">
        <v>1187.290172444469</v>
      </c>
      <c r="LB11" s="28" t="n">
        <v>1173.798238666691</v>
      </c>
      <c r="LC11" s="28" t="n">
        <v>1160.306304888913</v>
      </c>
      <c r="LD11" s="28" t="n">
        <v>1146.814371111136</v>
      </c>
      <c r="LE11" s="28" t="n">
        <v>1133.322437333358</v>
      </c>
      <c r="LF11" s="28" t="n">
        <v>1119.83050355558</v>
      </c>
      <c r="LG11" s="28" t="n">
        <v>1106.338569777802</v>
      </c>
      <c r="LH11" s="28" t="n">
        <v>1092.846636000024</v>
      </c>
      <c r="LI11" s="28" t="n">
        <v>1079.354702222246</v>
      </c>
      <c r="LJ11" s="28" t="n">
        <v>1065.862768444469</v>
      </c>
      <c r="LK11" s="28" t="n">
        <v>1052.370834666691</v>
      </c>
      <c r="LL11" s="28" t="n">
        <v>1038.878900888913</v>
      </c>
      <c r="LM11" s="28" t="n">
        <v>1025.386967111135</v>
      </c>
      <c r="LN11" s="28" t="n">
        <v>1011.895033333357</v>
      </c>
      <c r="LO11" s="28" t="n">
        <v>998.4030995555796</v>
      </c>
      <c r="LP11" s="28" t="n">
        <v>984.9111657778019</v>
      </c>
      <c r="LQ11" s="28" t="n">
        <v>971.4192320000241</v>
      </c>
      <c r="LR11" s="28" t="n">
        <v>957.9272982222462</v>
      </c>
      <c r="LS11" s="28" t="n">
        <v>944.4353644444684</v>
      </c>
      <c r="LT11" s="28" t="n">
        <v>930.9434306666906</v>
      </c>
      <c r="LU11" s="28" t="n">
        <v>917.4514968889127</v>
      </c>
      <c r="LV11" s="28" t="n">
        <v>903.9595631111349</v>
      </c>
      <c r="LW11" s="28" t="n">
        <v>890.4676293333571</v>
      </c>
      <c r="LX11" s="28" t="n">
        <v>876.9756955555794</v>
      </c>
      <c r="LY11" s="28" t="n">
        <v>863.4837617778015</v>
      </c>
      <c r="LZ11" s="28" t="n">
        <v>849.9918280000237</v>
      </c>
      <c r="MA11" s="28" t="n">
        <v>836.4998942222459</v>
      </c>
      <c r="MB11" s="28" t="n">
        <v>823.007960444468</v>
      </c>
      <c r="MC11" s="28" t="n">
        <v>809.5160266666902</v>
      </c>
      <c r="MD11" s="28" t="n">
        <v>796.0240928889124</v>
      </c>
      <c r="ME11" s="28" t="n">
        <v>782.5321591111345</v>
      </c>
      <c r="MF11" s="28" t="n">
        <v>769.0402253333567</v>
      </c>
      <c r="MG11" s="28" t="n">
        <v>755.548291555579</v>
      </c>
      <c r="MH11" s="28" t="n">
        <v>742.0563577778012</v>
      </c>
      <c r="MI11" s="28" t="n">
        <v>728.5644240000233</v>
      </c>
      <c r="MJ11" s="28" t="n">
        <v>715.0724902222455</v>
      </c>
      <c r="MK11" s="28" t="n">
        <v>701.5805564444677</v>
      </c>
      <c r="ML11" s="28" t="n">
        <v>688.0886226666898</v>
      </c>
      <c r="MM11" s="28" t="n">
        <v>674.596688888912</v>
      </c>
      <c r="MN11" s="28" t="n">
        <v>661.1047551111342</v>
      </c>
      <c r="MO11" s="28" t="n">
        <v>647.6128213333565</v>
      </c>
      <c r="MP11" s="28" t="n">
        <v>634.1208875555786</v>
      </c>
      <c r="MQ11" s="28" t="n">
        <v>620.6289537778008</v>
      </c>
      <c r="MR11" s="28" t="n">
        <v>607.1370200000231</v>
      </c>
      <c r="MS11" s="28" t="n">
        <v>593.6450862222454</v>
      </c>
      <c r="MT11" s="28" t="n">
        <v>580.1531524444677</v>
      </c>
      <c r="MU11" s="28" t="n">
        <v>566.6612186666898</v>
      </c>
      <c r="MV11" s="28" t="n">
        <v>553.1692848889121</v>
      </c>
      <c r="MW11" s="28" t="n">
        <v>539.6773511111344</v>
      </c>
      <c r="MX11" s="28" t="n">
        <v>526.1854173333566</v>
      </c>
      <c r="MY11" s="28" t="n">
        <v>512.6934835555788</v>
      </c>
      <c r="MZ11" s="28" t="n">
        <v>499.2015497778011</v>
      </c>
      <c r="NA11" s="28" t="n">
        <v>485.7096160000233</v>
      </c>
      <c r="NB11" s="28" t="n">
        <v>472.2176822222456</v>
      </c>
      <c r="NC11" s="28" t="n">
        <v>458.7257484444679</v>
      </c>
      <c r="ND11" s="28" t="n">
        <v>445.2338146666901</v>
      </c>
      <c r="NE11" s="28" t="n">
        <v>431.7418808889124</v>
      </c>
      <c r="NF11" s="28" t="n">
        <v>418.2499471111346</v>
      </c>
      <c r="NG11" s="28" t="n">
        <v>404.7580133333569</v>
      </c>
      <c r="NH11" s="28" t="n">
        <v>391.2660795555792</v>
      </c>
      <c r="NI11" s="28" t="n">
        <v>377.7741457778014</v>
      </c>
      <c r="NJ11" s="28" t="n">
        <v>364.2822120000236</v>
      </c>
      <c r="NK11" s="28" t="n">
        <v>350.7902782222459</v>
      </c>
      <c r="NL11" s="28" t="n">
        <v>337.2983444444681</v>
      </c>
      <c r="NM11" s="28" t="n">
        <v>323.8064106666904</v>
      </c>
      <c r="NN11" s="28" t="n">
        <v>310.3144768889126</v>
      </c>
      <c r="NO11" s="28" t="n">
        <v>296.8225431111348</v>
      </c>
      <c r="NP11" s="28" t="n">
        <v>283.330609333357</v>
      </c>
      <c r="NQ11" s="28" t="n">
        <v>269.8386755555792</v>
      </c>
      <c r="NR11" s="28" t="n">
        <v>256.3467417778015</v>
      </c>
      <c r="NS11" s="28" t="n">
        <v>242.8548080000237</v>
      </c>
      <c r="NT11" s="28" t="n">
        <v>229.3628742222459</v>
      </c>
      <c r="NU11" s="28" t="n">
        <v>215.8709404444681</v>
      </c>
      <c r="NV11" s="28" t="n">
        <v>202.3790066666903</v>
      </c>
      <c r="NW11" s="28" t="n">
        <v>188.8870728889126</v>
      </c>
      <c r="NX11" s="28" t="n">
        <v>175.3951391111348</v>
      </c>
      <c r="NY11" s="28" t="n">
        <v>161.903205333357</v>
      </c>
      <c r="NZ11" s="28" t="n">
        <v>148.4112715555792</v>
      </c>
      <c r="OA11" s="28" t="n">
        <v>134.9193377778014</v>
      </c>
      <c r="OB11" s="28" t="n">
        <v>121.4274040000236</v>
      </c>
      <c r="OC11" s="28" t="n">
        <v>107.9354702222459</v>
      </c>
      <c r="OD11" s="28" t="n">
        <v>94.44353644446808</v>
      </c>
      <c r="OE11" s="28" t="n">
        <v>80.95160266669029</v>
      </c>
      <c r="OF11" s="28" t="n">
        <v>67.45966888891252</v>
      </c>
      <c r="OG11" s="28" t="n">
        <v>53.96773511113474</v>
      </c>
      <c r="OH11" s="28" t="n">
        <v>40.47580133335697</v>
      </c>
      <c r="OI11" s="28" t="n">
        <v>26.9838675555792</v>
      </c>
      <c r="OJ11" s="28" t="n">
        <v>13.49193377780142</v>
      </c>
      <c r="OK11" s="28" t="n">
        <v>2.364451271811655e-11</v>
      </c>
      <c r="OL11" s="28" t="n">
        <v>0</v>
      </c>
      <c r="OM11" s="28" t="n">
        <v>0</v>
      </c>
      <c r="ON11" s="28" t="n">
        <v>0</v>
      </c>
      <c r="OO11" s="28" t="n">
        <v>0</v>
      </c>
      <c r="OP11" s="28" t="n">
        <v>0</v>
      </c>
      <c r="OQ11" s="28" t="n">
        <v>0</v>
      </c>
      <c r="OR11" s="28" t="n">
        <v>0</v>
      </c>
      <c r="OS11" s="28" t="n">
        <v>0</v>
      </c>
      <c r="OT11" s="28" t="n">
        <v>0</v>
      </c>
      <c r="OU11" s="28" t="n">
        <v>0</v>
      </c>
      <c r="OV11" s="28" t="n">
        <v>0</v>
      </c>
      <c r="OW11" s="28" t="n">
        <v>0</v>
      </c>
      <c r="OX11" s="28" t="n">
        <v>0</v>
      </c>
      <c r="OY11" s="28" t="n">
        <v>0</v>
      </c>
      <c r="OZ11" s="28" t="n">
        <v>0</v>
      </c>
      <c r="PA11" s="28" t="n">
        <v>0</v>
      </c>
      <c r="PB11" s="28" t="n">
        <v>0</v>
      </c>
      <c r="PC11" s="28" t="n">
        <v>0</v>
      </c>
      <c r="PD11" s="28" t="n">
        <v>0</v>
      </c>
      <c r="PE11" s="28" t="n">
        <v>0</v>
      </c>
      <c r="PF11" s="28" t="n">
        <v>0</v>
      </c>
      <c r="PG11" s="28" t="n">
        <v>0</v>
      </c>
      <c r="PH11" s="28" t="n">
        <v>0</v>
      </c>
      <c r="PI11" s="28" t="n">
        <v>0</v>
      </c>
      <c r="PJ11" s="28" t="n">
        <v>0</v>
      </c>
      <c r="PK11" s="28" t="n">
        <v>0</v>
      </c>
      <c r="PL11" s="28" t="n">
        <v>0</v>
      </c>
      <c r="PM11" s="28" t="n">
        <v>0</v>
      </c>
      <c r="PN11" s="28" t="n">
        <v>0</v>
      </c>
      <c r="PO11" s="28" t="n">
        <v>0</v>
      </c>
      <c r="PP11" s="28" t="n">
        <v>0</v>
      </c>
      <c r="PQ11" s="28" t="n">
        <v>0</v>
      </c>
      <c r="PR11" s="28" t="n">
        <v>0</v>
      </c>
      <c r="PS11" s="28" t="n">
        <v>0</v>
      </c>
      <c r="PT11" s="28" t="n">
        <v>0</v>
      </c>
      <c r="PU11" s="28" t="n">
        <v>0</v>
      </c>
      <c r="PV11" s="28" t="n">
        <v>0</v>
      </c>
      <c r="PW11" s="28" t="n">
        <v>0</v>
      </c>
      <c r="PX11" s="28" t="n">
        <v>0</v>
      </c>
      <c r="PY11" s="28" t="n">
        <v>0</v>
      </c>
      <c r="PZ11" s="28" t="n">
        <v>0</v>
      </c>
      <c r="QA11" s="28" t="n">
        <v>0</v>
      </c>
      <c r="QB11" s="28" t="n">
        <v>0</v>
      </c>
      <c r="QC11" s="28" t="n">
        <v>0</v>
      </c>
      <c r="QD11" s="28" t="n">
        <v>0</v>
      </c>
      <c r="QE11" s="28" t="n">
        <v>0</v>
      </c>
      <c r="QF11" s="28" t="n">
        <v>0</v>
      </c>
      <c r="QG11" s="28" t="n">
        <v>0</v>
      </c>
      <c r="QH11" s="28" t="n">
        <v>0</v>
      </c>
      <c r="QI11" s="28" t="n">
        <v>0</v>
      </c>
      <c r="QJ11" s="28" t="n">
        <v>0</v>
      </c>
      <c r="QK11" s="28" t="n">
        <v>0</v>
      </c>
      <c r="QL11" s="28" t="n">
        <v>0</v>
      </c>
      <c r="QM11" s="28" t="n">
        <v>0</v>
      </c>
      <c r="QN11" s="28" t="n">
        <v>0</v>
      </c>
      <c r="QO11" s="28" t="n">
        <v>0</v>
      </c>
      <c r="QP11" s="28" t="n">
        <v>0</v>
      </c>
      <c r="QQ11" s="28" t="n">
        <v>0</v>
      </c>
      <c r="QR11" s="28" t="n">
        <v>0</v>
      </c>
      <c r="QS11" s="28" t="n">
        <v>0</v>
      </c>
      <c r="QT11" s="28" t="n">
        <v>0</v>
      </c>
      <c r="QU11" s="28" t="n">
        <v>0</v>
      </c>
      <c r="QV11" s="28" t="n">
        <v>0</v>
      </c>
      <c r="QW11" s="28" t="n">
        <v>0</v>
      </c>
      <c r="QX11" s="28" t="n">
        <v>0</v>
      </c>
      <c r="QY11" s="28" t="n">
        <v>0</v>
      </c>
      <c r="QZ11" s="28" t="n">
        <v>0</v>
      </c>
      <c r="RA11" s="28" t="n">
        <v>0</v>
      </c>
      <c r="RB11" s="28" t="n">
        <v>0</v>
      </c>
      <c r="RC11" s="28" t="n">
        <v>0</v>
      </c>
      <c r="RD11" s="28" t="n">
        <v>0</v>
      </c>
      <c r="RE11" s="28" t="n">
        <v>0</v>
      </c>
      <c r="RF11" s="28" t="n">
        <v>0</v>
      </c>
      <c r="RG11" s="28" t="n">
        <v>0</v>
      </c>
      <c r="RH11" s="28" t="n">
        <v>0</v>
      </c>
      <c r="RI11" s="28" t="n">
        <v>0</v>
      </c>
      <c r="RJ11" s="28" t="n">
        <v>0</v>
      </c>
      <c r="RK11" s="28" t="n">
        <v>0</v>
      </c>
      <c r="RL11" s="28" t="n">
        <v>0</v>
      </c>
      <c r="RM11" s="28" t="n">
        <v>0</v>
      </c>
      <c r="RN11" s="28" t="n">
        <v>0</v>
      </c>
      <c r="RO11" s="28" t="n">
        <v>0</v>
      </c>
      <c r="RP11" s="28" t="n">
        <v>0</v>
      </c>
      <c r="RQ11" s="28" t="n">
        <v>0</v>
      </c>
      <c r="RR11" s="28" t="n">
        <v>0</v>
      </c>
      <c r="RS11" s="28" t="n">
        <v>0</v>
      </c>
      <c r="RT11" s="28" t="n">
        <v>0</v>
      </c>
      <c r="RU11" s="28" t="n">
        <v>0</v>
      </c>
      <c r="RV11" s="28" t="n">
        <v>0</v>
      </c>
      <c r="RW11" s="28" t="n">
        <v>0</v>
      </c>
    </row>
    <row r="12" hidden="1" outlineLevel="1" ht="13.05" customHeight="1">
      <c r="E12" s="50" t="inlineStr">
        <is>
          <t>EBT</t>
        </is>
      </c>
      <c r="F12" s="51" t="n"/>
      <c r="G12" s="51" t="inlineStr">
        <is>
          <t>kEUR</t>
        </is>
      </c>
      <c r="H12" s="51" t="n"/>
      <c r="I12" s="51" t="n"/>
      <c r="J12" s="52" t="n">
        <v>1364678.117738177</v>
      </c>
      <c r="K12" s="51" t="n"/>
      <c r="L12" s="53">
        <f>L10-L11</f>
        <v/>
      </c>
      <c r="M12" s="53">
        <f>M10-M11</f>
        <v/>
      </c>
      <c r="N12" s="53">
        <f>N10-N11</f>
        <v/>
      </c>
      <c r="O12" s="53">
        <f>O10-O11</f>
        <v/>
      </c>
      <c r="P12" s="53">
        <f>P10-P11</f>
        <v/>
      </c>
      <c r="Q12" s="53">
        <f>Q10-Q11</f>
        <v/>
      </c>
      <c r="R12" s="53">
        <f>R10-R11</f>
        <v/>
      </c>
      <c r="S12" s="53">
        <f>S10-S11</f>
        <v/>
      </c>
      <c r="T12" s="53">
        <f>T10-T11</f>
        <v/>
      </c>
      <c r="U12" s="53">
        <f>U10-U11</f>
        <v/>
      </c>
      <c r="V12" s="53">
        <f>V10-V11</f>
        <v/>
      </c>
      <c r="W12" s="53">
        <f>W10-W11</f>
        <v/>
      </c>
      <c r="X12" s="53">
        <f>X10-X11</f>
        <v/>
      </c>
      <c r="Y12" s="53">
        <f>Y10-Y11</f>
        <v/>
      </c>
      <c r="Z12" s="53">
        <f>Z10-Z11</f>
        <v/>
      </c>
      <c r="AA12" s="53">
        <f>AA10-AA11</f>
        <v/>
      </c>
      <c r="AB12" s="53">
        <f>AB10-AB11</f>
        <v/>
      </c>
      <c r="AC12" s="53">
        <f>AC10-AC11</f>
        <v/>
      </c>
      <c r="AD12" s="53">
        <f>AD10-AD11</f>
        <v/>
      </c>
      <c r="AE12" s="53">
        <f>AE10-AE11</f>
        <v/>
      </c>
      <c r="AF12" s="53">
        <f>AF10-AF11</f>
        <v/>
      </c>
      <c r="AG12" s="53">
        <f>AG10-AG11</f>
        <v/>
      </c>
      <c r="AH12" s="53">
        <f>AH10-AH11</f>
        <v/>
      </c>
      <c r="AI12" s="53">
        <f>AI10-AI11</f>
        <v/>
      </c>
      <c r="AJ12" s="53">
        <f>AJ10-AJ11</f>
        <v/>
      </c>
      <c r="AK12" s="53">
        <f>AK10-AK11</f>
        <v/>
      </c>
      <c r="AL12" s="53">
        <f>AL10-AL11</f>
        <v/>
      </c>
      <c r="AM12" s="53">
        <f>AM10-AM11</f>
        <v/>
      </c>
      <c r="AN12" s="53">
        <f>AN10-AN11</f>
        <v/>
      </c>
      <c r="AO12" s="53">
        <f>AO10-AO11</f>
        <v/>
      </c>
      <c r="AP12" s="53">
        <f>AP10-AP11</f>
        <v/>
      </c>
      <c r="AQ12" s="53">
        <f>AQ10-AQ11</f>
        <v/>
      </c>
      <c r="AR12" s="53">
        <f>AR10-AR11</f>
        <v/>
      </c>
      <c r="AS12" s="53">
        <f>AS10-AS11</f>
        <v/>
      </c>
      <c r="AT12" s="53">
        <f>AT10-AT11</f>
        <v/>
      </c>
      <c r="AU12" s="53">
        <f>AU10-AU11</f>
        <v/>
      </c>
      <c r="AV12" s="53">
        <f>AV10-AV11</f>
        <v/>
      </c>
      <c r="AW12" s="53">
        <f>AW10-AW11</f>
        <v/>
      </c>
      <c r="AX12" s="53">
        <f>AX10-AX11</f>
        <v/>
      </c>
      <c r="AY12" s="53">
        <f>AY10-AY11</f>
        <v/>
      </c>
      <c r="AZ12" s="53">
        <f>AZ10-AZ11</f>
        <v/>
      </c>
      <c r="BA12" s="53">
        <f>BA10-BA11</f>
        <v/>
      </c>
      <c r="BB12" s="53">
        <f>BB10-BB11</f>
        <v/>
      </c>
      <c r="BC12" s="53">
        <f>BC10-BC11</f>
        <v/>
      </c>
      <c r="BD12" s="53">
        <f>BD10-BD11</f>
        <v/>
      </c>
      <c r="BE12" s="53">
        <f>BE10-BE11</f>
        <v/>
      </c>
      <c r="BF12" s="53">
        <f>BF10-BF11</f>
        <v/>
      </c>
      <c r="BG12" s="53">
        <f>BG10-BG11</f>
        <v/>
      </c>
      <c r="BH12" s="53">
        <f>BH10-BH11</f>
        <v/>
      </c>
      <c r="BI12" s="53">
        <f>BI10-BI11</f>
        <v/>
      </c>
      <c r="BJ12" s="53">
        <f>BJ10-BJ11</f>
        <v/>
      </c>
      <c r="BK12" s="53">
        <f>BK10-BK11</f>
        <v/>
      </c>
      <c r="BL12" s="53">
        <f>BL10-BL11</f>
        <v/>
      </c>
      <c r="BM12" s="53">
        <f>BM10-BM11</f>
        <v/>
      </c>
      <c r="BN12" s="53">
        <f>BN10-BN11</f>
        <v/>
      </c>
      <c r="BO12" s="53">
        <f>BO10-BO11</f>
        <v/>
      </c>
      <c r="BP12" s="53">
        <f>BP10-BP11</f>
        <v/>
      </c>
      <c r="BQ12" s="53">
        <f>BQ10-BQ11</f>
        <v/>
      </c>
      <c r="BR12" s="53">
        <f>BR10-BR11</f>
        <v/>
      </c>
      <c r="BS12" s="53">
        <f>BS10-BS11</f>
        <v/>
      </c>
      <c r="BT12" s="53">
        <f>BT10-BT11</f>
        <v/>
      </c>
      <c r="BU12" s="53">
        <f>BU10-BU11</f>
        <v/>
      </c>
      <c r="BV12" s="53">
        <f>BV10-BV11</f>
        <v/>
      </c>
      <c r="BW12" s="53">
        <f>BW10-BW11</f>
        <v/>
      </c>
      <c r="BX12" s="53">
        <f>BX10-BX11</f>
        <v/>
      </c>
      <c r="BY12" s="53">
        <f>BY10-BY11</f>
        <v/>
      </c>
      <c r="BZ12" s="53">
        <f>BZ10-BZ11</f>
        <v/>
      </c>
      <c r="CA12" s="53">
        <f>CA10-CA11</f>
        <v/>
      </c>
      <c r="CB12" s="53">
        <f>CB10-CB11</f>
        <v/>
      </c>
      <c r="CC12" s="53">
        <f>CC10-CC11</f>
        <v/>
      </c>
      <c r="CD12" s="53">
        <f>CD10-CD11</f>
        <v/>
      </c>
      <c r="CE12" s="53">
        <f>CE10-CE11</f>
        <v/>
      </c>
      <c r="CF12" s="53">
        <f>CF10-CF11</f>
        <v/>
      </c>
      <c r="CG12" s="53">
        <f>CG10-CG11</f>
        <v/>
      </c>
      <c r="CH12" s="53">
        <f>CH10-CH11</f>
        <v/>
      </c>
      <c r="CI12" s="53">
        <f>CI10-CI11</f>
        <v/>
      </c>
      <c r="CJ12" s="53">
        <f>CJ10-CJ11</f>
        <v/>
      </c>
      <c r="CK12" s="53">
        <f>CK10-CK11</f>
        <v/>
      </c>
      <c r="CL12" s="53">
        <f>CL10-CL11</f>
        <v/>
      </c>
      <c r="CM12" s="53">
        <f>CM10-CM11</f>
        <v/>
      </c>
      <c r="CN12" s="53">
        <f>CN10-CN11</f>
        <v/>
      </c>
      <c r="CO12" s="53">
        <f>CO10-CO11</f>
        <v/>
      </c>
      <c r="CP12" s="53">
        <f>CP10-CP11</f>
        <v/>
      </c>
      <c r="CQ12" s="53">
        <f>CQ10-CQ11</f>
        <v/>
      </c>
      <c r="CR12" s="53">
        <f>CR10-CR11</f>
        <v/>
      </c>
      <c r="CS12" s="53">
        <f>CS10-CS11</f>
        <v/>
      </c>
      <c r="CT12" s="53">
        <f>CT10-CT11</f>
        <v/>
      </c>
      <c r="CU12" s="53">
        <f>CU10-CU11</f>
        <v/>
      </c>
      <c r="CV12" s="53">
        <f>CV10-CV11</f>
        <v/>
      </c>
      <c r="CW12" s="53">
        <f>CW10-CW11</f>
        <v/>
      </c>
      <c r="CX12" s="53">
        <f>CX10-CX11</f>
        <v/>
      </c>
      <c r="CY12" s="53">
        <f>CY10-CY11</f>
        <v/>
      </c>
      <c r="CZ12" s="53">
        <f>CZ10-CZ11</f>
        <v/>
      </c>
      <c r="DA12" s="53">
        <f>DA10-DA11</f>
        <v/>
      </c>
      <c r="DB12" s="53">
        <f>DB10-DB11</f>
        <v/>
      </c>
      <c r="DC12" s="53">
        <f>DC10-DC11</f>
        <v/>
      </c>
      <c r="DD12" s="53">
        <f>DD10-DD11</f>
        <v/>
      </c>
      <c r="DE12" s="53">
        <f>DE10-DE11</f>
        <v/>
      </c>
      <c r="DF12" s="53">
        <f>DF10-DF11</f>
        <v/>
      </c>
      <c r="DG12" s="53">
        <f>DG10-DG11</f>
        <v/>
      </c>
      <c r="DH12" s="53">
        <f>DH10-DH11</f>
        <v/>
      </c>
      <c r="DI12" s="53">
        <f>DI10-DI11</f>
        <v/>
      </c>
      <c r="DJ12" s="53">
        <f>DJ10-DJ11</f>
        <v/>
      </c>
      <c r="DK12" s="53">
        <f>DK10-DK11</f>
        <v/>
      </c>
      <c r="DL12" s="53">
        <f>DL10-DL11</f>
        <v/>
      </c>
      <c r="DM12" s="53">
        <f>DM10-DM11</f>
        <v/>
      </c>
      <c r="DN12" s="53">
        <f>DN10-DN11</f>
        <v/>
      </c>
      <c r="DO12" s="53">
        <f>DO10-DO11</f>
        <v/>
      </c>
      <c r="DP12" s="53">
        <f>DP10-DP11</f>
        <v/>
      </c>
      <c r="DQ12" s="53">
        <f>DQ10-DQ11</f>
        <v/>
      </c>
      <c r="DR12" s="53">
        <f>DR10-DR11</f>
        <v/>
      </c>
      <c r="DS12" s="53">
        <f>DS10-DS11</f>
        <v/>
      </c>
      <c r="DT12" s="53">
        <f>DT10-DT11</f>
        <v/>
      </c>
      <c r="DU12" s="53">
        <f>DU10-DU11</f>
        <v/>
      </c>
      <c r="DV12" s="53">
        <f>DV10-DV11</f>
        <v/>
      </c>
      <c r="DW12" s="53">
        <f>DW10-DW11</f>
        <v/>
      </c>
      <c r="DX12" s="53">
        <f>DX10-DX11</f>
        <v/>
      </c>
      <c r="DY12" s="53">
        <f>DY10-DY11</f>
        <v/>
      </c>
      <c r="DZ12" s="53">
        <f>DZ10-DZ11</f>
        <v/>
      </c>
      <c r="EA12" s="53">
        <f>EA10-EA11</f>
        <v/>
      </c>
      <c r="EB12" s="53">
        <f>EB10-EB11</f>
        <v/>
      </c>
      <c r="EC12" s="53">
        <f>EC10-EC11</f>
        <v/>
      </c>
      <c r="ED12" s="53">
        <f>ED10-ED11</f>
        <v/>
      </c>
      <c r="EE12" s="53">
        <f>EE10-EE11</f>
        <v/>
      </c>
      <c r="EF12" s="53">
        <f>EF10-EF11</f>
        <v/>
      </c>
      <c r="EG12" s="53">
        <f>EG10-EG11</f>
        <v/>
      </c>
      <c r="EH12" s="53">
        <f>EH10-EH11</f>
        <v/>
      </c>
      <c r="EI12" s="53">
        <f>EI10-EI11</f>
        <v/>
      </c>
      <c r="EJ12" s="53">
        <f>EJ10-EJ11</f>
        <v/>
      </c>
      <c r="EK12" s="53">
        <f>EK10-EK11</f>
        <v/>
      </c>
      <c r="EL12" s="53">
        <f>EL10-EL11</f>
        <v/>
      </c>
      <c r="EM12" s="53">
        <f>EM10-EM11</f>
        <v/>
      </c>
      <c r="EN12" s="53">
        <f>EN10-EN11</f>
        <v/>
      </c>
      <c r="EO12" s="53">
        <f>EO10-EO11</f>
        <v/>
      </c>
      <c r="EP12" s="53">
        <f>EP10-EP11</f>
        <v/>
      </c>
      <c r="EQ12" s="53">
        <f>EQ10-EQ11</f>
        <v/>
      </c>
      <c r="ER12" s="53">
        <f>ER10-ER11</f>
        <v/>
      </c>
      <c r="ES12" s="53">
        <f>ES10-ES11</f>
        <v/>
      </c>
      <c r="ET12" s="53">
        <f>ET10-ET11</f>
        <v/>
      </c>
      <c r="EU12" s="53">
        <f>EU10-EU11</f>
        <v/>
      </c>
      <c r="EV12" s="53">
        <f>EV10-EV11</f>
        <v/>
      </c>
      <c r="EW12" s="53">
        <f>EW10-EW11</f>
        <v/>
      </c>
      <c r="EX12" s="53">
        <f>EX10-EX11</f>
        <v/>
      </c>
      <c r="EY12" s="53">
        <f>EY10-EY11</f>
        <v/>
      </c>
      <c r="EZ12" s="53">
        <f>EZ10-EZ11</f>
        <v/>
      </c>
      <c r="FA12" s="53">
        <f>FA10-FA11</f>
        <v/>
      </c>
      <c r="FB12" s="53">
        <f>FB10-FB11</f>
        <v/>
      </c>
      <c r="FC12" s="53">
        <f>FC10-FC11</f>
        <v/>
      </c>
      <c r="FD12" s="53">
        <f>FD10-FD11</f>
        <v/>
      </c>
      <c r="FE12" s="53">
        <f>FE10-FE11</f>
        <v/>
      </c>
      <c r="FF12" s="53">
        <f>FF10-FF11</f>
        <v/>
      </c>
      <c r="FG12" s="53">
        <f>FG10-FG11</f>
        <v/>
      </c>
      <c r="FH12" s="53">
        <f>FH10-FH11</f>
        <v/>
      </c>
      <c r="FI12" s="53">
        <f>FI10-FI11</f>
        <v/>
      </c>
      <c r="FJ12" s="53">
        <f>FJ10-FJ11</f>
        <v/>
      </c>
      <c r="FK12" s="53">
        <f>FK10-FK11</f>
        <v/>
      </c>
      <c r="FL12" s="53">
        <f>FL10-FL11</f>
        <v/>
      </c>
      <c r="FM12" s="53">
        <f>FM10-FM11</f>
        <v/>
      </c>
      <c r="FN12" s="53">
        <f>FN10-FN11</f>
        <v/>
      </c>
      <c r="FO12" s="53">
        <f>FO10-FO11</f>
        <v/>
      </c>
      <c r="FP12" s="53">
        <f>FP10-FP11</f>
        <v/>
      </c>
      <c r="FQ12" s="53">
        <f>FQ10-FQ11</f>
        <v/>
      </c>
      <c r="FR12" s="53">
        <f>FR10-FR11</f>
        <v/>
      </c>
      <c r="FS12" s="53">
        <f>FS10-FS11</f>
        <v/>
      </c>
      <c r="FT12" s="53">
        <f>FT10-FT11</f>
        <v/>
      </c>
      <c r="FU12" s="53">
        <f>FU10-FU11</f>
        <v/>
      </c>
      <c r="FV12" s="53">
        <f>FV10-FV11</f>
        <v/>
      </c>
      <c r="FW12" s="53">
        <f>FW10-FW11</f>
        <v/>
      </c>
      <c r="FX12" s="53">
        <f>FX10-FX11</f>
        <v/>
      </c>
      <c r="FY12" s="53">
        <f>FY10-FY11</f>
        <v/>
      </c>
      <c r="FZ12" s="53">
        <f>FZ10-FZ11</f>
        <v/>
      </c>
      <c r="GA12" s="53">
        <f>GA10-GA11</f>
        <v/>
      </c>
      <c r="GB12" s="53">
        <f>GB10-GB11</f>
        <v/>
      </c>
      <c r="GC12" s="53">
        <f>GC10-GC11</f>
        <v/>
      </c>
      <c r="GD12" s="53">
        <f>GD10-GD11</f>
        <v/>
      </c>
      <c r="GE12" s="53">
        <f>GE10-GE11</f>
        <v/>
      </c>
      <c r="GF12" s="53">
        <f>GF10-GF11</f>
        <v/>
      </c>
      <c r="GG12" s="53">
        <f>GG10-GG11</f>
        <v/>
      </c>
      <c r="GH12" s="53">
        <f>GH10-GH11</f>
        <v/>
      </c>
      <c r="GI12" s="53">
        <f>GI10-GI11</f>
        <v/>
      </c>
      <c r="GJ12" s="53">
        <f>GJ10-GJ11</f>
        <v/>
      </c>
      <c r="GK12" s="53">
        <f>GK10-GK11</f>
        <v/>
      </c>
      <c r="GL12" s="53">
        <f>GL10-GL11</f>
        <v/>
      </c>
      <c r="GM12" s="53">
        <f>GM10-GM11</f>
        <v/>
      </c>
      <c r="GN12" s="53">
        <f>GN10-GN11</f>
        <v/>
      </c>
      <c r="GO12" s="53">
        <f>GO10-GO11</f>
        <v/>
      </c>
      <c r="GP12" s="53">
        <f>GP10-GP11</f>
        <v/>
      </c>
      <c r="GQ12" s="53">
        <f>GQ10-GQ11</f>
        <v/>
      </c>
      <c r="GR12" s="53">
        <f>GR10-GR11</f>
        <v/>
      </c>
      <c r="GS12" s="53">
        <f>GS10-GS11</f>
        <v/>
      </c>
      <c r="GT12" s="53">
        <f>GT10-GT11</f>
        <v/>
      </c>
      <c r="GU12" s="53">
        <f>GU10-GU11</f>
        <v/>
      </c>
      <c r="GV12" s="53">
        <f>GV10-GV11</f>
        <v/>
      </c>
      <c r="GW12" s="53">
        <f>GW10-GW11</f>
        <v/>
      </c>
      <c r="GX12" s="53">
        <f>GX10-GX11</f>
        <v/>
      </c>
      <c r="GY12" s="53">
        <f>GY10-GY11</f>
        <v/>
      </c>
      <c r="GZ12" s="53">
        <f>GZ10-GZ11</f>
        <v/>
      </c>
      <c r="HA12" s="53">
        <f>HA10-HA11</f>
        <v/>
      </c>
      <c r="HB12" s="53">
        <f>HB10-HB11</f>
        <v/>
      </c>
      <c r="HC12" s="53">
        <f>HC10-HC11</f>
        <v/>
      </c>
      <c r="HD12" s="53">
        <f>HD10-HD11</f>
        <v/>
      </c>
      <c r="HE12" s="53">
        <f>HE10-HE11</f>
        <v/>
      </c>
      <c r="HF12" s="53">
        <f>HF10-HF11</f>
        <v/>
      </c>
      <c r="HG12" s="53">
        <f>HG10-HG11</f>
        <v/>
      </c>
      <c r="HH12" s="53">
        <f>HH10-HH11</f>
        <v/>
      </c>
      <c r="HI12" s="53">
        <f>HI10-HI11</f>
        <v/>
      </c>
      <c r="HJ12" s="53">
        <f>HJ10-HJ11</f>
        <v/>
      </c>
      <c r="HK12" s="53">
        <f>HK10-HK11</f>
        <v/>
      </c>
      <c r="HL12" s="53">
        <f>HL10-HL11</f>
        <v/>
      </c>
      <c r="HM12" s="53">
        <f>HM10-HM11</f>
        <v/>
      </c>
      <c r="HN12" s="53">
        <f>HN10-HN11</f>
        <v/>
      </c>
      <c r="HO12" s="53">
        <f>HO10-HO11</f>
        <v/>
      </c>
      <c r="HP12" s="53">
        <f>HP10-HP11</f>
        <v/>
      </c>
      <c r="HQ12" s="53">
        <f>HQ10-HQ11</f>
        <v/>
      </c>
      <c r="HR12" s="53">
        <f>HR10-HR11</f>
        <v/>
      </c>
      <c r="HS12" s="53">
        <f>HS10-HS11</f>
        <v/>
      </c>
      <c r="HT12" s="53">
        <f>HT10-HT11</f>
        <v/>
      </c>
      <c r="HU12" s="53">
        <f>HU10-HU11</f>
        <v/>
      </c>
      <c r="HV12" s="53">
        <f>HV10-HV11</f>
        <v/>
      </c>
      <c r="HW12" s="53">
        <f>HW10-HW11</f>
        <v/>
      </c>
      <c r="HX12" s="53">
        <f>HX10-HX11</f>
        <v/>
      </c>
      <c r="HY12" s="53">
        <f>HY10-HY11</f>
        <v/>
      </c>
      <c r="HZ12" s="53">
        <f>HZ10-HZ11</f>
        <v/>
      </c>
      <c r="IA12" s="53">
        <f>IA10-IA11</f>
        <v/>
      </c>
      <c r="IB12" s="53">
        <f>IB10-IB11</f>
        <v/>
      </c>
      <c r="IC12" s="53">
        <f>IC10-IC11</f>
        <v/>
      </c>
      <c r="ID12" s="53">
        <f>ID10-ID11</f>
        <v/>
      </c>
      <c r="IE12" s="53">
        <f>IE10-IE11</f>
        <v/>
      </c>
      <c r="IF12" s="53">
        <f>IF10-IF11</f>
        <v/>
      </c>
      <c r="IG12" s="53">
        <f>IG10-IG11</f>
        <v/>
      </c>
      <c r="IH12" s="53">
        <f>IH10-IH11</f>
        <v/>
      </c>
      <c r="II12" s="53">
        <f>II10-II11</f>
        <v/>
      </c>
      <c r="IJ12" s="53">
        <f>IJ10-IJ11</f>
        <v/>
      </c>
      <c r="IK12" s="53">
        <f>IK10-IK11</f>
        <v/>
      </c>
      <c r="IL12" s="53">
        <f>IL10-IL11</f>
        <v/>
      </c>
      <c r="IM12" s="53">
        <f>IM10-IM11</f>
        <v/>
      </c>
      <c r="IN12" s="53">
        <f>IN10-IN11</f>
        <v/>
      </c>
      <c r="IO12" s="53">
        <f>IO10-IO11</f>
        <v/>
      </c>
      <c r="IP12" s="53">
        <f>IP10-IP11</f>
        <v/>
      </c>
      <c r="IQ12" s="53">
        <f>IQ10-IQ11</f>
        <v/>
      </c>
      <c r="IR12" s="53">
        <f>IR10-IR11</f>
        <v/>
      </c>
      <c r="IS12" s="53">
        <f>IS10-IS11</f>
        <v/>
      </c>
      <c r="IT12" s="53">
        <f>IT10-IT11</f>
        <v/>
      </c>
      <c r="IU12" s="53">
        <f>IU10-IU11</f>
        <v/>
      </c>
      <c r="IV12" s="53">
        <f>IV10-IV11</f>
        <v/>
      </c>
      <c r="IW12" s="53">
        <f>IW10-IW11</f>
        <v/>
      </c>
      <c r="IX12" s="53">
        <f>IX10-IX11</f>
        <v/>
      </c>
      <c r="IY12" s="53">
        <f>IY10-IY11</f>
        <v/>
      </c>
      <c r="IZ12" s="53">
        <f>IZ10-IZ11</f>
        <v/>
      </c>
      <c r="JA12" s="53">
        <f>JA10-JA11</f>
        <v/>
      </c>
      <c r="JB12" s="53">
        <f>JB10-JB11</f>
        <v/>
      </c>
      <c r="JC12" s="53">
        <f>JC10-JC11</f>
        <v/>
      </c>
      <c r="JD12" s="53">
        <f>JD10-JD11</f>
        <v/>
      </c>
      <c r="JE12" s="53">
        <f>JE10-JE11</f>
        <v/>
      </c>
      <c r="JF12" s="53">
        <f>JF10-JF11</f>
        <v/>
      </c>
      <c r="JG12" s="53">
        <f>JG10-JG11</f>
        <v/>
      </c>
      <c r="JH12" s="53">
        <f>JH10-JH11</f>
        <v/>
      </c>
      <c r="JI12" s="53">
        <f>JI10-JI11</f>
        <v/>
      </c>
      <c r="JJ12" s="53">
        <f>JJ10-JJ11</f>
        <v/>
      </c>
      <c r="JK12" s="53">
        <f>JK10-JK11</f>
        <v/>
      </c>
      <c r="JL12" s="53">
        <f>JL10-JL11</f>
        <v/>
      </c>
      <c r="JM12" s="53">
        <f>JM10-JM11</f>
        <v/>
      </c>
      <c r="JN12" s="53">
        <f>JN10-JN11</f>
        <v/>
      </c>
      <c r="JO12" s="53">
        <f>JO10-JO11</f>
        <v/>
      </c>
      <c r="JP12" s="53">
        <f>JP10-JP11</f>
        <v/>
      </c>
      <c r="JQ12" s="53">
        <f>JQ10-JQ11</f>
        <v/>
      </c>
      <c r="JR12" s="53">
        <f>JR10-JR11</f>
        <v/>
      </c>
      <c r="JS12" s="53">
        <f>JS10-JS11</f>
        <v/>
      </c>
      <c r="JT12" s="53">
        <f>JT10-JT11</f>
        <v/>
      </c>
      <c r="JU12" s="53">
        <f>JU10-JU11</f>
        <v/>
      </c>
      <c r="JV12" s="53">
        <f>JV10-JV11</f>
        <v/>
      </c>
      <c r="JW12" s="53">
        <f>JW10-JW11</f>
        <v/>
      </c>
      <c r="JX12" s="53">
        <f>JX10-JX11</f>
        <v/>
      </c>
      <c r="JY12" s="53">
        <f>JY10-JY11</f>
        <v/>
      </c>
      <c r="JZ12" s="53">
        <f>JZ10-JZ11</f>
        <v/>
      </c>
      <c r="KA12" s="53">
        <f>KA10-KA11</f>
        <v/>
      </c>
      <c r="KB12" s="53">
        <f>KB10-KB11</f>
        <v/>
      </c>
      <c r="KC12" s="53">
        <f>KC10-KC11</f>
        <v/>
      </c>
      <c r="KD12" s="53">
        <f>KD10-KD11</f>
        <v/>
      </c>
      <c r="KE12" s="53">
        <f>KE10-KE11</f>
        <v/>
      </c>
      <c r="KF12" s="53">
        <f>KF10-KF11</f>
        <v/>
      </c>
      <c r="KG12" s="53">
        <f>KG10-KG11</f>
        <v/>
      </c>
      <c r="KH12" s="53">
        <f>KH10-KH11</f>
        <v/>
      </c>
      <c r="KI12" s="53">
        <f>KI10-KI11</f>
        <v/>
      </c>
      <c r="KJ12" s="53">
        <f>KJ10-KJ11</f>
        <v/>
      </c>
      <c r="KK12" s="53">
        <f>KK10-KK11</f>
        <v/>
      </c>
      <c r="KL12" s="53">
        <f>KL10-KL11</f>
        <v/>
      </c>
      <c r="KM12" s="53">
        <f>KM10-KM11</f>
        <v/>
      </c>
      <c r="KN12" s="53">
        <f>KN10-KN11</f>
        <v/>
      </c>
      <c r="KO12" s="53">
        <f>KO10-KO11</f>
        <v/>
      </c>
      <c r="KP12" s="53">
        <f>KP10-KP11</f>
        <v/>
      </c>
      <c r="KQ12" s="53">
        <f>KQ10-KQ11</f>
        <v/>
      </c>
      <c r="KR12" s="53">
        <f>KR10-KR11</f>
        <v/>
      </c>
      <c r="KS12" s="53">
        <f>KS10-KS11</f>
        <v/>
      </c>
      <c r="KT12" s="53">
        <f>KT10-KT11</f>
        <v/>
      </c>
      <c r="KU12" s="53">
        <f>KU10-KU11</f>
        <v/>
      </c>
      <c r="KV12" s="53">
        <f>KV10-KV11</f>
        <v/>
      </c>
      <c r="KW12" s="53">
        <f>KW10-KW11</f>
        <v/>
      </c>
      <c r="KX12" s="53">
        <f>KX10-KX11</f>
        <v/>
      </c>
      <c r="KY12" s="53">
        <f>KY10-KY11</f>
        <v/>
      </c>
      <c r="KZ12" s="53">
        <f>KZ10-KZ11</f>
        <v/>
      </c>
      <c r="LA12" s="53">
        <f>LA10-LA11</f>
        <v/>
      </c>
      <c r="LB12" s="53">
        <f>LB10-LB11</f>
        <v/>
      </c>
      <c r="LC12" s="53">
        <f>LC10-LC11</f>
        <v/>
      </c>
      <c r="LD12" s="53">
        <f>LD10-LD11</f>
        <v/>
      </c>
      <c r="LE12" s="53">
        <f>LE10-LE11</f>
        <v/>
      </c>
      <c r="LF12" s="53">
        <f>LF10-LF11</f>
        <v/>
      </c>
      <c r="LG12" s="53">
        <f>LG10-LG11</f>
        <v/>
      </c>
      <c r="LH12" s="53">
        <f>LH10-LH11</f>
        <v/>
      </c>
      <c r="LI12" s="53">
        <f>LI10-LI11</f>
        <v/>
      </c>
      <c r="LJ12" s="53">
        <f>LJ10-LJ11</f>
        <v/>
      </c>
      <c r="LK12" s="53">
        <f>LK10-LK11</f>
        <v/>
      </c>
      <c r="LL12" s="53">
        <f>LL10-LL11</f>
        <v/>
      </c>
      <c r="LM12" s="53">
        <f>LM10-LM11</f>
        <v/>
      </c>
      <c r="LN12" s="53">
        <f>LN10-LN11</f>
        <v/>
      </c>
      <c r="LO12" s="53">
        <f>LO10-LO11</f>
        <v/>
      </c>
      <c r="LP12" s="53">
        <f>LP10-LP11</f>
        <v/>
      </c>
      <c r="LQ12" s="53">
        <f>LQ10-LQ11</f>
        <v/>
      </c>
      <c r="LR12" s="53">
        <f>LR10-LR11</f>
        <v/>
      </c>
      <c r="LS12" s="53">
        <f>LS10-LS11</f>
        <v/>
      </c>
      <c r="LT12" s="53">
        <f>LT10-LT11</f>
        <v/>
      </c>
      <c r="LU12" s="53">
        <f>LU10-LU11</f>
        <v/>
      </c>
      <c r="LV12" s="53">
        <f>LV10-LV11</f>
        <v/>
      </c>
      <c r="LW12" s="53">
        <f>LW10-LW11</f>
        <v/>
      </c>
      <c r="LX12" s="53">
        <f>LX10-LX11</f>
        <v/>
      </c>
      <c r="LY12" s="53">
        <f>LY10-LY11</f>
        <v/>
      </c>
      <c r="LZ12" s="53">
        <f>LZ10-LZ11</f>
        <v/>
      </c>
      <c r="MA12" s="53">
        <f>MA10-MA11</f>
        <v/>
      </c>
      <c r="MB12" s="53">
        <f>MB10-MB11</f>
        <v/>
      </c>
      <c r="MC12" s="53">
        <f>MC10-MC11</f>
        <v/>
      </c>
      <c r="MD12" s="53">
        <f>MD10-MD11</f>
        <v/>
      </c>
      <c r="ME12" s="53">
        <f>ME10-ME11</f>
        <v/>
      </c>
      <c r="MF12" s="53">
        <f>MF10-MF11</f>
        <v/>
      </c>
      <c r="MG12" s="53">
        <f>MG10-MG11</f>
        <v/>
      </c>
      <c r="MH12" s="53">
        <f>MH10-MH11</f>
        <v/>
      </c>
      <c r="MI12" s="53">
        <f>MI10-MI11</f>
        <v/>
      </c>
      <c r="MJ12" s="53">
        <f>MJ10-MJ11</f>
        <v/>
      </c>
      <c r="MK12" s="53">
        <f>MK10-MK11</f>
        <v/>
      </c>
      <c r="ML12" s="53">
        <f>ML10-ML11</f>
        <v/>
      </c>
      <c r="MM12" s="53">
        <f>MM10-MM11</f>
        <v/>
      </c>
      <c r="MN12" s="53">
        <f>MN10-MN11</f>
        <v/>
      </c>
      <c r="MO12" s="53">
        <f>MO10-MO11</f>
        <v/>
      </c>
      <c r="MP12" s="53">
        <f>MP10-MP11</f>
        <v/>
      </c>
      <c r="MQ12" s="53">
        <f>MQ10-MQ11</f>
        <v/>
      </c>
      <c r="MR12" s="53">
        <f>MR10-MR11</f>
        <v/>
      </c>
      <c r="MS12" s="53">
        <f>MS10-MS11</f>
        <v/>
      </c>
      <c r="MT12" s="53">
        <f>MT10-MT11</f>
        <v/>
      </c>
      <c r="MU12" s="53">
        <f>MU10-MU11</f>
        <v/>
      </c>
      <c r="MV12" s="53">
        <f>MV10-MV11</f>
        <v/>
      </c>
      <c r="MW12" s="53">
        <f>MW10-MW11</f>
        <v/>
      </c>
      <c r="MX12" s="53">
        <f>MX10-MX11</f>
        <v/>
      </c>
      <c r="MY12" s="53">
        <f>MY10-MY11</f>
        <v/>
      </c>
      <c r="MZ12" s="53">
        <f>MZ10-MZ11</f>
        <v/>
      </c>
      <c r="NA12" s="53">
        <f>NA10-NA11</f>
        <v/>
      </c>
      <c r="NB12" s="53">
        <f>NB10-NB11</f>
        <v/>
      </c>
      <c r="NC12" s="53">
        <f>NC10-NC11</f>
        <v/>
      </c>
      <c r="ND12" s="53">
        <f>ND10-ND11</f>
        <v/>
      </c>
      <c r="NE12" s="53">
        <f>NE10-NE11</f>
        <v/>
      </c>
      <c r="NF12" s="53">
        <f>NF10-NF11</f>
        <v/>
      </c>
      <c r="NG12" s="53">
        <f>NG10-NG11</f>
        <v/>
      </c>
      <c r="NH12" s="53">
        <f>NH10-NH11</f>
        <v/>
      </c>
      <c r="NI12" s="53">
        <f>NI10-NI11</f>
        <v/>
      </c>
      <c r="NJ12" s="53">
        <f>NJ10-NJ11</f>
        <v/>
      </c>
      <c r="NK12" s="53">
        <f>NK10-NK11</f>
        <v/>
      </c>
      <c r="NL12" s="53">
        <f>NL10-NL11</f>
        <v/>
      </c>
      <c r="NM12" s="53">
        <f>NM10-NM11</f>
        <v/>
      </c>
      <c r="NN12" s="53">
        <f>NN10-NN11</f>
        <v/>
      </c>
      <c r="NO12" s="53">
        <f>NO10-NO11</f>
        <v/>
      </c>
      <c r="NP12" s="53">
        <f>NP10-NP11</f>
        <v/>
      </c>
      <c r="NQ12" s="53">
        <f>NQ10-NQ11</f>
        <v/>
      </c>
      <c r="NR12" s="53">
        <f>NR10-NR11</f>
        <v/>
      </c>
      <c r="NS12" s="53">
        <f>NS10-NS11</f>
        <v/>
      </c>
      <c r="NT12" s="53">
        <f>NT10-NT11</f>
        <v/>
      </c>
      <c r="NU12" s="53">
        <f>NU10-NU11</f>
        <v/>
      </c>
      <c r="NV12" s="53">
        <f>NV10-NV11</f>
        <v/>
      </c>
      <c r="NW12" s="53">
        <f>NW10-NW11</f>
        <v/>
      </c>
      <c r="NX12" s="53">
        <f>NX10-NX11</f>
        <v/>
      </c>
      <c r="NY12" s="53">
        <f>NY10-NY11</f>
        <v/>
      </c>
      <c r="NZ12" s="53">
        <f>NZ10-NZ11</f>
        <v/>
      </c>
      <c r="OA12" s="53">
        <f>OA10-OA11</f>
        <v/>
      </c>
      <c r="OB12" s="53">
        <f>OB10-OB11</f>
        <v/>
      </c>
      <c r="OC12" s="53">
        <f>OC10-OC11</f>
        <v/>
      </c>
      <c r="OD12" s="53">
        <f>OD10-OD11</f>
        <v/>
      </c>
      <c r="OE12" s="53">
        <f>OE10-OE11</f>
        <v/>
      </c>
      <c r="OF12" s="53">
        <f>OF10-OF11</f>
        <v/>
      </c>
      <c r="OG12" s="53">
        <f>OG10-OG11</f>
        <v/>
      </c>
      <c r="OH12" s="53">
        <f>OH10-OH11</f>
        <v/>
      </c>
      <c r="OI12" s="53">
        <f>OI10-OI11</f>
        <v/>
      </c>
      <c r="OJ12" s="53">
        <f>OJ10-OJ11</f>
        <v/>
      </c>
      <c r="OK12" s="53">
        <f>OK10-OK11</f>
        <v/>
      </c>
      <c r="OL12" s="53">
        <f>OL10-OL11</f>
        <v/>
      </c>
      <c r="OM12" s="53">
        <f>OM10-OM11</f>
        <v/>
      </c>
      <c r="ON12" s="53">
        <f>ON10-ON11</f>
        <v/>
      </c>
      <c r="OO12" s="53">
        <f>OO10-OO11</f>
        <v/>
      </c>
      <c r="OP12" s="53">
        <f>OP10-OP11</f>
        <v/>
      </c>
      <c r="OQ12" s="53">
        <f>OQ10-OQ11</f>
        <v/>
      </c>
      <c r="OR12" s="53">
        <f>OR10-OR11</f>
        <v/>
      </c>
      <c r="OS12" s="53">
        <f>OS10-OS11</f>
        <v/>
      </c>
      <c r="OT12" s="53">
        <f>OT10-OT11</f>
        <v/>
      </c>
      <c r="OU12" s="53">
        <f>OU10-OU11</f>
        <v/>
      </c>
      <c r="OV12" s="53">
        <f>OV10-OV11</f>
        <v/>
      </c>
      <c r="OW12" s="53">
        <f>OW10-OW11</f>
        <v/>
      </c>
      <c r="OX12" s="53">
        <f>OX10-OX11</f>
        <v/>
      </c>
      <c r="OY12" s="53">
        <f>OY10-OY11</f>
        <v/>
      </c>
      <c r="OZ12" s="53">
        <f>OZ10-OZ11</f>
        <v/>
      </c>
      <c r="PA12" s="53">
        <f>PA10-PA11</f>
        <v/>
      </c>
      <c r="PB12" s="53">
        <f>PB10-PB11</f>
        <v/>
      </c>
      <c r="PC12" s="53">
        <f>PC10-PC11</f>
        <v/>
      </c>
      <c r="PD12" s="53">
        <f>PD10-PD11</f>
        <v/>
      </c>
      <c r="PE12" s="53">
        <f>PE10-PE11</f>
        <v/>
      </c>
      <c r="PF12" s="53">
        <f>PF10-PF11</f>
        <v/>
      </c>
      <c r="PG12" s="53">
        <f>PG10-PG11</f>
        <v/>
      </c>
      <c r="PH12" s="53">
        <f>PH10-PH11</f>
        <v/>
      </c>
      <c r="PI12" s="53">
        <f>PI10-PI11</f>
        <v/>
      </c>
      <c r="PJ12" s="53">
        <f>PJ10-PJ11</f>
        <v/>
      </c>
      <c r="PK12" s="53">
        <f>PK10-PK11</f>
        <v/>
      </c>
      <c r="PL12" s="53">
        <f>PL10-PL11</f>
        <v/>
      </c>
      <c r="PM12" s="53">
        <f>PM10-PM11</f>
        <v/>
      </c>
      <c r="PN12" s="53">
        <f>PN10-PN11</f>
        <v/>
      </c>
      <c r="PO12" s="53">
        <f>PO10-PO11</f>
        <v/>
      </c>
      <c r="PP12" s="53">
        <f>PP10-PP11</f>
        <v/>
      </c>
      <c r="PQ12" s="53">
        <f>PQ10-PQ11</f>
        <v/>
      </c>
      <c r="PR12" s="53">
        <f>PR10-PR11</f>
        <v/>
      </c>
      <c r="PS12" s="53">
        <f>PS10-PS11</f>
        <v/>
      </c>
      <c r="PT12" s="53">
        <f>PT10-PT11</f>
        <v/>
      </c>
      <c r="PU12" s="53">
        <f>PU10-PU11</f>
        <v/>
      </c>
      <c r="PV12" s="53">
        <f>PV10-PV11</f>
        <v/>
      </c>
      <c r="PW12" s="53">
        <f>PW10-PW11</f>
        <v/>
      </c>
      <c r="PX12" s="53">
        <f>PX10-PX11</f>
        <v/>
      </c>
      <c r="PY12" s="53">
        <f>PY10-PY11</f>
        <v/>
      </c>
      <c r="PZ12" s="53">
        <f>PZ10-PZ11</f>
        <v/>
      </c>
      <c r="QA12" s="53">
        <f>QA10-QA11</f>
        <v/>
      </c>
      <c r="QB12" s="53">
        <f>QB10-QB11</f>
        <v/>
      </c>
      <c r="QC12" s="53">
        <f>QC10-QC11</f>
        <v/>
      </c>
      <c r="QD12" s="53">
        <f>QD10-QD11</f>
        <v/>
      </c>
      <c r="QE12" s="53">
        <f>QE10-QE11</f>
        <v/>
      </c>
      <c r="QF12" s="53">
        <f>QF10-QF11</f>
        <v/>
      </c>
      <c r="QG12" s="53">
        <f>QG10-QG11</f>
        <v/>
      </c>
      <c r="QH12" s="53">
        <f>QH10-QH11</f>
        <v/>
      </c>
      <c r="QI12" s="53">
        <f>QI10-QI11</f>
        <v/>
      </c>
      <c r="QJ12" s="53">
        <f>QJ10-QJ11</f>
        <v/>
      </c>
      <c r="QK12" s="53">
        <f>QK10-QK11</f>
        <v/>
      </c>
      <c r="QL12" s="53">
        <f>QL10-QL11</f>
        <v/>
      </c>
      <c r="QM12" s="53">
        <f>QM10-QM11</f>
        <v/>
      </c>
      <c r="QN12" s="53">
        <f>QN10-QN11</f>
        <v/>
      </c>
      <c r="QO12" s="53">
        <f>QO10-QO11</f>
        <v/>
      </c>
      <c r="QP12" s="53">
        <f>QP10-QP11</f>
        <v/>
      </c>
      <c r="QQ12" s="53">
        <f>QQ10-QQ11</f>
        <v/>
      </c>
      <c r="QR12" s="53">
        <f>QR10-QR11</f>
        <v/>
      </c>
      <c r="QS12" s="53">
        <f>QS10-QS11</f>
        <v/>
      </c>
      <c r="QT12" s="53">
        <f>QT10-QT11</f>
        <v/>
      </c>
      <c r="QU12" s="53">
        <f>QU10-QU11</f>
        <v/>
      </c>
      <c r="QV12" s="53">
        <f>QV10-QV11</f>
        <v/>
      </c>
      <c r="QW12" s="53">
        <f>QW10-QW11</f>
        <v/>
      </c>
      <c r="QX12" s="53">
        <f>QX10-QX11</f>
        <v/>
      </c>
      <c r="QY12" s="53">
        <f>QY10-QY11</f>
        <v/>
      </c>
      <c r="QZ12" s="53">
        <f>QZ10-QZ11</f>
        <v/>
      </c>
      <c r="RA12" s="53">
        <f>RA10-RA11</f>
        <v/>
      </c>
      <c r="RB12" s="53">
        <f>RB10-RB11</f>
        <v/>
      </c>
      <c r="RC12" s="53">
        <f>RC10-RC11</f>
        <v/>
      </c>
      <c r="RD12" s="53">
        <f>RD10-RD11</f>
        <v/>
      </c>
      <c r="RE12" s="53">
        <f>RE10-RE11</f>
        <v/>
      </c>
      <c r="RF12" s="53">
        <f>RF10-RF11</f>
        <v/>
      </c>
      <c r="RG12" s="53">
        <f>RG10-RG11</f>
        <v/>
      </c>
      <c r="RH12" s="53">
        <f>RH10-RH11</f>
        <v/>
      </c>
      <c r="RI12" s="53">
        <f>RI10-RI11</f>
        <v/>
      </c>
      <c r="RJ12" s="53">
        <f>RJ10-RJ11</f>
        <v/>
      </c>
      <c r="RK12" s="53">
        <f>RK10-RK11</f>
        <v/>
      </c>
      <c r="RL12" s="53">
        <f>RL10-RL11</f>
        <v/>
      </c>
      <c r="RM12" s="53">
        <f>RM10-RM11</f>
        <v/>
      </c>
      <c r="RN12" s="53">
        <f>RN10-RN11</f>
        <v/>
      </c>
      <c r="RO12" s="53">
        <f>RO10-RO11</f>
        <v/>
      </c>
      <c r="RP12" s="53">
        <f>RP10-RP11</f>
        <v/>
      </c>
      <c r="RQ12" s="53">
        <f>RQ10-RQ11</f>
        <v/>
      </c>
      <c r="RR12" s="53">
        <f>RR10-RR11</f>
        <v/>
      </c>
      <c r="RS12" s="53">
        <f>RS10-RS11</f>
        <v/>
      </c>
      <c r="RT12" s="53">
        <f>RT10-RT11</f>
        <v/>
      </c>
      <c r="RU12" s="53">
        <f>RU10-RU11</f>
        <v/>
      </c>
      <c r="RV12" s="53">
        <f>RV10-RV11</f>
        <v/>
      </c>
      <c r="RW12" s="53">
        <f>RW10-RW11</f>
        <v/>
      </c>
    </row>
    <row r="13" hidden="1" outlineLevel="1" ht="13.05" customHeight="1">
      <c r="E13" s="21" t="inlineStr">
        <is>
          <t>Tax Charge</t>
        </is>
      </c>
      <c r="F13" s="29" t="n"/>
      <c r="G13" s="29" t="inlineStr">
        <is>
          <t>kEUR</t>
        </is>
      </c>
      <c r="H13" s="29" t="n"/>
      <c r="I13" s="29" t="n"/>
      <c r="J13" s="32" t="n">
        <v>491775.8012965729</v>
      </c>
      <c r="K13" s="29" t="n"/>
      <c r="L13" s="33" t="n">
        <v>0</v>
      </c>
      <c r="M13" s="33" t="n">
        <v>0</v>
      </c>
      <c r="N13" s="33" t="n">
        <v>0</v>
      </c>
      <c r="O13" s="33" t="n">
        <v>0</v>
      </c>
      <c r="P13" s="33" t="n">
        <v>0</v>
      </c>
      <c r="Q13" s="33" t="n">
        <v>0</v>
      </c>
      <c r="R13" s="33" t="n">
        <v>0</v>
      </c>
      <c r="S13" s="33" t="n">
        <v>0</v>
      </c>
      <c r="T13" s="33" t="n">
        <v>0</v>
      </c>
      <c r="U13" s="33" t="n">
        <v>0</v>
      </c>
      <c r="V13" s="33" t="n">
        <v>0</v>
      </c>
      <c r="W13" s="33" t="n">
        <v>0</v>
      </c>
      <c r="X13" s="33" t="n">
        <v>0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  <c r="AE13" s="33" t="n">
        <v>0</v>
      </c>
      <c r="AF13" s="33" t="n">
        <v>0</v>
      </c>
      <c r="AG13" s="33" t="n">
        <v>0</v>
      </c>
      <c r="AH13" s="33" t="n">
        <v>0</v>
      </c>
      <c r="AI13" s="33" t="n">
        <v>0</v>
      </c>
      <c r="AJ13" s="33" t="n">
        <v>0</v>
      </c>
      <c r="AK13" s="33" t="n">
        <v>0</v>
      </c>
      <c r="AL13" s="33" t="n">
        <v>0</v>
      </c>
      <c r="AM13" s="33" t="n">
        <v>0</v>
      </c>
      <c r="AN13" s="33" t="n">
        <v>0</v>
      </c>
      <c r="AO13" s="33" t="n">
        <v>0</v>
      </c>
      <c r="AP13" s="33" t="n">
        <v>0</v>
      </c>
      <c r="AQ13" s="33" t="n">
        <v>0</v>
      </c>
      <c r="AR13" s="33" t="n">
        <v>0</v>
      </c>
      <c r="AS13" s="33" t="n">
        <v>0</v>
      </c>
      <c r="AT13" s="33" t="n">
        <v>0</v>
      </c>
      <c r="AU13" s="33" t="n">
        <v>0</v>
      </c>
      <c r="AV13" s="33" t="n">
        <v>0</v>
      </c>
      <c r="AW13" s="33" t="n">
        <v>0</v>
      </c>
      <c r="AX13" s="33" t="n">
        <v>0</v>
      </c>
      <c r="AY13" s="33" t="n">
        <v>0</v>
      </c>
      <c r="AZ13" s="33" t="n">
        <v>0</v>
      </c>
      <c r="BA13" s="33" t="n">
        <v>0</v>
      </c>
      <c r="BB13" s="33" t="n">
        <v>0</v>
      </c>
      <c r="BC13" s="33" t="n">
        <v>0</v>
      </c>
      <c r="BD13" s="33" t="n">
        <v>0</v>
      </c>
      <c r="BE13" s="33" t="n">
        <v>0</v>
      </c>
      <c r="BF13" s="33" t="n">
        <v>0</v>
      </c>
      <c r="BG13" s="33" t="n">
        <v>0</v>
      </c>
      <c r="BH13" s="33" t="n">
        <v>0</v>
      </c>
      <c r="BI13" s="33" t="n">
        <v>0</v>
      </c>
      <c r="BJ13" s="33" t="n">
        <v>0</v>
      </c>
      <c r="BK13" s="33" t="n">
        <v>0</v>
      </c>
      <c r="BL13" s="33" t="n">
        <v>0</v>
      </c>
      <c r="BM13" s="33" t="n">
        <v>0</v>
      </c>
      <c r="BN13" s="33" t="n">
        <v>0</v>
      </c>
      <c r="BO13" s="33" t="n">
        <v>0</v>
      </c>
      <c r="BP13" s="33" t="n">
        <v>0</v>
      </c>
      <c r="BQ13" s="33" t="n">
        <v>0</v>
      </c>
      <c r="BR13" s="33" t="n">
        <v>0</v>
      </c>
      <c r="BS13" s="33" t="n">
        <v>0</v>
      </c>
      <c r="BT13" s="33" t="n">
        <v>0</v>
      </c>
      <c r="BU13" s="33" t="n">
        <v>0</v>
      </c>
      <c r="BV13" s="33" t="n">
        <v>0</v>
      </c>
      <c r="BW13" s="33" t="n">
        <v>0</v>
      </c>
      <c r="BX13" s="33" t="n">
        <v>0</v>
      </c>
      <c r="BY13" s="33" t="n">
        <v>0</v>
      </c>
      <c r="BZ13" s="33" t="n">
        <v>0</v>
      </c>
      <c r="CA13" s="33" t="n">
        <v>0</v>
      </c>
      <c r="CB13" s="33" t="n">
        <v>0</v>
      </c>
      <c r="CC13" s="33" t="n">
        <v>0</v>
      </c>
      <c r="CD13" s="33" t="n">
        <v>0</v>
      </c>
      <c r="CE13" s="33" t="n">
        <v>0</v>
      </c>
      <c r="CF13" s="33" t="n">
        <v>0</v>
      </c>
      <c r="CG13" s="33" t="n">
        <v>0</v>
      </c>
      <c r="CH13" s="33" t="n">
        <v>0</v>
      </c>
      <c r="CI13" s="33" t="n">
        <v>0</v>
      </c>
      <c r="CJ13" s="33" t="n">
        <v>0</v>
      </c>
      <c r="CK13" s="33" t="n">
        <v>0</v>
      </c>
      <c r="CL13" s="33" t="n">
        <v>0</v>
      </c>
      <c r="CM13" s="33" t="n">
        <v>0</v>
      </c>
      <c r="CN13" s="33" t="n">
        <v>0</v>
      </c>
      <c r="CO13" s="33" t="n">
        <v>0</v>
      </c>
      <c r="CP13" s="33" t="n">
        <v>0</v>
      </c>
      <c r="CQ13" s="33" t="n">
        <v>0</v>
      </c>
      <c r="CR13" s="33" t="n">
        <v>0</v>
      </c>
      <c r="CS13" s="33" t="n">
        <v>0</v>
      </c>
      <c r="CT13" s="33" t="n">
        <v>0</v>
      </c>
      <c r="CU13" s="33" t="n">
        <v>0</v>
      </c>
      <c r="CV13" s="33" t="n">
        <v>0</v>
      </c>
      <c r="CW13" s="33" t="n">
        <v>0</v>
      </c>
      <c r="CX13" s="33" t="n">
        <v>0</v>
      </c>
      <c r="CY13" s="33" t="n">
        <v>0</v>
      </c>
      <c r="CZ13" s="33" t="n">
        <v>0</v>
      </c>
      <c r="DA13" s="33" t="n">
        <v>0</v>
      </c>
      <c r="DB13" s="33" t="n">
        <v>0</v>
      </c>
      <c r="DC13" s="33" t="n">
        <v>0</v>
      </c>
      <c r="DD13" s="33" t="n">
        <v>0</v>
      </c>
      <c r="DE13" s="33" t="n">
        <v>0</v>
      </c>
      <c r="DF13" s="33" t="n">
        <v>0</v>
      </c>
      <c r="DG13" s="33" t="n">
        <v>0</v>
      </c>
      <c r="DH13" s="33" t="n">
        <v>0</v>
      </c>
      <c r="DI13" s="33" t="n">
        <v>0</v>
      </c>
      <c r="DJ13" s="33" t="n">
        <v>0</v>
      </c>
      <c r="DK13" s="33" t="n">
        <v>0</v>
      </c>
      <c r="DL13" s="33" t="n">
        <v>0</v>
      </c>
      <c r="DM13" s="33" t="n">
        <v>0</v>
      </c>
      <c r="DN13" s="33" t="n">
        <v>0</v>
      </c>
      <c r="DO13" s="33" t="n">
        <v>0</v>
      </c>
      <c r="DP13" s="33" t="n">
        <v>0</v>
      </c>
      <c r="DQ13" s="33" t="n">
        <v>0</v>
      </c>
      <c r="DR13" s="33" t="n">
        <v>0</v>
      </c>
      <c r="DS13" s="33" t="n">
        <v>0</v>
      </c>
      <c r="DT13" s="33" t="n">
        <v>0</v>
      </c>
      <c r="DU13" s="33" t="n">
        <v>0</v>
      </c>
      <c r="DV13" s="33" t="n">
        <v>0</v>
      </c>
      <c r="DW13" s="33" t="n">
        <v>0</v>
      </c>
      <c r="DX13" s="33" t="n">
        <v>0</v>
      </c>
      <c r="DY13" s="33" t="n">
        <v>0</v>
      </c>
      <c r="DZ13" s="33" t="n">
        <v>0</v>
      </c>
      <c r="EA13" s="33" t="n">
        <v>0</v>
      </c>
      <c r="EB13" s="33" t="n">
        <v>0</v>
      </c>
      <c r="EC13" s="33" t="n">
        <v>0</v>
      </c>
      <c r="ED13" s="33" t="n">
        <v>0</v>
      </c>
      <c r="EE13" s="33" t="n">
        <v>0</v>
      </c>
      <c r="EF13" s="33" t="n">
        <v>0</v>
      </c>
      <c r="EG13" s="33" t="n">
        <v>0</v>
      </c>
      <c r="EH13" s="33" t="n">
        <v>0</v>
      </c>
      <c r="EI13" s="33" t="n">
        <v>0</v>
      </c>
      <c r="EJ13" s="33" t="n">
        <v>0</v>
      </c>
      <c r="EK13" s="33" t="n">
        <v>0</v>
      </c>
      <c r="EL13" s="33" t="n">
        <v>0</v>
      </c>
      <c r="EM13" s="33" t="n">
        <v>0</v>
      </c>
      <c r="EN13" s="33" t="n">
        <v>0</v>
      </c>
      <c r="EO13" s="33" t="n">
        <v>0</v>
      </c>
      <c r="EP13" s="33" t="n">
        <v>0</v>
      </c>
      <c r="EQ13" s="33" t="n">
        <v>0</v>
      </c>
      <c r="ER13" s="33" t="n">
        <v>0</v>
      </c>
      <c r="ES13" s="33" t="n">
        <v>0</v>
      </c>
      <c r="ET13" s="33" t="n">
        <v>0</v>
      </c>
      <c r="EU13" s="33" t="n">
        <v>0</v>
      </c>
      <c r="EV13" s="33" t="n">
        <v>0</v>
      </c>
      <c r="EW13" s="33" t="n">
        <v>0</v>
      </c>
      <c r="EX13" s="33" t="n">
        <v>0</v>
      </c>
      <c r="EY13" s="33" t="n">
        <v>0</v>
      </c>
      <c r="EZ13" s="33" t="n">
        <v>0</v>
      </c>
      <c r="FA13" s="33" t="n">
        <v>0</v>
      </c>
      <c r="FB13" s="33" t="n">
        <v>0</v>
      </c>
      <c r="FC13" s="33" t="n">
        <v>0</v>
      </c>
      <c r="FD13" s="33" t="n">
        <v>0</v>
      </c>
      <c r="FE13" s="33" t="n">
        <v>0</v>
      </c>
      <c r="FF13" s="33" t="n">
        <v>0</v>
      </c>
      <c r="FG13" s="33" t="n">
        <v>0</v>
      </c>
      <c r="FH13" s="33" t="n">
        <v>0</v>
      </c>
      <c r="FI13" s="33" t="n">
        <v>0</v>
      </c>
      <c r="FJ13" s="33" t="n">
        <v>0</v>
      </c>
      <c r="FK13" s="33" t="n">
        <v>0</v>
      </c>
      <c r="FL13" s="33" t="n">
        <v>1288.491110493592</v>
      </c>
      <c r="FM13" s="33" t="n">
        <v>1288.491110493592</v>
      </c>
      <c r="FN13" s="33" t="n">
        <v>1288.491110493592</v>
      </c>
      <c r="FO13" s="33" t="n">
        <v>1288.491110493592</v>
      </c>
      <c r="FP13" s="33" t="n">
        <v>1288.491110493592</v>
      </c>
      <c r="FQ13" s="33" t="n">
        <v>1288.491110493592</v>
      </c>
      <c r="FR13" s="33" t="n">
        <v>1288.491110493592</v>
      </c>
      <c r="FS13" s="33" t="n">
        <v>1288.491110493592</v>
      </c>
      <c r="FT13" s="33" t="n">
        <v>1288.491110493592</v>
      </c>
      <c r="FU13" s="33" t="n">
        <v>1288.491110493592</v>
      </c>
      <c r="FV13" s="33" t="n">
        <v>1288.491110493592</v>
      </c>
      <c r="FW13" s="33" t="n">
        <v>1288.491110493592</v>
      </c>
      <c r="FX13" s="33" t="n">
        <v>1403.893224995571</v>
      </c>
      <c r="FY13" s="33" t="n">
        <v>1403.893224995571</v>
      </c>
      <c r="FZ13" s="33" t="n">
        <v>1403.893224995571</v>
      </c>
      <c r="GA13" s="33" t="n">
        <v>1403.893224995571</v>
      </c>
      <c r="GB13" s="33" t="n">
        <v>1403.893224995571</v>
      </c>
      <c r="GC13" s="33" t="n">
        <v>1403.893224995571</v>
      </c>
      <c r="GD13" s="33" t="n">
        <v>1403.893224995571</v>
      </c>
      <c r="GE13" s="33" t="n">
        <v>1403.893224995571</v>
      </c>
      <c r="GF13" s="33" t="n">
        <v>1403.893224995571</v>
      </c>
      <c r="GG13" s="33" t="n">
        <v>1403.893224995571</v>
      </c>
      <c r="GH13" s="33" t="n">
        <v>1403.893224995571</v>
      </c>
      <c r="GI13" s="33" t="n">
        <v>1403.893224995571</v>
      </c>
      <c r="GJ13" s="33" t="n">
        <v>1428.151265230743</v>
      </c>
      <c r="GK13" s="33" t="n">
        <v>1428.151265230743</v>
      </c>
      <c r="GL13" s="33" t="n">
        <v>1428.151265230743</v>
      </c>
      <c r="GM13" s="33" t="n">
        <v>1428.151265230743</v>
      </c>
      <c r="GN13" s="33" t="n">
        <v>1428.151265230743</v>
      </c>
      <c r="GO13" s="33" t="n">
        <v>1428.151265230743</v>
      </c>
      <c r="GP13" s="33" t="n">
        <v>1428.151265230743</v>
      </c>
      <c r="GQ13" s="33" t="n">
        <v>1428.151265230743</v>
      </c>
      <c r="GR13" s="33" t="n">
        <v>1428.151265230743</v>
      </c>
      <c r="GS13" s="33" t="n">
        <v>1428.151265230743</v>
      </c>
      <c r="GT13" s="33" t="n">
        <v>1428.151265230743</v>
      </c>
      <c r="GU13" s="33" t="n">
        <v>1428.151265230743</v>
      </c>
      <c r="GV13" s="33" t="n">
        <v>2406.875089178822</v>
      </c>
      <c r="GW13" s="33" t="n">
        <v>2406.875089178822</v>
      </c>
      <c r="GX13" s="33" t="n">
        <v>2406.875089178822</v>
      </c>
      <c r="GY13" s="33" t="n">
        <v>2406.875089178822</v>
      </c>
      <c r="GZ13" s="33" t="n">
        <v>2406.875089178822</v>
      </c>
      <c r="HA13" s="33" t="n">
        <v>2406.875089178822</v>
      </c>
      <c r="HB13" s="33" t="n">
        <v>2406.875089178822</v>
      </c>
      <c r="HC13" s="33" t="n">
        <v>2406.875089178822</v>
      </c>
      <c r="HD13" s="33" t="n">
        <v>2406.875089178822</v>
      </c>
      <c r="HE13" s="33" t="n">
        <v>2406.875089178822</v>
      </c>
      <c r="HF13" s="33" t="n">
        <v>2406.875089178822</v>
      </c>
      <c r="HG13" s="33" t="n">
        <v>2406.875089178822</v>
      </c>
      <c r="HH13" s="33" t="n">
        <v>1723.822420966693</v>
      </c>
      <c r="HI13" s="33" t="n">
        <v>1723.822420966693</v>
      </c>
      <c r="HJ13" s="33" t="n">
        <v>1723.822420966693</v>
      </c>
      <c r="HK13" s="33" t="n">
        <v>1723.822420966693</v>
      </c>
      <c r="HL13" s="33" t="n">
        <v>1723.822420966693</v>
      </c>
      <c r="HM13" s="33" t="n">
        <v>1723.822420966693</v>
      </c>
      <c r="HN13" s="33" t="n">
        <v>1723.822420966693</v>
      </c>
      <c r="HO13" s="33" t="n">
        <v>1723.822420966693</v>
      </c>
      <c r="HP13" s="33" t="n">
        <v>1723.822420966693</v>
      </c>
      <c r="HQ13" s="33" t="n">
        <v>1723.822420966693</v>
      </c>
      <c r="HR13" s="33" t="n">
        <v>1723.822420966693</v>
      </c>
      <c r="HS13" s="33" t="n">
        <v>1723.822420966693</v>
      </c>
      <c r="HT13" s="33" t="n">
        <v>1808.850160266759</v>
      </c>
      <c r="HU13" s="33" t="n">
        <v>1808.850160266759</v>
      </c>
      <c r="HV13" s="33" t="n">
        <v>1808.850160266759</v>
      </c>
      <c r="HW13" s="33" t="n">
        <v>1808.850160266759</v>
      </c>
      <c r="HX13" s="33" t="n">
        <v>1808.850160266759</v>
      </c>
      <c r="HY13" s="33" t="n">
        <v>1808.850160266759</v>
      </c>
      <c r="HZ13" s="33" t="n">
        <v>1808.850160266759</v>
      </c>
      <c r="IA13" s="33" t="n">
        <v>1808.850160266759</v>
      </c>
      <c r="IB13" s="33" t="n">
        <v>1808.850160266759</v>
      </c>
      <c r="IC13" s="33" t="n">
        <v>1808.850160266759</v>
      </c>
      <c r="ID13" s="33" t="n">
        <v>1808.850160266759</v>
      </c>
      <c r="IE13" s="33" t="n">
        <v>1808.850160266759</v>
      </c>
      <c r="IF13" s="33" t="n">
        <v>2550.239411925038</v>
      </c>
      <c r="IG13" s="33" t="n">
        <v>2550.239411925038</v>
      </c>
      <c r="IH13" s="33" t="n">
        <v>2550.239411925038</v>
      </c>
      <c r="II13" s="33" t="n">
        <v>2550.239411925038</v>
      </c>
      <c r="IJ13" s="33" t="n">
        <v>2550.239411925038</v>
      </c>
      <c r="IK13" s="33" t="n">
        <v>2550.239411925038</v>
      </c>
      <c r="IL13" s="33" t="n">
        <v>2550.239411925038</v>
      </c>
      <c r="IM13" s="33" t="n">
        <v>2550.239411925038</v>
      </c>
      <c r="IN13" s="33" t="n">
        <v>2550.239411925038</v>
      </c>
      <c r="IO13" s="33" t="n">
        <v>2550.239411925038</v>
      </c>
      <c r="IP13" s="33" t="n">
        <v>2550.239411925038</v>
      </c>
      <c r="IQ13" s="33" t="n">
        <v>2550.239411925038</v>
      </c>
      <c r="IR13" s="33" t="n">
        <v>1862.195514558686</v>
      </c>
      <c r="IS13" s="33" t="n">
        <v>1862.195514558686</v>
      </c>
      <c r="IT13" s="33" t="n">
        <v>1862.195514558686</v>
      </c>
      <c r="IU13" s="33" t="n">
        <v>1862.195514558686</v>
      </c>
      <c r="IV13" s="33" t="n">
        <v>1862.195514558686</v>
      </c>
      <c r="IW13" s="33" t="n">
        <v>1862.195514558686</v>
      </c>
      <c r="IX13" s="33" t="n">
        <v>1862.195514558686</v>
      </c>
      <c r="IY13" s="33" t="n">
        <v>1862.195514558686</v>
      </c>
      <c r="IZ13" s="33" t="n">
        <v>1862.195514558686</v>
      </c>
      <c r="JA13" s="33" t="n">
        <v>1862.195514558686</v>
      </c>
      <c r="JB13" s="33" t="n">
        <v>1862.195514558686</v>
      </c>
      <c r="JC13" s="33" t="n">
        <v>1862.195514558686</v>
      </c>
      <c r="JD13" s="33" t="n">
        <v>2078.298068154159</v>
      </c>
      <c r="JE13" s="33" t="n">
        <v>2078.298068154159</v>
      </c>
      <c r="JF13" s="33" t="n">
        <v>2078.298068154159</v>
      </c>
      <c r="JG13" s="33" t="n">
        <v>2078.298068154159</v>
      </c>
      <c r="JH13" s="33" t="n">
        <v>2078.298068154159</v>
      </c>
      <c r="JI13" s="33" t="n">
        <v>2078.298068154159</v>
      </c>
      <c r="JJ13" s="33" t="n">
        <v>2078.298068154159</v>
      </c>
      <c r="JK13" s="33" t="n">
        <v>2078.298068154159</v>
      </c>
      <c r="JL13" s="33" t="n">
        <v>2078.298068154159</v>
      </c>
      <c r="JM13" s="33" t="n">
        <v>2078.298068154159</v>
      </c>
      <c r="JN13" s="33" t="n">
        <v>2078.298068154159</v>
      </c>
      <c r="JO13" s="33" t="n">
        <v>2078.298068154159</v>
      </c>
      <c r="JP13" s="33" t="n">
        <v>2905.875960696065</v>
      </c>
      <c r="JQ13" s="33" t="n">
        <v>2905.875960696065</v>
      </c>
      <c r="JR13" s="33" t="n">
        <v>2905.875960696065</v>
      </c>
      <c r="JS13" s="33" t="n">
        <v>2905.875960696065</v>
      </c>
      <c r="JT13" s="33" t="n">
        <v>2905.875960696065</v>
      </c>
      <c r="JU13" s="33" t="n">
        <v>2905.875960696065</v>
      </c>
      <c r="JV13" s="33" t="n">
        <v>2905.875960696065</v>
      </c>
      <c r="JW13" s="33" t="n">
        <v>2905.875960696065</v>
      </c>
      <c r="JX13" s="33" t="n">
        <v>2905.875960696065</v>
      </c>
      <c r="JY13" s="33" t="n">
        <v>2905.875960696065</v>
      </c>
      <c r="JZ13" s="33" t="n">
        <v>2905.875960696065</v>
      </c>
      <c r="KA13" s="33" t="n">
        <v>2905.875960696065</v>
      </c>
      <c r="KB13" s="33" t="n">
        <v>2049.132393855606</v>
      </c>
      <c r="KC13" s="33" t="n">
        <v>2049.132393855606</v>
      </c>
      <c r="KD13" s="33" t="n">
        <v>2049.132393855606</v>
      </c>
      <c r="KE13" s="33" t="n">
        <v>2049.132393855606</v>
      </c>
      <c r="KF13" s="33" t="n">
        <v>2049.132393855606</v>
      </c>
      <c r="KG13" s="33" t="n">
        <v>2049.132393855606</v>
      </c>
      <c r="KH13" s="33" t="n">
        <v>2049.132393855606</v>
      </c>
      <c r="KI13" s="33" t="n">
        <v>2049.132393855606</v>
      </c>
      <c r="KJ13" s="33" t="n">
        <v>2049.132393855606</v>
      </c>
      <c r="KK13" s="33" t="n">
        <v>2049.132393855606</v>
      </c>
      <c r="KL13" s="33" t="n">
        <v>2049.132393855606</v>
      </c>
      <c r="KM13" s="33" t="n">
        <v>2049.132393855606</v>
      </c>
      <c r="KN13" s="33" t="n">
        <v>2117.694907766476</v>
      </c>
      <c r="KO13" s="33" t="n">
        <v>2117.694907766476</v>
      </c>
      <c r="KP13" s="33" t="n">
        <v>2117.694907766476</v>
      </c>
      <c r="KQ13" s="33" t="n">
        <v>2117.694907766476</v>
      </c>
      <c r="KR13" s="33" t="n">
        <v>2117.694907766476</v>
      </c>
      <c r="KS13" s="33" t="n">
        <v>2117.694907766476</v>
      </c>
      <c r="KT13" s="33" t="n">
        <v>2117.694907766476</v>
      </c>
      <c r="KU13" s="33" t="n">
        <v>2117.694907766476</v>
      </c>
      <c r="KV13" s="33" t="n">
        <v>2117.694907766476</v>
      </c>
      <c r="KW13" s="33" t="n">
        <v>2117.694907766476</v>
      </c>
      <c r="KX13" s="33" t="n">
        <v>2117.694907766476</v>
      </c>
      <c r="KY13" s="33" t="n">
        <v>2117.694907766476</v>
      </c>
      <c r="KZ13" s="33" t="n">
        <v>3137.615404914908</v>
      </c>
      <c r="LA13" s="33" t="n">
        <v>3137.615404914908</v>
      </c>
      <c r="LB13" s="33" t="n">
        <v>3137.615404914908</v>
      </c>
      <c r="LC13" s="33" t="n">
        <v>3137.615404914908</v>
      </c>
      <c r="LD13" s="33" t="n">
        <v>3137.615404914908</v>
      </c>
      <c r="LE13" s="33" t="n">
        <v>3137.615404914908</v>
      </c>
      <c r="LF13" s="33" t="n">
        <v>3137.615404914908</v>
      </c>
      <c r="LG13" s="33" t="n">
        <v>3137.615404914908</v>
      </c>
      <c r="LH13" s="33" t="n">
        <v>3137.615404914908</v>
      </c>
      <c r="LI13" s="33" t="n">
        <v>3137.615404914908</v>
      </c>
      <c r="LJ13" s="33" t="n">
        <v>3137.615404914908</v>
      </c>
      <c r="LK13" s="33" t="n">
        <v>3137.615404914908</v>
      </c>
      <c r="LL13" s="33" t="n">
        <v>2096.370173169657</v>
      </c>
      <c r="LM13" s="33" t="n">
        <v>2096.370173169657</v>
      </c>
      <c r="LN13" s="33" t="n">
        <v>2096.370173169657</v>
      </c>
      <c r="LO13" s="33" t="n">
        <v>2096.370173169657</v>
      </c>
      <c r="LP13" s="33" t="n">
        <v>2096.370173169657</v>
      </c>
      <c r="LQ13" s="33" t="n">
        <v>2096.370173169657</v>
      </c>
      <c r="LR13" s="33" t="n">
        <v>2096.370173169657</v>
      </c>
      <c r="LS13" s="33" t="n">
        <v>2096.370173169657</v>
      </c>
      <c r="LT13" s="33" t="n">
        <v>2096.370173169657</v>
      </c>
      <c r="LU13" s="33" t="n">
        <v>2096.370173169657</v>
      </c>
      <c r="LV13" s="33" t="n">
        <v>2096.370173169657</v>
      </c>
      <c r="LW13" s="33" t="n">
        <v>2096.370173169657</v>
      </c>
      <c r="LX13" s="33" t="n">
        <v>877.2599079766279</v>
      </c>
      <c r="LY13" s="33" t="n">
        <v>877.2599079766279</v>
      </c>
      <c r="LZ13" s="33" t="n">
        <v>877.2599079766279</v>
      </c>
      <c r="MA13" s="33" t="n">
        <v>877.2599079766279</v>
      </c>
      <c r="MB13" s="33" t="n">
        <v>877.2599079766279</v>
      </c>
      <c r="MC13" s="33" t="n">
        <v>877.2599079766279</v>
      </c>
      <c r="MD13" s="33" t="n">
        <v>877.2599079766279</v>
      </c>
      <c r="ME13" s="33" t="n">
        <v>877.2599079766279</v>
      </c>
      <c r="MF13" s="33" t="n">
        <v>877.2599079766279</v>
      </c>
      <c r="MG13" s="33" t="n">
        <v>877.2599079766279</v>
      </c>
      <c r="MH13" s="33" t="n">
        <v>877.2599079766279</v>
      </c>
      <c r="MI13" s="33" t="n">
        <v>877.2599079766279</v>
      </c>
      <c r="MJ13" s="33" t="n">
        <v>969.8347337418759</v>
      </c>
      <c r="MK13" s="33" t="n">
        <v>969.8347337418759</v>
      </c>
      <c r="ML13" s="33" t="n">
        <v>969.8347337418759</v>
      </c>
      <c r="MM13" s="33" t="n">
        <v>969.8347337418759</v>
      </c>
      <c r="MN13" s="33" t="n">
        <v>969.8347337418759</v>
      </c>
      <c r="MO13" s="33" t="n">
        <v>969.8347337418759</v>
      </c>
      <c r="MP13" s="33" t="n">
        <v>969.8347337418759</v>
      </c>
      <c r="MQ13" s="33" t="n">
        <v>969.8347337418759</v>
      </c>
      <c r="MR13" s="33" t="n">
        <v>969.8347337418759</v>
      </c>
      <c r="MS13" s="33" t="n">
        <v>969.8347337418759</v>
      </c>
      <c r="MT13" s="33" t="n">
        <v>969.8347337418759</v>
      </c>
      <c r="MU13" s="33" t="n">
        <v>969.8347337418759</v>
      </c>
      <c r="MV13" s="33" t="n">
        <v>1062.369224425831</v>
      </c>
      <c r="MW13" s="33" t="n">
        <v>1062.369224425831</v>
      </c>
      <c r="MX13" s="33" t="n">
        <v>1062.369224425831</v>
      </c>
      <c r="MY13" s="33" t="n">
        <v>1062.369224425831</v>
      </c>
      <c r="MZ13" s="33" t="n">
        <v>1062.369224425831</v>
      </c>
      <c r="NA13" s="33" t="n">
        <v>1062.369224425831</v>
      </c>
      <c r="NB13" s="33" t="n">
        <v>1062.369224425831</v>
      </c>
      <c r="NC13" s="33" t="n">
        <v>1062.369224425831</v>
      </c>
      <c r="ND13" s="33" t="n">
        <v>1062.369224425831</v>
      </c>
      <c r="NE13" s="33" t="n">
        <v>1062.369224425831</v>
      </c>
      <c r="NF13" s="33" t="n">
        <v>1062.369224425831</v>
      </c>
      <c r="NG13" s="33" t="n">
        <v>1062.369224425831</v>
      </c>
      <c r="NH13" s="33" t="n">
        <v>1154.887423370601</v>
      </c>
      <c r="NI13" s="33" t="n">
        <v>1154.887423370601</v>
      </c>
      <c r="NJ13" s="33" t="n">
        <v>1154.887423370601</v>
      </c>
      <c r="NK13" s="33" t="n">
        <v>1154.887423370601</v>
      </c>
      <c r="NL13" s="33" t="n">
        <v>1154.887423370601</v>
      </c>
      <c r="NM13" s="33" t="n">
        <v>1154.887423370601</v>
      </c>
      <c r="NN13" s="33" t="n">
        <v>1154.887423370601</v>
      </c>
      <c r="NO13" s="33" t="n">
        <v>1154.887423370601</v>
      </c>
      <c r="NP13" s="33" t="n">
        <v>1154.887423370601</v>
      </c>
      <c r="NQ13" s="33" t="n">
        <v>1154.887423370601</v>
      </c>
      <c r="NR13" s="33" t="n">
        <v>1154.887423370601</v>
      </c>
      <c r="NS13" s="33" t="n">
        <v>1154.887423370601</v>
      </c>
      <c r="NT13" s="33" t="n">
        <v>1247.412862381361</v>
      </c>
      <c r="NU13" s="33" t="n">
        <v>1247.412862381361</v>
      </c>
      <c r="NV13" s="33" t="n">
        <v>1247.412862381361</v>
      </c>
      <c r="NW13" s="33" t="n">
        <v>1247.412862381361</v>
      </c>
      <c r="NX13" s="33" t="n">
        <v>1247.412862381361</v>
      </c>
      <c r="NY13" s="33" t="n">
        <v>1247.412862381361</v>
      </c>
      <c r="NZ13" s="33" t="n">
        <v>1247.412862381361</v>
      </c>
      <c r="OA13" s="33" t="n">
        <v>1247.412862381361</v>
      </c>
      <c r="OB13" s="33" t="n">
        <v>1247.412862381361</v>
      </c>
      <c r="OC13" s="33" t="n">
        <v>1247.412862381361</v>
      </c>
      <c r="OD13" s="33" t="n">
        <v>1247.412862381361</v>
      </c>
      <c r="OE13" s="33" t="n">
        <v>1247.412862381361</v>
      </c>
      <c r="OF13" s="33" t="n">
        <v>1332.885314848627</v>
      </c>
      <c r="OG13" s="33" t="n">
        <v>1332.885314848627</v>
      </c>
      <c r="OH13" s="33" t="n">
        <v>1332.885314848627</v>
      </c>
      <c r="OI13" s="33" t="n">
        <v>1332.885314848627</v>
      </c>
      <c r="OJ13" s="33" t="n">
        <v>1332.885314848627</v>
      </c>
      <c r="OK13" s="33" t="n">
        <v>1332.885314848627</v>
      </c>
      <c r="OL13" s="33" t="n">
        <v>1332.885314848627</v>
      </c>
      <c r="OM13" s="33" t="n">
        <v>1332.885314848627</v>
      </c>
      <c r="ON13" s="33" t="n">
        <v>1332.885314848627</v>
      </c>
      <c r="OO13" s="33" t="n">
        <v>1332.885314848627</v>
      </c>
      <c r="OP13" s="33" t="n">
        <v>1332.885314848627</v>
      </c>
      <c r="OQ13" s="33" t="n">
        <v>1332.885314848627</v>
      </c>
      <c r="OR13" s="33" t="n">
        <v>1381.982387897352</v>
      </c>
      <c r="OS13" s="33" t="n">
        <v>1381.982387897352</v>
      </c>
      <c r="OT13" s="33" t="n">
        <v>1381.982387897352</v>
      </c>
      <c r="OU13" s="33" t="n">
        <v>1381.982387897352</v>
      </c>
      <c r="OV13" s="33" t="n">
        <v>1381.982387897352</v>
      </c>
      <c r="OW13" s="33" t="n">
        <v>1381.982387897352</v>
      </c>
      <c r="OX13" s="33" t="n">
        <v>1381.982387897352</v>
      </c>
      <c r="OY13" s="33" t="n">
        <v>1381.982387897352</v>
      </c>
      <c r="OZ13" s="33" t="n">
        <v>1381.982387897352</v>
      </c>
      <c r="PA13" s="33" t="n">
        <v>1381.982387897352</v>
      </c>
      <c r="PB13" s="33" t="n">
        <v>1381.982387897352</v>
      </c>
      <c r="PC13" s="33" t="n">
        <v>1381.982387897352</v>
      </c>
      <c r="PD13" s="33" t="n">
        <v>1426.094932081309</v>
      </c>
      <c r="PE13" s="33" t="n">
        <v>1426.094932081309</v>
      </c>
      <c r="PF13" s="33" t="n">
        <v>1426.094932081309</v>
      </c>
      <c r="PG13" s="33" t="n">
        <v>1426.094932081309</v>
      </c>
      <c r="PH13" s="33" t="n">
        <v>1426.094932081309</v>
      </c>
      <c r="PI13" s="33" t="n">
        <v>1426.094932081309</v>
      </c>
      <c r="PJ13" s="33" t="n">
        <v>1426.094932081309</v>
      </c>
      <c r="PK13" s="33" t="n">
        <v>1426.094932081309</v>
      </c>
      <c r="PL13" s="33" t="n">
        <v>1426.094932081309</v>
      </c>
      <c r="PM13" s="33" t="n">
        <v>1426.094932081309</v>
      </c>
      <c r="PN13" s="33" t="n">
        <v>1426.094932081309</v>
      </c>
      <c r="PO13" s="33" t="n">
        <v>1426.094932081309</v>
      </c>
      <c r="PP13" s="33" t="n">
        <v>1470.304084807104</v>
      </c>
      <c r="PQ13" s="33" t="n">
        <v>1470.304084807104</v>
      </c>
      <c r="PR13" s="33" t="n">
        <v>1470.304084807104</v>
      </c>
      <c r="PS13" s="33" t="n">
        <v>1470.304084807104</v>
      </c>
      <c r="PT13" s="33" t="n">
        <v>1470.304084807104</v>
      </c>
      <c r="PU13" s="33" t="n">
        <v>1470.304084807104</v>
      </c>
      <c r="PV13" s="33" t="n">
        <v>1470.304084807104</v>
      </c>
      <c r="PW13" s="33" t="n">
        <v>1470.304084807104</v>
      </c>
      <c r="PX13" s="33" t="n">
        <v>1470.304084807104</v>
      </c>
      <c r="PY13" s="33" t="n">
        <v>1470.304084807104</v>
      </c>
      <c r="PZ13" s="33" t="n">
        <v>1470.304084807104</v>
      </c>
      <c r="QA13" s="33" t="n">
        <v>1470.304084807104</v>
      </c>
      <c r="QB13" s="33" t="n">
        <v>1200.780797010946</v>
      </c>
      <c r="QC13" s="33" t="n">
        <v>1200.780797010946</v>
      </c>
      <c r="QD13" s="33" t="n">
        <v>1200.780797010946</v>
      </c>
      <c r="QE13" s="33" t="n">
        <v>1200.780797010946</v>
      </c>
      <c r="QF13" s="33" t="n">
        <v>1200.780797010946</v>
      </c>
      <c r="QG13" s="33" t="n">
        <v>1200.780797010946</v>
      </c>
      <c r="QH13" s="33" t="n">
        <v>1200.780797010946</v>
      </c>
      <c r="QI13" s="33" t="n">
        <v>1200.780797010946</v>
      </c>
      <c r="QJ13" s="33" t="n">
        <v>1200.780797010946</v>
      </c>
      <c r="QK13" s="33" t="n">
        <v>1200.780797010946</v>
      </c>
      <c r="QL13" s="33" t="n">
        <v>1200.780797010946</v>
      </c>
      <c r="QM13" s="33" t="n">
        <v>1200.780797010946</v>
      </c>
      <c r="QN13" s="33" t="n">
        <v>0</v>
      </c>
      <c r="QO13" s="33" t="n">
        <v>0</v>
      </c>
      <c r="QP13" s="33" t="n">
        <v>0</v>
      </c>
      <c r="QQ13" s="33" t="n">
        <v>0</v>
      </c>
      <c r="QR13" s="33" t="n">
        <v>0</v>
      </c>
      <c r="QS13" s="33" t="n">
        <v>0</v>
      </c>
      <c r="QT13" s="33" t="n">
        <v>0</v>
      </c>
      <c r="QU13" s="33" t="n">
        <v>0</v>
      </c>
      <c r="QV13" s="33" t="n">
        <v>0</v>
      </c>
      <c r="QW13" s="33" t="n">
        <v>0</v>
      </c>
      <c r="QX13" s="33" t="n">
        <v>0</v>
      </c>
      <c r="QY13" s="33" t="n">
        <v>0</v>
      </c>
      <c r="QZ13" s="33" t="n">
        <v>0</v>
      </c>
      <c r="RA13" s="33" t="n">
        <v>0</v>
      </c>
      <c r="RB13" s="33" t="n">
        <v>0</v>
      </c>
      <c r="RC13" s="33" t="n">
        <v>0</v>
      </c>
      <c r="RD13" s="33" t="n">
        <v>0</v>
      </c>
      <c r="RE13" s="33" t="n">
        <v>0</v>
      </c>
      <c r="RF13" s="33" t="n">
        <v>0</v>
      </c>
      <c r="RG13" s="33" t="n">
        <v>0</v>
      </c>
      <c r="RH13" s="33" t="n">
        <v>0</v>
      </c>
      <c r="RI13" s="33" t="n">
        <v>0</v>
      </c>
      <c r="RJ13" s="33" t="n">
        <v>0</v>
      </c>
      <c r="RK13" s="33" t="n">
        <v>0</v>
      </c>
      <c r="RL13" s="33" t="n">
        <v>0</v>
      </c>
      <c r="RM13" s="33" t="n">
        <v>0</v>
      </c>
      <c r="RN13" s="33" t="n">
        <v>0</v>
      </c>
      <c r="RO13" s="33" t="n">
        <v>0</v>
      </c>
      <c r="RP13" s="33" t="n">
        <v>0</v>
      </c>
      <c r="RQ13" s="33" t="n">
        <v>0</v>
      </c>
      <c r="RR13" s="33" t="n">
        <v>0</v>
      </c>
      <c r="RS13" s="33" t="n">
        <v>0</v>
      </c>
      <c r="RT13" s="33" t="n">
        <v>0</v>
      </c>
      <c r="RU13" s="33" t="n">
        <v>0</v>
      </c>
      <c r="RV13" s="33" t="n">
        <v>0</v>
      </c>
      <c r="RW13" s="33" t="n">
        <v>0</v>
      </c>
    </row>
    <row r="14" ht="13.05" customHeight="1">
      <c r="E14" s="40" t="inlineStr">
        <is>
          <t>Net Income</t>
        </is>
      </c>
      <c r="F14" s="41" t="n"/>
      <c r="G14" s="41" t="inlineStr">
        <is>
          <t>kEUR</t>
        </is>
      </c>
      <c r="H14" s="41" t="n"/>
      <c r="I14" s="41" t="n"/>
      <c r="J14" s="42" t="n">
        <v>872902.3164416042</v>
      </c>
      <c r="K14" s="41" t="n"/>
      <c r="L14" s="43">
        <f>L12-L13</f>
        <v/>
      </c>
      <c r="M14" s="43">
        <f>M12-M13</f>
        <v/>
      </c>
      <c r="N14" s="43">
        <f>N12-N13</f>
        <v/>
      </c>
      <c r="O14" s="43">
        <f>O12-O13</f>
        <v/>
      </c>
      <c r="P14" s="43">
        <f>P12-P13</f>
        <v/>
      </c>
      <c r="Q14" s="43">
        <f>Q12-Q13</f>
        <v/>
      </c>
      <c r="R14" s="43">
        <f>R12-R13</f>
        <v/>
      </c>
      <c r="S14" s="43">
        <f>S12-S13</f>
        <v/>
      </c>
      <c r="T14" s="43">
        <f>T12-T13</f>
        <v/>
      </c>
      <c r="U14" s="43">
        <f>U12-U13</f>
        <v/>
      </c>
      <c r="V14" s="43">
        <f>V12-V13</f>
        <v/>
      </c>
      <c r="W14" s="43">
        <f>W12-W13</f>
        <v/>
      </c>
      <c r="X14" s="43">
        <f>X12-X13</f>
        <v/>
      </c>
      <c r="Y14" s="43">
        <f>Y12-Y13</f>
        <v/>
      </c>
      <c r="Z14" s="43">
        <f>Z12-Z13</f>
        <v/>
      </c>
      <c r="AA14" s="43">
        <f>AA12-AA13</f>
        <v/>
      </c>
      <c r="AB14" s="43">
        <f>AB12-AB13</f>
        <v/>
      </c>
      <c r="AC14" s="43">
        <f>AC12-AC13</f>
        <v/>
      </c>
      <c r="AD14" s="43">
        <f>AD12-AD13</f>
        <v/>
      </c>
      <c r="AE14" s="43">
        <f>AE12-AE13</f>
        <v/>
      </c>
      <c r="AF14" s="43">
        <f>AF12-AF13</f>
        <v/>
      </c>
      <c r="AG14" s="43">
        <f>AG12-AG13</f>
        <v/>
      </c>
      <c r="AH14" s="43">
        <f>AH12-AH13</f>
        <v/>
      </c>
      <c r="AI14" s="43">
        <f>AI12-AI13</f>
        <v/>
      </c>
      <c r="AJ14" s="43">
        <f>AJ12-AJ13</f>
        <v/>
      </c>
      <c r="AK14" s="43">
        <f>AK12-AK13</f>
        <v/>
      </c>
      <c r="AL14" s="43">
        <f>AL12-AL13</f>
        <v/>
      </c>
      <c r="AM14" s="43">
        <f>AM12-AM13</f>
        <v/>
      </c>
      <c r="AN14" s="43">
        <f>AN12-AN13</f>
        <v/>
      </c>
      <c r="AO14" s="43">
        <f>AO12-AO13</f>
        <v/>
      </c>
      <c r="AP14" s="43">
        <f>AP12-AP13</f>
        <v/>
      </c>
      <c r="AQ14" s="43">
        <f>AQ12-AQ13</f>
        <v/>
      </c>
      <c r="AR14" s="43">
        <f>AR12-AR13</f>
        <v/>
      </c>
      <c r="AS14" s="43">
        <f>AS12-AS13</f>
        <v/>
      </c>
      <c r="AT14" s="43">
        <f>AT12-AT13</f>
        <v/>
      </c>
      <c r="AU14" s="43">
        <f>AU12-AU13</f>
        <v/>
      </c>
      <c r="AV14" s="43">
        <f>AV12-AV13</f>
        <v/>
      </c>
      <c r="AW14" s="43">
        <f>AW12-AW13</f>
        <v/>
      </c>
      <c r="AX14" s="43">
        <f>AX12-AX13</f>
        <v/>
      </c>
      <c r="AY14" s="43">
        <f>AY12-AY13</f>
        <v/>
      </c>
      <c r="AZ14" s="43">
        <f>AZ12-AZ13</f>
        <v/>
      </c>
      <c r="BA14" s="43">
        <f>BA12-BA13</f>
        <v/>
      </c>
      <c r="BB14" s="43">
        <f>BB12-BB13</f>
        <v/>
      </c>
      <c r="BC14" s="43">
        <f>BC12-BC13</f>
        <v/>
      </c>
      <c r="BD14" s="43">
        <f>BD12-BD13</f>
        <v/>
      </c>
      <c r="BE14" s="43">
        <f>BE12-BE13</f>
        <v/>
      </c>
      <c r="BF14" s="43">
        <f>BF12-BF13</f>
        <v/>
      </c>
      <c r="BG14" s="43">
        <f>BG12-BG13</f>
        <v/>
      </c>
      <c r="BH14" s="43">
        <f>BH12-BH13</f>
        <v/>
      </c>
      <c r="BI14" s="43">
        <f>BI12-BI13</f>
        <v/>
      </c>
      <c r="BJ14" s="43">
        <f>BJ12-BJ13</f>
        <v/>
      </c>
      <c r="BK14" s="43">
        <f>BK12-BK13</f>
        <v/>
      </c>
      <c r="BL14" s="43">
        <f>BL12-BL13</f>
        <v/>
      </c>
      <c r="BM14" s="43">
        <f>BM12-BM13</f>
        <v/>
      </c>
      <c r="BN14" s="43">
        <f>BN12-BN13</f>
        <v/>
      </c>
      <c r="BO14" s="43">
        <f>BO12-BO13</f>
        <v/>
      </c>
      <c r="BP14" s="43">
        <f>BP12-BP13</f>
        <v/>
      </c>
      <c r="BQ14" s="43">
        <f>BQ12-BQ13</f>
        <v/>
      </c>
      <c r="BR14" s="43">
        <f>BR12-BR13</f>
        <v/>
      </c>
      <c r="BS14" s="43">
        <f>BS12-BS13</f>
        <v/>
      </c>
      <c r="BT14" s="43">
        <f>BT12-BT13</f>
        <v/>
      </c>
      <c r="BU14" s="43">
        <f>BU12-BU13</f>
        <v/>
      </c>
      <c r="BV14" s="43">
        <f>BV12-BV13</f>
        <v/>
      </c>
      <c r="BW14" s="43">
        <f>BW12-BW13</f>
        <v/>
      </c>
      <c r="BX14" s="43">
        <f>BX12-BX13</f>
        <v/>
      </c>
      <c r="BY14" s="43">
        <f>BY12-BY13</f>
        <v/>
      </c>
      <c r="BZ14" s="43">
        <f>BZ12-BZ13</f>
        <v/>
      </c>
      <c r="CA14" s="43">
        <f>CA12-CA13</f>
        <v/>
      </c>
      <c r="CB14" s="43">
        <f>CB12-CB13</f>
        <v/>
      </c>
      <c r="CC14" s="43">
        <f>CC12-CC13</f>
        <v/>
      </c>
      <c r="CD14" s="43">
        <f>CD12-CD13</f>
        <v/>
      </c>
      <c r="CE14" s="43">
        <f>CE12-CE13</f>
        <v/>
      </c>
      <c r="CF14" s="43">
        <f>CF12-CF13</f>
        <v/>
      </c>
      <c r="CG14" s="43">
        <f>CG12-CG13</f>
        <v/>
      </c>
      <c r="CH14" s="43">
        <f>CH12-CH13</f>
        <v/>
      </c>
      <c r="CI14" s="43">
        <f>CI12-CI13</f>
        <v/>
      </c>
      <c r="CJ14" s="43">
        <f>CJ12-CJ13</f>
        <v/>
      </c>
      <c r="CK14" s="43">
        <f>CK12-CK13</f>
        <v/>
      </c>
      <c r="CL14" s="43">
        <f>CL12-CL13</f>
        <v/>
      </c>
      <c r="CM14" s="43">
        <f>CM12-CM13</f>
        <v/>
      </c>
      <c r="CN14" s="43">
        <f>CN12-CN13</f>
        <v/>
      </c>
      <c r="CO14" s="43">
        <f>CO12-CO13</f>
        <v/>
      </c>
      <c r="CP14" s="43">
        <f>CP12-CP13</f>
        <v/>
      </c>
      <c r="CQ14" s="43">
        <f>CQ12-CQ13</f>
        <v/>
      </c>
      <c r="CR14" s="43">
        <f>CR12-CR13</f>
        <v/>
      </c>
      <c r="CS14" s="43">
        <f>CS12-CS13</f>
        <v/>
      </c>
      <c r="CT14" s="43">
        <f>CT12-CT13</f>
        <v/>
      </c>
      <c r="CU14" s="43">
        <f>CU12-CU13</f>
        <v/>
      </c>
      <c r="CV14" s="43">
        <f>CV12-CV13</f>
        <v/>
      </c>
      <c r="CW14" s="43">
        <f>CW12-CW13</f>
        <v/>
      </c>
      <c r="CX14" s="43">
        <f>CX12-CX13</f>
        <v/>
      </c>
      <c r="CY14" s="43">
        <f>CY12-CY13</f>
        <v/>
      </c>
      <c r="CZ14" s="43">
        <f>CZ12-CZ13</f>
        <v/>
      </c>
      <c r="DA14" s="43">
        <f>DA12-DA13</f>
        <v/>
      </c>
      <c r="DB14" s="43">
        <f>DB12-DB13</f>
        <v/>
      </c>
      <c r="DC14" s="43">
        <f>DC12-DC13</f>
        <v/>
      </c>
      <c r="DD14" s="43">
        <f>DD12-DD13</f>
        <v/>
      </c>
      <c r="DE14" s="43">
        <f>DE12-DE13</f>
        <v/>
      </c>
      <c r="DF14" s="43">
        <f>DF12-DF13</f>
        <v/>
      </c>
      <c r="DG14" s="43">
        <f>DG12-DG13</f>
        <v/>
      </c>
      <c r="DH14" s="43">
        <f>DH12-DH13</f>
        <v/>
      </c>
      <c r="DI14" s="43">
        <f>DI12-DI13</f>
        <v/>
      </c>
      <c r="DJ14" s="43">
        <f>DJ12-DJ13</f>
        <v/>
      </c>
      <c r="DK14" s="43">
        <f>DK12-DK13</f>
        <v/>
      </c>
      <c r="DL14" s="43">
        <f>DL12-DL13</f>
        <v/>
      </c>
      <c r="DM14" s="43">
        <f>DM12-DM13</f>
        <v/>
      </c>
      <c r="DN14" s="43">
        <f>DN12-DN13</f>
        <v/>
      </c>
      <c r="DO14" s="43">
        <f>DO12-DO13</f>
        <v/>
      </c>
      <c r="DP14" s="43">
        <f>DP12-DP13</f>
        <v/>
      </c>
      <c r="DQ14" s="43">
        <f>DQ12-DQ13</f>
        <v/>
      </c>
      <c r="DR14" s="43">
        <f>DR12-DR13</f>
        <v/>
      </c>
      <c r="DS14" s="43">
        <f>DS12-DS13</f>
        <v/>
      </c>
      <c r="DT14" s="43">
        <f>DT12-DT13</f>
        <v/>
      </c>
      <c r="DU14" s="43">
        <f>DU12-DU13</f>
        <v/>
      </c>
      <c r="DV14" s="43">
        <f>DV12-DV13</f>
        <v/>
      </c>
      <c r="DW14" s="43">
        <f>DW12-DW13</f>
        <v/>
      </c>
      <c r="DX14" s="43">
        <f>DX12-DX13</f>
        <v/>
      </c>
      <c r="DY14" s="43">
        <f>DY12-DY13</f>
        <v/>
      </c>
      <c r="DZ14" s="43">
        <f>DZ12-DZ13</f>
        <v/>
      </c>
      <c r="EA14" s="43">
        <f>EA12-EA13</f>
        <v/>
      </c>
      <c r="EB14" s="43">
        <f>EB12-EB13</f>
        <v/>
      </c>
      <c r="EC14" s="43">
        <f>EC12-EC13</f>
        <v/>
      </c>
      <c r="ED14" s="43">
        <f>ED12-ED13</f>
        <v/>
      </c>
      <c r="EE14" s="43">
        <f>EE12-EE13</f>
        <v/>
      </c>
      <c r="EF14" s="43">
        <f>EF12-EF13</f>
        <v/>
      </c>
      <c r="EG14" s="43">
        <f>EG12-EG13</f>
        <v/>
      </c>
      <c r="EH14" s="43">
        <f>EH12-EH13</f>
        <v/>
      </c>
      <c r="EI14" s="43">
        <f>EI12-EI13</f>
        <v/>
      </c>
      <c r="EJ14" s="43">
        <f>EJ12-EJ13</f>
        <v/>
      </c>
      <c r="EK14" s="43">
        <f>EK12-EK13</f>
        <v/>
      </c>
      <c r="EL14" s="43">
        <f>EL12-EL13</f>
        <v/>
      </c>
      <c r="EM14" s="43">
        <f>EM12-EM13</f>
        <v/>
      </c>
      <c r="EN14" s="43">
        <f>EN12-EN13</f>
        <v/>
      </c>
      <c r="EO14" s="43">
        <f>EO12-EO13</f>
        <v/>
      </c>
      <c r="EP14" s="43">
        <f>EP12-EP13</f>
        <v/>
      </c>
      <c r="EQ14" s="43">
        <f>EQ12-EQ13</f>
        <v/>
      </c>
      <c r="ER14" s="43">
        <f>ER12-ER13</f>
        <v/>
      </c>
      <c r="ES14" s="43">
        <f>ES12-ES13</f>
        <v/>
      </c>
      <c r="ET14" s="43">
        <f>ET12-ET13</f>
        <v/>
      </c>
      <c r="EU14" s="43">
        <f>EU12-EU13</f>
        <v/>
      </c>
      <c r="EV14" s="43">
        <f>EV12-EV13</f>
        <v/>
      </c>
      <c r="EW14" s="43">
        <f>EW12-EW13</f>
        <v/>
      </c>
      <c r="EX14" s="43">
        <f>EX12-EX13</f>
        <v/>
      </c>
      <c r="EY14" s="43">
        <f>EY12-EY13</f>
        <v/>
      </c>
      <c r="EZ14" s="43">
        <f>EZ12-EZ13</f>
        <v/>
      </c>
      <c r="FA14" s="43">
        <f>FA12-FA13</f>
        <v/>
      </c>
      <c r="FB14" s="43">
        <f>FB12-FB13</f>
        <v/>
      </c>
      <c r="FC14" s="43">
        <f>FC12-FC13</f>
        <v/>
      </c>
      <c r="FD14" s="43">
        <f>FD12-FD13</f>
        <v/>
      </c>
      <c r="FE14" s="43">
        <f>FE12-FE13</f>
        <v/>
      </c>
      <c r="FF14" s="43">
        <f>FF12-FF13</f>
        <v/>
      </c>
      <c r="FG14" s="43">
        <f>FG12-FG13</f>
        <v/>
      </c>
      <c r="FH14" s="43">
        <f>FH12-FH13</f>
        <v/>
      </c>
      <c r="FI14" s="43">
        <f>FI12-FI13</f>
        <v/>
      </c>
      <c r="FJ14" s="43">
        <f>FJ12-FJ13</f>
        <v/>
      </c>
      <c r="FK14" s="43">
        <f>FK12-FK13</f>
        <v/>
      </c>
      <c r="FL14" s="43">
        <f>FL12-FL13</f>
        <v/>
      </c>
      <c r="FM14" s="43">
        <f>FM12-FM13</f>
        <v/>
      </c>
      <c r="FN14" s="43">
        <f>FN12-FN13</f>
        <v/>
      </c>
      <c r="FO14" s="43">
        <f>FO12-FO13</f>
        <v/>
      </c>
      <c r="FP14" s="43">
        <f>FP12-FP13</f>
        <v/>
      </c>
      <c r="FQ14" s="43">
        <f>FQ12-FQ13</f>
        <v/>
      </c>
      <c r="FR14" s="43">
        <f>FR12-FR13</f>
        <v/>
      </c>
      <c r="FS14" s="43">
        <f>FS12-FS13</f>
        <v/>
      </c>
      <c r="FT14" s="43">
        <f>FT12-FT13</f>
        <v/>
      </c>
      <c r="FU14" s="43">
        <f>FU12-FU13</f>
        <v/>
      </c>
      <c r="FV14" s="43">
        <f>FV12-FV13</f>
        <v/>
      </c>
      <c r="FW14" s="43">
        <f>FW12-FW13</f>
        <v/>
      </c>
      <c r="FX14" s="43">
        <f>FX12-FX13</f>
        <v/>
      </c>
      <c r="FY14" s="43">
        <f>FY12-FY13</f>
        <v/>
      </c>
      <c r="FZ14" s="43">
        <f>FZ12-FZ13</f>
        <v/>
      </c>
      <c r="GA14" s="43">
        <f>GA12-GA13</f>
        <v/>
      </c>
      <c r="GB14" s="43">
        <f>GB12-GB13</f>
        <v/>
      </c>
      <c r="GC14" s="43">
        <f>GC12-GC13</f>
        <v/>
      </c>
      <c r="GD14" s="43">
        <f>GD12-GD13</f>
        <v/>
      </c>
      <c r="GE14" s="43">
        <f>GE12-GE13</f>
        <v/>
      </c>
      <c r="GF14" s="43">
        <f>GF12-GF13</f>
        <v/>
      </c>
      <c r="GG14" s="43">
        <f>GG12-GG13</f>
        <v/>
      </c>
      <c r="GH14" s="43">
        <f>GH12-GH13</f>
        <v/>
      </c>
      <c r="GI14" s="43">
        <f>GI12-GI13</f>
        <v/>
      </c>
      <c r="GJ14" s="43">
        <f>GJ12-GJ13</f>
        <v/>
      </c>
      <c r="GK14" s="43">
        <f>GK12-GK13</f>
        <v/>
      </c>
      <c r="GL14" s="43">
        <f>GL12-GL13</f>
        <v/>
      </c>
      <c r="GM14" s="43">
        <f>GM12-GM13</f>
        <v/>
      </c>
      <c r="GN14" s="43">
        <f>GN12-GN13</f>
        <v/>
      </c>
      <c r="GO14" s="43">
        <f>GO12-GO13</f>
        <v/>
      </c>
      <c r="GP14" s="43">
        <f>GP12-GP13</f>
        <v/>
      </c>
      <c r="GQ14" s="43">
        <f>GQ12-GQ13</f>
        <v/>
      </c>
      <c r="GR14" s="43">
        <f>GR12-GR13</f>
        <v/>
      </c>
      <c r="GS14" s="43">
        <f>GS12-GS13</f>
        <v/>
      </c>
      <c r="GT14" s="43">
        <f>GT12-GT13</f>
        <v/>
      </c>
      <c r="GU14" s="43">
        <f>GU12-GU13</f>
        <v/>
      </c>
      <c r="GV14" s="43">
        <f>GV12-GV13</f>
        <v/>
      </c>
      <c r="GW14" s="43">
        <f>GW12-GW13</f>
        <v/>
      </c>
      <c r="GX14" s="43">
        <f>GX12-GX13</f>
        <v/>
      </c>
      <c r="GY14" s="43">
        <f>GY12-GY13</f>
        <v/>
      </c>
      <c r="GZ14" s="43">
        <f>GZ12-GZ13</f>
        <v/>
      </c>
      <c r="HA14" s="43">
        <f>HA12-HA13</f>
        <v/>
      </c>
      <c r="HB14" s="43">
        <f>HB12-HB13</f>
        <v/>
      </c>
      <c r="HC14" s="43">
        <f>HC12-HC13</f>
        <v/>
      </c>
      <c r="HD14" s="43">
        <f>HD12-HD13</f>
        <v/>
      </c>
      <c r="HE14" s="43">
        <f>HE12-HE13</f>
        <v/>
      </c>
      <c r="HF14" s="43">
        <f>HF12-HF13</f>
        <v/>
      </c>
      <c r="HG14" s="43">
        <f>HG12-HG13</f>
        <v/>
      </c>
      <c r="HH14" s="43">
        <f>HH12-HH13</f>
        <v/>
      </c>
      <c r="HI14" s="43">
        <f>HI12-HI13</f>
        <v/>
      </c>
      <c r="HJ14" s="43">
        <f>HJ12-HJ13</f>
        <v/>
      </c>
      <c r="HK14" s="43">
        <f>HK12-HK13</f>
        <v/>
      </c>
      <c r="HL14" s="43">
        <f>HL12-HL13</f>
        <v/>
      </c>
      <c r="HM14" s="43">
        <f>HM12-HM13</f>
        <v/>
      </c>
      <c r="HN14" s="43">
        <f>HN12-HN13</f>
        <v/>
      </c>
      <c r="HO14" s="43">
        <f>HO12-HO13</f>
        <v/>
      </c>
      <c r="HP14" s="43">
        <f>HP12-HP13</f>
        <v/>
      </c>
      <c r="HQ14" s="43">
        <f>HQ12-HQ13</f>
        <v/>
      </c>
      <c r="HR14" s="43">
        <f>HR12-HR13</f>
        <v/>
      </c>
      <c r="HS14" s="43">
        <f>HS12-HS13</f>
        <v/>
      </c>
      <c r="HT14" s="43">
        <f>HT12-HT13</f>
        <v/>
      </c>
      <c r="HU14" s="43">
        <f>HU12-HU13</f>
        <v/>
      </c>
      <c r="HV14" s="43">
        <f>HV12-HV13</f>
        <v/>
      </c>
      <c r="HW14" s="43">
        <f>HW12-HW13</f>
        <v/>
      </c>
      <c r="HX14" s="43">
        <f>HX12-HX13</f>
        <v/>
      </c>
      <c r="HY14" s="43">
        <f>HY12-HY13</f>
        <v/>
      </c>
      <c r="HZ14" s="43">
        <f>HZ12-HZ13</f>
        <v/>
      </c>
      <c r="IA14" s="43">
        <f>IA12-IA13</f>
        <v/>
      </c>
      <c r="IB14" s="43">
        <f>IB12-IB13</f>
        <v/>
      </c>
      <c r="IC14" s="43">
        <f>IC12-IC13</f>
        <v/>
      </c>
      <c r="ID14" s="43">
        <f>ID12-ID13</f>
        <v/>
      </c>
      <c r="IE14" s="43">
        <f>IE12-IE13</f>
        <v/>
      </c>
      <c r="IF14" s="43">
        <f>IF12-IF13</f>
        <v/>
      </c>
      <c r="IG14" s="43">
        <f>IG12-IG13</f>
        <v/>
      </c>
      <c r="IH14" s="43">
        <f>IH12-IH13</f>
        <v/>
      </c>
      <c r="II14" s="43">
        <f>II12-II13</f>
        <v/>
      </c>
      <c r="IJ14" s="43">
        <f>IJ12-IJ13</f>
        <v/>
      </c>
      <c r="IK14" s="43">
        <f>IK12-IK13</f>
        <v/>
      </c>
      <c r="IL14" s="43">
        <f>IL12-IL13</f>
        <v/>
      </c>
      <c r="IM14" s="43">
        <f>IM12-IM13</f>
        <v/>
      </c>
      <c r="IN14" s="43">
        <f>IN12-IN13</f>
        <v/>
      </c>
      <c r="IO14" s="43">
        <f>IO12-IO13</f>
        <v/>
      </c>
      <c r="IP14" s="43">
        <f>IP12-IP13</f>
        <v/>
      </c>
      <c r="IQ14" s="43">
        <f>IQ12-IQ13</f>
        <v/>
      </c>
      <c r="IR14" s="43">
        <f>IR12-IR13</f>
        <v/>
      </c>
      <c r="IS14" s="43">
        <f>IS12-IS13</f>
        <v/>
      </c>
      <c r="IT14" s="43">
        <f>IT12-IT13</f>
        <v/>
      </c>
      <c r="IU14" s="43">
        <f>IU12-IU13</f>
        <v/>
      </c>
      <c r="IV14" s="43">
        <f>IV12-IV13</f>
        <v/>
      </c>
      <c r="IW14" s="43">
        <f>IW12-IW13</f>
        <v/>
      </c>
      <c r="IX14" s="43">
        <f>IX12-IX13</f>
        <v/>
      </c>
      <c r="IY14" s="43">
        <f>IY12-IY13</f>
        <v/>
      </c>
      <c r="IZ14" s="43">
        <f>IZ12-IZ13</f>
        <v/>
      </c>
      <c r="JA14" s="43">
        <f>JA12-JA13</f>
        <v/>
      </c>
      <c r="JB14" s="43">
        <f>JB12-JB13</f>
        <v/>
      </c>
      <c r="JC14" s="43">
        <f>JC12-JC13</f>
        <v/>
      </c>
      <c r="JD14" s="43">
        <f>JD12-JD13</f>
        <v/>
      </c>
      <c r="JE14" s="43">
        <f>JE12-JE13</f>
        <v/>
      </c>
      <c r="JF14" s="43">
        <f>JF12-JF13</f>
        <v/>
      </c>
      <c r="JG14" s="43">
        <f>JG12-JG13</f>
        <v/>
      </c>
      <c r="JH14" s="43">
        <f>JH12-JH13</f>
        <v/>
      </c>
      <c r="JI14" s="43">
        <f>JI12-JI13</f>
        <v/>
      </c>
      <c r="JJ14" s="43">
        <f>JJ12-JJ13</f>
        <v/>
      </c>
      <c r="JK14" s="43">
        <f>JK12-JK13</f>
        <v/>
      </c>
      <c r="JL14" s="43">
        <f>JL12-JL13</f>
        <v/>
      </c>
      <c r="JM14" s="43">
        <f>JM12-JM13</f>
        <v/>
      </c>
      <c r="JN14" s="43">
        <f>JN12-JN13</f>
        <v/>
      </c>
      <c r="JO14" s="43">
        <f>JO12-JO13</f>
        <v/>
      </c>
      <c r="JP14" s="43">
        <f>JP12-JP13</f>
        <v/>
      </c>
      <c r="JQ14" s="43">
        <f>JQ12-JQ13</f>
        <v/>
      </c>
      <c r="JR14" s="43">
        <f>JR12-JR13</f>
        <v/>
      </c>
      <c r="JS14" s="43">
        <f>JS12-JS13</f>
        <v/>
      </c>
      <c r="JT14" s="43">
        <f>JT12-JT13</f>
        <v/>
      </c>
      <c r="JU14" s="43">
        <f>JU12-JU13</f>
        <v/>
      </c>
      <c r="JV14" s="43">
        <f>JV12-JV13</f>
        <v/>
      </c>
      <c r="JW14" s="43">
        <f>JW12-JW13</f>
        <v/>
      </c>
      <c r="JX14" s="43">
        <f>JX12-JX13</f>
        <v/>
      </c>
      <c r="JY14" s="43">
        <f>JY12-JY13</f>
        <v/>
      </c>
      <c r="JZ14" s="43">
        <f>JZ12-JZ13</f>
        <v/>
      </c>
      <c r="KA14" s="43">
        <f>KA12-KA13</f>
        <v/>
      </c>
      <c r="KB14" s="43">
        <f>KB12-KB13</f>
        <v/>
      </c>
      <c r="KC14" s="43">
        <f>KC12-KC13</f>
        <v/>
      </c>
      <c r="KD14" s="43">
        <f>KD12-KD13</f>
        <v/>
      </c>
      <c r="KE14" s="43">
        <f>KE12-KE13</f>
        <v/>
      </c>
      <c r="KF14" s="43">
        <f>KF12-KF13</f>
        <v/>
      </c>
      <c r="KG14" s="43">
        <f>KG12-KG13</f>
        <v/>
      </c>
      <c r="KH14" s="43">
        <f>KH12-KH13</f>
        <v/>
      </c>
      <c r="KI14" s="43">
        <f>KI12-KI13</f>
        <v/>
      </c>
      <c r="KJ14" s="43">
        <f>KJ12-KJ13</f>
        <v/>
      </c>
      <c r="KK14" s="43">
        <f>KK12-KK13</f>
        <v/>
      </c>
      <c r="KL14" s="43">
        <f>KL12-KL13</f>
        <v/>
      </c>
      <c r="KM14" s="43">
        <f>KM12-KM13</f>
        <v/>
      </c>
      <c r="KN14" s="43">
        <f>KN12-KN13</f>
        <v/>
      </c>
      <c r="KO14" s="43">
        <f>KO12-KO13</f>
        <v/>
      </c>
      <c r="KP14" s="43">
        <f>KP12-KP13</f>
        <v/>
      </c>
      <c r="KQ14" s="43">
        <f>KQ12-KQ13</f>
        <v/>
      </c>
      <c r="KR14" s="43">
        <f>KR12-KR13</f>
        <v/>
      </c>
      <c r="KS14" s="43">
        <f>KS12-KS13</f>
        <v/>
      </c>
      <c r="KT14" s="43">
        <f>KT12-KT13</f>
        <v/>
      </c>
      <c r="KU14" s="43">
        <f>KU12-KU13</f>
        <v/>
      </c>
      <c r="KV14" s="43">
        <f>KV12-KV13</f>
        <v/>
      </c>
      <c r="KW14" s="43">
        <f>KW12-KW13</f>
        <v/>
      </c>
      <c r="KX14" s="43">
        <f>KX12-KX13</f>
        <v/>
      </c>
      <c r="KY14" s="43">
        <f>KY12-KY13</f>
        <v/>
      </c>
      <c r="KZ14" s="43">
        <f>KZ12-KZ13</f>
        <v/>
      </c>
      <c r="LA14" s="43">
        <f>LA12-LA13</f>
        <v/>
      </c>
      <c r="LB14" s="43">
        <f>LB12-LB13</f>
        <v/>
      </c>
      <c r="LC14" s="43">
        <f>LC12-LC13</f>
        <v/>
      </c>
      <c r="LD14" s="43">
        <f>LD12-LD13</f>
        <v/>
      </c>
      <c r="LE14" s="43">
        <f>LE12-LE13</f>
        <v/>
      </c>
      <c r="LF14" s="43">
        <f>LF12-LF13</f>
        <v/>
      </c>
      <c r="LG14" s="43">
        <f>LG12-LG13</f>
        <v/>
      </c>
      <c r="LH14" s="43">
        <f>LH12-LH13</f>
        <v/>
      </c>
      <c r="LI14" s="43">
        <f>LI12-LI13</f>
        <v/>
      </c>
      <c r="LJ14" s="43">
        <f>LJ12-LJ13</f>
        <v/>
      </c>
      <c r="LK14" s="43">
        <f>LK12-LK13</f>
        <v/>
      </c>
      <c r="LL14" s="43">
        <f>LL12-LL13</f>
        <v/>
      </c>
      <c r="LM14" s="43">
        <f>LM12-LM13</f>
        <v/>
      </c>
      <c r="LN14" s="43">
        <f>LN12-LN13</f>
        <v/>
      </c>
      <c r="LO14" s="43">
        <f>LO12-LO13</f>
        <v/>
      </c>
      <c r="LP14" s="43">
        <f>LP12-LP13</f>
        <v/>
      </c>
      <c r="LQ14" s="43">
        <f>LQ12-LQ13</f>
        <v/>
      </c>
      <c r="LR14" s="43">
        <f>LR12-LR13</f>
        <v/>
      </c>
      <c r="LS14" s="43">
        <f>LS12-LS13</f>
        <v/>
      </c>
      <c r="LT14" s="43">
        <f>LT12-LT13</f>
        <v/>
      </c>
      <c r="LU14" s="43">
        <f>LU12-LU13</f>
        <v/>
      </c>
      <c r="LV14" s="43">
        <f>LV12-LV13</f>
        <v/>
      </c>
      <c r="LW14" s="43">
        <f>LW12-LW13</f>
        <v/>
      </c>
      <c r="LX14" s="43">
        <f>LX12-LX13</f>
        <v/>
      </c>
      <c r="LY14" s="43">
        <f>LY12-LY13</f>
        <v/>
      </c>
      <c r="LZ14" s="43">
        <f>LZ12-LZ13</f>
        <v/>
      </c>
      <c r="MA14" s="43">
        <f>MA12-MA13</f>
        <v/>
      </c>
      <c r="MB14" s="43">
        <f>MB12-MB13</f>
        <v/>
      </c>
      <c r="MC14" s="43">
        <f>MC12-MC13</f>
        <v/>
      </c>
      <c r="MD14" s="43">
        <f>MD12-MD13</f>
        <v/>
      </c>
      <c r="ME14" s="43">
        <f>ME12-ME13</f>
        <v/>
      </c>
      <c r="MF14" s="43">
        <f>MF12-MF13</f>
        <v/>
      </c>
      <c r="MG14" s="43">
        <f>MG12-MG13</f>
        <v/>
      </c>
      <c r="MH14" s="43">
        <f>MH12-MH13</f>
        <v/>
      </c>
      <c r="MI14" s="43">
        <f>MI12-MI13</f>
        <v/>
      </c>
      <c r="MJ14" s="43">
        <f>MJ12-MJ13</f>
        <v/>
      </c>
      <c r="MK14" s="43">
        <f>MK12-MK13</f>
        <v/>
      </c>
      <c r="ML14" s="43">
        <f>ML12-ML13</f>
        <v/>
      </c>
      <c r="MM14" s="43">
        <f>MM12-MM13</f>
        <v/>
      </c>
      <c r="MN14" s="43">
        <f>MN12-MN13</f>
        <v/>
      </c>
      <c r="MO14" s="43">
        <f>MO12-MO13</f>
        <v/>
      </c>
      <c r="MP14" s="43">
        <f>MP12-MP13</f>
        <v/>
      </c>
      <c r="MQ14" s="43">
        <f>MQ12-MQ13</f>
        <v/>
      </c>
      <c r="MR14" s="43">
        <f>MR12-MR13</f>
        <v/>
      </c>
      <c r="MS14" s="43">
        <f>MS12-MS13</f>
        <v/>
      </c>
      <c r="MT14" s="43">
        <f>MT12-MT13</f>
        <v/>
      </c>
      <c r="MU14" s="43">
        <f>MU12-MU13</f>
        <v/>
      </c>
      <c r="MV14" s="43">
        <f>MV12-MV13</f>
        <v/>
      </c>
      <c r="MW14" s="43">
        <f>MW12-MW13</f>
        <v/>
      </c>
      <c r="MX14" s="43">
        <f>MX12-MX13</f>
        <v/>
      </c>
      <c r="MY14" s="43">
        <f>MY12-MY13</f>
        <v/>
      </c>
      <c r="MZ14" s="43">
        <f>MZ12-MZ13</f>
        <v/>
      </c>
      <c r="NA14" s="43">
        <f>NA12-NA13</f>
        <v/>
      </c>
      <c r="NB14" s="43">
        <f>NB12-NB13</f>
        <v/>
      </c>
      <c r="NC14" s="43">
        <f>NC12-NC13</f>
        <v/>
      </c>
      <c r="ND14" s="43">
        <f>ND12-ND13</f>
        <v/>
      </c>
      <c r="NE14" s="43">
        <f>NE12-NE13</f>
        <v/>
      </c>
      <c r="NF14" s="43">
        <f>NF12-NF13</f>
        <v/>
      </c>
      <c r="NG14" s="43">
        <f>NG12-NG13</f>
        <v/>
      </c>
      <c r="NH14" s="43">
        <f>NH12-NH13</f>
        <v/>
      </c>
      <c r="NI14" s="43">
        <f>NI12-NI13</f>
        <v/>
      </c>
      <c r="NJ14" s="43">
        <f>NJ12-NJ13</f>
        <v/>
      </c>
      <c r="NK14" s="43">
        <f>NK12-NK13</f>
        <v/>
      </c>
      <c r="NL14" s="43">
        <f>NL12-NL13</f>
        <v/>
      </c>
      <c r="NM14" s="43">
        <f>NM12-NM13</f>
        <v/>
      </c>
      <c r="NN14" s="43">
        <f>NN12-NN13</f>
        <v/>
      </c>
      <c r="NO14" s="43">
        <f>NO12-NO13</f>
        <v/>
      </c>
      <c r="NP14" s="43">
        <f>NP12-NP13</f>
        <v/>
      </c>
      <c r="NQ14" s="43">
        <f>NQ12-NQ13</f>
        <v/>
      </c>
      <c r="NR14" s="43">
        <f>NR12-NR13</f>
        <v/>
      </c>
      <c r="NS14" s="43">
        <f>NS12-NS13</f>
        <v/>
      </c>
      <c r="NT14" s="43">
        <f>NT12-NT13</f>
        <v/>
      </c>
      <c r="NU14" s="43">
        <f>NU12-NU13</f>
        <v/>
      </c>
      <c r="NV14" s="43">
        <f>NV12-NV13</f>
        <v/>
      </c>
      <c r="NW14" s="43">
        <f>NW12-NW13</f>
        <v/>
      </c>
      <c r="NX14" s="43">
        <f>NX12-NX13</f>
        <v/>
      </c>
      <c r="NY14" s="43">
        <f>NY12-NY13</f>
        <v/>
      </c>
      <c r="NZ14" s="43">
        <f>NZ12-NZ13</f>
        <v/>
      </c>
      <c r="OA14" s="43">
        <f>OA12-OA13</f>
        <v/>
      </c>
      <c r="OB14" s="43">
        <f>OB12-OB13</f>
        <v/>
      </c>
      <c r="OC14" s="43">
        <f>OC12-OC13</f>
        <v/>
      </c>
      <c r="OD14" s="43">
        <f>OD12-OD13</f>
        <v/>
      </c>
      <c r="OE14" s="43">
        <f>OE12-OE13</f>
        <v/>
      </c>
      <c r="OF14" s="43">
        <f>OF12-OF13</f>
        <v/>
      </c>
      <c r="OG14" s="43">
        <f>OG12-OG13</f>
        <v/>
      </c>
      <c r="OH14" s="43">
        <f>OH12-OH13</f>
        <v/>
      </c>
      <c r="OI14" s="43">
        <f>OI12-OI13</f>
        <v/>
      </c>
      <c r="OJ14" s="43">
        <f>OJ12-OJ13</f>
        <v/>
      </c>
      <c r="OK14" s="43">
        <f>OK12-OK13</f>
        <v/>
      </c>
      <c r="OL14" s="43">
        <f>OL12-OL13</f>
        <v/>
      </c>
      <c r="OM14" s="43">
        <f>OM12-OM13</f>
        <v/>
      </c>
      <c r="ON14" s="43">
        <f>ON12-ON13</f>
        <v/>
      </c>
      <c r="OO14" s="43">
        <f>OO12-OO13</f>
        <v/>
      </c>
      <c r="OP14" s="43">
        <f>OP12-OP13</f>
        <v/>
      </c>
      <c r="OQ14" s="43">
        <f>OQ12-OQ13</f>
        <v/>
      </c>
      <c r="OR14" s="43">
        <f>OR12-OR13</f>
        <v/>
      </c>
      <c r="OS14" s="43">
        <f>OS12-OS13</f>
        <v/>
      </c>
      <c r="OT14" s="43">
        <f>OT12-OT13</f>
        <v/>
      </c>
      <c r="OU14" s="43">
        <f>OU12-OU13</f>
        <v/>
      </c>
      <c r="OV14" s="43">
        <f>OV12-OV13</f>
        <v/>
      </c>
      <c r="OW14" s="43">
        <f>OW12-OW13</f>
        <v/>
      </c>
      <c r="OX14" s="43">
        <f>OX12-OX13</f>
        <v/>
      </c>
      <c r="OY14" s="43">
        <f>OY12-OY13</f>
        <v/>
      </c>
      <c r="OZ14" s="43">
        <f>OZ12-OZ13</f>
        <v/>
      </c>
      <c r="PA14" s="43">
        <f>PA12-PA13</f>
        <v/>
      </c>
      <c r="PB14" s="43">
        <f>PB12-PB13</f>
        <v/>
      </c>
      <c r="PC14" s="43">
        <f>PC12-PC13</f>
        <v/>
      </c>
      <c r="PD14" s="43">
        <f>PD12-PD13</f>
        <v/>
      </c>
      <c r="PE14" s="43">
        <f>PE12-PE13</f>
        <v/>
      </c>
      <c r="PF14" s="43">
        <f>PF12-PF13</f>
        <v/>
      </c>
      <c r="PG14" s="43">
        <f>PG12-PG13</f>
        <v/>
      </c>
      <c r="PH14" s="43">
        <f>PH12-PH13</f>
        <v/>
      </c>
      <c r="PI14" s="43">
        <f>PI12-PI13</f>
        <v/>
      </c>
      <c r="PJ14" s="43">
        <f>PJ12-PJ13</f>
        <v/>
      </c>
      <c r="PK14" s="43">
        <f>PK12-PK13</f>
        <v/>
      </c>
      <c r="PL14" s="43">
        <f>PL12-PL13</f>
        <v/>
      </c>
      <c r="PM14" s="43">
        <f>PM12-PM13</f>
        <v/>
      </c>
      <c r="PN14" s="43">
        <f>PN12-PN13</f>
        <v/>
      </c>
      <c r="PO14" s="43">
        <f>PO12-PO13</f>
        <v/>
      </c>
      <c r="PP14" s="43">
        <f>PP12-PP13</f>
        <v/>
      </c>
      <c r="PQ14" s="43">
        <f>PQ12-PQ13</f>
        <v/>
      </c>
      <c r="PR14" s="43">
        <f>PR12-PR13</f>
        <v/>
      </c>
      <c r="PS14" s="43">
        <f>PS12-PS13</f>
        <v/>
      </c>
      <c r="PT14" s="43">
        <f>PT12-PT13</f>
        <v/>
      </c>
      <c r="PU14" s="43">
        <f>PU12-PU13</f>
        <v/>
      </c>
      <c r="PV14" s="43">
        <f>PV12-PV13</f>
        <v/>
      </c>
      <c r="PW14" s="43">
        <f>PW12-PW13</f>
        <v/>
      </c>
      <c r="PX14" s="43">
        <f>PX12-PX13</f>
        <v/>
      </c>
      <c r="PY14" s="43">
        <f>PY12-PY13</f>
        <v/>
      </c>
      <c r="PZ14" s="43">
        <f>PZ12-PZ13</f>
        <v/>
      </c>
      <c r="QA14" s="43">
        <f>QA12-QA13</f>
        <v/>
      </c>
      <c r="QB14" s="43">
        <f>QB12-QB13</f>
        <v/>
      </c>
      <c r="QC14" s="43">
        <f>QC12-QC13</f>
        <v/>
      </c>
      <c r="QD14" s="43">
        <f>QD12-QD13</f>
        <v/>
      </c>
      <c r="QE14" s="43">
        <f>QE12-QE13</f>
        <v/>
      </c>
      <c r="QF14" s="43">
        <f>QF12-QF13</f>
        <v/>
      </c>
      <c r="QG14" s="43">
        <f>QG12-QG13</f>
        <v/>
      </c>
      <c r="QH14" s="43">
        <f>QH12-QH13</f>
        <v/>
      </c>
      <c r="QI14" s="43">
        <f>QI12-QI13</f>
        <v/>
      </c>
      <c r="QJ14" s="43">
        <f>QJ12-QJ13</f>
        <v/>
      </c>
      <c r="QK14" s="43">
        <f>QK12-QK13</f>
        <v/>
      </c>
      <c r="QL14" s="43">
        <f>QL12-QL13</f>
        <v/>
      </c>
      <c r="QM14" s="43">
        <f>QM12-QM13</f>
        <v/>
      </c>
      <c r="QN14" s="43">
        <f>QN12-QN13</f>
        <v/>
      </c>
      <c r="QO14" s="43">
        <f>QO12-QO13</f>
        <v/>
      </c>
      <c r="QP14" s="43">
        <f>QP12-QP13</f>
        <v/>
      </c>
      <c r="QQ14" s="43">
        <f>QQ12-QQ13</f>
        <v/>
      </c>
      <c r="QR14" s="43">
        <f>QR12-QR13</f>
        <v/>
      </c>
      <c r="QS14" s="43">
        <f>QS12-QS13</f>
        <v/>
      </c>
      <c r="QT14" s="43">
        <f>QT12-QT13</f>
        <v/>
      </c>
      <c r="QU14" s="43">
        <f>QU12-QU13</f>
        <v/>
      </c>
      <c r="QV14" s="43">
        <f>QV12-QV13</f>
        <v/>
      </c>
      <c r="QW14" s="43">
        <f>QW12-QW13</f>
        <v/>
      </c>
      <c r="QX14" s="43">
        <f>QX12-QX13</f>
        <v/>
      </c>
      <c r="QY14" s="43">
        <f>QY12-QY13</f>
        <v/>
      </c>
      <c r="QZ14" s="43">
        <f>QZ12-QZ13</f>
        <v/>
      </c>
      <c r="RA14" s="43">
        <f>RA12-RA13</f>
        <v/>
      </c>
      <c r="RB14" s="43">
        <f>RB12-RB13</f>
        <v/>
      </c>
      <c r="RC14" s="43">
        <f>RC12-RC13</f>
        <v/>
      </c>
      <c r="RD14" s="43">
        <f>RD12-RD13</f>
        <v/>
      </c>
      <c r="RE14" s="43">
        <f>RE12-RE13</f>
        <v/>
      </c>
      <c r="RF14" s="43">
        <f>RF12-RF13</f>
        <v/>
      </c>
      <c r="RG14" s="43">
        <f>RG12-RG13</f>
        <v/>
      </c>
      <c r="RH14" s="43">
        <f>RH12-RH13</f>
        <v/>
      </c>
      <c r="RI14" s="43">
        <f>RI12-RI13</f>
        <v/>
      </c>
      <c r="RJ14" s="43">
        <f>RJ12-RJ13</f>
        <v/>
      </c>
      <c r="RK14" s="43">
        <f>RK12-RK13</f>
        <v/>
      </c>
      <c r="RL14" s="43">
        <f>RL12-RL13</f>
        <v/>
      </c>
      <c r="RM14" s="43">
        <f>RM12-RM13</f>
        <v/>
      </c>
      <c r="RN14" s="43">
        <f>RN12-RN13</f>
        <v/>
      </c>
      <c r="RO14" s="43">
        <f>RO12-RO13</f>
        <v/>
      </c>
      <c r="RP14" s="43">
        <f>RP12-RP13</f>
        <v/>
      </c>
      <c r="RQ14" s="43">
        <f>RQ12-RQ13</f>
        <v/>
      </c>
      <c r="RR14" s="43">
        <f>RR12-RR13</f>
        <v/>
      </c>
      <c r="RS14" s="43">
        <f>RS12-RS13</f>
        <v/>
      </c>
      <c r="RT14" s="43">
        <f>RT12-RT13</f>
        <v/>
      </c>
      <c r="RU14" s="43">
        <f>RU12-RU13</f>
        <v/>
      </c>
      <c r="RV14" s="43">
        <f>RV12-RV13</f>
        <v/>
      </c>
      <c r="RW14" s="43">
        <f>RW12-RW13</f>
        <v/>
      </c>
    </row>
    <row r="15" ht="13.05" customHeight="1">
      <c r="E15" s="39" t="inlineStr">
        <is>
          <t>Cash Flow</t>
        </is>
      </c>
      <c r="F15" s="39" t="n"/>
      <c r="G15" s="39" t="n"/>
    </row>
    <row r="16" ht="13.05" customHeight="1">
      <c r="E16" s="40" t="inlineStr">
        <is>
          <t>Net Income</t>
        </is>
      </c>
      <c r="F16" s="41" t="n"/>
      <c r="G16" s="41" t="inlineStr">
        <is>
          <t>kEUR</t>
        </is>
      </c>
      <c r="H16" s="41" t="n"/>
      <c r="I16" s="41" t="n"/>
      <c r="J16" s="42" t="n">
        <v>872902.3164416042</v>
      </c>
      <c r="K16" s="41" t="n"/>
      <c r="L16" s="43" t="n">
        <v>-3050.416666666667</v>
      </c>
      <c r="M16" s="43" t="n">
        <v>-3050.416666666667</v>
      </c>
      <c r="N16" s="43" t="n">
        <v>-3050.416666666667</v>
      </c>
      <c r="O16" s="43" t="n">
        <v>-3050.416666666667</v>
      </c>
      <c r="P16" s="43" t="n">
        <v>-3050.416666666667</v>
      </c>
      <c r="Q16" s="43" t="n">
        <v>-3050.416666666667</v>
      </c>
      <c r="R16" s="43" t="n">
        <v>-3050.416666666667</v>
      </c>
      <c r="S16" s="43" t="n">
        <v>-3050.416666666667</v>
      </c>
      <c r="T16" s="43" t="n">
        <v>-3050.416666666667</v>
      </c>
      <c r="U16" s="43" t="n">
        <v>-3050.416666666667</v>
      </c>
      <c r="V16" s="43" t="n">
        <v>-3050.416666666667</v>
      </c>
      <c r="W16" s="43" t="n">
        <v>-3050.416666666667</v>
      </c>
      <c r="X16" s="43" t="n">
        <v>-3050.416666666667</v>
      </c>
      <c r="Y16" s="43" t="n">
        <v>-3050.416666666667</v>
      </c>
      <c r="Z16" s="43" t="n">
        <v>-3050.416666666667</v>
      </c>
      <c r="AA16" s="43" t="n">
        <v>-3050.416666666667</v>
      </c>
      <c r="AB16" s="43" t="n">
        <v>-3050.416666666667</v>
      </c>
      <c r="AC16" s="43" t="n">
        <v>-3050.416666666667</v>
      </c>
      <c r="AD16" s="43" t="n">
        <v>-3050.416666666667</v>
      </c>
      <c r="AE16" s="43" t="n">
        <v>-3050.416666666667</v>
      </c>
      <c r="AF16" s="43" t="n">
        <v>-3050.416666666667</v>
      </c>
      <c r="AG16" s="43" t="n">
        <v>-3050.416666666667</v>
      </c>
      <c r="AH16" s="43" t="n">
        <v>-3050.416666666667</v>
      </c>
      <c r="AI16" s="43" t="n">
        <v>-3050.416666666667</v>
      </c>
      <c r="AJ16" s="43" t="n">
        <v>-3050.416666666667</v>
      </c>
      <c r="AK16" s="43" t="n">
        <v>-3050.416666666667</v>
      </c>
      <c r="AL16" s="43" t="n">
        <v>-3050.416666666667</v>
      </c>
      <c r="AM16" s="43" t="n">
        <v>-3050.416666666667</v>
      </c>
      <c r="AN16" s="43" t="n">
        <v>-3050.416666666667</v>
      </c>
      <c r="AO16" s="43" t="n">
        <v>-3050.416666666667</v>
      </c>
      <c r="AP16" s="43" t="n">
        <v>-3050.416666666667</v>
      </c>
      <c r="AQ16" s="43" t="n">
        <v>-3050.416666666667</v>
      </c>
      <c r="AR16" s="43" t="n">
        <v>-3050.416666666667</v>
      </c>
      <c r="AS16" s="43" t="n">
        <v>-3050.416666666667</v>
      </c>
      <c r="AT16" s="43" t="n">
        <v>-3050.416666666667</v>
      </c>
      <c r="AU16" s="43" t="n">
        <v>-3050.416666666667</v>
      </c>
      <c r="AV16" s="43" t="n">
        <v>-3050.416666666667</v>
      </c>
      <c r="AW16" s="43" t="n">
        <v>-3050.416666666667</v>
      </c>
      <c r="AX16" s="43" t="n">
        <v>-3050.416666666667</v>
      </c>
      <c r="AY16" s="43" t="n">
        <v>-3050.416666666667</v>
      </c>
      <c r="AZ16" s="43" t="n">
        <v>-3050.416666666667</v>
      </c>
      <c r="BA16" s="43" t="n">
        <v>-3050.416666666667</v>
      </c>
      <c r="BB16" s="43" t="n">
        <v>-3050.416666666667</v>
      </c>
      <c r="BC16" s="43" t="n">
        <v>-3050.416666666667</v>
      </c>
      <c r="BD16" s="43" t="n">
        <v>-3050.416666666667</v>
      </c>
      <c r="BE16" s="43" t="n">
        <v>-3050.416666666667</v>
      </c>
      <c r="BF16" s="43" t="n">
        <v>-3050.416666666667</v>
      </c>
      <c r="BG16" s="43" t="n">
        <v>-3050.416666666667</v>
      </c>
      <c r="BH16" s="43" t="n">
        <v>-4138.616666666667</v>
      </c>
      <c r="BI16" s="43" t="n">
        <v>-4251.049448148148</v>
      </c>
      <c r="BJ16" s="43" t="n">
        <v>-4363.48222962963</v>
      </c>
      <c r="BK16" s="43" t="n">
        <v>-4475.915011111111</v>
      </c>
      <c r="BL16" s="43" t="n">
        <v>-4588.347792592593</v>
      </c>
      <c r="BM16" s="43" t="n">
        <v>-4700.780574074074</v>
      </c>
      <c r="BN16" s="43" t="n">
        <v>-4813.213355555556</v>
      </c>
      <c r="BO16" s="43" t="n">
        <v>-4925.646137037037</v>
      </c>
      <c r="BP16" s="43" t="n">
        <v>-5038.078918518519</v>
      </c>
      <c r="BQ16" s="43" t="n">
        <v>-5150.5117</v>
      </c>
      <c r="BR16" s="43" t="n">
        <v>-5262.944481481481</v>
      </c>
      <c r="BS16" s="43" t="n">
        <v>-5375.377262962963</v>
      </c>
      <c r="BT16" s="43" t="n">
        <v>-6539.736711111111</v>
      </c>
      <c r="BU16" s="43" t="n">
        <v>-6652.169492592592</v>
      </c>
      <c r="BV16" s="43" t="n">
        <v>-6764.602274074074</v>
      </c>
      <c r="BW16" s="43" t="n">
        <v>-6877.035055555556</v>
      </c>
      <c r="BX16" s="43" t="n">
        <v>-6989.467837037037</v>
      </c>
      <c r="BY16" s="43" t="n">
        <v>-7101.900618518519</v>
      </c>
      <c r="BZ16" s="43" t="n">
        <v>-7214.3334</v>
      </c>
      <c r="CA16" s="43" t="n">
        <v>-7326.766181481482</v>
      </c>
      <c r="CB16" s="43" t="n">
        <v>-7439.198962962963</v>
      </c>
      <c r="CC16" s="43" t="n">
        <v>-7551.631744444445</v>
      </c>
      <c r="CD16" s="43" t="n">
        <v>-7664.064525925926</v>
      </c>
      <c r="CE16" s="43" t="n">
        <v>-7776.497307407408</v>
      </c>
      <c r="CF16" s="43" t="n">
        <v>-8905.792533333333</v>
      </c>
      <c r="CG16" s="43" t="n">
        <v>-9018.225314814816</v>
      </c>
      <c r="CH16" s="43" t="n">
        <v>-9130.658096296298</v>
      </c>
      <c r="CI16" s="43" t="n">
        <v>-9243.090877777779</v>
      </c>
      <c r="CJ16" s="43" t="n">
        <v>-9355.523659259261</v>
      </c>
      <c r="CK16" s="43" t="n">
        <v>-9467.956440740742</v>
      </c>
      <c r="CL16" s="43" t="n">
        <v>-9580.389222222224</v>
      </c>
      <c r="CM16" s="43" t="n">
        <v>-9692.822003703704</v>
      </c>
      <c r="CN16" s="43" t="n">
        <v>-9805.254785185187</v>
      </c>
      <c r="CO16" s="43" t="n">
        <v>-9917.687566666667</v>
      </c>
      <c r="CP16" s="43" t="n">
        <v>-10030.12034814815</v>
      </c>
      <c r="CQ16" s="43" t="n">
        <v>-3493.68888993891</v>
      </c>
      <c r="CR16" s="43" t="n">
        <v>11084.02716643927</v>
      </c>
      <c r="CS16" s="43" t="n">
        <v>11095.79712926199</v>
      </c>
      <c r="CT16" s="43" t="n">
        <v>11107.58789077332</v>
      </c>
      <c r="CU16" s="43" t="n">
        <v>11119.39948772658</v>
      </c>
      <c r="CV16" s="43" t="n">
        <v>11131.23195694008</v>
      </c>
      <c r="CW16" s="43" t="n">
        <v>11143.08533529716</v>
      </c>
      <c r="CX16" s="43" t="n">
        <v>11168.45159352411</v>
      </c>
      <c r="CY16" s="43" t="n">
        <v>11193.83883485698</v>
      </c>
      <c r="CZ16" s="43" t="n">
        <v>11219.247096375</v>
      </c>
      <c r="DA16" s="43" t="n">
        <v>11244.67641522291</v>
      </c>
      <c r="DB16" s="43" t="n">
        <v>11270.12682861109</v>
      </c>
      <c r="DC16" s="43" t="n">
        <v>11295.59837381569</v>
      </c>
      <c r="DD16" s="43" t="n">
        <v>2617.055876203401</v>
      </c>
      <c r="DE16" s="43" t="n">
        <v>2642.569797132842</v>
      </c>
      <c r="DF16" s="43" t="n">
        <v>2668.104962102806</v>
      </c>
      <c r="DG16" s="43" t="n">
        <v>2693.661408653612</v>
      </c>
      <c r="DH16" s="43" t="n">
        <v>2719.239174391922</v>
      </c>
      <c r="DI16" s="43" t="n">
        <v>2744.83829699084</v>
      </c>
      <c r="DJ16" s="43" t="n">
        <v>2770.458814190064</v>
      </c>
      <c r="DK16" s="43" t="n">
        <v>2796.100763795961</v>
      </c>
      <c r="DL16" s="43" t="n">
        <v>2821.764183681717</v>
      </c>
      <c r="DM16" s="43" t="n">
        <v>2847.449111787438</v>
      </c>
      <c r="DN16" s="43" t="n">
        <v>2873.155586120277</v>
      </c>
      <c r="DO16" s="43" t="n">
        <v>2898.88364475455</v>
      </c>
      <c r="DP16" s="43" t="n">
        <v>3193.384096616831</v>
      </c>
      <c r="DQ16" s="43" t="n">
        <v>3219.155438346157</v>
      </c>
      <c r="DR16" s="43" t="n">
        <v>3244.948479004022</v>
      </c>
      <c r="DS16" s="43" t="n">
        <v>3270.763256934582</v>
      </c>
      <c r="DT16" s="43" t="n">
        <v>3296.599810549746</v>
      </c>
      <c r="DU16" s="43" t="n">
        <v>3322.458178329298</v>
      </c>
      <c r="DV16" s="43" t="n">
        <v>3348.338398821034</v>
      </c>
      <c r="DW16" s="43" t="n">
        <v>3374.24051064085</v>
      </c>
      <c r="DX16" s="43" t="n">
        <v>3400.164552472893</v>
      </c>
      <c r="DY16" s="43" t="n">
        <v>3426.110563069661</v>
      </c>
      <c r="DZ16" s="43" t="n">
        <v>3452.078581252136</v>
      </c>
      <c r="EA16" s="43" t="n">
        <v>3478.068645909897</v>
      </c>
      <c r="EB16" s="43" t="n">
        <v>4974.516248124652</v>
      </c>
      <c r="EC16" s="43" t="n">
        <v>5000.55052267674</v>
      </c>
      <c r="ED16" s="43" t="n">
        <v>5026.606960785673</v>
      </c>
      <c r="EE16" s="43" t="n">
        <v>5052.685601616655</v>
      </c>
      <c r="EF16" s="43" t="n">
        <v>5078.786484404085</v>
      </c>
      <c r="EG16" s="43" t="n">
        <v>5104.909648451701</v>
      </c>
      <c r="EH16" s="43" t="n">
        <v>5131.055133132701</v>
      </c>
      <c r="EI16" s="43" t="n">
        <v>5157.222977889843</v>
      </c>
      <c r="EJ16" s="43" t="n">
        <v>5183.413222235596</v>
      </c>
      <c r="EK16" s="43" t="n">
        <v>5209.62590575225</v>
      </c>
      <c r="EL16" s="43" t="n">
        <v>5235.861068092041</v>
      </c>
      <c r="EM16" s="43" t="n">
        <v>5262.118748977271</v>
      </c>
      <c r="EN16" s="43" t="n">
        <v>3189.746194404533</v>
      </c>
      <c r="EO16" s="43" t="n">
        <v>3216.04903182845</v>
      </c>
      <c r="EP16" s="43" t="n">
        <v>3242.374507386377</v>
      </c>
      <c r="EQ16" s="43" t="n">
        <v>3268.722661082135</v>
      </c>
      <c r="ER16" s="43" t="n">
        <v>3295.093532990235</v>
      </c>
      <c r="ES16" s="43" t="n">
        <v>3321.487163256005</v>
      </c>
      <c r="ET16" s="43" t="n">
        <v>3347.903592095717</v>
      </c>
      <c r="EU16" s="43" t="n">
        <v>3374.342859796706</v>
      </c>
      <c r="EV16" s="43" t="n">
        <v>3400.805006717495</v>
      </c>
      <c r="EW16" s="43" t="n">
        <v>3427.290073287933</v>
      </c>
      <c r="EX16" s="43" t="n">
        <v>3453.798100009309</v>
      </c>
      <c r="EY16" s="43" t="n">
        <v>3480.329127454477</v>
      </c>
      <c r="EZ16" s="43" t="n">
        <v>4405.44769925666</v>
      </c>
      <c r="FA16" s="43" t="n">
        <v>4432.024850154899</v>
      </c>
      <c r="FB16" s="43" t="n">
        <v>4458.625123926193</v>
      </c>
      <c r="FC16" s="43" t="n">
        <v>4485.248561430943</v>
      </c>
      <c r="FD16" s="43" t="n">
        <v>4511.89520360176</v>
      </c>
      <c r="FE16" s="43" t="n">
        <v>4538.56509144358</v>
      </c>
      <c r="FF16" s="43" t="n">
        <v>4565.258266033806</v>
      </c>
      <c r="FG16" s="43" t="n">
        <v>4591.974768522426</v>
      </c>
      <c r="FH16" s="43" t="n">
        <v>4618.714640132141</v>
      </c>
      <c r="FI16" s="43" t="n">
        <v>4645.477922158501</v>
      </c>
      <c r="FJ16" s="43" t="n">
        <v>4672.26465597003</v>
      </c>
      <c r="FK16" s="43" t="n">
        <v>4699.074883008352</v>
      </c>
      <c r="FL16" s="43" t="n">
        <v>5674.166770933262</v>
      </c>
      <c r="FM16" s="43" t="n">
        <v>5701.024109043096</v>
      </c>
      <c r="FN16" s="43" t="n">
        <v>5727.9050651445</v>
      </c>
      <c r="FO16" s="43" t="n">
        <v>5754.809680972804</v>
      </c>
      <c r="FP16" s="43" t="n">
        <v>5781.737998337086</v>
      </c>
      <c r="FQ16" s="43" t="n">
        <v>5808.690059120305</v>
      </c>
      <c r="FR16" s="43" t="n">
        <v>5835.665905279426</v>
      </c>
      <c r="FS16" s="43" t="n">
        <v>5862.665578845566</v>
      </c>
      <c r="FT16" s="43" t="n">
        <v>5889.689121924107</v>
      </c>
      <c r="FU16" s="43" t="n">
        <v>5916.73657669484</v>
      </c>
      <c r="FV16" s="43" t="n">
        <v>5943.807985412094</v>
      </c>
      <c r="FW16" s="43" t="n">
        <v>5970.903390404857</v>
      </c>
      <c r="FX16" s="43" t="n">
        <v>3126.017440279865</v>
      </c>
      <c r="FY16" s="43" t="n">
        <v>3153.160965109958</v>
      </c>
      <c r="FZ16" s="43" t="n">
        <v>3180.328613651868</v>
      </c>
      <c r="GA16" s="43" t="n">
        <v>3207.52042853458</v>
      </c>
      <c r="GB16" s="43" t="n">
        <v>3234.736452462406</v>
      </c>
      <c r="GC16" s="43" t="n">
        <v>3261.976728215128</v>
      </c>
      <c r="GD16" s="43" t="n">
        <v>3289.241298648114</v>
      </c>
      <c r="GE16" s="43" t="n">
        <v>3316.530206692473</v>
      </c>
      <c r="GF16" s="43" t="n">
        <v>3343.843495355167</v>
      </c>
      <c r="GG16" s="43" t="n">
        <v>3371.181207719163</v>
      </c>
      <c r="GH16" s="43" t="n">
        <v>3398.543386943559</v>
      </c>
      <c r="GI16" s="43" t="n">
        <v>3425.930076263709</v>
      </c>
      <c r="GJ16" s="43" t="n">
        <v>3181.002295524173</v>
      </c>
      <c r="GK16" s="43" t="n">
        <v>3208.438135047678</v>
      </c>
      <c r="GL16" s="43" t="n">
        <v>3235.898614831973</v>
      </c>
      <c r="GM16" s="43" t="n">
        <v>3263.383778418846</v>
      </c>
      <c r="GN16" s="43" t="n">
        <v>3290.89366942701</v>
      </c>
      <c r="GO16" s="43" t="n">
        <v>3318.428331552269</v>
      </c>
      <c r="GP16" s="43" t="n">
        <v>3345.987808567634</v>
      </c>
      <c r="GQ16" s="43" t="n">
        <v>3373.572144323476</v>
      </c>
      <c r="GR16" s="43" t="n">
        <v>3401.181382747645</v>
      </c>
      <c r="GS16" s="43" t="n">
        <v>3428.815567845617</v>
      </c>
      <c r="GT16" s="43" t="n">
        <v>3456.474743700635</v>
      </c>
      <c r="GU16" s="43" t="n">
        <v>3484.158954473842</v>
      </c>
      <c r="GV16" s="43" t="n">
        <v>5463.039350309606</v>
      </c>
      <c r="GW16" s="43" t="n">
        <v>5490.773763714888</v>
      </c>
      <c r="GX16" s="43" t="n">
        <v>5518.53334499055</v>
      </c>
      <c r="GY16" s="43" t="n">
        <v>5546.318138610706</v>
      </c>
      <c r="GZ16" s="43" t="n">
        <v>5574.128189128065</v>
      </c>
      <c r="HA16" s="43" t="n">
        <v>5601.963541174067</v>
      </c>
      <c r="HB16" s="43" t="n">
        <v>5629.824239459007</v>
      </c>
      <c r="HC16" s="43" t="n">
        <v>5657.710328772202</v>
      </c>
      <c r="HD16" s="43" t="n">
        <v>5685.621853982111</v>
      </c>
      <c r="HE16" s="43" t="n">
        <v>5713.558860036479</v>
      </c>
      <c r="HF16" s="43" t="n">
        <v>5741.521391962478</v>
      </c>
      <c r="HG16" s="43" t="n">
        <v>5769.509494866845</v>
      </c>
      <c r="HH16" s="43" t="n">
        <v>3867.562552769467</v>
      </c>
      <c r="HI16" s="43" t="n">
        <v>3895.601933269774</v>
      </c>
      <c r="HJ16" s="43" t="n">
        <v>3923.667020547484</v>
      </c>
      <c r="HK16" s="43" t="n">
        <v>3951.757860029016</v>
      </c>
      <c r="HL16" s="43" t="n">
        <v>3979.874497221063</v>
      </c>
      <c r="HM16" s="43" t="n">
        <v>4008.016977710733</v>
      </c>
      <c r="HN16" s="43" t="n">
        <v>4036.185347165685</v>
      </c>
      <c r="HO16" s="43" t="n">
        <v>4064.379651334282</v>
      </c>
      <c r="HP16" s="43" t="n">
        <v>4092.599936045734</v>
      </c>
      <c r="HQ16" s="43" t="n">
        <v>4120.846247210224</v>
      </c>
      <c r="HR16" s="43" t="n">
        <v>4149.11863081907</v>
      </c>
      <c r="HS16" s="43" t="n">
        <v>4177.417132944864</v>
      </c>
      <c r="HT16" s="43" t="n">
        <v>4064.237244766008</v>
      </c>
      <c r="HU16" s="43" t="n">
        <v>4092.588122469259</v>
      </c>
      <c r="HV16" s="43" t="n">
        <v>4120.965257396289</v>
      </c>
      <c r="HW16" s="43" t="n">
        <v>4149.368695946205</v>
      </c>
      <c r="HX16" s="43" t="n">
        <v>4177.798484600109</v>
      </c>
      <c r="HY16" s="43" t="n">
        <v>4206.254669921246</v>
      </c>
      <c r="HZ16" s="43" t="n">
        <v>4234.737298555136</v>
      </c>
      <c r="IA16" s="43" t="n">
        <v>4263.246417229728</v>
      </c>
      <c r="IB16" s="43" t="n">
        <v>4291.782072755543</v>
      </c>
      <c r="IC16" s="43" t="n">
        <v>4320.344312025828</v>
      </c>
      <c r="ID16" s="43" t="n">
        <v>4348.933182016683</v>
      </c>
      <c r="IE16" s="43" t="n">
        <v>4377.548729787226</v>
      </c>
      <c r="IF16" s="43" t="n">
        <v>5792.385230682638</v>
      </c>
      <c r="IG16" s="43" t="n">
        <v>5821.054275522701</v>
      </c>
      <c r="IH16" s="43" t="n">
        <v>5849.750139819334</v>
      </c>
      <c r="II16" s="43" t="n">
        <v>5878.472870965184</v>
      </c>
      <c r="IJ16" s="43" t="n">
        <v>5907.22251643662</v>
      </c>
      <c r="IK16" s="43" t="n">
        <v>5935.999123793933</v>
      </c>
      <c r="IL16" s="43" t="n">
        <v>5964.802740681426</v>
      </c>
      <c r="IM16" s="43" t="n">
        <v>5993.633414827621</v>
      </c>
      <c r="IN16" s="43" t="n">
        <v>6022.491194045372</v>
      </c>
      <c r="IO16" s="43" t="n">
        <v>6051.376126232012</v>
      </c>
      <c r="IP16" s="43" t="n">
        <v>6080.288259369531</v>
      </c>
      <c r="IQ16" s="43" t="n">
        <v>6109.227641524693</v>
      </c>
      <c r="IR16" s="43" t="n">
        <v>4185.151510470935</v>
      </c>
      <c r="IS16" s="43" t="n">
        <v>4214.14553520161</v>
      </c>
      <c r="IT16" s="43" t="n">
        <v>4243.166953660481</v>
      </c>
      <c r="IU16" s="43" t="n">
        <v>4272.215814254976</v>
      </c>
      <c r="IV16" s="43" t="n">
        <v>4301.292165478055</v>
      </c>
      <c r="IW16" s="43" t="n">
        <v>4330.396055908389</v>
      </c>
      <c r="IX16" s="43" t="n">
        <v>4359.527534210473</v>
      </c>
      <c r="IY16" s="43" t="n">
        <v>4388.686649134801</v>
      </c>
      <c r="IZ16" s="43" t="n">
        <v>4417.873449518031</v>
      </c>
      <c r="JA16" s="43" t="n">
        <v>4447.087984283107</v>
      </c>
      <c r="JB16" s="43" t="n">
        <v>4476.330302439412</v>
      </c>
      <c r="JC16" s="43" t="n">
        <v>4505.600453082959</v>
      </c>
      <c r="JD16" s="43" t="n">
        <v>4687.55434369162</v>
      </c>
      <c r="JE16" s="43" t="n">
        <v>4716.880306944821</v>
      </c>
      <c r="JF16" s="43" t="n">
        <v>4746.234250494429</v>
      </c>
      <c r="JG16" s="43" t="n">
        <v>4775.616223784386</v>
      </c>
      <c r="JH16" s="43" t="n">
        <v>4805.026276346012</v>
      </c>
      <c r="JI16" s="43" t="n">
        <v>4834.464457798164</v>
      </c>
      <c r="JJ16" s="43" t="n">
        <v>4863.930817847376</v>
      </c>
      <c r="JK16" s="43" t="n">
        <v>4893.425406288008</v>
      </c>
      <c r="JL16" s="43" t="n">
        <v>4922.948273002428</v>
      </c>
      <c r="JM16" s="43" t="n">
        <v>4952.499467961139</v>
      </c>
      <c r="JN16" s="43" t="n">
        <v>4982.079041222953</v>
      </c>
      <c r="JO16" s="43" t="n">
        <v>5011.687042935138</v>
      </c>
      <c r="JP16" s="43" t="n">
        <v>6616.693644619631</v>
      </c>
      <c r="JQ16" s="43" t="n">
        <v>6646.358654028978</v>
      </c>
      <c r="JR16" s="43" t="n">
        <v>6676.052242862826</v>
      </c>
      <c r="JS16" s="43" t="n">
        <v>6705.774461623838</v>
      </c>
      <c r="JT16" s="43" t="n">
        <v>6735.525360903919</v>
      </c>
      <c r="JU16" s="43" t="n">
        <v>6765.304991384401</v>
      </c>
      <c r="JV16" s="43" t="n">
        <v>6795.113403836147</v>
      </c>
      <c r="JW16" s="43" t="n">
        <v>6824.950649119752</v>
      </c>
      <c r="JX16" s="43" t="n">
        <v>6854.816778185676</v>
      </c>
      <c r="JY16" s="43" t="n">
        <v>6884.711842074425</v>
      </c>
      <c r="JZ16" s="43" t="n">
        <v>6914.635891916687</v>
      </c>
      <c r="KA16" s="43" t="n">
        <v>6944.58897893352</v>
      </c>
      <c r="KB16" s="43" t="n">
        <v>4615.709375147127</v>
      </c>
      <c r="KC16" s="43" t="n">
        <v>4645.72069053844</v>
      </c>
      <c r="KD16" s="43" t="n">
        <v>4675.761197311173</v>
      </c>
      <c r="KE16" s="43" t="n">
        <v>4705.830947049384</v>
      </c>
      <c r="KF16" s="43" t="n">
        <v>4735.929991428288</v>
      </c>
      <c r="KG16" s="43" t="n">
        <v>4766.058382214415</v>
      </c>
      <c r="KH16" s="43" t="n">
        <v>4796.216171265773</v>
      </c>
      <c r="KI16" s="43" t="n">
        <v>4826.40341053199</v>
      </c>
      <c r="KJ16" s="43" t="n">
        <v>4856.620152054523</v>
      </c>
      <c r="KK16" s="43" t="n">
        <v>4886.866447966774</v>
      </c>
      <c r="KL16" s="43" t="n">
        <v>4917.14235049427</v>
      </c>
      <c r="KM16" s="43" t="n">
        <v>4947.44791195483</v>
      </c>
      <c r="KN16" s="43" t="n">
        <v>4773.731602215914</v>
      </c>
      <c r="KO16" s="43" t="n">
        <v>4804.096638866022</v>
      </c>
      <c r="KP16" s="43" t="n">
        <v>4834.491491958004</v>
      </c>
      <c r="KQ16" s="43" t="n">
        <v>4864.916214180475</v>
      </c>
      <c r="KR16" s="43" t="n">
        <v>4895.370858315129</v>
      </c>
      <c r="KS16" s="43" t="n">
        <v>4925.855477236943</v>
      </c>
      <c r="KT16" s="43" t="n">
        <v>4956.370123914343</v>
      </c>
      <c r="KU16" s="43" t="n">
        <v>4986.914851409336</v>
      </c>
      <c r="KV16" s="43" t="n">
        <v>5017.489712877701</v>
      </c>
      <c r="KW16" s="43" t="n">
        <v>5048.094761569157</v>
      </c>
      <c r="KX16" s="43" t="n">
        <v>5078.730050827508</v>
      </c>
      <c r="KY16" s="43" t="n">
        <v>5109.395634090824</v>
      </c>
      <c r="KZ16" s="43" t="n">
        <v>7151.547219841506</v>
      </c>
      <c r="LA16" s="43" t="n">
        <v>7182.273551806869</v>
      </c>
      <c r="LB16" s="43" t="n">
        <v>7213.030338658677</v>
      </c>
      <c r="LC16" s="43" t="n">
        <v>7243.817634213712</v>
      </c>
      <c r="LD16" s="43" t="n">
        <v>7274.635492383881</v>
      </c>
      <c r="LE16" s="43" t="n">
        <v>7305.483967176346</v>
      </c>
      <c r="LF16" s="43" t="n">
        <v>7336.363112693707</v>
      </c>
      <c r="LG16" s="43" t="n">
        <v>7367.272983134171</v>
      </c>
      <c r="LH16" s="43" t="n">
        <v>7398.213632791709</v>
      </c>
      <c r="LI16" s="43" t="n">
        <v>7429.185116056251</v>
      </c>
      <c r="LJ16" s="43" t="n">
        <v>7460.187487413832</v>
      </c>
      <c r="LK16" s="43" t="n">
        <v>7491.220801446758</v>
      </c>
      <c r="LL16" s="43" t="n">
        <v>5117.433335788812</v>
      </c>
      <c r="LM16" s="43" t="n">
        <v>5148.528699305364</v>
      </c>
      <c r="LN16" s="43" t="n">
        <v>5179.655169823615</v>
      </c>
      <c r="LO16" s="43" t="n">
        <v>5210.812802312708</v>
      </c>
      <c r="LP16" s="43" t="n">
        <v>5242.001651838931</v>
      </c>
      <c r="LQ16" s="43" t="n">
        <v>5273.221773565871</v>
      </c>
      <c r="LR16" s="43" t="n">
        <v>5304.473222754606</v>
      </c>
      <c r="LS16" s="43" t="n">
        <v>5335.75605476386</v>
      </c>
      <c r="LT16" s="43" t="n">
        <v>5367.070325050179</v>
      </c>
      <c r="LU16" s="43" t="n">
        <v>5398.416089168105</v>
      </c>
      <c r="LV16" s="43" t="n">
        <v>5429.79340277036</v>
      </c>
      <c r="LW16" s="43" t="n">
        <v>691.2023216079997</v>
      </c>
      <c r="LX16" s="43" t="n">
        <v>1873.257322956755</v>
      </c>
      <c r="LY16" s="43" t="n">
        <v>1904.729619912593</v>
      </c>
      <c r="LZ16" s="43" t="n">
        <v>1936.233689948797</v>
      </c>
      <c r="MA16" s="43" t="n">
        <v>1967.769589211544</v>
      </c>
      <c r="MB16" s="43" t="n">
        <v>1999.337373946231</v>
      </c>
      <c r="MC16" s="43" t="n">
        <v>2030.937100497635</v>
      </c>
      <c r="MD16" s="43" t="n">
        <v>2062.568825310108</v>
      </c>
      <c r="ME16" s="43" t="n">
        <v>2094.232604927743</v>
      </c>
      <c r="MF16" s="43" t="n">
        <v>2125.928495994547</v>
      </c>
      <c r="MG16" s="43" t="n">
        <v>2157.656555254633</v>
      </c>
      <c r="MH16" s="43" t="n">
        <v>2189.416839552378</v>
      </c>
      <c r="MI16" s="43" t="n">
        <v>2221.209405832616</v>
      </c>
      <c r="MJ16" s="43" t="n">
        <v>2087.135202193954</v>
      </c>
      <c r="MK16" s="43" t="n">
        <v>2118.992503676342</v>
      </c>
      <c r="ML16" s="43" t="n">
        <v>2150.882258580181</v>
      </c>
      <c r="MM16" s="43" t="n">
        <v>2182.804524253878</v>
      </c>
      <c r="MN16" s="43" t="n">
        <v>2214.759358147179</v>
      </c>
      <c r="MO16" s="43" t="n">
        <v>2246.746817811349</v>
      </c>
      <c r="MP16" s="43" t="n">
        <v>2278.76696089935</v>
      </c>
      <c r="MQ16" s="43" t="n">
        <v>2310.819845166027</v>
      </c>
      <c r="MR16" s="43" t="n">
        <v>2342.905528468287</v>
      </c>
      <c r="MS16" s="43" t="n">
        <v>2375.024068765264</v>
      </c>
      <c r="MT16" s="43" t="n">
        <v>2407.175524118516</v>
      </c>
      <c r="MU16" s="43" t="n">
        <v>2439.359952692212</v>
      </c>
      <c r="MV16" s="43" t="n">
        <v>2300.873356598343</v>
      </c>
      <c r="MW16" s="43" t="n">
        <v>2333.123906516708</v>
      </c>
      <c r="MX16" s="43" t="n">
        <v>2365.407604765405</v>
      </c>
      <c r="MY16" s="43" t="n">
        <v>2397.724509920823</v>
      </c>
      <c r="MZ16" s="43" t="n">
        <v>2430.074680662846</v>
      </c>
      <c r="NA16" s="43" t="n">
        <v>2462.458175775057</v>
      </c>
      <c r="NB16" s="43" t="n">
        <v>2494.875054144915</v>
      </c>
      <c r="NC16" s="43" t="n">
        <v>2527.325374763937</v>
      </c>
      <c r="ND16" s="43" t="n">
        <v>2559.809196727889</v>
      </c>
      <c r="NE16" s="43" t="n">
        <v>2592.326579236959</v>
      </c>
      <c r="NF16" s="43" t="n">
        <v>2624.877581595948</v>
      </c>
      <c r="NG16" s="43" t="n">
        <v>2657.46226321446</v>
      </c>
      <c r="NH16" s="43" t="n">
        <v>2514.526910685019</v>
      </c>
      <c r="NI16" s="43" t="n">
        <v>2547.179129471489</v>
      </c>
      <c r="NJ16" s="43" t="n">
        <v>2579.865206376925</v>
      </c>
      <c r="NK16" s="43" t="n">
        <v>2612.585201231966</v>
      </c>
      <c r="NL16" s="43" t="n">
        <v>2645.339173972983</v>
      </c>
      <c r="NM16" s="43" t="n">
        <v>2678.12718464227</v>
      </c>
      <c r="NN16" s="43" t="n">
        <v>2710.949293388207</v>
      </c>
      <c r="NO16" s="43" t="n">
        <v>2743.805560465466</v>
      </c>
      <c r="NP16" s="43" t="n">
        <v>2776.696046235204</v>
      </c>
      <c r="NQ16" s="43" t="n">
        <v>2809.620811165232</v>
      </c>
      <c r="NR16" s="43" t="n">
        <v>2842.579915830214</v>
      </c>
      <c r="NS16" s="43" t="n">
        <v>2875.573420911866</v>
      </c>
      <c r="NT16" s="43" t="n">
        <v>2728.149774471101</v>
      </c>
      <c r="NU16" s="43" t="n">
        <v>2761.212262860324</v>
      </c>
      <c r="NV16" s="43" t="n">
        <v>2794.30933435548</v>
      </c>
      <c r="NW16" s="43" t="n">
        <v>2827.441050068337</v>
      </c>
      <c r="NX16" s="43" t="n">
        <v>2860.607471218656</v>
      </c>
      <c r="NY16" s="43" t="n">
        <v>2893.808659134381</v>
      </c>
      <c r="NZ16" s="43" t="n">
        <v>2927.044675251821</v>
      </c>
      <c r="OA16" s="43" t="n">
        <v>2960.315581115858</v>
      </c>
      <c r="OB16" s="43" t="n">
        <v>2993.621438380123</v>
      </c>
      <c r="OC16" s="43" t="n">
        <v>3026.962308807197</v>
      </c>
      <c r="OD16" s="43" t="n">
        <v>3060.338254268806</v>
      </c>
      <c r="OE16" s="43" t="n">
        <v>3093.749336746004</v>
      </c>
      <c r="OF16" s="43" t="n">
        <v>2948.877951091048</v>
      </c>
      <c r="OG16" s="43" t="n">
        <v>2982.359493980888</v>
      </c>
      <c r="OH16" s="43" t="n">
        <v>3015.876360487414</v>
      </c>
      <c r="OI16" s="43" t="n">
        <v>3049.428613030958</v>
      </c>
      <c r="OJ16" s="43" t="n">
        <v>3083.016314142144</v>
      </c>
      <c r="OK16" s="43" t="n">
        <v>3116.639526462095</v>
      </c>
      <c r="OL16" s="43" t="n">
        <v>3136.80637896488</v>
      </c>
      <c r="OM16" s="43" t="n">
        <v>3157.008868290935</v>
      </c>
      <c r="ON16" s="43" t="n">
        <v>3177.247057414077</v>
      </c>
      <c r="OO16" s="43" t="n">
        <v>3197.521009419381</v>
      </c>
      <c r="OP16" s="43" t="n">
        <v>3217.83078750339</v>
      </c>
      <c r="OQ16" s="43" t="n">
        <v>3238.176454974331</v>
      </c>
      <c r="OR16" s="43" t="n">
        <v>3111.664466576093</v>
      </c>
      <c r="OS16" s="43" t="n">
        <v>3132.082103193264</v>
      </c>
      <c r="OT16" s="43" t="n">
        <v>3152.535819794072</v>
      </c>
      <c r="OU16" s="43" t="n">
        <v>3173.025680135405</v>
      </c>
      <c r="OV16" s="43" t="n">
        <v>3193.551748086841</v>
      </c>
      <c r="OW16" s="43" t="n">
        <v>3214.114087630803</v>
      </c>
      <c r="OX16" s="43" t="n">
        <v>3234.712762862778</v>
      </c>
      <c r="OY16" s="43" t="n">
        <v>3255.34783799153</v>
      </c>
      <c r="OZ16" s="43" t="n">
        <v>3276.019377339268</v>
      </c>
      <c r="PA16" s="43" t="n">
        <v>3296.727445341882</v>
      </c>
      <c r="PB16" s="43" t="n">
        <v>3317.472106549117</v>
      </c>
      <c r="PC16" s="43" t="n">
        <v>3338.253425624781</v>
      </c>
      <c r="PD16" s="43" t="n">
        <v>3212.174956673901</v>
      </c>
      <c r="PE16" s="43" t="n">
        <v>3233.029785935139</v>
      </c>
      <c r="PF16" s="43" t="n">
        <v>3253.921467742658</v>
      </c>
      <c r="PG16" s="43" t="n">
        <v>3274.85006721855</v>
      </c>
      <c r="PH16" s="43" t="n">
        <v>3295.815649599998</v>
      </c>
      <c r="PI16" s="43" t="n">
        <v>3316.818280239445</v>
      </c>
      <c r="PJ16" s="43" t="n">
        <v>3337.858024604821</v>
      </c>
      <c r="PK16" s="43" t="n">
        <v>3358.934948279767</v>
      </c>
      <c r="PL16" s="43" t="n">
        <v>3380.049116963793</v>
      </c>
      <c r="PM16" s="43" t="n">
        <v>3401.200596472511</v>
      </c>
      <c r="PN16" s="43" t="n">
        <v>3422.389452737846</v>
      </c>
      <c r="PO16" s="43" t="n">
        <v>3443.615751808219</v>
      </c>
      <c r="PP16" s="43" t="n">
        <v>3312.859074583087</v>
      </c>
      <c r="PQ16" s="43" t="n">
        <v>3334.160457875884</v>
      </c>
      <c r="PR16" s="43" t="n">
        <v>3355.499482820104</v>
      </c>
      <c r="PS16" s="43" t="n">
        <v>3376.876215932281</v>
      </c>
      <c r="PT16" s="43" t="n">
        <v>3398.290723846466</v>
      </c>
      <c r="PU16" s="43" t="n">
        <v>3419.743073314478</v>
      </c>
      <c r="PV16" s="43" t="n">
        <v>3441.233331206085</v>
      </c>
      <c r="PW16" s="43" t="n">
        <v>3462.761564509218</v>
      </c>
      <c r="PX16" s="43" t="n">
        <v>3484.327840330187</v>
      </c>
      <c r="PY16" s="43" t="n">
        <v>3505.932225893887</v>
      </c>
      <c r="PZ16" s="43" t="n">
        <v>3527.574788544002</v>
      </c>
      <c r="QA16" s="43" t="n">
        <v>3549.255595743222</v>
      </c>
      <c r="QB16" s="43" t="n">
        <v>3727.615545690607</v>
      </c>
      <c r="QC16" s="43" t="n">
        <v>3749.373044853159</v>
      </c>
      <c r="QD16" s="43" t="n">
        <v>3771.168991668999</v>
      </c>
      <c r="QE16" s="43" t="n">
        <v>3793.00345407894</v>
      </c>
      <c r="QF16" s="43" t="n">
        <v>3814.876500143839</v>
      </c>
      <c r="QG16" s="43" t="n">
        <v>3836.788198044833</v>
      </c>
      <c r="QH16" s="43" t="n">
        <v>3858.738616083541</v>
      </c>
      <c r="QI16" s="43" t="n">
        <v>3880.727822682278</v>
      </c>
      <c r="QJ16" s="43" t="n">
        <v>3902.755886384266</v>
      </c>
      <c r="QK16" s="43" t="n">
        <v>3924.822875853848</v>
      </c>
      <c r="QL16" s="43" t="n">
        <v>3946.928859876711</v>
      </c>
      <c r="QM16" s="43" t="n">
        <v>-8584.937479054513</v>
      </c>
      <c r="QN16" s="43" t="n">
        <v>-7502.157847266791</v>
      </c>
      <c r="QO16" s="43" t="n">
        <v>-7502.157847266791</v>
      </c>
      <c r="QP16" s="43" t="n">
        <v>-7502.157847266791</v>
      </c>
      <c r="QQ16" s="43" t="n">
        <v>-7502.157847266791</v>
      </c>
      <c r="QR16" s="43" t="n">
        <v>-7502.157847266791</v>
      </c>
      <c r="QS16" s="43" t="n">
        <v>-7502.157847266791</v>
      </c>
      <c r="QT16" s="43" t="n">
        <v>-7502.157847266791</v>
      </c>
      <c r="QU16" s="43" t="n">
        <v>-7502.157847266791</v>
      </c>
      <c r="QV16" s="43" t="n">
        <v>-7502.157847266791</v>
      </c>
      <c r="QW16" s="43" t="n">
        <v>-7502.157847266791</v>
      </c>
      <c r="QX16" s="43" t="n">
        <v>-7502.157847266791</v>
      </c>
      <c r="QY16" s="43" t="n">
        <v>-7502.157847266791</v>
      </c>
      <c r="QZ16" s="43" t="n">
        <v>-7625.32913334819</v>
      </c>
      <c r="RA16" s="43" t="n">
        <v>-7625.32913334819</v>
      </c>
      <c r="RB16" s="43" t="n">
        <v>-7625.32913334819</v>
      </c>
      <c r="RC16" s="43" t="n">
        <v>-7625.32913334819</v>
      </c>
      <c r="RD16" s="43" t="n">
        <v>-7625.32913334819</v>
      </c>
      <c r="RE16" s="43" t="n">
        <v>-7625.32913334819</v>
      </c>
      <c r="RF16" s="43" t="n">
        <v>-7625.32913334819</v>
      </c>
      <c r="RG16" s="43" t="n">
        <v>-7625.32913334819</v>
      </c>
      <c r="RH16" s="43" t="n">
        <v>-7625.32913334819</v>
      </c>
      <c r="RI16" s="43" t="n">
        <v>-7625.32913334819</v>
      </c>
      <c r="RJ16" s="43" t="n">
        <v>-7625.32913334819</v>
      </c>
      <c r="RK16" s="43" t="n">
        <v>-7625.32913334819</v>
      </c>
      <c r="RL16" s="43" t="n">
        <v>-7753.725790251633</v>
      </c>
      <c r="RM16" s="43" t="n">
        <v>-7753.725790251633</v>
      </c>
      <c r="RN16" s="43" t="n">
        <v>-7753.725790251633</v>
      </c>
      <c r="RO16" s="43" t="n">
        <v>-7753.725790251633</v>
      </c>
      <c r="RP16" s="43" t="n">
        <v>-7753.725790251633</v>
      </c>
      <c r="RQ16" s="43" t="n">
        <v>-7753.725790251633</v>
      </c>
      <c r="RR16" s="43" t="n">
        <v>-7753.725790251633</v>
      </c>
      <c r="RS16" s="43" t="n">
        <v>-7753.725790251633</v>
      </c>
      <c r="RT16" s="43" t="n">
        <v>-7753.725790251633</v>
      </c>
      <c r="RU16" s="43" t="n">
        <v>-7753.725790251633</v>
      </c>
      <c r="RV16" s="43" t="n">
        <v>-7753.725790251633</v>
      </c>
      <c r="RW16" s="43" t="n">
        <v>-7753.725790251633</v>
      </c>
    </row>
    <row r="17" hidden="1" outlineLevel="1" ht="13.05" customHeight="1">
      <c r="E17" s="25" t="inlineStr">
        <is>
          <t>Depreciation &amp; Amortisation</t>
        </is>
      </c>
      <c r="F17" s="26" t="n"/>
      <c r="G17" s="26" t="inlineStr">
        <is>
          <t>kEUR</t>
        </is>
      </c>
      <c r="H17" s="26" t="n"/>
      <c r="I17" s="26" t="n"/>
      <c r="J17" s="27" t="n">
        <v>816346.5835004596</v>
      </c>
      <c r="K17" s="26" t="n"/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  <c r="AR17" s="28" t="n">
        <v>0</v>
      </c>
      <c r="AS17" s="28" t="n">
        <v>0</v>
      </c>
      <c r="AT17" s="28" t="n">
        <v>0</v>
      </c>
      <c r="AU17" s="28" t="n">
        <v>0</v>
      </c>
      <c r="AV17" s="28" t="n">
        <v>0</v>
      </c>
      <c r="AW17" s="28" t="n">
        <v>0</v>
      </c>
      <c r="AX17" s="28" t="n">
        <v>0</v>
      </c>
      <c r="AY17" s="28" t="n">
        <v>0</v>
      </c>
      <c r="AZ17" s="28" t="n">
        <v>0</v>
      </c>
      <c r="BA17" s="28" t="n">
        <v>0</v>
      </c>
      <c r="BB17" s="28" t="n">
        <v>0</v>
      </c>
      <c r="BC17" s="28" t="n">
        <v>0</v>
      </c>
      <c r="BD17" s="28" t="n">
        <v>0</v>
      </c>
      <c r="BE17" s="28" t="n">
        <v>0</v>
      </c>
      <c r="BF17" s="28" t="n">
        <v>0</v>
      </c>
      <c r="BG17" s="28" t="n">
        <v>0</v>
      </c>
      <c r="BH17" s="28" t="n">
        <v>1088.2</v>
      </c>
      <c r="BI17" s="28" t="n">
        <v>1088.2</v>
      </c>
      <c r="BJ17" s="28" t="n">
        <v>1088.2</v>
      </c>
      <c r="BK17" s="28" t="n">
        <v>1088.2</v>
      </c>
      <c r="BL17" s="28" t="n">
        <v>1088.2</v>
      </c>
      <c r="BM17" s="28" t="n">
        <v>1088.2</v>
      </c>
      <c r="BN17" s="28" t="n">
        <v>1088.2</v>
      </c>
      <c r="BO17" s="28" t="n">
        <v>1088.2</v>
      </c>
      <c r="BP17" s="28" t="n">
        <v>1088.2</v>
      </c>
      <c r="BQ17" s="28" t="n">
        <v>1088.2</v>
      </c>
      <c r="BR17" s="28" t="n">
        <v>1088.2</v>
      </c>
      <c r="BS17" s="28" t="n">
        <v>1088.2</v>
      </c>
      <c r="BT17" s="28" t="n">
        <v>2140.126666666667</v>
      </c>
      <c r="BU17" s="28" t="n">
        <v>2140.126666666667</v>
      </c>
      <c r="BV17" s="28" t="n">
        <v>2140.126666666667</v>
      </c>
      <c r="BW17" s="28" t="n">
        <v>2140.126666666667</v>
      </c>
      <c r="BX17" s="28" t="n">
        <v>2140.126666666667</v>
      </c>
      <c r="BY17" s="28" t="n">
        <v>2140.126666666667</v>
      </c>
      <c r="BZ17" s="28" t="n">
        <v>2140.126666666667</v>
      </c>
      <c r="CA17" s="28" t="n">
        <v>2140.126666666667</v>
      </c>
      <c r="CB17" s="28" t="n">
        <v>2140.126666666667</v>
      </c>
      <c r="CC17" s="28" t="n">
        <v>2140.126666666667</v>
      </c>
      <c r="CD17" s="28" t="n">
        <v>2140.126666666667</v>
      </c>
      <c r="CE17" s="28" t="n">
        <v>2140.126666666667</v>
      </c>
      <c r="CF17" s="28" t="n">
        <v>3156.989111111111</v>
      </c>
      <c r="CG17" s="28" t="n">
        <v>3156.989111111111</v>
      </c>
      <c r="CH17" s="28" t="n">
        <v>3156.989111111111</v>
      </c>
      <c r="CI17" s="28" t="n">
        <v>3156.989111111111</v>
      </c>
      <c r="CJ17" s="28" t="n">
        <v>3156.989111111111</v>
      </c>
      <c r="CK17" s="28" t="n">
        <v>3156.989111111111</v>
      </c>
      <c r="CL17" s="28" t="n">
        <v>3156.989111111111</v>
      </c>
      <c r="CM17" s="28" t="n">
        <v>3156.989111111111</v>
      </c>
      <c r="CN17" s="28" t="n">
        <v>3156.989111111111</v>
      </c>
      <c r="CO17" s="28" t="n">
        <v>3156.989111111111</v>
      </c>
      <c r="CP17" s="28" t="n">
        <v>3156.989111111111</v>
      </c>
      <c r="CQ17" s="28" t="n">
        <v>3156.989111111111</v>
      </c>
      <c r="CR17" s="28" t="n">
        <v>3051.756140740741</v>
      </c>
      <c r="CS17" s="28" t="n">
        <v>3051.756140740741</v>
      </c>
      <c r="CT17" s="28" t="n">
        <v>3051.756140740741</v>
      </c>
      <c r="CU17" s="28" t="n">
        <v>3051.756140740741</v>
      </c>
      <c r="CV17" s="28" t="n">
        <v>3051.756140740741</v>
      </c>
      <c r="CW17" s="28" t="n">
        <v>3051.756140740741</v>
      </c>
      <c r="CX17" s="28" t="n">
        <v>3051.756140740741</v>
      </c>
      <c r="CY17" s="28" t="n">
        <v>3051.756140740741</v>
      </c>
      <c r="CZ17" s="28" t="n">
        <v>3051.756140740741</v>
      </c>
      <c r="DA17" s="28" t="n">
        <v>3051.756140740741</v>
      </c>
      <c r="DB17" s="28" t="n">
        <v>3051.756140740741</v>
      </c>
      <c r="DC17" s="28" t="n">
        <v>3051.756140740741</v>
      </c>
      <c r="DD17" s="28" t="n">
        <v>2950.030936049383</v>
      </c>
      <c r="DE17" s="28" t="n">
        <v>2950.030936049383</v>
      </c>
      <c r="DF17" s="28" t="n">
        <v>2950.030936049383</v>
      </c>
      <c r="DG17" s="28" t="n">
        <v>2950.030936049383</v>
      </c>
      <c r="DH17" s="28" t="n">
        <v>2950.030936049383</v>
      </c>
      <c r="DI17" s="28" t="n">
        <v>2950.030936049383</v>
      </c>
      <c r="DJ17" s="28" t="n">
        <v>2950.030936049383</v>
      </c>
      <c r="DK17" s="28" t="n">
        <v>2950.030936049383</v>
      </c>
      <c r="DL17" s="28" t="n">
        <v>2950.030936049383</v>
      </c>
      <c r="DM17" s="28" t="n">
        <v>2950.030936049383</v>
      </c>
      <c r="DN17" s="28" t="n">
        <v>2950.030936049383</v>
      </c>
      <c r="DO17" s="28" t="n">
        <v>2950.030936049383</v>
      </c>
      <c r="DP17" s="28" t="n">
        <v>2851.696571514403</v>
      </c>
      <c r="DQ17" s="28" t="n">
        <v>2851.696571514403</v>
      </c>
      <c r="DR17" s="28" t="n">
        <v>2851.696571514403</v>
      </c>
      <c r="DS17" s="28" t="n">
        <v>2851.696571514403</v>
      </c>
      <c r="DT17" s="28" t="n">
        <v>2851.696571514403</v>
      </c>
      <c r="DU17" s="28" t="n">
        <v>2851.696571514403</v>
      </c>
      <c r="DV17" s="28" t="n">
        <v>2851.696571514403</v>
      </c>
      <c r="DW17" s="28" t="n">
        <v>2851.696571514403</v>
      </c>
      <c r="DX17" s="28" t="n">
        <v>2851.696571514403</v>
      </c>
      <c r="DY17" s="28" t="n">
        <v>2851.696571514403</v>
      </c>
      <c r="DZ17" s="28" t="n">
        <v>2851.696571514403</v>
      </c>
      <c r="EA17" s="28" t="n">
        <v>2851.696571514403</v>
      </c>
      <c r="EB17" s="28" t="n">
        <v>2756.64001913059</v>
      </c>
      <c r="EC17" s="28" t="n">
        <v>2756.64001913059</v>
      </c>
      <c r="ED17" s="28" t="n">
        <v>2756.64001913059</v>
      </c>
      <c r="EE17" s="28" t="n">
        <v>2756.64001913059</v>
      </c>
      <c r="EF17" s="28" t="n">
        <v>2756.64001913059</v>
      </c>
      <c r="EG17" s="28" t="n">
        <v>2756.64001913059</v>
      </c>
      <c r="EH17" s="28" t="n">
        <v>2756.64001913059</v>
      </c>
      <c r="EI17" s="28" t="n">
        <v>2756.64001913059</v>
      </c>
      <c r="EJ17" s="28" t="n">
        <v>2756.64001913059</v>
      </c>
      <c r="EK17" s="28" t="n">
        <v>2756.64001913059</v>
      </c>
      <c r="EL17" s="28" t="n">
        <v>2756.64001913059</v>
      </c>
      <c r="EM17" s="28" t="n">
        <v>2756.64001913059</v>
      </c>
      <c r="EN17" s="28" t="n">
        <v>2664.752018492903</v>
      </c>
      <c r="EO17" s="28" t="n">
        <v>2664.752018492903</v>
      </c>
      <c r="EP17" s="28" t="n">
        <v>2664.752018492903</v>
      </c>
      <c r="EQ17" s="28" t="n">
        <v>2664.752018492903</v>
      </c>
      <c r="ER17" s="28" t="n">
        <v>2664.752018492903</v>
      </c>
      <c r="ES17" s="28" t="n">
        <v>2664.752018492903</v>
      </c>
      <c r="ET17" s="28" t="n">
        <v>2664.752018492903</v>
      </c>
      <c r="EU17" s="28" t="n">
        <v>2664.752018492903</v>
      </c>
      <c r="EV17" s="28" t="n">
        <v>2664.752018492903</v>
      </c>
      <c r="EW17" s="28" t="n">
        <v>2664.752018492903</v>
      </c>
      <c r="EX17" s="28" t="n">
        <v>2664.752018492903</v>
      </c>
      <c r="EY17" s="28" t="n">
        <v>2664.752018492903</v>
      </c>
      <c r="EZ17" s="28" t="n">
        <v>2575.926951209807</v>
      </c>
      <c r="FA17" s="28" t="n">
        <v>2575.926951209807</v>
      </c>
      <c r="FB17" s="28" t="n">
        <v>2575.926951209807</v>
      </c>
      <c r="FC17" s="28" t="n">
        <v>2575.926951209807</v>
      </c>
      <c r="FD17" s="28" t="n">
        <v>2575.926951209807</v>
      </c>
      <c r="FE17" s="28" t="n">
        <v>2575.926951209807</v>
      </c>
      <c r="FF17" s="28" t="n">
        <v>2575.926951209807</v>
      </c>
      <c r="FG17" s="28" t="n">
        <v>2575.926951209807</v>
      </c>
      <c r="FH17" s="28" t="n">
        <v>2575.926951209807</v>
      </c>
      <c r="FI17" s="28" t="n">
        <v>2575.926951209807</v>
      </c>
      <c r="FJ17" s="28" t="n">
        <v>2575.926951209807</v>
      </c>
      <c r="FK17" s="28" t="n">
        <v>2575.926951209807</v>
      </c>
      <c r="FL17" s="28" t="n">
        <v>2490.062719502813</v>
      </c>
      <c r="FM17" s="28" t="n">
        <v>2490.062719502813</v>
      </c>
      <c r="FN17" s="28" t="n">
        <v>2490.062719502813</v>
      </c>
      <c r="FO17" s="28" t="n">
        <v>2490.062719502813</v>
      </c>
      <c r="FP17" s="28" t="n">
        <v>2490.062719502813</v>
      </c>
      <c r="FQ17" s="28" t="n">
        <v>2490.062719502813</v>
      </c>
      <c r="FR17" s="28" t="n">
        <v>2490.062719502813</v>
      </c>
      <c r="FS17" s="28" t="n">
        <v>2490.062719502813</v>
      </c>
      <c r="FT17" s="28" t="n">
        <v>2490.062719502813</v>
      </c>
      <c r="FU17" s="28" t="n">
        <v>2490.062719502813</v>
      </c>
      <c r="FV17" s="28" t="n">
        <v>2490.062719502813</v>
      </c>
      <c r="FW17" s="28" t="n">
        <v>2490.062719502813</v>
      </c>
      <c r="FX17" s="28" t="n">
        <v>2407.060628852719</v>
      </c>
      <c r="FY17" s="28" t="n">
        <v>2407.060628852719</v>
      </c>
      <c r="FZ17" s="28" t="n">
        <v>2407.060628852719</v>
      </c>
      <c r="GA17" s="28" t="n">
        <v>2407.060628852719</v>
      </c>
      <c r="GB17" s="28" t="n">
        <v>2407.060628852719</v>
      </c>
      <c r="GC17" s="28" t="n">
        <v>2407.060628852719</v>
      </c>
      <c r="GD17" s="28" t="n">
        <v>2407.060628852719</v>
      </c>
      <c r="GE17" s="28" t="n">
        <v>2407.060628852719</v>
      </c>
      <c r="GF17" s="28" t="n">
        <v>2407.060628852719</v>
      </c>
      <c r="GG17" s="28" t="n">
        <v>2407.060628852719</v>
      </c>
      <c r="GH17" s="28" t="n">
        <v>2407.060628852719</v>
      </c>
      <c r="GI17" s="28" t="n">
        <v>2407.060628852719</v>
      </c>
      <c r="GJ17" s="28" t="n">
        <v>2326.825274557628</v>
      </c>
      <c r="GK17" s="28" t="n">
        <v>2326.825274557628</v>
      </c>
      <c r="GL17" s="28" t="n">
        <v>2326.825274557628</v>
      </c>
      <c r="GM17" s="28" t="n">
        <v>2326.825274557628</v>
      </c>
      <c r="GN17" s="28" t="n">
        <v>2326.825274557628</v>
      </c>
      <c r="GO17" s="28" t="n">
        <v>2326.825274557628</v>
      </c>
      <c r="GP17" s="28" t="n">
        <v>2326.825274557628</v>
      </c>
      <c r="GQ17" s="28" t="n">
        <v>2326.825274557628</v>
      </c>
      <c r="GR17" s="28" t="n">
        <v>2326.825274557628</v>
      </c>
      <c r="GS17" s="28" t="n">
        <v>2326.825274557628</v>
      </c>
      <c r="GT17" s="28" t="n">
        <v>2326.825274557628</v>
      </c>
      <c r="GU17" s="28" t="n">
        <v>2326.825274557628</v>
      </c>
      <c r="GV17" s="28" t="n">
        <v>2249.264432072374</v>
      </c>
      <c r="GW17" s="28" t="n">
        <v>2249.264432072374</v>
      </c>
      <c r="GX17" s="28" t="n">
        <v>2249.264432072374</v>
      </c>
      <c r="GY17" s="28" t="n">
        <v>2249.264432072374</v>
      </c>
      <c r="GZ17" s="28" t="n">
        <v>2249.264432072374</v>
      </c>
      <c r="HA17" s="28" t="n">
        <v>2249.264432072374</v>
      </c>
      <c r="HB17" s="28" t="n">
        <v>2249.264432072374</v>
      </c>
      <c r="HC17" s="28" t="n">
        <v>2249.264432072374</v>
      </c>
      <c r="HD17" s="28" t="n">
        <v>2249.264432072374</v>
      </c>
      <c r="HE17" s="28" t="n">
        <v>2249.264432072374</v>
      </c>
      <c r="HF17" s="28" t="n">
        <v>2249.264432072374</v>
      </c>
      <c r="HG17" s="28" t="n">
        <v>2249.264432072374</v>
      </c>
      <c r="HH17" s="28" t="n">
        <v>2174.288951003295</v>
      </c>
      <c r="HI17" s="28" t="n">
        <v>2174.288951003295</v>
      </c>
      <c r="HJ17" s="28" t="n">
        <v>2174.288951003295</v>
      </c>
      <c r="HK17" s="28" t="n">
        <v>2174.288951003295</v>
      </c>
      <c r="HL17" s="28" t="n">
        <v>2174.288951003295</v>
      </c>
      <c r="HM17" s="28" t="n">
        <v>2174.288951003295</v>
      </c>
      <c r="HN17" s="28" t="n">
        <v>2174.288951003295</v>
      </c>
      <c r="HO17" s="28" t="n">
        <v>2174.288951003295</v>
      </c>
      <c r="HP17" s="28" t="n">
        <v>2174.288951003295</v>
      </c>
      <c r="HQ17" s="28" t="n">
        <v>2174.288951003295</v>
      </c>
      <c r="HR17" s="28" t="n">
        <v>2174.288951003295</v>
      </c>
      <c r="HS17" s="28" t="n">
        <v>2174.288951003295</v>
      </c>
      <c r="HT17" s="28" t="n">
        <v>2101.812652636518</v>
      </c>
      <c r="HU17" s="28" t="n">
        <v>2101.812652636518</v>
      </c>
      <c r="HV17" s="28" t="n">
        <v>2101.812652636518</v>
      </c>
      <c r="HW17" s="28" t="n">
        <v>2101.812652636518</v>
      </c>
      <c r="HX17" s="28" t="n">
        <v>2101.812652636518</v>
      </c>
      <c r="HY17" s="28" t="n">
        <v>2101.812652636518</v>
      </c>
      <c r="HZ17" s="28" t="n">
        <v>2101.812652636518</v>
      </c>
      <c r="IA17" s="28" t="n">
        <v>2101.812652636518</v>
      </c>
      <c r="IB17" s="28" t="n">
        <v>2101.812652636518</v>
      </c>
      <c r="IC17" s="28" t="n">
        <v>2101.812652636518</v>
      </c>
      <c r="ID17" s="28" t="n">
        <v>2101.812652636518</v>
      </c>
      <c r="IE17" s="28" t="n">
        <v>2101.812652636518</v>
      </c>
      <c r="IF17" s="28" t="n">
        <v>2031.752230881967</v>
      </c>
      <c r="IG17" s="28" t="n">
        <v>2031.752230881967</v>
      </c>
      <c r="IH17" s="28" t="n">
        <v>2031.752230881967</v>
      </c>
      <c r="II17" s="28" t="n">
        <v>2031.752230881967</v>
      </c>
      <c r="IJ17" s="28" t="n">
        <v>2031.752230881967</v>
      </c>
      <c r="IK17" s="28" t="n">
        <v>2031.752230881967</v>
      </c>
      <c r="IL17" s="28" t="n">
        <v>2031.752230881967</v>
      </c>
      <c r="IM17" s="28" t="n">
        <v>2031.752230881967</v>
      </c>
      <c r="IN17" s="28" t="n">
        <v>2031.752230881967</v>
      </c>
      <c r="IO17" s="28" t="n">
        <v>2031.752230881967</v>
      </c>
      <c r="IP17" s="28" t="n">
        <v>2031.752230881967</v>
      </c>
      <c r="IQ17" s="28" t="n">
        <v>2031.752230881967</v>
      </c>
      <c r="IR17" s="28" t="n">
        <v>1964.027156519235</v>
      </c>
      <c r="IS17" s="28" t="n">
        <v>1964.027156519235</v>
      </c>
      <c r="IT17" s="28" t="n">
        <v>1964.027156519235</v>
      </c>
      <c r="IU17" s="28" t="n">
        <v>1964.027156519235</v>
      </c>
      <c r="IV17" s="28" t="n">
        <v>1964.027156519235</v>
      </c>
      <c r="IW17" s="28" t="n">
        <v>1964.027156519235</v>
      </c>
      <c r="IX17" s="28" t="n">
        <v>1964.027156519235</v>
      </c>
      <c r="IY17" s="28" t="n">
        <v>1964.027156519235</v>
      </c>
      <c r="IZ17" s="28" t="n">
        <v>1964.027156519235</v>
      </c>
      <c r="JA17" s="28" t="n">
        <v>1964.027156519235</v>
      </c>
      <c r="JB17" s="28" t="n">
        <v>1964.027156519235</v>
      </c>
      <c r="JC17" s="28" t="n">
        <v>1964.027156519235</v>
      </c>
      <c r="JD17" s="28" t="n">
        <v>1898.559584635261</v>
      </c>
      <c r="JE17" s="28" t="n">
        <v>1898.559584635261</v>
      </c>
      <c r="JF17" s="28" t="n">
        <v>1898.559584635261</v>
      </c>
      <c r="JG17" s="28" t="n">
        <v>1898.559584635261</v>
      </c>
      <c r="JH17" s="28" t="n">
        <v>1898.559584635261</v>
      </c>
      <c r="JI17" s="28" t="n">
        <v>1898.559584635261</v>
      </c>
      <c r="JJ17" s="28" t="n">
        <v>1898.559584635261</v>
      </c>
      <c r="JK17" s="28" t="n">
        <v>1898.559584635261</v>
      </c>
      <c r="JL17" s="28" t="n">
        <v>1898.559584635261</v>
      </c>
      <c r="JM17" s="28" t="n">
        <v>1898.559584635261</v>
      </c>
      <c r="JN17" s="28" t="n">
        <v>1898.559584635261</v>
      </c>
      <c r="JO17" s="28" t="n">
        <v>1898.559584635261</v>
      </c>
      <c r="JP17" s="28" t="n">
        <v>1835.274265147419</v>
      </c>
      <c r="JQ17" s="28" t="n">
        <v>1835.274265147419</v>
      </c>
      <c r="JR17" s="28" t="n">
        <v>1835.274265147419</v>
      </c>
      <c r="JS17" s="28" t="n">
        <v>1835.274265147419</v>
      </c>
      <c r="JT17" s="28" t="n">
        <v>1835.274265147419</v>
      </c>
      <c r="JU17" s="28" t="n">
        <v>1835.274265147419</v>
      </c>
      <c r="JV17" s="28" t="n">
        <v>1835.274265147419</v>
      </c>
      <c r="JW17" s="28" t="n">
        <v>1835.274265147419</v>
      </c>
      <c r="JX17" s="28" t="n">
        <v>1835.274265147419</v>
      </c>
      <c r="JY17" s="28" t="n">
        <v>1835.274265147419</v>
      </c>
      <c r="JZ17" s="28" t="n">
        <v>1835.274265147419</v>
      </c>
      <c r="KA17" s="28" t="n">
        <v>1835.274265147419</v>
      </c>
      <c r="KB17" s="28" t="n">
        <v>1774.098456309172</v>
      </c>
      <c r="KC17" s="28" t="n">
        <v>1774.098456309172</v>
      </c>
      <c r="KD17" s="28" t="n">
        <v>1774.098456309172</v>
      </c>
      <c r="KE17" s="28" t="n">
        <v>1774.098456309172</v>
      </c>
      <c r="KF17" s="28" t="n">
        <v>1774.098456309172</v>
      </c>
      <c r="KG17" s="28" t="n">
        <v>1774.098456309172</v>
      </c>
      <c r="KH17" s="28" t="n">
        <v>1774.098456309172</v>
      </c>
      <c r="KI17" s="28" t="n">
        <v>1774.098456309172</v>
      </c>
      <c r="KJ17" s="28" t="n">
        <v>1774.098456309172</v>
      </c>
      <c r="KK17" s="28" t="n">
        <v>1774.098456309172</v>
      </c>
      <c r="KL17" s="28" t="n">
        <v>1774.098456309172</v>
      </c>
      <c r="KM17" s="28" t="n">
        <v>1774.098456309172</v>
      </c>
      <c r="KN17" s="28" t="n">
        <v>1714.961841098866</v>
      </c>
      <c r="KO17" s="28" t="n">
        <v>1714.961841098866</v>
      </c>
      <c r="KP17" s="28" t="n">
        <v>1714.961841098866</v>
      </c>
      <c r="KQ17" s="28" t="n">
        <v>1714.961841098866</v>
      </c>
      <c r="KR17" s="28" t="n">
        <v>1714.961841098866</v>
      </c>
      <c r="KS17" s="28" t="n">
        <v>1714.961841098866</v>
      </c>
      <c r="KT17" s="28" t="n">
        <v>1714.961841098866</v>
      </c>
      <c r="KU17" s="28" t="n">
        <v>1714.961841098866</v>
      </c>
      <c r="KV17" s="28" t="n">
        <v>1714.961841098866</v>
      </c>
      <c r="KW17" s="28" t="n">
        <v>1714.961841098866</v>
      </c>
      <c r="KX17" s="28" t="n">
        <v>1714.961841098866</v>
      </c>
      <c r="KY17" s="28" t="n">
        <v>1714.961841098866</v>
      </c>
      <c r="KZ17" s="28" t="n">
        <v>1657.79644639557</v>
      </c>
      <c r="LA17" s="28" t="n">
        <v>1657.79644639557</v>
      </c>
      <c r="LB17" s="28" t="n">
        <v>1657.79644639557</v>
      </c>
      <c r="LC17" s="28" t="n">
        <v>1657.79644639557</v>
      </c>
      <c r="LD17" s="28" t="n">
        <v>1657.79644639557</v>
      </c>
      <c r="LE17" s="28" t="n">
        <v>1657.79644639557</v>
      </c>
      <c r="LF17" s="28" t="n">
        <v>1657.79644639557</v>
      </c>
      <c r="LG17" s="28" t="n">
        <v>1657.79644639557</v>
      </c>
      <c r="LH17" s="28" t="n">
        <v>1657.79644639557</v>
      </c>
      <c r="LI17" s="28" t="n">
        <v>1657.79644639557</v>
      </c>
      <c r="LJ17" s="28" t="n">
        <v>1657.79644639557</v>
      </c>
      <c r="LK17" s="28" t="n">
        <v>1657.79644639557</v>
      </c>
      <c r="LL17" s="28" t="n">
        <v>1602.536564849051</v>
      </c>
      <c r="LM17" s="28" t="n">
        <v>1602.536564849051</v>
      </c>
      <c r="LN17" s="28" t="n">
        <v>1602.536564849051</v>
      </c>
      <c r="LO17" s="28" t="n">
        <v>1602.536564849051</v>
      </c>
      <c r="LP17" s="28" t="n">
        <v>1602.536564849051</v>
      </c>
      <c r="LQ17" s="28" t="n">
        <v>1602.536564849051</v>
      </c>
      <c r="LR17" s="28" t="n">
        <v>1602.536564849051</v>
      </c>
      <c r="LS17" s="28" t="n">
        <v>1602.536564849051</v>
      </c>
      <c r="LT17" s="28" t="n">
        <v>1602.536564849051</v>
      </c>
      <c r="LU17" s="28" t="n">
        <v>1602.536564849051</v>
      </c>
      <c r="LV17" s="28" t="n">
        <v>1602.536564849051</v>
      </c>
      <c r="LW17" s="28" t="n">
        <v>1602.536564849051</v>
      </c>
      <c r="LX17" s="28" t="n">
        <v>1549.118679354083</v>
      </c>
      <c r="LY17" s="28" t="n">
        <v>1549.118679354083</v>
      </c>
      <c r="LZ17" s="28" t="n">
        <v>1549.118679354083</v>
      </c>
      <c r="MA17" s="28" t="n">
        <v>1549.118679354083</v>
      </c>
      <c r="MB17" s="28" t="n">
        <v>1549.118679354083</v>
      </c>
      <c r="MC17" s="28" t="n">
        <v>1549.118679354083</v>
      </c>
      <c r="MD17" s="28" t="n">
        <v>1549.118679354083</v>
      </c>
      <c r="ME17" s="28" t="n">
        <v>1549.118679354083</v>
      </c>
      <c r="MF17" s="28" t="n">
        <v>1549.118679354083</v>
      </c>
      <c r="MG17" s="28" t="n">
        <v>1549.118679354083</v>
      </c>
      <c r="MH17" s="28" t="n">
        <v>1549.118679354083</v>
      </c>
      <c r="MI17" s="28" t="n">
        <v>1549.118679354083</v>
      </c>
      <c r="MJ17" s="28" t="n">
        <v>1497.48139004228</v>
      </c>
      <c r="MK17" s="28" t="n">
        <v>1497.48139004228</v>
      </c>
      <c r="ML17" s="28" t="n">
        <v>1497.48139004228</v>
      </c>
      <c r="MM17" s="28" t="n">
        <v>1497.48139004228</v>
      </c>
      <c r="MN17" s="28" t="n">
        <v>1497.48139004228</v>
      </c>
      <c r="MO17" s="28" t="n">
        <v>1497.48139004228</v>
      </c>
      <c r="MP17" s="28" t="n">
        <v>1497.48139004228</v>
      </c>
      <c r="MQ17" s="28" t="n">
        <v>1497.48139004228</v>
      </c>
      <c r="MR17" s="28" t="n">
        <v>1497.48139004228</v>
      </c>
      <c r="MS17" s="28" t="n">
        <v>1497.48139004228</v>
      </c>
      <c r="MT17" s="28" t="n">
        <v>1497.48139004228</v>
      </c>
      <c r="MU17" s="28" t="n">
        <v>1497.48139004228</v>
      </c>
      <c r="MV17" s="28" t="n">
        <v>1447.565343707537</v>
      </c>
      <c r="MW17" s="28" t="n">
        <v>1447.565343707537</v>
      </c>
      <c r="MX17" s="28" t="n">
        <v>1447.565343707537</v>
      </c>
      <c r="MY17" s="28" t="n">
        <v>1447.565343707537</v>
      </c>
      <c r="MZ17" s="28" t="n">
        <v>1447.565343707537</v>
      </c>
      <c r="NA17" s="28" t="n">
        <v>1447.565343707537</v>
      </c>
      <c r="NB17" s="28" t="n">
        <v>1447.565343707537</v>
      </c>
      <c r="NC17" s="28" t="n">
        <v>1447.565343707537</v>
      </c>
      <c r="ND17" s="28" t="n">
        <v>1447.565343707537</v>
      </c>
      <c r="NE17" s="28" t="n">
        <v>1447.565343707537</v>
      </c>
      <c r="NF17" s="28" t="n">
        <v>1447.565343707537</v>
      </c>
      <c r="NG17" s="28" t="n">
        <v>1447.565343707537</v>
      </c>
      <c r="NH17" s="28" t="n">
        <v>1399.313165583953</v>
      </c>
      <c r="NI17" s="28" t="n">
        <v>1399.313165583953</v>
      </c>
      <c r="NJ17" s="28" t="n">
        <v>1399.313165583953</v>
      </c>
      <c r="NK17" s="28" t="n">
        <v>1399.313165583953</v>
      </c>
      <c r="NL17" s="28" t="n">
        <v>1399.313165583953</v>
      </c>
      <c r="NM17" s="28" t="n">
        <v>1399.313165583953</v>
      </c>
      <c r="NN17" s="28" t="n">
        <v>1399.313165583953</v>
      </c>
      <c r="NO17" s="28" t="n">
        <v>1399.313165583953</v>
      </c>
      <c r="NP17" s="28" t="n">
        <v>1399.313165583953</v>
      </c>
      <c r="NQ17" s="28" t="n">
        <v>1399.313165583953</v>
      </c>
      <c r="NR17" s="28" t="n">
        <v>1399.313165583953</v>
      </c>
      <c r="NS17" s="28" t="n">
        <v>1399.313165583953</v>
      </c>
      <c r="NT17" s="28" t="n">
        <v>1352.669393397821</v>
      </c>
      <c r="NU17" s="28" t="n">
        <v>1352.669393397821</v>
      </c>
      <c r="NV17" s="28" t="n">
        <v>1352.669393397821</v>
      </c>
      <c r="NW17" s="28" t="n">
        <v>1352.669393397821</v>
      </c>
      <c r="NX17" s="28" t="n">
        <v>1352.669393397821</v>
      </c>
      <c r="NY17" s="28" t="n">
        <v>1352.669393397821</v>
      </c>
      <c r="NZ17" s="28" t="n">
        <v>1352.669393397821</v>
      </c>
      <c r="OA17" s="28" t="n">
        <v>1352.669393397821</v>
      </c>
      <c r="OB17" s="28" t="n">
        <v>1352.669393397821</v>
      </c>
      <c r="OC17" s="28" t="n">
        <v>1352.669393397821</v>
      </c>
      <c r="OD17" s="28" t="n">
        <v>1352.669393397821</v>
      </c>
      <c r="OE17" s="28" t="n">
        <v>1352.669393397821</v>
      </c>
      <c r="OF17" s="28" t="n">
        <v>1307.580413617894</v>
      </c>
      <c r="OG17" s="28" t="n">
        <v>1307.580413617894</v>
      </c>
      <c r="OH17" s="28" t="n">
        <v>1307.580413617894</v>
      </c>
      <c r="OI17" s="28" t="n">
        <v>1307.580413617894</v>
      </c>
      <c r="OJ17" s="28" t="n">
        <v>1307.580413617894</v>
      </c>
      <c r="OK17" s="28" t="n">
        <v>1307.580413617894</v>
      </c>
      <c r="OL17" s="28" t="n">
        <v>1307.580413617894</v>
      </c>
      <c r="OM17" s="28" t="n">
        <v>1307.580413617894</v>
      </c>
      <c r="ON17" s="28" t="n">
        <v>1307.580413617894</v>
      </c>
      <c r="OO17" s="28" t="n">
        <v>1307.580413617894</v>
      </c>
      <c r="OP17" s="28" t="n">
        <v>1307.580413617894</v>
      </c>
      <c r="OQ17" s="28" t="n">
        <v>1307.580413617894</v>
      </c>
      <c r="OR17" s="28" t="n">
        <v>1263.994399830631</v>
      </c>
      <c r="OS17" s="28" t="n">
        <v>1263.994399830631</v>
      </c>
      <c r="OT17" s="28" t="n">
        <v>1263.994399830631</v>
      </c>
      <c r="OU17" s="28" t="n">
        <v>1263.994399830631</v>
      </c>
      <c r="OV17" s="28" t="n">
        <v>1263.994399830631</v>
      </c>
      <c r="OW17" s="28" t="n">
        <v>1263.994399830631</v>
      </c>
      <c r="OX17" s="28" t="n">
        <v>1263.994399830631</v>
      </c>
      <c r="OY17" s="28" t="n">
        <v>1263.994399830631</v>
      </c>
      <c r="OZ17" s="28" t="n">
        <v>1263.994399830631</v>
      </c>
      <c r="PA17" s="28" t="n">
        <v>1263.994399830631</v>
      </c>
      <c r="PB17" s="28" t="n">
        <v>1263.994399830631</v>
      </c>
      <c r="PC17" s="28" t="n">
        <v>1263.994399830631</v>
      </c>
      <c r="PD17" s="28" t="n">
        <v>1221.86125316961</v>
      </c>
      <c r="PE17" s="28" t="n">
        <v>1221.86125316961</v>
      </c>
      <c r="PF17" s="28" t="n">
        <v>1221.86125316961</v>
      </c>
      <c r="PG17" s="28" t="n">
        <v>1221.86125316961</v>
      </c>
      <c r="PH17" s="28" t="n">
        <v>1221.86125316961</v>
      </c>
      <c r="PI17" s="28" t="n">
        <v>1221.86125316961</v>
      </c>
      <c r="PJ17" s="28" t="n">
        <v>1221.86125316961</v>
      </c>
      <c r="PK17" s="28" t="n">
        <v>1221.86125316961</v>
      </c>
      <c r="PL17" s="28" t="n">
        <v>1221.86125316961</v>
      </c>
      <c r="PM17" s="28" t="n">
        <v>1221.86125316961</v>
      </c>
      <c r="PN17" s="28" t="n">
        <v>1221.86125316961</v>
      </c>
      <c r="PO17" s="28" t="n">
        <v>1221.86125316961</v>
      </c>
      <c r="PP17" s="28" t="n">
        <v>1181.132544730623</v>
      </c>
      <c r="PQ17" s="28" t="n">
        <v>1181.132544730623</v>
      </c>
      <c r="PR17" s="28" t="n">
        <v>1181.132544730623</v>
      </c>
      <c r="PS17" s="28" t="n">
        <v>1181.132544730623</v>
      </c>
      <c r="PT17" s="28" t="n">
        <v>1181.132544730623</v>
      </c>
      <c r="PU17" s="28" t="n">
        <v>1181.132544730623</v>
      </c>
      <c r="PV17" s="28" t="n">
        <v>1181.132544730623</v>
      </c>
      <c r="PW17" s="28" t="n">
        <v>1181.132544730623</v>
      </c>
      <c r="PX17" s="28" t="n">
        <v>1181.132544730623</v>
      </c>
      <c r="PY17" s="28" t="n">
        <v>1181.132544730623</v>
      </c>
      <c r="PZ17" s="28" t="n">
        <v>1181.132544730623</v>
      </c>
      <c r="QA17" s="28" t="n">
        <v>1181.132544730623</v>
      </c>
      <c r="QB17" s="28" t="n">
        <v>1141.761459906269</v>
      </c>
      <c r="QC17" s="28" t="n">
        <v>1141.761459906269</v>
      </c>
      <c r="QD17" s="28" t="n">
        <v>1141.761459906269</v>
      </c>
      <c r="QE17" s="28" t="n">
        <v>1141.761459906269</v>
      </c>
      <c r="QF17" s="28" t="n">
        <v>1141.761459906269</v>
      </c>
      <c r="QG17" s="28" t="n">
        <v>1141.761459906269</v>
      </c>
      <c r="QH17" s="28" t="n">
        <v>1141.761459906269</v>
      </c>
      <c r="QI17" s="28" t="n">
        <v>1141.761459906269</v>
      </c>
      <c r="QJ17" s="28" t="n">
        <v>1141.761459906269</v>
      </c>
      <c r="QK17" s="28" t="n">
        <v>1141.761459906269</v>
      </c>
      <c r="QL17" s="28" t="n">
        <v>1141.761459906269</v>
      </c>
      <c r="QM17" s="28" t="n">
        <v>1141.761459906269</v>
      </c>
      <c r="QN17" s="28" t="n">
        <v>1103.70274457606</v>
      </c>
      <c r="QO17" s="28" t="n">
        <v>1103.70274457606</v>
      </c>
      <c r="QP17" s="28" t="n">
        <v>1103.70274457606</v>
      </c>
      <c r="QQ17" s="28" t="n">
        <v>1103.70274457606</v>
      </c>
      <c r="QR17" s="28" t="n">
        <v>1103.70274457606</v>
      </c>
      <c r="QS17" s="28" t="n">
        <v>1103.70274457606</v>
      </c>
      <c r="QT17" s="28" t="n">
        <v>1103.70274457606</v>
      </c>
      <c r="QU17" s="28" t="n">
        <v>1103.70274457606</v>
      </c>
      <c r="QV17" s="28" t="n">
        <v>1103.70274457606</v>
      </c>
      <c r="QW17" s="28" t="n">
        <v>1103.70274457606</v>
      </c>
      <c r="QX17" s="28" t="n">
        <v>1103.70274457606</v>
      </c>
      <c r="QY17" s="28" t="n">
        <v>1103.70274457606</v>
      </c>
      <c r="QZ17" s="28" t="n">
        <v>1066.912653090191</v>
      </c>
      <c r="RA17" s="28" t="n">
        <v>1066.912653090191</v>
      </c>
      <c r="RB17" s="28" t="n">
        <v>1066.912653090191</v>
      </c>
      <c r="RC17" s="28" t="n">
        <v>1066.912653090191</v>
      </c>
      <c r="RD17" s="28" t="n">
        <v>1066.912653090191</v>
      </c>
      <c r="RE17" s="28" t="n">
        <v>1066.912653090191</v>
      </c>
      <c r="RF17" s="28" t="n">
        <v>1066.912653090191</v>
      </c>
      <c r="RG17" s="28" t="n">
        <v>1066.912653090191</v>
      </c>
      <c r="RH17" s="28" t="n">
        <v>1066.912653090191</v>
      </c>
      <c r="RI17" s="28" t="n">
        <v>1066.912653090191</v>
      </c>
      <c r="RJ17" s="28" t="n">
        <v>1066.912653090191</v>
      </c>
      <c r="RK17" s="28" t="n">
        <v>1066.912653090191</v>
      </c>
      <c r="RL17" s="28" t="n">
        <v>1031.348897987185</v>
      </c>
      <c r="RM17" s="28" t="n">
        <v>1031.348897987185</v>
      </c>
      <c r="RN17" s="28" t="n">
        <v>1031.348897987185</v>
      </c>
      <c r="RO17" s="28" t="n">
        <v>1031.348897987185</v>
      </c>
      <c r="RP17" s="28" t="n">
        <v>1031.348897987185</v>
      </c>
      <c r="RQ17" s="28" t="n">
        <v>1031.348897987185</v>
      </c>
      <c r="RR17" s="28" t="n">
        <v>1031.348897987185</v>
      </c>
      <c r="RS17" s="28" t="n">
        <v>1031.348897987185</v>
      </c>
      <c r="RT17" s="28" t="n">
        <v>1031.348897987185</v>
      </c>
      <c r="RU17" s="28" t="n">
        <v>1031.348897987185</v>
      </c>
      <c r="RV17" s="28" t="n">
        <v>1031.348897987185</v>
      </c>
      <c r="RW17" s="28" t="n">
        <v>1031.348897987185</v>
      </c>
    </row>
    <row r="18" hidden="1" outlineLevel="1" ht="13.05" customHeight="1">
      <c r="E18" s="21" t="inlineStr">
        <is>
          <t>Working Capital Change</t>
        </is>
      </c>
      <c r="F18" s="29" t="n"/>
      <c r="G18" s="29" t="inlineStr">
        <is>
          <t>kEUR</t>
        </is>
      </c>
      <c r="H18" s="29" t="n"/>
      <c r="I18" s="29" t="n"/>
      <c r="J18" s="32" t="n">
        <v>0</v>
      </c>
      <c r="K18" s="29" t="n"/>
      <c r="L18" s="33" t="n">
        <v>0</v>
      </c>
      <c r="M18" s="33" t="n">
        <v>0</v>
      </c>
      <c r="N18" s="33" t="n">
        <v>0</v>
      </c>
      <c r="O18" s="33" t="n">
        <v>0</v>
      </c>
      <c r="P18" s="33" t="n">
        <v>0</v>
      </c>
      <c r="Q18" s="33" t="n">
        <v>0</v>
      </c>
      <c r="R18" s="33" t="n">
        <v>0</v>
      </c>
      <c r="S18" s="33" t="n">
        <v>0</v>
      </c>
      <c r="T18" s="33" t="n">
        <v>0</v>
      </c>
      <c r="U18" s="33" t="n">
        <v>0</v>
      </c>
      <c r="V18" s="33" t="n">
        <v>0</v>
      </c>
      <c r="W18" s="33" t="n">
        <v>0</v>
      </c>
      <c r="X18" s="33" t="n">
        <v>0</v>
      </c>
      <c r="Y18" s="33" t="n">
        <v>0</v>
      </c>
      <c r="Z18" s="33" t="n">
        <v>0</v>
      </c>
      <c r="AA18" s="33" t="n">
        <v>0</v>
      </c>
      <c r="AB18" s="33" t="n">
        <v>0</v>
      </c>
      <c r="AC18" s="33" t="n">
        <v>0</v>
      </c>
      <c r="AD18" s="33" t="n">
        <v>0</v>
      </c>
      <c r="AE18" s="33" t="n">
        <v>0</v>
      </c>
      <c r="AF18" s="33" t="n">
        <v>0</v>
      </c>
      <c r="AG18" s="33" t="n">
        <v>0</v>
      </c>
      <c r="AH18" s="33" t="n">
        <v>0</v>
      </c>
      <c r="AI18" s="33" t="n">
        <v>0</v>
      </c>
      <c r="AJ18" s="33" t="n">
        <v>0</v>
      </c>
      <c r="AK18" s="33" t="n">
        <v>0</v>
      </c>
      <c r="AL18" s="33" t="n">
        <v>0</v>
      </c>
      <c r="AM18" s="33" t="n">
        <v>0</v>
      </c>
      <c r="AN18" s="33" t="n">
        <v>0</v>
      </c>
      <c r="AO18" s="33" t="n">
        <v>0</v>
      </c>
      <c r="AP18" s="33" t="n">
        <v>0</v>
      </c>
      <c r="AQ18" s="33" t="n">
        <v>0</v>
      </c>
      <c r="AR18" s="33" t="n">
        <v>0</v>
      </c>
      <c r="AS18" s="33" t="n">
        <v>0</v>
      </c>
      <c r="AT18" s="33" t="n">
        <v>0</v>
      </c>
      <c r="AU18" s="33" t="n">
        <v>0</v>
      </c>
      <c r="AV18" s="33" t="n">
        <v>0</v>
      </c>
      <c r="AW18" s="33" t="n">
        <v>0</v>
      </c>
      <c r="AX18" s="33" t="n">
        <v>0</v>
      </c>
      <c r="AY18" s="33" t="n">
        <v>0</v>
      </c>
      <c r="AZ18" s="33" t="n">
        <v>0</v>
      </c>
      <c r="BA18" s="33" t="n">
        <v>0</v>
      </c>
      <c r="BB18" s="33" t="n">
        <v>0</v>
      </c>
      <c r="BC18" s="33" t="n">
        <v>0</v>
      </c>
      <c r="BD18" s="33" t="n">
        <v>0</v>
      </c>
      <c r="BE18" s="33" t="n">
        <v>0</v>
      </c>
      <c r="BF18" s="33" t="n">
        <v>0</v>
      </c>
      <c r="BG18" s="33" t="n">
        <v>0</v>
      </c>
      <c r="BH18" s="33" t="n">
        <v>0</v>
      </c>
      <c r="BI18" s="33" t="n">
        <v>0</v>
      </c>
      <c r="BJ18" s="33" t="n">
        <v>0</v>
      </c>
      <c r="BK18" s="33" t="n">
        <v>0</v>
      </c>
      <c r="BL18" s="33" t="n">
        <v>0</v>
      </c>
      <c r="BM18" s="33" t="n">
        <v>0</v>
      </c>
      <c r="BN18" s="33" t="n">
        <v>0</v>
      </c>
      <c r="BO18" s="33" t="n">
        <v>0</v>
      </c>
      <c r="BP18" s="33" t="n">
        <v>0</v>
      </c>
      <c r="BQ18" s="33" t="n">
        <v>0</v>
      </c>
      <c r="BR18" s="33" t="n">
        <v>0</v>
      </c>
      <c r="BS18" s="33" t="n">
        <v>0</v>
      </c>
      <c r="BT18" s="33" t="n">
        <v>0</v>
      </c>
      <c r="BU18" s="33" t="n">
        <v>0</v>
      </c>
      <c r="BV18" s="33" t="n">
        <v>0</v>
      </c>
      <c r="BW18" s="33" t="n">
        <v>0</v>
      </c>
      <c r="BX18" s="33" t="n">
        <v>0</v>
      </c>
      <c r="BY18" s="33" t="n">
        <v>0</v>
      </c>
      <c r="BZ18" s="33" t="n">
        <v>0</v>
      </c>
      <c r="CA18" s="33" t="n">
        <v>0</v>
      </c>
      <c r="CB18" s="33" t="n">
        <v>0</v>
      </c>
      <c r="CC18" s="33" t="n">
        <v>0</v>
      </c>
      <c r="CD18" s="33" t="n">
        <v>0</v>
      </c>
      <c r="CE18" s="33" t="n">
        <v>0</v>
      </c>
      <c r="CF18" s="33" t="n">
        <v>0</v>
      </c>
      <c r="CG18" s="33" t="n">
        <v>0</v>
      </c>
      <c r="CH18" s="33" t="n">
        <v>0</v>
      </c>
      <c r="CI18" s="33" t="n">
        <v>0</v>
      </c>
      <c r="CJ18" s="33" t="n">
        <v>0</v>
      </c>
      <c r="CK18" s="33" t="n">
        <v>0</v>
      </c>
      <c r="CL18" s="33" t="n">
        <v>0</v>
      </c>
      <c r="CM18" s="33" t="n">
        <v>0</v>
      </c>
      <c r="CN18" s="33" t="n">
        <v>0</v>
      </c>
      <c r="CO18" s="33" t="n">
        <v>0</v>
      </c>
      <c r="CP18" s="33" t="n">
        <v>0</v>
      </c>
      <c r="CQ18" s="33" t="n">
        <v>0</v>
      </c>
      <c r="CR18" s="33" t="n">
        <v>0</v>
      </c>
      <c r="CS18" s="33" t="n">
        <v>0</v>
      </c>
      <c r="CT18" s="33" t="n">
        <v>0</v>
      </c>
      <c r="CU18" s="33" t="n">
        <v>0</v>
      </c>
      <c r="CV18" s="33" t="n">
        <v>0</v>
      </c>
      <c r="CW18" s="33" t="n">
        <v>0</v>
      </c>
      <c r="CX18" s="33" t="n">
        <v>0</v>
      </c>
      <c r="CY18" s="33" t="n">
        <v>0</v>
      </c>
      <c r="CZ18" s="33" t="n">
        <v>0</v>
      </c>
      <c r="DA18" s="33" t="n">
        <v>0</v>
      </c>
      <c r="DB18" s="33" t="n">
        <v>0</v>
      </c>
      <c r="DC18" s="33" t="n">
        <v>0</v>
      </c>
      <c r="DD18" s="33" t="n">
        <v>0</v>
      </c>
      <c r="DE18" s="33" t="n">
        <v>0</v>
      </c>
      <c r="DF18" s="33" t="n">
        <v>0</v>
      </c>
      <c r="DG18" s="33" t="n">
        <v>0</v>
      </c>
      <c r="DH18" s="33" t="n">
        <v>0</v>
      </c>
      <c r="DI18" s="33" t="n">
        <v>0</v>
      </c>
      <c r="DJ18" s="33" t="n">
        <v>0</v>
      </c>
      <c r="DK18" s="33" t="n">
        <v>0</v>
      </c>
      <c r="DL18" s="33" t="n">
        <v>0</v>
      </c>
      <c r="DM18" s="33" t="n">
        <v>0</v>
      </c>
      <c r="DN18" s="33" t="n">
        <v>0</v>
      </c>
      <c r="DO18" s="33" t="n">
        <v>0</v>
      </c>
      <c r="DP18" s="33" t="n">
        <v>0</v>
      </c>
      <c r="DQ18" s="33" t="n">
        <v>0</v>
      </c>
      <c r="DR18" s="33" t="n">
        <v>0</v>
      </c>
      <c r="DS18" s="33" t="n">
        <v>0</v>
      </c>
      <c r="DT18" s="33" t="n">
        <v>0</v>
      </c>
      <c r="DU18" s="33" t="n">
        <v>0</v>
      </c>
      <c r="DV18" s="33" t="n">
        <v>0</v>
      </c>
      <c r="DW18" s="33" t="n">
        <v>0</v>
      </c>
      <c r="DX18" s="33" t="n">
        <v>0</v>
      </c>
      <c r="DY18" s="33" t="n">
        <v>0</v>
      </c>
      <c r="DZ18" s="33" t="n">
        <v>0</v>
      </c>
      <c r="EA18" s="33" t="n">
        <v>0</v>
      </c>
      <c r="EB18" s="33" t="n">
        <v>0</v>
      </c>
      <c r="EC18" s="33" t="n">
        <v>0</v>
      </c>
      <c r="ED18" s="33" t="n">
        <v>0</v>
      </c>
      <c r="EE18" s="33" t="n">
        <v>0</v>
      </c>
      <c r="EF18" s="33" t="n">
        <v>0</v>
      </c>
      <c r="EG18" s="33" t="n">
        <v>0</v>
      </c>
      <c r="EH18" s="33" t="n">
        <v>0</v>
      </c>
      <c r="EI18" s="33" t="n">
        <v>0</v>
      </c>
      <c r="EJ18" s="33" t="n">
        <v>0</v>
      </c>
      <c r="EK18" s="33" t="n">
        <v>0</v>
      </c>
      <c r="EL18" s="33" t="n">
        <v>0</v>
      </c>
      <c r="EM18" s="33" t="n">
        <v>0</v>
      </c>
      <c r="EN18" s="33" t="n">
        <v>0</v>
      </c>
      <c r="EO18" s="33" t="n">
        <v>0</v>
      </c>
      <c r="EP18" s="33" t="n">
        <v>0</v>
      </c>
      <c r="EQ18" s="33" t="n">
        <v>0</v>
      </c>
      <c r="ER18" s="33" t="n">
        <v>0</v>
      </c>
      <c r="ES18" s="33" t="n">
        <v>0</v>
      </c>
      <c r="ET18" s="33" t="n">
        <v>0</v>
      </c>
      <c r="EU18" s="33" t="n">
        <v>0</v>
      </c>
      <c r="EV18" s="33" t="n">
        <v>0</v>
      </c>
      <c r="EW18" s="33" t="n">
        <v>0</v>
      </c>
      <c r="EX18" s="33" t="n">
        <v>0</v>
      </c>
      <c r="EY18" s="33" t="n">
        <v>0</v>
      </c>
      <c r="EZ18" s="33" t="n">
        <v>0</v>
      </c>
      <c r="FA18" s="33" t="n">
        <v>0</v>
      </c>
      <c r="FB18" s="33" t="n">
        <v>0</v>
      </c>
      <c r="FC18" s="33" t="n">
        <v>0</v>
      </c>
      <c r="FD18" s="33" t="n">
        <v>0</v>
      </c>
      <c r="FE18" s="33" t="n">
        <v>0</v>
      </c>
      <c r="FF18" s="33" t="n">
        <v>0</v>
      </c>
      <c r="FG18" s="33" t="n">
        <v>0</v>
      </c>
      <c r="FH18" s="33" t="n">
        <v>0</v>
      </c>
      <c r="FI18" s="33" t="n">
        <v>0</v>
      </c>
      <c r="FJ18" s="33" t="n">
        <v>0</v>
      </c>
      <c r="FK18" s="33" t="n">
        <v>0</v>
      </c>
      <c r="FL18" s="33" t="n">
        <v>0</v>
      </c>
      <c r="FM18" s="33" t="n">
        <v>0</v>
      </c>
      <c r="FN18" s="33" t="n">
        <v>0</v>
      </c>
      <c r="FO18" s="33" t="n">
        <v>0</v>
      </c>
      <c r="FP18" s="33" t="n">
        <v>0</v>
      </c>
      <c r="FQ18" s="33" t="n">
        <v>0</v>
      </c>
      <c r="FR18" s="33" t="n">
        <v>0</v>
      </c>
      <c r="FS18" s="33" t="n">
        <v>0</v>
      </c>
      <c r="FT18" s="33" t="n">
        <v>0</v>
      </c>
      <c r="FU18" s="33" t="n">
        <v>0</v>
      </c>
      <c r="FV18" s="33" t="n">
        <v>0</v>
      </c>
      <c r="FW18" s="33" t="n">
        <v>0</v>
      </c>
      <c r="FX18" s="33" t="n">
        <v>0</v>
      </c>
      <c r="FY18" s="33" t="n">
        <v>0</v>
      </c>
      <c r="FZ18" s="33" t="n">
        <v>0</v>
      </c>
      <c r="GA18" s="33" t="n">
        <v>0</v>
      </c>
      <c r="GB18" s="33" t="n">
        <v>0</v>
      </c>
      <c r="GC18" s="33" t="n">
        <v>0</v>
      </c>
      <c r="GD18" s="33" t="n">
        <v>0</v>
      </c>
      <c r="GE18" s="33" t="n">
        <v>0</v>
      </c>
      <c r="GF18" s="33" t="n">
        <v>0</v>
      </c>
      <c r="GG18" s="33" t="n">
        <v>0</v>
      </c>
      <c r="GH18" s="33" t="n">
        <v>0</v>
      </c>
      <c r="GI18" s="33" t="n">
        <v>0</v>
      </c>
      <c r="GJ18" s="33" t="n">
        <v>0</v>
      </c>
      <c r="GK18" s="33" t="n">
        <v>0</v>
      </c>
      <c r="GL18" s="33" t="n">
        <v>0</v>
      </c>
      <c r="GM18" s="33" t="n">
        <v>0</v>
      </c>
      <c r="GN18" s="33" t="n">
        <v>0</v>
      </c>
      <c r="GO18" s="33" t="n">
        <v>0</v>
      </c>
      <c r="GP18" s="33" t="n">
        <v>0</v>
      </c>
      <c r="GQ18" s="33" t="n">
        <v>0</v>
      </c>
      <c r="GR18" s="33" t="n">
        <v>0</v>
      </c>
      <c r="GS18" s="33" t="n">
        <v>0</v>
      </c>
      <c r="GT18" s="33" t="n">
        <v>0</v>
      </c>
      <c r="GU18" s="33" t="n">
        <v>0</v>
      </c>
      <c r="GV18" s="33" t="n">
        <v>0</v>
      </c>
      <c r="GW18" s="33" t="n">
        <v>0</v>
      </c>
      <c r="GX18" s="33" t="n">
        <v>0</v>
      </c>
      <c r="GY18" s="33" t="n">
        <v>0</v>
      </c>
      <c r="GZ18" s="33" t="n">
        <v>0</v>
      </c>
      <c r="HA18" s="33" t="n">
        <v>0</v>
      </c>
      <c r="HB18" s="33" t="n">
        <v>0</v>
      </c>
      <c r="HC18" s="33" t="n">
        <v>0</v>
      </c>
      <c r="HD18" s="33" t="n">
        <v>0</v>
      </c>
      <c r="HE18" s="33" t="n">
        <v>0</v>
      </c>
      <c r="HF18" s="33" t="n">
        <v>0</v>
      </c>
      <c r="HG18" s="33" t="n">
        <v>0</v>
      </c>
      <c r="HH18" s="33" t="n">
        <v>0</v>
      </c>
      <c r="HI18" s="33" t="n">
        <v>0</v>
      </c>
      <c r="HJ18" s="33" t="n">
        <v>0</v>
      </c>
      <c r="HK18" s="33" t="n">
        <v>0</v>
      </c>
      <c r="HL18" s="33" t="n">
        <v>0</v>
      </c>
      <c r="HM18" s="33" t="n">
        <v>0</v>
      </c>
      <c r="HN18" s="33" t="n">
        <v>0</v>
      </c>
      <c r="HO18" s="33" t="n">
        <v>0</v>
      </c>
      <c r="HP18" s="33" t="n">
        <v>0</v>
      </c>
      <c r="HQ18" s="33" t="n">
        <v>0</v>
      </c>
      <c r="HR18" s="33" t="n">
        <v>0</v>
      </c>
      <c r="HS18" s="33" t="n">
        <v>0</v>
      </c>
      <c r="HT18" s="33" t="n">
        <v>0</v>
      </c>
      <c r="HU18" s="33" t="n">
        <v>0</v>
      </c>
      <c r="HV18" s="33" t="n">
        <v>0</v>
      </c>
      <c r="HW18" s="33" t="n">
        <v>0</v>
      </c>
      <c r="HX18" s="33" t="n">
        <v>0</v>
      </c>
      <c r="HY18" s="33" t="n">
        <v>0</v>
      </c>
      <c r="HZ18" s="33" t="n">
        <v>0</v>
      </c>
      <c r="IA18" s="33" t="n">
        <v>0</v>
      </c>
      <c r="IB18" s="33" t="n">
        <v>0</v>
      </c>
      <c r="IC18" s="33" t="n">
        <v>0</v>
      </c>
      <c r="ID18" s="33" t="n">
        <v>0</v>
      </c>
      <c r="IE18" s="33" t="n">
        <v>0</v>
      </c>
      <c r="IF18" s="33" t="n">
        <v>0</v>
      </c>
      <c r="IG18" s="33" t="n">
        <v>0</v>
      </c>
      <c r="IH18" s="33" t="n">
        <v>0</v>
      </c>
      <c r="II18" s="33" t="n">
        <v>0</v>
      </c>
      <c r="IJ18" s="33" t="n">
        <v>0</v>
      </c>
      <c r="IK18" s="33" t="n">
        <v>0</v>
      </c>
      <c r="IL18" s="33" t="n">
        <v>0</v>
      </c>
      <c r="IM18" s="33" t="n">
        <v>0</v>
      </c>
      <c r="IN18" s="33" t="n">
        <v>0</v>
      </c>
      <c r="IO18" s="33" t="n">
        <v>0</v>
      </c>
      <c r="IP18" s="33" t="n">
        <v>0</v>
      </c>
      <c r="IQ18" s="33" t="n">
        <v>0</v>
      </c>
      <c r="IR18" s="33" t="n">
        <v>0</v>
      </c>
      <c r="IS18" s="33" t="n">
        <v>0</v>
      </c>
      <c r="IT18" s="33" t="n">
        <v>0</v>
      </c>
      <c r="IU18" s="33" t="n">
        <v>0</v>
      </c>
      <c r="IV18" s="33" t="n">
        <v>0</v>
      </c>
      <c r="IW18" s="33" t="n">
        <v>0</v>
      </c>
      <c r="IX18" s="33" t="n">
        <v>0</v>
      </c>
      <c r="IY18" s="33" t="n">
        <v>0</v>
      </c>
      <c r="IZ18" s="33" t="n">
        <v>0</v>
      </c>
      <c r="JA18" s="33" t="n">
        <v>0</v>
      </c>
      <c r="JB18" s="33" t="n">
        <v>0</v>
      </c>
      <c r="JC18" s="33" t="n">
        <v>0</v>
      </c>
      <c r="JD18" s="33" t="n">
        <v>0</v>
      </c>
      <c r="JE18" s="33" t="n">
        <v>0</v>
      </c>
      <c r="JF18" s="33" t="n">
        <v>0</v>
      </c>
      <c r="JG18" s="33" t="n">
        <v>0</v>
      </c>
      <c r="JH18" s="33" t="n">
        <v>0</v>
      </c>
      <c r="JI18" s="33" t="n">
        <v>0</v>
      </c>
      <c r="JJ18" s="33" t="n">
        <v>0</v>
      </c>
      <c r="JK18" s="33" t="n">
        <v>0</v>
      </c>
      <c r="JL18" s="33" t="n">
        <v>0</v>
      </c>
      <c r="JM18" s="33" t="n">
        <v>0</v>
      </c>
      <c r="JN18" s="33" t="n">
        <v>0</v>
      </c>
      <c r="JO18" s="33" t="n">
        <v>0</v>
      </c>
      <c r="JP18" s="33" t="n">
        <v>0</v>
      </c>
      <c r="JQ18" s="33" t="n">
        <v>0</v>
      </c>
      <c r="JR18" s="33" t="n">
        <v>0</v>
      </c>
      <c r="JS18" s="33" t="n">
        <v>0</v>
      </c>
      <c r="JT18" s="33" t="n">
        <v>0</v>
      </c>
      <c r="JU18" s="33" t="n">
        <v>0</v>
      </c>
      <c r="JV18" s="33" t="n">
        <v>0</v>
      </c>
      <c r="JW18" s="33" t="n">
        <v>0</v>
      </c>
      <c r="JX18" s="33" t="n">
        <v>0</v>
      </c>
      <c r="JY18" s="33" t="n">
        <v>0</v>
      </c>
      <c r="JZ18" s="33" t="n">
        <v>0</v>
      </c>
      <c r="KA18" s="33" t="n">
        <v>0</v>
      </c>
      <c r="KB18" s="33" t="n">
        <v>0</v>
      </c>
      <c r="KC18" s="33" t="n">
        <v>0</v>
      </c>
      <c r="KD18" s="33" t="n">
        <v>0</v>
      </c>
      <c r="KE18" s="33" t="n">
        <v>0</v>
      </c>
      <c r="KF18" s="33" t="n">
        <v>0</v>
      </c>
      <c r="KG18" s="33" t="n">
        <v>0</v>
      </c>
      <c r="KH18" s="33" t="n">
        <v>0</v>
      </c>
      <c r="KI18" s="33" t="n">
        <v>0</v>
      </c>
      <c r="KJ18" s="33" t="n">
        <v>0</v>
      </c>
      <c r="KK18" s="33" t="n">
        <v>0</v>
      </c>
      <c r="KL18" s="33" t="n">
        <v>0</v>
      </c>
      <c r="KM18" s="33" t="n">
        <v>0</v>
      </c>
      <c r="KN18" s="33" t="n">
        <v>0</v>
      </c>
      <c r="KO18" s="33" t="n">
        <v>0</v>
      </c>
      <c r="KP18" s="33" t="n">
        <v>0</v>
      </c>
      <c r="KQ18" s="33" t="n">
        <v>0</v>
      </c>
      <c r="KR18" s="33" t="n">
        <v>0</v>
      </c>
      <c r="KS18" s="33" t="n">
        <v>0</v>
      </c>
      <c r="KT18" s="33" t="n">
        <v>0</v>
      </c>
      <c r="KU18" s="33" t="n">
        <v>0</v>
      </c>
      <c r="KV18" s="33" t="n">
        <v>0</v>
      </c>
      <c r="KW18" s="33" t="n">
        <v>0</v>
      </c>
      <c r="KX18" s="33" t="n">
        <v>0</v>
      </c>
      <c r="KY18" s="33" t="n">
        <v>0</v>
      </c>
      <c r="KZ18" s="33" t="n">
        <v>0</v>
      </c>
      <c r="LA18" s="33" t="n">
        <v>0</v>
      </c>
      <c r="LB18" s="33" t="n">
        <v>0</v>
      </c>
      <c r="LC18" s="33" t="n">
        <v>0</v>
      </c>
      <c r="LD18" s="33" t="n">
        <v>0</v>
      </c>
      <c r="LE18" s="33" t="n">
        <v>0</v>
      </c>
      <c r="LF18" s="33" t="n">
        <v>0</v>
      </c>
      <c r="LG18" s="33" t="n">
        <v>0</v>
      </c>
      <c r="LH18" s="33" t="n">
        <v>0</v>
      </c>
      <c r="LI18" s="33" t="n">
        <v>0</v>
      </c>
      <c r="LJ18" s="33" t="n">
        <v>0</v>
      </c>
      <c r="LK18" s="33" t="n">
        <v>0</v>
      </c>
      <c r="LL18" s="33" t="n">
        <v>0</v>
      </c>
      <c r="LM18" s="33" t="n">
        <v>0</v>
      </c>
      <c r="LN18" s="33" t="n">
        <v>0</v>
      </c>
      <c r="LO18" s="33" t="n">
        <v>0</v>
      </c>
      <c r="LP18" s="33" t="n">
        <v>0</v>
      </c>
      <c r="LQ18" s="33" t="n">
        <v>0</v>
      </c>
      <c r="LR18" s="33" t="n">
        <v>0</v>
      </c>
      <c r="LS18" s="33" t="n">
        <v>0</v>
      </c>
      <c r="LT18" s="33" t="n">
        <v>0</v>
      </c>
      <c r="LU18" s="33" t="n">
        <v>0</v>
      </c>
      <c r="LV18" s="33" t="n">
        <v>0</v>
      </c>
      <c r="LW18" s="33" t="n">
        <v>0</v>
      </c>
      <c r="LX18" s="33" t="n">
        <v>0</v>
      </c>
      <c r="LY18" s="33" t="n">
        <v>0</v>
      </c>
      <c r="LZ18" s="33" t="n">
        <v>0</v>
      </c>
      <c r="MA18" s="33" t="n">
        <v>0</v>
      </c>
      <c r="MB18" s="33" t="n">
        <v>0</v>
      </c>
      <c r="MC18" s="33" t="n">
        <v>0</v>
      </c>
      <c r="MD18" s="33" t="n">
        <v>0</v>
      </c>
      <c r="ME18" s="33" t="n">
        <v>0</v>
      </c>
      <c r="MF18" s="33" t="n">
        <v>0</v>
      </c>
      <c r="MG18" s="33" t="n">
        <v>0</v>
      </c>
      <c r="MH18" s="33" t="n">
        <v>0</v>
      </c>
      <c r="MI18" s="33" t="n">
        <v>0</v>
      </c>
      <c r="MJ18" s="33" t="n">
        <v>0</v>
      </c>
      <c r="MK18" s="33" t="n">
        <v>0</v>
      </c>
      <c r="ML18" s="33" t="n">
        <v>0</v>
      </c>
      <c r="MM18" s="33" t="n">
        <v>0</v>
      </c>
      <c r="MN18" s="33" t="n">
        <v>0</v>
      </c>
      <c r="MO18" s="33" t="n">
        <v>0</v>
      </c>
      <c r="MP18" s="33" t="n">
        <v>0</v>
      </c>
      <c r="MQ18" s="33" t="n">
        <v>0</v>
      </c>
      <c r="MR18" s="33" t="n">
        <v>0</v>
      </c>
      <c r="MS18" s="33" t="n">
        <v>0</v>
      </c>
      <c r="MT18" s="33" t="n">
        <v>0</v>
      </c>
      <c r="MU18" s="33" t="n">
        <v>0</v>
      </c>
      <c r="MV18" s="33" t="n">
        <v>0</v>
      </c>
      <c r="MW18" s="33" t="n">
        <v>0</v>
      </c>
      <c r="MX18" s="33" t="n">
        <v>0</v>
      </c>
      <c r="MY18" s="33" t="n">
        <v>0</v>
      </c>
      <c r="MZ18" s="33" t="n">
        <v>0</v>
      </c>
      <c r="NA18" s="33" t="n">
        <v>0</v>
      </c>
      <c r="NB18" s="33" t="n">
        <v>0</v>
      </c>
      <c r="NC18" s="33" t="n">
        <v>0</v>
      </c>
      <c r="ND18" s="33" t="n">
        <v>0</v>
      </c>
      <c r="NE18" s="33" t="n">
        <v>0</v>
      </c>
      <c r="NF18" s="33" t="n">
        <v>0</v>
      </c>
      <c r="NG18" s="33" t="n">
        <v>0</v>
      </c>
      <c r="NH18" s="33" t="n">
        <v>0</v>
      </c>
      <c r="NI18" s="33" t="n">
        <v>0</v>
      </c>
      <c r="NJ18" s="33" t="n">
        <v>0</v>
      </c>
      <c r="NK18" s="33" t="n">
        <v>0</v>
      </c>
      <c r="NL18" s="33" t="n">
        <v>0</v>
      </c>
      <c r="NM18" s="33" t="n">
        <v>0</v>
      </c>
      <c r="NN18" s="33" t="n">
        <v>0</v>
      </c>
      <c r="NO18" s="33" t="n">
        <v>0</v>
      </c>
      <c r="NP18" s="33" t="n">
        <v>0</v>
      </c>
      <c r="NQ18" s="33" t="n">
        <v>0</v>
      </c>
      <c r="NR18" s="33" t="n">
        <v>0</v>
      </c>
      <c r="NS18" s="33" t="n">
        <v>0</v>
      </c>
      <c r="NT18" s="33" t="n">
        <v>0</v>
      </c>
      <c r="NU18" s="33" t="n">
        <v>0</v>
      </c>
      <c r="NV18" s="33" t="n">
        <v>0</v>
      </c>
      <c r="NW18" s="33" t="n">
        <v>0</v>
      </c>
      <c r="NX18" s="33" t="n">
        <v>0</v>
      </c>
      <c r="NY18" s="33" t="n">
        <v>0</v>
      </c>
      <c r="NZ18" s="33" t="n">
        <v>0</v>
      </c>
      <c r="OA18" s="33" t="n">
        <v>0</v>
      </c>
      <c r="OB18" s="33" t="n">
        <v>0</v>
      </c>
      <c r="OC18" s="33" t="n">
        <v>0</v>
      </c>
      <c r="OD18" s="33" t="n">
        <v>0</v>
      </c>
      <c r="OE18" s="33" t="n">
        <v>0</v>
      </c>
      <c r="OF18" s="33" t="n">
        <v>0</v>
      </c>
      <c r="OG18" s="33" t="n">
        <v>0</v>
      </c>
      <c r="OH18" s="33" t="n">
        <v>0</v>
      </c>
      <c r="OI18" s="33" t="n">
        <v>0</v>
      </c>
      <c r="OJ18" s="33" t="n">
        <v>0</v>
      </c>
      <c r="OK18" s="33" t="n">
        <v>0</v>
      </c>
      <c r="OL18" s="33" t="n">
        <v>0</v>
      </c>
      <c r="OM18" s="33" t="n">
        <v>0</v>
      </c>
      <c r="ON18" s="33" t="n">
        <v>0</v>
      </c>
      <c r="OO18" s="33" t="n">
        <v>0</v>
      </c>
      <c r="OP18" s="33" t="n">
        <v>0</v>
      </c>
      <c r="OQ18" s="33" t="n">
        <v>0</v>
      </c>
      <c r="OR18" s="33" t="n">
        <v>0</v>
      </c>
      <c r="OS18" s="33" t="n">
        <v>0</v>
      </c>
      <c r="OT18" s="33" t="n">
        <v>0</v>
      </c>
      <c r="OU18" s="33" t="n">
        <v>0</v>
      </c>
      <c r="OV18" s="33" t="n">
        <v>0</v>
      </c>
      <c r="OW18" s="33" t="n">
        <v>0</v>
      </c>
      <c r="OX18" s="33" t="n">
        <v>0</v>
      </c>
      <c r="OY18" s="33" t="n">
        <v>0</v>
      </c>
      <c r="OZ18" s="33" t="n">
        <v>0</v>
      </c>
      <c r="PA18" s="33" t="n">
        <v>0</v>
      </c>
      <c r="PB18" s="33" t="n">
        <v>0</v>
      </c>
      <c r="PC18" s="33" t="n">
        <v>0</v>
      </c>
      <c r="PD18" s="33" t="n">
        <v>0</v>
      </c>
      <c r="PE18" s="33" t="n">
        <v>0</v>
      </c>
      <c r="PF18" s="33" t="n">
        <v>0</v>
      </c>
      <c r="PG18" s="33" t="n">
        <v>0</v>
      </c>
      <c r="PH18" s="33" t="n">
        <v>0</v>
      </c>
      <c r="PI18" s="33" t="n">
        <v>0</v>
      </c>
      <c r="PJ18" s="33" t="n">
        <v>0</v>
      </c>
      <c r="PK18" s="33" t="n">
        <v>0</v>
      </c>
      <c r="PL18" s="33" t="n">
        <v>0</v>
      </c>
      <c r="PM18" s="33" t="n">
        <v>0</v>
      </c>
      <c r="PN18" s="33" t="n">
        <v>0</v>
      </c>
      <c r="PO18" s="33" t="n">
        <v>0</v>
      </c>
      <c r="PP18" s="33" t="n">
        <v>0</v>
      </c>
      <c r="PQ18" s="33" t="n">
        <v>0</v>
      </c>
      <c r="PR18" s="33" t="n">
        <v>0</v>
      </c>
      <c r="PS18" s="33" t="n">
        <v>0</v>
      </c>
      <c r="PT18" s="33" t="n">
        <v>0</v>
      </c>
      <c r="PU18" s="33" t="n">
        <v>0</v>
      </c>
      <c r="PV18" s="33" t="n">
        <v>0</v>
      </c>
      <c r="PW18" s="33" t="n">
        <v>0</v>
      </c>
      <c r="PX18" s="33" t="n">
        <v>0</v>
      </c>
      <c r="PY18" s="33" t="n">
        <v>0</v>
      </c>
      <c r="PZ18" s="33" t="n">
        <v>0</v>
      </c>
      <c r="QA18" s="33" t="n">
        <v>0</v>
      </c>
      <c r="QB18" s="33" t="n">
        <v>0</v>
      </c>
      <c r="QC18" s="33" t="n">
        <v>0</v>
      </c>
      <c r="QD18" s="33" t="n">
        <v>0</v>
      </c>
      <c r="QE18" s="33" t="n">
        <v>0</v>
      </c>
      <c r="QF18" s="33" t="n">
        <v>0</v>
      </c>
      <c r="QG18" s="33" t="n">
        <v>0</v>
      </c>
      <c r="QH18" s="33" t="n">
        <v>0</v>
      </c>
      <c r="QI18" s="33" t="n">
        <v>0</v>
      </c>
      <c r="QJ18" s="33" t="n">
        <v>0</v>
      </c>
      <c r="QK18" s="33" t="n">
        <v>0</v>
      </c>
      <c r="QL18" s="33" t="n">
        <v>0</v>
      </c>
      <c r="QM18" s="33" t="n">
        <v>0</v>
      </c>
      <c r="QN18" s="33" t="n">
        <v>0</v>
      </c>
      <c r="QO18" s="33" t="n">
        <v>0</v>
      </c>
      <c r="QP18" s="33" t="n">
        <v>0</v>
      </c>
      <c r="QQ18" s="33" t="n">
        <v>0</v>
      </c>
      <c r="QR18" s="33" t="n">
        <v>0</v>
      </c>
      <c r="QS18" s="33" t="n">
        <v>0</v>
      </c>
      <c r="QT18" s="33" t="n">
        <v>0</v>
      </c>
      <c r="QU18" s="33" t="n">
        <v>0</v>
      </c>
      <c r="QV18" s="33" t="n">
        <v>0</v>
      </c>
      <c r="QW18" s="33" t="n">
        <v>0</v>
      </c>
      <c r="QX18" s="33" t="n">
        <v>0</v>
      </c>
      <c r="QY18" s="33" t="n">
        <v>0</v>
      </c>
      <c r="QZ18" s="33" t="n">
        <v>0</v>
      </c>
      <c r="RA18" s="33" t="n">
        <v>0</v>
      </c>
      <c r="RB18" s="33" t="n">
        <v>0</v>
      </c>
      <c r="RC18" s="33" t="n">
        <v>0</v>
      </c>
      <c r="RD18" s="33" t="n">
        <v>0</v>
      </c>
      <c r="RE18" s="33" t="n">
        <v>0</v>
      </c>
      <c r="RF18" s="33" t="n">
        <v>0</v>
      </c>
      <c r="RG18" s="33" t="n">
        <v>0</v>
      </c>
      <c r="RH18" s="33" t="n">
        <v>0</v>
      </c>
      <c r="RI18" s="33" t="n">
        <v>0</v>
      </c>
      <c r="RJ18" s="33" t="n">
        <v>0</v>
      </c>
      <c r="RK18" s="33" t="n">
        <v>0</v>
      </c>
      <c r="RL18" s="33" t="n">
        <v>0</v>
      </c>
      <c r="RM18" s="33" t="n">
        <v>0</v>
      </c>
      <c r="RN18" s="33" t="n">
        <v>0</v>
      </c>
      <c r="RO18" s="33" t="n">
        <v>0</v>
      </c>
      <c r="RP18" s="33" t="n">
        <v>0</v>
      </c>
      <c r="RQ18" s="33" t="n">
        <v>0</v>
      </c>
      <c r="RR18" s="33" t="n">
        <v>0</v>
      </c>
      <c r="RS18" s="33" t="n">
        <v>0</v>
      </c>
      <c r="RT18" s="33" t="n">
        <v>0</v>
      </c>
      <c r="RU18" s="33" t="n">
        <v>0</v>
      </c>
      <c r="RV18" s="33" t="n">
        <v>0</v>
      </c>
      <c r="RW18" s="33" t="n">
        <v>0</v>
      </c>
    </row>
    <row r="19" hidden="1" outlineLevel="1" ht="13.05" customHeight="1">
      <c r="E19" s="34" t="inlineStr">
        <is>
          <t>Cash Flow from Operations</t>
        </is>
      </c>
      <c r="F19" s="35" t="n"/>
      <c r="G19" s="35" t="inlineStr">
        <is>
          <t>kEUR</t>
        </is>
      </c>
      <c r="H19" s="35" t="n"/>
      <c r="I19" s="35" t="n"/>
      <c r="J19" s="36" t="n">
        <v>1689248.899942064</v>
      </c>
      <c r="K19" s="35" t="n"/>
      <c r="L19" s="37">
        <f>L14+L9+L18</f>
        <v/>
      </c>
      <c r="M19" s="37">
        <f>M14+M9+M18</f>
        <v/>
      </c>
      <c r="N19" s="37">
        <f>N14+N9+N18</f>
        <v/>
      </c>
      <c r="O19" s="37">
        <f>O14+O9+O18</f>
        <v/>
      </c>
      <c r="P19" s="37">
        <f>P14+P9+P18</f>
        <v/>
      </c>
      <c r="Q19" s="37">
        <f>Q14+Q9+Q18</f>
        <v/>
      </c>
      <c r="R19" s="37">
        <f>R14+R9+R18</f>
        <v/>
      </c>
      <c r="S19" s="37">
        <f>S14+S9+S18</f>
        <v/>
      </c>
      <c r="T19" s="37">
        <f>T14+T9+T18</f>
        <v/>
      </c>
      <c r="U19" s="37">
        <f>U14+U9+U18</f>
        <v/>
      </c>
      <c r="V19" s="37">
        <f>V14+V9+V18</f>
        <v/>
      </c>
      <c r="W19" s="37">
        <f>W14+W9+W18</f>
        <v/>
      </c>
      <c r="X19" s="37">
        <f>X14+X9+X18</f>
        <v/>
      </c>
      <c r="Y19" s="37">
        <f>Y14+Y9+Y18</f>
        <v/>
      </c>
      <c r="Z19" s="37">
        <f>Z14+Z9+Z18</f>
        <v/>
      </c>
      <c r="AA19" s="37">
        <f>AA14+AA9+AA18</f>
        <v/>
      </c>
      <c r="AB19" s="37">
        <f>AB14+AB9+AB18</f>
        <v/>
      </c>
      <c r="AC19" s="37">
        <f>AC14+AC9+AC18</f>
        <v/>
      </c>
      <c r="AD19" s="37">
        <f>AD14+AD9+AD18</f>
        <v/>
      </c>
      <c r="AE19" s="37">
        <f>AE14+AE9+AE18</f>
        <v/>
      </c>
      <c r="AF19" s="37">
        <f>AF14+AF9+AF18</f>
        <v/>
      </c>
      <c r="AG19" s="37">
        <f>AG14+AG9+AG18</f>
        <v/>
      </c>
      <c r="AH19" s="37">
        <f>AH14+AH9+AH18</f>
        <v/>
      </c>
      <c r="AI19" s="37">
        <f>AI14+AI9+AI18</f>
        <v/>
      </c>
      <c r="AJ19" s="37">
        <f>AJ14+AJ9+AJ18</f>
        <v/>
      </c>
      <c r="AK19" s="37">
        <f>AK14+AK9+AK18</f>
        <v/>
      </c>
      <c r="AL19" s="37">
        <f>AL14+AL9+AL18</f>
        <v/>
      </c>
      <c r="AM19" s="37">
        <f>AM14+AM9+AM18</f>
        <v/>
      </c>
      <c r="AN19" s="37">
        <f>AN14+AN9+AN18</f>
        <v/>
      </c>
      <c r="AO19" s="37">
        <f>AO14+AO9+AO18</f>
        <v/>
      </c>
      <c r="AP19" s="37">
        <f>AP14+AP9+AP18</f>
        <v/>
      </c>
      <c r="AQ19" s="37">
        <f>AQ14+AQ9+AQ18</f>
        <v/>
      </c>
      <c r="AR19" s="37">
        <f>AR14+AR9+AR18</f>
        <v/>
      </c>
      <c r="AS19" s="37">
        <f>AS14+AS9+AS18</f>
        <v/>
      </c>
      <c r="AT19" s="37">
        <f>AT14+AT9+AT18</f>
        <v/>
      </c>
      <c r="AU19" s="37">
        <f>AU14+AU9+AU18</f>
        <v/>
      </c>
      <c r="AV19" s="37">
        <f>AV14+AV9+AV18</f>
        <v/>
      </c>
      <c r="AW19" s="37">
        <f>AW14+AW9+AW18</f>
        <v/>
      </c>
      <c r="AX19" s="37">
        <f>AX14+AX9+AX18</f>
        <v/>
      </c>
      <c r="AY19" s="37">
        <f>AY14+AY9+AY18</f>
        <v/>
      </c>
      <c r="AZ19" s="37">
        <f>AZ14+AZ9+AZ18</f>
        <v/>
      </c>
      <c r="BA19" s="37">
        <f>BA14+BA9+BA18</f>
        <v/>
      </c>
      <c r="BB19" s="37">
        <f>BB14+BB9+BB18</f>
        <v/>
      </c>
      <c r="BC19" s="37">
        <f>BC14+BC9+BC18</f>
        <v/>
      </c>
      <c r="BD19" s="37">
        <f>BD14+BD9+BD18</f>
        <v/>
      </c>
      <c r="BE19" s="37">
        <f>BE14+BE9+BE18</f>
        <v/>
      </c>
      <c r="BF19" s="37">
        <f>BF14+BF9+BF18</f>
        <v/>
      </c>
      <c r="BG19" s="37">
        <f>BG14+BG9+BG18</f>
        <v/>
      </c>
      <c r="BH19" s="37">
        <f>BH14+BH9+BH18</f>
        <v/>
      </c>
      <c r="BI19" s="37">
        <f>BI14+BI9+BI18</f>
        <v/>
      </c>
      <c r="BJ19" s="37">
        <f>BJ14+BJ9+BJ18</f>
        <v/>
      </c>
      <c r="BK19" s="37">
        <f>BK14+BK9+BK18</f>
        <v/>
      </c>
      <c r="BL19" s="37">
        <f>BL14+BL9+BL18</f>
        <v/>
      </c>
      <c r="BM19" s="37">
        <f>BM14+BM9+BM18</f>
        <v/>
      </c>
      <c r="BN19" s="37">
        <f>BN14+BN9+BN18</f>
        <v/>
      </c>
      <c r="BO19" s="37">
        <f>BO14+BO9+BO18</f>
        <v/>
      </c>
      <c r="BP19" s="37">
        <f>BP14+BP9+BP18</f>
        <v/>
      </c>
      <c r="BQ19" s="37">
        <f>BQ14+BQ9+BQ18</f>
        <v/>
      </c>
      <c r="BR19" s="37">
        <f>BR14+BR9+BR18</f>
        <v/>
      </c>
      <c r="BS19" s="37">
        <f>BS14+BS9+BS18</f>
        <v/>
      </c>
      <c r="BT19" s="37">
        <f>BT14+BT9+BT18</f>
        <v/>
      </c>
      <c r="BU19" s="37">
        <f>BU14+BU9+BU18</f>
        <v/>
      </c>
      <c r="BV19" s="37">
        <f>BV14+BV9+BV18</f>
        <v/>
      </c>
      <c r="BW19" s="37">
        <f>BW14+BW9+BW18</f>
        <v/>
      </c>
      <c r="BX19" s="37">
        <f>BX14+BX9+BX18</f>
        <v/>
      </c>
      <c r="BY19" s="37">
        <f>BY14+BY9+BY18</f>
        <v/>
      </c>
      <c r="BZ19" s="37">
        <f>BZ14+BZ9+BZ18</f>
        <v/>
      </c>
      <c r="CA19" s="37">
        <f>CA14+CA9+CA18</f>
        <v/>
      </c>
      <c r="CB19" s="37">
        <f>CB14+CB9+CB18</f>
        <v/>
      </c>
      <c r="CC19" s="37">
        <f>CC14+CC9+CC18</f>
        <v/>
      </c>
      <c r="CD19" s="37">
        <f>CD14+CD9+CD18</f>
        <v/>
      </c>
      <c r="CE19" s="37">
        <f>CE14+CE9+CE18</f>
        <v/>
      </c>
      <c r="CF19" s="37">
        <f>CF14+CF9+CF18</f>
        <v/>
      </c>
      <c r="CG19" s="37">
        <f>CG14+CG9+CG18</f>
        <v/>
      </c>
      <c r="CH19" s="37">
        <f>CH14+CH9+CH18</f>
        <v/>
      </c>
      <c r="CI19" s="37">
        <f>CI14+CI9+CI18</f>
        <v/>
      </c>
      <c r="CJ19" s="37">
        <f>CJ14+CJ9+CJ18</f>
        <v/>
      </c>
      <c r="CK19" s="37">
        <f>CK14+CK9+CK18</f>
        <v/>
      </c>
      <c r="CL19" s="37">
        <f>CL14+CL9+CL18</f>
        <v/>
      </c>
      <c r="CM19" s="37">
        <f>CM14+CM9+CM18</f>
        <v/>
      </c>
      <c r="CN19" s="37">
        <f>CN14+CN9+CN18</f>
        <v/>
      </c>
      <c r="CO19" s="37">
        <f>CO14+CO9+CO18</f>
        <v/>
      </c>
      <c r="CP19" s="37">
        <f>CP14+CP9+CP18</f>
        <v/>
      </c>
      <c r="CQ19" s="37">
        <f>CQ14+CQ9+CQ18</f>
        <v/>
      </c>
      <c r="CR19" s="37">
        <f>CR14+CR9+CR18</f>
        <v/>
      </c>
      <c r="CS19" s="37">
        <f>CS14+CS9+CS18</f>
        <v/>
      </c>
      <c r="CT19" s="37">
        <f>CT14+CT9+CT18</f>
        <v/>
      </c>
      <c r="CU19" s="37">
        <f>CU14+CU9+CU18</f>
        <v/>
      </c>
      <c r="CV19" s="37">
        <f>CV14+CV9+CV18</f>
        <v/>
      </c>
      <c r="CW19" s="37">
        <f>CW14+CW9+CW18</f>
        <v/>
      </c>
      <c r="CX19" s="37">
        <f>CX14+CX9+CX18</f>
        <v/>
      </c>
      <c r="CY19" s="37">
        <f>CY14+CY9+CY18</f>
        <v/>
      </c>
      <c r="CZ19" s="37">
        <f>CZ14+CZ9+CZ18</f>
        <v/>
      </c>
      <c r="DA19" s="37">
        <f>DA14+DA9+DA18</f>
        <v/>
      </c>
      <c r="DB19" s="37">
        <f>DB14+DB9+DB18</f>
        <v/>
      </c>
      <c r="DC19" s="37">
        <f>DC14+DC9+DC18</f>
        <v/>
      </c>
      <c r="DD19" s="37">
        <f>DD14+DD9+DD18</f>
        <v/>
      </c>
      <c r="DE19" s="37">
        <f>DE14+DE9+DE18</f>
        <v/>
      </c>
      <c r="DF19" s="37">
        <f>DF14+DF9+DF18</f>
        <v/>
      </c>
      <c r="DG19" s="37">
        <f>DG14+DG9+DG18</f>
        <v/>
      </c>
      <c r="DH19" s="37">
        <f>DH14+DH9+DH18</f>
        <v/>
      </c>
      <c r="DI19" s="37">
        <f>DI14+DI9+DI18</f>
        <v/>
      </c>
      <c r="DJ19" s="37">
        <f>DJ14+DJ9+DJ18</f>
        <v/>
      </c>
      <c r="DK19" s="37">
        <f>DK14+DK9+DK18</f>
        <v/>
      </c>
      <c r="DL19" s="37">
        <f>DL14+DL9+DL18</f>
        <v/>
      </c>
      <c r="DM19" s="37">
        <f>DM14+DM9+DM18</f>
        <v/>
      </c>
      <c r="DN19" s="37">
        <f>DN14+DN9+DN18</f>
        <v/>
      </c>
      <c r="DO19" s="37">
        <f>DO14+DO9+DO18</f>
        <v/>
      </c>
      <c r="DP19" s="37">
        <f>DP14+DP9+DP18</f>
        <v/>
      </c>
      <c r="DQ19" s="37">
        <f>DQ14+DQ9+DQ18</f>
        <v/>
      </c>
      <c r="DR19" s="37">
        <f>DR14+DR9+DR18</f>
        <v/>
      </c>
      <c r="DS19" s="37">
        <f>DS14+DS9+DS18</f>
        <v/>
      </c>
      <c r="DT19" s="37">
        <f>DT14+DT9+DT18</f>
        <v/>
      </c>
      <c r="DU19" s="37">
        <f>DU14+DU9+DU18</f>
        <v/>
      </c>
      <c r="DV19" s="37">
        <f>DV14+DV9+DV18</f>
        <v/>
      </c>
      <c r="DW19" s="37">
        <f>DW14+DW9+DW18</f>
        <v/>
      </c>
      <c r="DX19" s="37">
        <f>DX14+DX9+DX18</f>
        <v/>
      </c>
      <c r="DY19" s="37">
        <f>DY14+DY9+DY18</f>
        <v/>
      </c>
      <c r="DZ19" s="37">
        <f>DZ14+DZ9+DZ18</f>
        <v/>
      </c>
      <c r="EA19" s="37">
        <f>EA14+EA9+EA18</f>
        <v/>
      </c>
      <c r="EB19" s="37">
        <f>EB14+EB9+EB18</f>
        <v/>
      </c>
      <c r="EC19" s="37">
        <f>EC14+EC9+EC18</f>
        <v/>
      </c>
      <c r="ED19" s="37">
        <f>ED14+ED9+ED18</f>
        <v/>
      </c>
      <c r="EE19" s="37">
        <f>EE14+EE9+EE18</f>
        <v/>
      </c>
      <c r="EF19" s="37">
        <f>EF14+EF9+EF18</f>
        <v/>
      </c>
      <c r="EG19" s="37">
        <f>EG14+EG9+EG18</f>
        <v/>
      </c>
      <c r="EH19" s="37">
        <f>EH14+EH9+EH18</f>
        <v/>
      </c>
      <c r="EI19" s="37">
        <f>EI14+EI9+EI18</f>
        <v/>
      </c>
      <c r="EJ19" s="37">
        <f>EJ14+EJ9+EJ18</f>
        <v/>
      </c>
      <c r="EK19" s="37">
        <f>EK14+EK9+EK18</f>
        <v/>
      </c>
      <c r="EL19" s="37">
        <f>EL14+EL9+EL18</f>
        <v/>
      </c>
      <c r="EM19" s="37">
        <f>EM14+EM9+EM18</f>
        <v/>
      </c>
      <c r="EN19" s="37">
        <f>EN14+EN9+EN18</f>
        <v/>
      </c>
      <c r="EO19" s="37">
        <f>EO14+EO9+EO18</f>
        <v/>
      </c>
      <c r="EP19" s="37">
        <f>EP14+EP9+EP18</f>
        <v/>
      </c>
      <c r="EQ19" s="37">
        <f>EQ14+EQ9+EQ18</f>
        <v/>
      </c>
      <c r="ER19" s="37">
        <f>ER14+ER9+ER18</f>
        <v/>
      </c>
      <c r="ES19" s="37">
        <f>ES14+ES9+ES18</f>
        <v/>
      </c>
      <c r="ET19" s="37">
        <f>ET14+ET9+ET18</f>
        <v/>
      </c>
      <c r="EU19" s="37">
        <f>EU14+EU9+EU18</f>
        <v/>
      </c>
      <c r="EV19" s="37">
        <f>EV14+EV9+EV18</f>
        <v/>
      </c>
      <c r="EW19" s="37">
        <f>EW14+EW9+EW18</f>
        <v/>
      </c>
      <c r="EX19" s="37">
        <f>EX14+EX9+EX18</f>
        <v/>
      </c>
      <c r="EY19" s="37">
        <f>EY14+EY9+EY18</f>
        <v/>
      </c>
      <c r="EZ19" s="37">
        <f>EZ14+EZ9+EZ18</f>
        <v/>
      </c>
      <c r="FA19" s="37">
        <f>FA14+FA9+FA18</f>
        <v/>
      </c>
      <c r="FB19" s="37">
        <f>FB14+FB9+FB18</f>
        <v/>
      </c>
      <c r="FC19" s="37">
        <f>FC14+FC9+FC18</f>
        <v/>
      </c>
      <c r="FD19" s="37">
        <f>FD14+FD9+FD18</f>
        <v/>
      </c>
      <c r="FE19" s="37">
        <f>FE14+FE9+FE18</f>
        <v/>
      </c>
      <c r="FF19" s="37">
        <f>FF14+FF9+FF18</f>
        <v/>
      </c>
      <c r="FG19" s="37">
        <f>FG14+FG9+FG18</f>
        <v/>
      </c>
      <c r="FH19" s="37">
        <f>FH14+FH9+FH18</f>
        <v/>
      </c>
      <c r="FI19" s="37">
        <f>FI14+FI9+FI18</f>
        <v/>
      </c>
      <c r="FJ19" s="37">
        <f>FJ14+FJ9+FJ18</f>
        <v/>
      </c>
      <c r="FK19" s="37">
        <f>FK14+FK9+FK18</f>
        <v/>
      </c>
      <c r="FL19" s="37">
        <f>FL14+FL9+FL18</f>
        <v/>
      </c>
      <c r="FM19" s="37">
        <f>FM14+FM9+FM18</f>
        <v/>
      </c>
      <c r="FN19" s="37">
        <f>FN14+FN9+FN18</f>
        <v/>
      </c>
      <c r="FO19" s="37">
        <f>FO14+FO9+FO18</f>
        <v/>
      </c>
      <c r="FP19" s="37">
        <f>FP14+FP9+FP18</f>
        <v/>
      </c>
      <c r="FQ19" s="37">
        <f>FQ14+FQ9+FQ18</f>
        <v/>
      </c>
      <c r="FR19" s="37">
        <f>FR14+FR9+FR18</f>
        <v/>
      </c>
      <c r="FS19" s="37">
        <f>FS14+FS9+FS18</f>
        <v/>
      </c>
      <c r="FT19" s="37">
        <f>FT14+FT9+FT18</f>
        <v/>
      </c>
      <c r="FU19" s="37">
        <f>FU14+FU9+FU18</f>
        <v/>
      </c>
      <c r="FV19" s="37">
        <f>FV14+FV9+FV18</f>
        <v/>
      </c>
      <c r="FW19" s="37">
        <f>FW14+FW9+FW18</f>
        <v/>
      </c>
      <c r="FX19" s="37">
        <f>FX14+FX9+FX18</f>
        <v/>
      </c>
      <c r="FY19" s="37">
        <f>FY14+FY9+FY18</f>
        <v/>
      </c>
      <c r="FZ19" s="37">
        <f>FZ14+FZ9+FZ18</f>
        <v/>
      </c>
      <c r="GA19" s="37">
        <f>GA14+GA9+GA18</f>
        <v/>
      </c>
      <c r="GB19" s="37">
        <f>GB14+GB9+GB18</f>
        <v/>
      </c>
      <c r="GC19" s="37">
        <f>GC14+GC9+GC18</f>
        <v/>
      </c>
      <c r="GD19" s="37">
        <f>GD14+GD9+GD18</f>
        <v/>
      </c>
      <c r="GE19" s="37">
        <f>GE14+GE9+GE18</f>
        <v/>
      </c>
      <c r="GF19" s="37">
        <f>GF14+GF9+GF18</f>
        <v/>
      </c>
      <c r="GG19" s="37">
        <f>GG14+GG9+GG18</f>
        <v/>
      </c>
      <c r="GH19" s="37">
        <f>GH14+GH9+GH18</f>
        <v/>
      </c>
      <c r="GI19" s="37">
        <f>GI14+GI9+GI18</f>
        <v/>
      </c>
      <c r="GJ19" s="37">
        <f>GJ14+GJ9+GJ18</f>
        <v/>
      </c>
      <c r="GK19" s="37">
        <f>GK14+GK9+GK18</f>
        <v/>
      </c>
      <c r="GL19" s="37">
        <f>GL14+GL9+GL18</f>
        <v/>
      </c>
      <c r="GM19" s="37">
        <f>GM14+GM9+GM18</f>
        <v/>
      </c>
      <c r="GN19" s="37">
        <f>GN14+GN9+GN18</f>
        <v/>
      </c>
      <c r="GO19" s="37">
        <f>GO14+GO9+GO18</f>
        <v/>
      </c>
      <c r="GP19" s="37">
        <f>GP14+GP9+GP18</f>
        <v/>
      </c>
      <c r="GQ19" s="37">
        <f>GQ14+GQ9+GQ18</f>
        <v/>
      </c>
      <c r="GR19" s="37">
        <f>GR14+GR9+GR18</f>
        <v/>
      </c>
      <c r="GS19" s="37">
        <f>GS14+GS9+GS18</f>
        <v/>
      </c>
      <c r="GT19" s="37">
        <f>GT14+GT9+GT18</f>
        <v/>
      </c>
      <c r="GU19" s="37">
        <f>GU14+GU9+GU18</f>
        <v/>
      </c>
      <c r="GV19" s="37">
        <f>GV14+GV9+GV18</f>
        <v/>
      </c>
      <c r="GW19" s="37">
        <f>GW14+GW9+GW18</f>
        <v/>
      </c>
      <c r="GX19" s="37">
        <f>GX14+GX9+GX18</f>
        <v/>
      </c>
      <c r="GY19" s="37">
        <f>GY14+GY9+GY18</f>
        <v/>
      </c>
      <c r="GZ19" s="37">
        <f>GZ14+GZ9+GZ18</f>
        <v/>
      </c>
      <c r="HA19" s="37">
        <f>HA14+HA9+HA18</f>
        <v/>
      </c>
      <c r="HB19" s="37">
        <f>HB14+HB9+HB18</f>
        <v/>
      </c>
      <c r="HC19" s="37">
        <f>HC14+HC9+HC18</f>
        <v/>
      </c>
      <c r="HD19" s="37">
        <f>HD14+HD9+HD18</f>
        <v/>
      </c>
      <c r="HE19" s="37">
        <f>HE14+HE9+HE18</f>
        <v/>
      </c>
      <c r="HF19" s="37">
        <f>HF14+HF9+HF18</f>
        <v/>
      </c>
      <c r="HG19" s="37">
        <f>HG14+HG9+HG18</f>
        <v/>
      </c>
      <c r="HH19" s="37">
        <f>HH14+HH9+HH18</f>
        <v/>
      </c>
      <c r="HI19" s="37">
        <f>HI14+HI9+HI18</f>
        <v/>
      </c>
      <c r="HJ19" s="37">
        <f>HJ14+HJ9+HJ18</f>
        <v/>
      </c>
      <c r="HK19" s="37">
        <f>HK14+HK9+HK18</f>
        <v/>
      </c>
      <c r="HL19" s="37">
        <f>HL14+HL9+HL18</f>
        <v/>
      </c>
      <c r="HM19" s="37">
        <f>HM14+HM9+HM18</f>
        <v/>
      </c>
      <c r="HN19" s="37">
        <f>HN14+HN9+HN18</f>
        <v/>
      </c>
      <c r="HO19" s="37">
        <f>HO14+HO9+HO18</f>
        <v/>
      </c>
      <c r="HP19" s="37">
        <f>HP14+HP9+HP18</f>
        <v/>
      </c>
      <c r="HQ19" s="37">
        <f>HQ14+HQ9+HQ18</f>
        <v/>
      </c>
      <c r="HR19" s="37">
        <f>HR14+HR9+HR18</f>
        <v/>
      </c>
      <c r="HS19" s="37">
        <f>HS14+HS9+HS18</f>
        <v/>
      </c>
      <c r="HT19" s="37">
        <f>HT14+HT9+HT18</f>
        <v/>
      </c>
      <c r="HU19" s="37">
        <f>HU14+HU9+HU18</f>
        <v/>
      </c>
      <c r="HV19" s="37">
        <f>HV14+HV9+HV18</f>
        <v/>
      </c>
      <c r="HW19" s="37">
        <f>HW14+HW9+HW18</f>
        <v/>
      </c>
      <c r="HX19" s="37">
        <f>HX14+HX9+HX18</f>
        <v/>
      </c>
      <c r="HY19" s="37">
        <f>HY14+HY9+HY18</f>
        <v/>
      </c>
      <c r="HZ19" s="37">
        <f>HZ14+HZ9+HZ18</f>
        <v/>
      </c>
      <c r="IA19" s="37">
        <f>IA14+IA9+IA18</f>
        <v/>
      </c>
      <c r="IB19" s="37">
        <f>IB14+IB9+IB18</f>
        <v/>
      </c>
      <c r="IC19" s="37">
        <f>IC14+IC9+IC18</f>
        <v/>
      </c>
      <c r="ID19" s="37">
        <f>ID14+ID9+ID18</f>
        <v/>
      </c>
      <c r="IE19" s="37">
        <f>IE14+IE9+IE18</f>
        <v/>
      </c>
      <c r="IF19" s="37">
        <f>IF14+IF9+IF18</f>
        <v/>
      </c>
      <c r="IG19" s="37">
        <f>IG14+IG9+IG18</f>
        <v/>
      </c>
      <c r="IH19" s="37">
        <f>IH14+IH9+IH18</f>
        <v/>
      </c>
      <c r="II19" s="37">
        <f>II14+II9+II18</f>
        <v/>
      </c>
      <c r="IJ19" s="37">
        <f>IJ14+IJ9+IJ18</f>
        <v/>
      </c>
      <c r="IK19" s="37">
        <f>IK14+IK9+IK18</f>
        <v/>
      </c>
      <c r="IL19" s="37">
        <f>IL14+IL9+IL18</f>
        <v/>
      </c>
      <c r="IM19" s="37">
        <f>IM14+IM9+IM18</f>
        <v/>
      </c>
      <c r="IN19" s="37">
        <f>IN14+IN9+IN18</f>
        <v/>
      </c>
      <c r="IO19" s="37">
        <f>IO14+IO9+IO18</f>
        <v/>
      </c>
      <c r="IP19" s="37">
        <f>IP14+IP9+IP18</f>
        <v/>
      </c>
      <c r="IQ19" s="37">
        <f>IQ14+IQ9+IQ18</f>
        <v/>
      </c>
      <c r="IR19" s="37">
        <f>IR14+IR9+IR18</f>
        <v/>
      </c>
      <c r="IS19" s="37">
        <f>IS14+IS9+IS18</f>
        <v/>
      </c>
      <c r="IT19" s="37">
        <f>IT14+IT9+IT18</f>
        <v/>
      </c>
      <c r="IU19" s="37">
        <f>IU14+IU9+IU18</f>
        <v/>
      </c>
      <c r="IV19" s="37">
        <f>IV14+IV9+IV18</f>
        <v/>
      </c>
      <c r="IW19" s="37">
        <f>IW14+IW9+IW18</f>
        <v/>
      </c>
      <c r="IX19" s="37">
        <f>IX14+IX9+IX18</f>
        <v/>
      </c>
      <c r="IY19" s="37">
        <f>IY14+IY9+IY18</f>
        <v/>
      </c>
      <c r="IZ19" s="37">
        <f>IZ14+IZ9+IZ18</f>
        <v/>
      </c>
      <c r="JA19" s="37">
        <f>JA14+JA9+JA18</f>
        <v/>
      </c>
      <c r="JB19" s="37">
        <f>JB14+JB9+JB18</f>
        <v/>
      </c>
      <c r="JC19" s="37">
        <f>JC14+JC9+JC18</f>
        <v/>
      </c>
      <c r="JD19" s="37">
        <f>JD14+JD9+JD18</f>
        <v/>
      </c>
      <c r="JE19" s="37">
        <f>JE14+JE9+JE18</f>
        <v/>
      </c>
      <c r="JF19" s="37">
        <f>JF14+JF9+JF18</f>
        <v/>
      </c>
      <c r="JG19" s="37">
        <f>JG14+JG9+JG18</f>
        <v/>
      </c>
      <c r="JH19" s="37">
        <f>JH14+JH9+JH18</f>
        <v/>
      </c>
      <c r="JI19" s="37">
        <f>JI14+JI9+JI18</f>
        <v/>
      </c>
      <c r="JJ19" s="37">
        <f>JJ14+JJ9+JJ18</f>
        <v/>
      </c>
      <c r="JK19" s="37">
        <f>JK14+JK9+JK18</f>
        <v/>
      </c>
      <c r="JL19" s="37">
        <f>JL14+JL9+JL18</f>
        <v/>
      </c>
      <c r="JM19" s="37">
        <f>JM14+JM9+JM18</f>
        <v/>
      </c>
      <c r="JN19" s="37">
        <f>JN14+JN9+JN18</f>
        <v/>
      </c>
      <c r="JO19" s="37">
        <f>JO14+JO9+JO18</f>
        <v/>
      </c>
      <c r="JP19" s="37">
        <f>JP14+JP9+JP18</f>
        <v/>
      </c>
      <c r="JQ19" s="37">
        <f>JQ14+JQ9+JQ18</f>
        <v/>
      </c>
      <c r="JR19" s="37">
        <f>JR14+JR9+JR18</f>
        <v/>
      </c>
      <c r="JS19" s="37">
        <f>JS14+JS9+JS18</f>
        <v/>
      </c>
      <c r="JT19" s="37">
        <f>JT14+JT9+JT18</f>
        <v/>
      </c>
      <c r="JU19" s="37">
        <f>JU14+JU9+JU18</f>
        <v/>
      </c>
      <c r="JV19" s="37">
        <f>JV14+JV9+JV18</f>
        <v/>
      </c>
      <c r="JW19" s="37">
        <f>JW14+JW9+JW18</f>
        <v/>
      </c>
      <c r="JX19" s="37">
        <f>JX14+JX9+JX18</f>
        <v/>
      </c>
      <c r="JY19" s="37">
        <f>JY14+JY9+JY18</f>
        <v/>
      </c>
      <c r="JZ19" s="37">
        <f>JZ14+JZ9+JZ18</f>
        <v/>
      </c>
      <c r="KA19" s="37">
        <f>KA14+KA9+KA18</f>
        <v/>
      </c>
      <c r="KB19" s="37">
        <f>KB14+KB9+KB18</f>
        <v/>
      </c>
      <c r="KC19" s="37">
        <f>KC14+KC9+KC18</f>
        <v/>
      </c>
      <c r="KD19" s="37">
        <f>KD14+KD9+KD18</f>
        <v/>
      </c>
      <c r="KE19" s="37">
        <f>KE14+KE9+KE18</f>
        <v/>
      </c>
      <c r="KF19" s="37">
        <f>KF14+KF9+KF18</f>
        <v/>
      </c>
      <c r="KG19" s="37">
        <f>KG14+KG9+KG18</f>
        <v/>
      </c>
      <c r="KH19" s="37">
        <f>KH14+KH9+KH18</f>
        <v/>
      </c>
      <c r="KI19" s="37">
        <f>KI14+KI9+KI18</f>
        <v/>
      </c>
      <c r="KJ19" s="37">
        <f>KJ14+KJ9+KJ18</f>
        <v/>
      </c>
      <c r="KK19" s="37">
        <f>KK14+KK9+KK18</f>
        <v/>
      </c>
      <c r="KL19" s="37">
        <f>KL14+KL9+KL18</f>
        <v/>
      </c>
      <c r="KM19" s="37">
        <f>KM14+KM9+KM18</f>
        <v/>
      </c>
      <c r="KN19" s="37">
        <f>KN14+KN9+KN18</f>
        <v/>
      </c>
      <c r="KO19" s="37">
        <f>KO14+KO9+KO18</f>
        <v/>
      </c>
      <c r="KP19" s="37">
        <f>KP14+KP9+KP18</f>
        <v/>
      </c>
      <c r="KQ19" s="37">
        <f>KQ14+KQ9+KQ18</f>
        <v/>
      </c>
      <c r="KR19" s="37">
        <f>KR14+KR9+KR18</f>
        <v/>
      </c>
      <c r="KS19" s="37">
        <f>KS14+KS9+KS18</f>
        <v/>
      </c>
      <c r="KT19" s="37">
        <f>KT14+KT9+KT18</f>
        <v/>
      </c>
      <c r="KU19" s="37">
        <f>KU14+KU9+KU18</f>
        <v/>
      </c>
      <c r="KV19" s="37">
        <f>KV14+KV9+KV18</f>
        <v/>
      </c>
      <c r="KW19" s="37">
        <f>KW14+KW9+KW18</f>
        <v/>
      </c>
      <c r="KX19" s="37">
        <f>KX14+KX9+KX18</f>
        <v/>
      </c>
      <c r="KY19" s="37">
        <f>KY14+KY9+KY18</f>
        <v/>
      </c>
      <c r="KZ19" s="37">
        <f>KZ14+KZ9+KZ18</f>
        <v/>
      </c>
      <c r="LA19" s="37">
        <f>LA14+LA9+LA18</f>
        <v/>
      </c>
      <c r="LB19" s="37">
        <f>LB14+LB9+LB18</f>
        <v/>
      </c>
      <c r="LC19" s="37">
        <f>LC14+LC9+LC18</f>
        <v/>
      </c>
      <c r="LD19" s="37">
        <f>LD14+LD9+LD18</f>
        <v/>
      </c>
      <c r="LE19" s="37">
        <f>LE14+LE9+LE18</f>
        <v/>
      </c>
      <c r="LF19" s="37">
        <f>LF14+LF9+LF18</f>
        <v/>
      </c>
      <c r="LG19" s="37">
        <f>LG14+LG9+LG18</f>
        <v/>
      </c>
      <c r="LH19" s="37">
        <f>LH14+LH9+LH18</f>
        <v/>
      </c>
      <c r="LI19" s="37">
        <f>LI14+LI9+LI18</f>
        <v/>
      </c>
      <c r="LJ19" s="37">
        <f>LJ14+LJ9+LJ18</f>
        <v/>
      </c>
      <c r="LK19" s="37">
        <f>LK14+LK9+LK18</f>
        <v/>
      </c>
      <c r="LL19" s="37">
        <f>LL14+LL9+LL18</f>
        <v/>
      </c>
      <c r="LM19" s="37">
        <f>LM14+LM9+LM18</f>
        <v/>
      </c>
      <c r="LN19" s="37">
        <f>LN14+LN9+LN18</f>
        <v/>
      </c>
      <c r="LO19" s="37">
        <f>LO14+LO9+LO18</f>
        <v/>
      </c>
      <c r="LP19" s="37">
        <f>LP14+LP9+LP18</f>
        <v/>
      </c>
      <c r="LQ19" s="37">
        <f>LQ14+LQ9+LQ18</f>
        <v/>
      </c>
      <c r="LR19" s="37">
        <f>LR14+LR9+LR18</f>
        <v/>
      </c>
      <c r="LS19" s="37">
        <f>LS14+LS9+LS18</f>
        <v/>
      </c>
      <c r="LT19" s="37">
        <f>LT14+LT9+LT18</f>
        <v/>
      </c>
      <c r="LU19" s="37">
        <f>LU14+LU9+LU18</f>
        <v/>
      </c>
      <c r="LV19" s="37">
        <f>LV14+LV9+LV18</f>
        <v/>
      </c>
      <c r="LW19" s="37">
        <f>LW14+LW9+LW18</f>
        <v/>
      </c>
      <c r="LX19" s="37">
        <f>LX14+LX9+LX18</f>
        <v/>
      </c>
      <c r="LY19" s="37">
        <f>LY14+LY9+LY18</f>
        <v/>
      </c>
      <c r="LZ19" s="37">
        <f>LZ14+LZ9+LZ18</f>
        <v/>
      </c>
      <c r="MA19" s="37">
        <f>MA14+MA9+MA18</f>
        <v/>
      </c>
      <c r="MB19" s="37">
        <f>MB14+MB9+MB18</f>
        <v/>
      </c>
      <c r="MC19" s="37">
        <f>MC14+MC9+MC18</f>
        <v/>
      </c>
      <c r="MD19" s="37">
        <f>MD14+MD9+MD18</f>
        <v/>
      </c>
      <c r="ME19" s="37">
        <f>ME14+ME9+ME18</f>
        <v/>
      </c>
      <c r="MF19" s="37">
        <f>MF14+MF9+MF18</f>
        <v/>
      </c>
      <c r="MG19" s="37">
        <f>MG14+MG9+MG18</f>
        <v/>
      </c>
      <c r="MH19" s="37">
        <f>MH14+MH9+MH18</f>
        <v/>
      </c>
      <c r="MI19" s="37">
        <f>MI14+MI9+MI18</f>
        <v/>
      </c>
      <c r="MJ19" s="37">
        <f>MJ14+MJ9+MJ18</f>
        <v/>
      </c>
      <c r="MK19" s="37">
        <f>MK14+MK9+MK18</f>
        <v/>
      </c>
      <c r="ML19" s="37">
        <f>ML14+ML9+ML18</f>
        <v/>
      </c>
      <c r="MM19" s="37">
        <f>MM14+MM9+MM18</f>
        <v/>
      </c>
      <c r="MN19" s="37">
        <f>MN14+MN9+MN18</f>
        <v/>
      </c>
      <c r="MO19" s="37">
        <f>MO14+MO9+MO18</f>
        <v/>
      </c>
      <c r="MP19" s="37">
        <f>MP14+MP9+MP18</f>
        <v/>
      </c>
      <c r="MQ19" s="37">
        <f>MQ14+MQ9+MQ18</f>
        <v/>
      </c>
      <c r="MR19" s="37">
        <f>MR14+MR9+MR18</f>
        <v/>
      </c>
      <c r="MS19" s="37">
        <f>MS14+MS9+MS18</f>
        <v/>
      </c>
      <c r="MT19" s="37">
        <f>MT14+MT9+MT18</f>
        <v/>
      </c>
      <c r="MU19" s="37">
        <f>MU14+MU9+MU18</f>
        <v/>
      </c>
      <c r="MV19" s="37">
        <f>MV14+MV9+MV18</f>
        <v/>
      </c>
      <c r="MW19" s="37">
        <f>MW14+MW9+MW18</f>
        <v/>
      </c>
      <c r="MX19" s="37">
        <f>MX14+MX9+MX18</f>
        <v/>
      </c>
      <c r="MY19" s="37">
        <f>MY14+MY9+MY18</f>
        <v/>
      </c>
      <c r="MZ19" s="37">
        <f>MZ14+MZ9+MZ18</f>
        <v/>
      </c>
      <c r="NA19" s="37">
        <f>NA14+NA9+NA18</f>
        <v/>
      </c>
      <c r="NB19" s="37">
        <f>NB14+NB9+NB18</f>
        <v/>
      </c>
      <c r="NC19" s="37">
        <f>NC14+NC9+NC18</f>
        <v/>
      </c>
      <c r="ND19" s="37">
        <f>ND14+ND9+ND18</f>
        <v/>
      </c>
      <c r="NE19" s="37">
        <f>NE14+NE9+NE18</f>
        <v/>
      </c>
      <c r="NF19" s="37">
        <f>NF14+NF9+NF18</f>
        <v/>
      </c>
      <c r="NG19" s="37">
        <f>NG14+NG9+NG18</f>
        <v/>
      </c>
      <c r="NH19" s="37">
        <f>NH14+NH9+NH18</f>
        <v/>
      </c>
      <c r="NI19" s="37">
        <f>NI14+NI9+NI18</f>
        <v/>
      </c>
      <c r="NJ19" s="37">
        <f>NJ14+NJ9+NJ18</f>
        <v/>
      </c>
      <c r="NK19" s="37">
        <f>NK14+NK9+NK18</f>
        <v/>
      </c>
      <c r="NL19" s="37">
        <f>NL14+NL9+NL18</f>
        <v/>
      </c>
      <c r="NM19" s="37">
        <f>NM14+NM9+NM18</f>
        <v/>
      </c>
      <c r="NN19" s="37">
        <f>NN14+NN9+NN18</f>
        <v/>
      </c>
      <c r="NO19" s="37">
        <f>NO14+NO9+NO18</f>
        <v/>
      </c>
      <c r="NP19" s="37">
        <f>NP14+NP9+NP18</f>
        <v/>
      </c>
      <c r="NQ19" s="37">
        <f>NQ14+NQ9+NQ18</f>
        <v/>
      </c>
      <c r="NR19" s="37">
        <f>NR14+NR9+NR18</f>
        <v/>
      </c>
      <c r="NS19" s="37">
        <f>NS14+NS9+NS18</f>
        <v/>
      </c>
      <c r="NT19" s="37">
        <f>NT14+NT9+NT18</f>
        <v/>
      </c>
      <c r="NU19" s="37">
        <f>NU14+NU9+NU18</f>
        <v/>
      </c>
      <c r="NV19" s="37">
        <f>NV14+NV9+NV18</f>
        <v/>
      </c>
      <c r="NW19" s="37">
        <f>NW14+NW9+NW18</f>
        <v/>
      </c>
      <c r="NX19" s="37">
        <f>NX14+NX9+NX18</f>
        <v/>
      </c>
      <c r="NY19" s="37">
        <f>NY14+NY9+NY18</f>
        <v/>
      </c>
      <c r="NZ19" s="37">
        <f>NZ14+NZ9+NZ18</f>
        <v/>
      </c>
      <c r="OA19" s="37">
        <f>OA14+OA9+OA18</f>
        <v/>
      </c>
      <c r="OB19" s="37">
        <f>OB14+OB9+OB18</f>
        <v/>
      </c>
      <c r="OC19" s="37">
        <f>OC14+OC9+OC18</f>
        <v/>
      </c>
      <c r="OD19" s="37">
        <f>OD14+OD9+OD18</f>
        <v/>
      </c>
      <c r="OE19" s="37">
        <f>OE14+OE9+OE18</f>
        <v/>
      </c>
      <c r="OF19" s="37">
        <f>OF14+OF9+OF18</f>
        <v/>
      </c>
      <c r="OG19" s="37">
        <f>OG14+OG9+OG18</f>
        <v/>
      </c>
      <c r="OH19" s="37">
        <f>OH14+OH9+OH18</f>
        <v/>
      </c>
      <c r="OI19" s="37">
        <f>OI14+OI9+OI18</f>
        <v/>
      </c>
      <c r="OJ19" s="37">
        <f>OJ14+OJ9+OJ18</f>
        <v/>
      </c>
      <c r="OK19" s="37">
        <f>OK14+OK9+OK18</f>
        <v/>
      </c>
      <c r="OL19" s="37">
        <f>OL14+OL9+OL18</f>
        <v/>
      </c>
      <c r="OM19" s="37">
        <f>OM14+OM9+OM18</f>
        <v/>
      </c>
      <c r="ON19" s="37">
        <f>ON14+ON9+ON18</f>
        <v/>
      </c>
      <c r="OO19" s="37">
        <f>OO14+OO9+OO18</f>
        <v/>
      </c>
      <c r="OP19" s="37">
        <f>OP14+OP9+OP18</f>
        <v/>
      </c>
      <c r="OQ19" s="37">
        <f>OQ14+OQ9+OQ18</f>
        <v/>
      </c>
      <c r="OR19" s="37">
        <f>OR14+OR9+OR18</f>
        <v/>
      </c>
      <c r="OS19" s="37">
        <f>OS14+OS9+OS18</f>
        <v/>
      </c>
      <c r="OT19" s="37">
        <f>OT14+OT9+OT18</f>
        <v/>
      </c>
      <c r="OU19" s="37">
        <f>OU14+OU9+OU18</f>
        <v/>
      </c>
      <c r="OV19" s="37">
        <f>OV14+OV9+OV18</f>
        <v/>
      </c>
      <c r="OW19" s="37">
        <f>OW14+OW9+OW18</f>
        <v/>
      </c>
      <c r="OX19" s="37">
        <f>OX14+OX9+OX18</f>
        <v/>
      </c>
      <c r="OY19" s="37">
        <f>OY14+OY9+OY18</f>
        <v/>
      </c>
      <c r="OZ19" s="37">
        <f>OZ14+OZ9+OZ18</f>
        <v/>
      </c>
      <c r="PA19" s="37">
        <f>PA14+PA9+PA18</f>
        <v/>
      </c>
      <c r="PB19" s="37">
        <f>PB14+PB9+PB18</f>
        <v/>
      </c>
      <c r="PC19" s="37">
        <f>PC14+PC9+PC18</f>
        <v/>
      </c>
      <c r="PD19" s="37">
        <f>PD14+PD9+PD18</f>
        <v/>
      </c>
      <c r="PE19" s="37">
        <f>PE14+PE9+PE18</f>
        <v/>
      </c>
      <c r="PF19" s="37">
        <f>PF14+PF9+PF18</f>
        <v/>
      </c>
      <c r="PG19" s="37">
        <f>PG14+PG9+PG18</f>
        <v/>
      </c>
      <c r="PH19" s="37">
        <f>PH14+PH9+PH18</f>
        <v/>
      </c>
      <c r="PI19" s="37">
        <f>PI14+PI9+PI18</f>
        <v/>
      </c>
      <c r="PJ19" s="37">
        <f>PJ14+PJ9+PJ18</f>
        <v/>
      </c>
      <c r="PK19" s="37">
        <f>PK14+PK9+PK18</f>
        <v/>
      </c>
      <c r="PL19" s="37">
        <f>PL14+PL9+PL18</f>
        <v/>
      </c>
      <c r="PM19" s="37">
        <f>PM14+PM9+PM18</f>
        <v/>
      </c>
      <c r="PN19" s="37">
        <f>PN14+PN9+PN18</f>
        <v/>
      </c>
      <c r="PO19" s="37">
        <f>PO14+PO9+PO18</f>
        <v/>
      </c>
      <c r="PP19" s="37">
        <f>PP14+PP9+PP18</f>
        <v/>
      </c>
      <c r="PQ19" s="37">
        <f>PQ14+PQ9+PQ18</f>
        <v/>
      </c>
      <c r="PR19" s="37">
        <f>PR14+PR9+PR18</f>
        <v/>
      </c>
      <c r="PS19" s="37">
        <f>PS14+PS9+PS18</f>
        <v/>
      </c>
      <c r="PT19" s="37">
        <f>PT14+PT9+PT18</f>
        <v/>
      </c>
      <c r="PU19" s="37">
        <f>PU14+PU9+PU18</f>
        <v/>
      </c>
      <c r="PV19" s="37">
        <f>PV14+PV9+PV18</f>
        <v/>
      </c>
      <c r="PW19" s="37">
        <f>PW14+PW9+PW18</f>
        <v/>
      </c>
      <c r="PX19" s="37">
        <f>PX14+PX9+PX18</f>
        <v/>
      </c>
      <c r="PY19" s="37">
        <f>PY14+PY9+PY18</f>
        <v/>
      </c>
      <c r="PZ19" s="37">
        <f>PZ14+PZ9+PZ18</f>
        <v/>
      </c>
      <c r="QA19" s="37">
        <f>QA14+QA9+QA18</f>
        <v/>
      </c>
      <c r="QB19" s="37">
        <f>QB14+QB9+QB18</f>
        <v/>
      </c>
      <c r="QC19" s="37">
        <f>QC14+QC9+QC18</f>
        <v/>
      </c>
      <c r="QD19" s="37">
        <f>QD14+QD9+QD18</f>
        <v/>
      </c>
      <c r="QE19" s="37">
        <f>QE14+QE9+QE18</f>
        <v/>
      </c>
      <c r="QF19" s="37">
        <f>QF14+QF9+QF18</f>
        <v/>
      </c>
      <c r="QG19" s="37">
        <f>QG14+QG9+QG18</f>
        <v/>
      </c>
      <c r="QH19" s="37">
        <f>QH14+QH9+QH18</f>
        <v/>
      </c>
      <c r="QI19" s="37">
        <f>QI14+QI9+QI18</f>
        <v/>
      </c>
      <c r="QJ19" s="37">
        <f>QJ14+QJ9+QJ18</f>
        <v/>
      </c>
      <c r="QK19" s="37">
        <f>QK14+QK9+QK18</f>
        <v/>
      </c>
      <c r="QL19" s="37">
        <f>QL14+QL9+QL18</f>
        <v/>
      </c>
      <c r="QM19" s="37">
        <f>QM14+QM9+QM18</f>
        <v/>
      </c>
      <c r="QN19" s="37">
        <f>QN14+QN9+QN18</f>
        <v/>
      </c>
      <c r="QO19" s="37">
        <f>QO14+QO9+QO18</f>
        <v/>
      </c>
      <c r="QP19" s="37">
        <f>QP14+QP9+QP18</f>
        <v/>
      </c>
      <c r="QQ19" s="37">
        <f>QQ14+QQ9+QQ18</f>
        <v/>
      </c>
      <c r="QR19" s="37">
        <f>QR14+QR9+QR18</f>
        <v/>
      </c>
      <c r="QS19" s="37">
        <f>QS14+QS9+QS18</f>
        <v/>
      </c>
      <c r="QT19" s="37">
        <f>QT14+QT9+QT18</f>
        <v/>
      </c>
      <c r="QU19" s="37">
        <f>QU14+QU9+QU18</f>
        <v/>
      </c>
      <c r="QV19" s="37">
        <f>QV14+QV9+QV18</f>
        <v/>
      </c>
      <c r="QW19" s="37">
        <f>QW14+QW9+QW18</f>
        <v/>
      </c>
      <c r="QX19" s="37">
        <f>QX14+QX9+QX18</f>
        <v/>
      </c>
      <c r="QY19" s="37">
        <f>QY14+QY9+QY18</f>
        <v/>
      </c>
      <c r="QZ19" s="37">
        <f>QZ14+QZ9+QZ18</f>
        <v/>
      </c>
      <c r="RA19" s="37">
        <f>RA14+RA9+RA18</f>
        <v/>
      </c>
      <c r="RB19" s="37">
        <f>RB14+RB9+RB18</f>
        <v/>
      </c>
      <c r="RC19" s="37">
        <f>RC14+RC9+RC18</f>
        <v/>
      </c>
      <c r="RD19" s="37">
        <f>RD14+RD9+RD18</f>
        <v/>
      </c>
      <c r="RE19" s="37">
        <f>RE14+RE9+RE18</f>
        <v/>
      </c>
      <c r="RF19" s="37">
        <f>RF14+RF9+RF18</f>
        <v/>
      </c>
      <c r="RG19" s="37">
        <f>RG14+RG9+RG18</f>
        <v/>
      </c>
      <c r="RH19" s="37">
        <f>RH14+RH9+RH18</f>
        <v/>
      </c>
      <c r="RI19" s="37">
        <f>RI14+RI9+RI18</f>
        <v/>
      </c>
      <c r="RJ19" s="37">
        <f>RJ14+RJ9+RJ18</f>
        <v/>
      </c>
      <c r="RK19" s="37">
        <f>RK14+RK9+RK18</f>
        <v/>
      </c>
      <c r="RL19" s="37">
        <f>RL14+RL9+RL18</f>
        <v/>
      </c>
      <c r="RM19" s="37">
        <f>RM14+RM9+RM18</f>
        <v/>
      </c>
      <c r="RN19" s="37">
        <f>RN14+RN9+RN18</f>
        <v/>
      </c>
      <c r="RO19" s="37">
        <f>RO14+RO9+RO18</f>
        <v/>
      </c>
      <c r="RP19" s="37">
        <f>RP14+RP9+RP18</f>
        <v/>
      </c>
      <c r="RQ19" s="37">
        <f>RQ14+RQ9+RQ18</f>
        <v/>
      </c>
      <c r="RR19" s="37">
        <f>RR14+RR9+RR18</f>
        <v/>
      </c>
      <c r="RS19" s="37">
        <f>RS14+RS9+RS18</f>
        <v/>
      </c>
      <c r="RT19" s="37">
        <f>RT14+RT9+RT18</f>
        <v/>
      </c>
      <c r="RU19" s="37">
        <f>RU14+RU9+RU18</f>
        <v/>
      </c>
      <c r="RV19" s="37">
        <f>RV14+RV9+RV18</f>
        <v/>
      </c>
      <c r="RW19" s="37">
        <f>RW14+RW9+RW18</f>
        <v/>
      </c>
    </row>
    <row r="20" ht="5.25" customHeight="1">
      <c r="A20" s="38" t="n"/>
      <c r="B20" s="38" t="n"/>
      <c r="C20" s="38" t="n"/>
      <c r="D20" s="38" t="n"/>
      <c r="E20" s="38" t="inlineStr">
        <is>
          <t>Revenue</t>
        </is>
      </c>
      <c r="F20" s="38" t="n"/>
      <c r="G20" s="38" t="n"/>
    </row>
    <row r="21" hidden="1" outlineLevel="1" ht="13.05" customHeight="1">
      <c r="E21" s="25" t="inlineStr">
        <is>
          <t>Capital Expenditure</t>
        </is>
      </c>
      <c r="F21" s="26" t="n"/>
      <c r="G21" s="26" t="inlineStr">
        <is>
          <t>kEUR</t>
        </is>
      </c>
      <c r="H21" s="26" t="n"/>
      <c r="I21" s="26" t="n"/>
      <c r="J21" s="27" t="n">
        <v>1175256</v>
      </c>
      <c r="K21" s="26" t="n"/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  <c r="AZ21" s="28" t="n">
        <v>0</v>
      </c>
      <c r="BA21" s="28" t="n">
        <v>0</v>
      </c>
      <c r="BB21" s="28" t="n">
        <v>0</v>
      </c>
      <c r="BC21" s="28" t="n">
        <v>0</v>
      </c>
      <c r="BD21" s="28" t="n">
        <v>0</v>
      </c>
      <c r="BE21" s="28" t="n">
        <v>0</v>
      </c>
      <c r="BF21" s="28" t="n">
        <v>0</v>
      </c>
      <c r="BG21" s="28" t="n">
        <v>0</v>
      </c>
      <c r="BH21" s="28" t="n">
        <v>32646</v>
      </c>
      <c r="BI21" s="28" t="n">
        <v>32646</v>
      </c>
      <c r="BJ21" s="28" t="n">
        <v>32646</v>
      </c>
      <c r="BK21" s="28" t="n">
        <v>32646</v>
      </c>
      <c r="BL21" s="28" t="n">
        <v>32646</v>
      </c>
      <c r="BM21" s="28" t="n">
        <v>32646</v>
      </c>
      <c r="BN21" s="28" t="n">
        <v>32646</v>
      </c>
      <c r="BO21" s="28" t="n">
        <v>32646</v>
      </c>
      <c r="BP21" s="28" t="n">
        <v>32646</v>
      </c>
      <c r="BQ21" s="28" t="n">
        <v>32646</v>
      </c>
      <c r="BR21" s="28" t="n">
        <v>32646</v>
      </c>
      <c r="BS21" s="28" t="n">
        <v>32646</v>
      </c>
      <c r="BT21" s="28" t="n">
        <v>32646</v>
      </c>
      <c r="BU21" s="28" t="n">
        <v>32646</v>
      </c>
      <c r="BV21" s="28" t="n">
        <v>32646</v>
      </c>
      <c r="BW21" s="28" t="n">
        <v>32646</v>
      </c>
      <c r="BX21" s="28" t="n">
        <v>32646</v>
      </c>
      <c r="BY21" s="28" t="n">
        <v>32646</v>
      </c>
      <c r="BZ21" s="28" t="n">
        <v>32646</v>
      </c>
      <c r="CA21" s="28" t="n">
        <v>32646</v>
      </c>
      <c r="CB21" s="28" t="n">
        <v>32646</v>
      </c>
      <c r="CC21" s="28" t="n">
        <v>32646</v>
      </c>
      <c r="CD21" s="28" t="n">
        <v>32646</v>
      </c>
      <c r="CE21" s="28" t="n">
        <v>32646</v>
      </c>
      <c r="CF21" s="28" t="n">
        <v>32646</v>
      </c>
      <c r="CG21" s="28" t="n">
        <v>32646</v>
      </c>
      <c r="CH21" s="28" t="n">
        <v>32646</v>
      </c>
      <c r="CI21" s="28" t="n">
        <v>32646</v>
      </c>
      <c r="CJ21" s="28" t="n">
        <v>32646</v>
      </c>
      <c r="CK21" s="28" t="n">
        <v>32646</v>
      </c>
      <c r="CL21" s="28" t="n">
        <v>32646</v>
      </c>
      <c r="CM21" s="28" t="n">
        <v>32646</v>
      </c>
      <c r="CN21" s="28" t="n">
        <v>32646</v>
      </c>
      <c r="CO21" s="28" t="n">
        <v>32646</v>
      </c>
      <c r="CP21" s="28" t="n">
        <v>32646</v>
      </c>
      <c r="CQ21" s="28" t="n">
        <v>32646</v>
      </c>
      <c r="CR21" s="28" t="n">
        <v>0</v>
      </c>
      <c r="CS21" s="28" t="n">
        <v>0</v>
      </c>
      <c r="CT21" s="28" t="n">
        <v>0</v>
      </c>
      <c r="CU21" s="28" t="n">
        <v>0</v>
      </c>
      <c r="CV21" s="28" t="n">
        <v>0</v>
      </c>
      <c r="CW21" s="28" t="n">
        <v>0</v>
      </c>
      <c r="CX21" s="28" t="n">
        <v>0</v>
      </c>
      <c r="CY21" s="28" t="n">
        <v>0</v>
      </c>
      <c r="CZ21" s="28" t="n">
        <v>0</v>
      </c>
      <c r="DA21" s="28" t="n">
        <v>0</v>
      </c>
      <c r="DB21" s="28" t="n">
        <v>0</v>
      </c>
      <c r="DC21" s="28" t="n">
        <v>0</v>
      </c>
      <c r="DD21" s="28" t="n">
        <v>0</v>
      </c>
      <c r="DE21" s="28" t="n">
        <v>0</v>
      </c>
      <c r="DF21" s="28" t="n">
        <v>0</v>
      </c>
      <c r="DG21" s="28" t="n">
        <v>0</v>
      </c>
      <c r="DH21" s="28" t="n">
        <v>0</v>
      </c>
      <c r="DI21" s="28" t="n">
        <v>0</v>
      </c>
      <c r="DJ21" s="28" t="n">
        <v>0</v>
      </c>
      <c r="DK21" s="28" t="n">
        <v>0</v>
      </c>
      <c r="DL21" s="28" t="n">
        <v>0</v>
      </c>
      <c r="DM21" s="28" t="n">
        <v>0</v>
      </c>
      <c r="DN21" s="28" t="n">
        <v>0</v>
      </c>
      <c r="DO21" s="28" t="n">
        <v>0</v>
      </c>
      <c r="DP21" s="28" t="n">
        <v>0</v>
      </c>
      <c r="DQ21" s="28" t="n">
        <v>0</v>
      </c>
      <c r="DR21" s="28" t="n">
        <v>0</v>
      </c>
      <c r="DS21" s="28" t="n">
        <v>0</v>
      </c>
      <c r="DT21" s="28" t="n">
        <v>0</v>
      </c>
      <c r="DU21" s="28" t="n">
        <v>0</v>
      </c>
      <c r="DV21" s="28" t="n">
        <v>0</v>
      </c>
      <c r="DW21" s="28" t="n">
        <v>0</v>
      </c>
      <c r="DX21" s="28" t="n">
        <v>0</v>
      </c>
      <c r="DY21" s="28" t="n">
        <v>0</v>
      </c>
      <c r="DZ21" s="28" t="n">
        <v>0</v>
      </c>
      <c r="EA21" s="28" t="n">
        <v>0</v>
      </c>
      <c r="EB21" s="28" t="n">
        <v>0</v>
      </c>
      <c r="EC21" s="28" t="n">
        <v>0</v>
      </c>
      <c r="ED21" s="28" t="n">
        <v>0</v>
      </c>
      <c r="EE21" s="28" t="n">
        <v>0</v>
      </c>
      <c r="EF21" s="28" t="n">
        <v>0</v>
      </c>
      <c r="EG21" s="28" t="n">
        <v>0</v>
      </c>
      <c r="EH21" s="28" t="n">
        <v>0</v>
      </c>
      <c r="EI21" s="28" t="n">
        <v>0</v>
      </c>
      <c r="EJ21" s="28" t="n">
        <v>0</v>
      </c>
      <c r="EK21" s="28" t="n">
        <v>0</v>
      </c>
      <c r="EL21" s="28" t="n">
        <v>0</v>
      </c>
      <c r="EM21" s="28" t="n">
        <v>0</v>
      </c>
      <c r="EN21" s="28" t="n">
        <v>0</v>
      </c>
      <c r="EO21" s="28" t="n">
        <v>0</v>
      </c>
      <c r="EP21" s="28" t="n">
        <v>0</v>
      </c>
      <c r="EQ21" s="28" t="n">
        <v>0</v>
      </c>
      <c r="ER21" s="28" t="n">
        <v>0</v>
      </c>
      <c r="ES21" s="28" t="n">
        <v>0</v>
      </c>
      <c r="ET21" s="28" t="n">
        <v>0</v>
      </c>
      <c r="EU21" s="28" t="n">
        <v>0</v>
      </c>
      <c r="EV21" s="28" t="n">
        <v>0</v>
      </c>
      <c r="EW21" s="28" t="n">
        <v>0</v>
      </c>
      <c r="EX21" s="28" t="n">
        <v>0</v>
      </c>
      <c r="EY21" s="28" t="n">
        <v>0</v>
      </c>
      <c r="EZ21" s="28" t="n">
        <v>0</v>
      </c>
      <c r="FA21" s="28" t="n">
        <v>0</v>
      </c>
      <c r="FB21" s="28" t="n">
        <v>0</v>
      </c>
      <c r="FC21" s="28" t="n">
        <v>0</v>
      </c>
      <c r="FD21" s="28" t="n">
        <v>0</v>
      </c>
      <c r="FE21" s="28" t="n">
        <v>0</v>
      </c>
      <c r="FF21" s="28" t="n">
        <v>0</v>
      </c>
      <c r="FG21" s="28" t="n">
        <v>0</v>
      </c>
      <c r="FH21" s="28" t="n">
        <v>0</v>
      </c>
      <c r="FI21" s="28" t="n">
        <v>0</v>
      </c>
      <c r="FJ21" s="28" t="n">
        <v>0</v>
      </c>
      <c r="FK21" s="28" t="n">
        <v>0</v>
      </c>
      <c r="FL21" s="28" t="n">
        <v>0</v>
      </c>
      <c r="FM21" s="28" t="n">
        <v>0</v>
      </c>
      <c r="FN21" s="28" t="n">
        <v>0</v>
      </c>
      <c r="FO21" s="28" t="n">
        <v>0</v>
      </c>
      <c r="FP21" s="28" t="n">
        <v>0</v>
      </c>
      <c r="FQ21" s="28" t="n">
        <v>0</v>
      </c>
      <c r="FR21" s="28" t="n">
        <v>0</v>
      </c>
      <c r="FS21" s="28" t="n">
        <v>0</v>
      </c>
      <c r="FT21" s="28" t="n">
        <v>0</v>
      </c>
      <c r="FU21" s="28" t="n">
        <v>0</v>
      </c>
      <c r="FV21" s="28" t="n">
        <v>0</v>
      </c>
      <c r="FW21" s="28" t="n">
        <v>0</v>
      </c>
      <c r="FX21" s="28" t="n">
        <v>0</v>
      </c>
      <c r="FY21" s="28" t="n">
        <v>0</v>
      </c>
      <c r="FZ21" s="28" t="n">
        <v>0</v>
      </c>
      <c r="GA21" s="28" t="n">
        <v>0</v>
      </c>
      <c r="GB21" s="28" t="n">
        <v>0</v>
      </c>
      <c r="GC21" s="28" t="n">
        <v>0</v>
      </c>
      <c r="GD21" s="28" t="n">
        <v>0</v>
      </c>
      <c r="GE21" s="28" t="n">
        <v>0</v>
      </c>
      <c r="GF21" s="28" t="n">
        <v>0</v>
      </c>
      <c r="GG21" s="28" t="n">
        <v>0</v>
      </c>
      <c r="GH21" s="28" t="n">
        <v>0</v>
      </c>
      <c r="GI21" s="28" t="n">
        <v>0</v>
      </c>
      <c r="GJ21" s="28" t="n">
        <v>0</v>
      </c>
      <c r="GK21" s="28" t="n">
        <v>0</v>
      </c>
      <c r="GL21" s="28" t="n">
        <v>0</v>
      </c>
      <c r="GM21" s="28" t="n">
        <v>0</v>
      </c>
      <c r="GN21" s="28" t="n">
        <v>0</v>
      </c>
      <c r="GO21" s="28" t="n">
        <v>0</v>
      </c>
      <c r="GP21" s="28" t="n">
        <v>0</v>
      </c>
      <c r="GQ21" s="28" t="n">
        <v>0</v>
      </c>
      <c r="GR21" s="28" t="n">
        <v>0</v>
      </c>
      <c r="GS21" s="28" t="n">
        <v>0</v>
      </c>
      <c r="GT21" s="28" t="n">
        <v>0</v>
      </c>
      <c r="GU21" s="28" t="n">
        <v>0</v>
      </c>
      <c r="GV21" s="28" t="n">
        <v>0</v>
      </c>
      <c r="GW21" s="28" t="n">
        <v>0</v>
      </c>
      <c r="GX21" s="28" t="n">
        <v>0</v>
      </c>
      <c r="GY21" s="28" t="n">
        <v>0</v>
      </c>
      <c r="GZ21" s="28" t="n">
        <v>0</v>
      </c>
      <c r="HA21" s="28" t="n">
        <v>0</v>
      </c>
      <c r="HB21" s="28" t="n">
        <v>0</v>
      </c>
      <c r="HC21" s="28" t="n">
        <v>0</v>
      </c>
      <c r="HD21" s="28" t="n">
        <v>0</v>
      </c>
      <c r="HE21" s="28" t="n">
        <v>0</v>
      </c>
      <c r="HF21" s="28" t="n">
        <v>0</v>
      </c>
      <c r="HG21" s="28" t="n">
        <v>0</v>
      </c>
      <c r="HH21" s="28" t="n">
        <v>0</v>
      </c>
      <c r="HI21" s="28" t="n">
        <v>0</v>
      </c>
      <c r="HJ21" s="28" t="n">
        <v>0</v>
      </c>
      <c r="HK21" s="28" t="n">
        <v>0</v>
      </c>
      <c r="HL21" s="28" t="n">
        <v>0</v>
      </c>
      <c r="HM21" s="28" t="n">
        <v>0</v>
      </c>
      <c r="HN21" s="28" t="n">
        <v>0</v>
      </c>
      <c r="HO21" s="28" t="n">
        <v>0</v>
      </c>
      <c r="HP21" s="28" t="n">
        <v>0</v>
      </c>
      <c r="HQ21" s="28" t="n">
        <v>0</v>
      </c>
      <c r="HR21" s="28" t="n">
        <v>0</v>
      </c>
      <c r="HS21" s="28" t="n">
        <v>0</v>
      </c>
      <c r="HT21" s="28" t="n">
        <v>0</v>
      </c>
      <c r="HU21" s="28" t="n">
        <v>0</v>
      </c>
      <c r="HV21" s="28" t="n">
        <v>0</v>
      </c>
      <c r="HW21" s="28" t="n">
        <v>0</v>
      </c>
      <c r="HX21" s="28" t="n">
        <v>0</v>
      </c>
      <c r="HY21" s="28" t="n">
        <v>0</v>
      </c>
      <c r="HZ21" s="28" t="n">
        <v>0</v>
      </c>
      <c r="IA21" s="28" t="n">
        <v>0</v>
      </c>
      <c r="IB21" s="28" t="n">
        <v>0</v>
      </c>
      <c r="IC21" s="28" t="n">
        <v>0</v>
      </c>
      <c r="ID21" s="28" t="n">
        <v>0</v>
      </c>
      <c r="IE21" s="28" t="n">
        <v>0</v>
      </c>
      <c r="IF21" s="28" t="n">
        <v>0</v>
      </c>
      <c r="IG21" s="28" t="n">
        <v>0</v>
      </c>
      <c r="IH21" s="28" t="n">
        <v>0</v>
      </c>
      <c r="II21" s="28" t="n">
        <v>0</v>
      </c>
      <c r="IJ21" s="28" t="n">
        <v>0</v>
      </c>
      <c r="IK21" s="28" t="n">
        <v>0</v>
      </c>
      <c r="IL21" s="28" t="n">
        <v>0</v>
      </c>
      <c r="IM21" s="28" t="n">
        <v>0</v>
      </c>
      <c r="IN21" s="28" t="n">
        <v>0</v>
      </c>
      <c r="IO21" s="28" t="n">
        <v>0</v>
      </c>
      <c r="IP21" s="28" t="n">
        <v>0</v>
      </c>
      <c r="IQ21" s="28" t="n">
        <v>0</v>
      </c>
      <c r="IR21" s="28" t="n">
        <v>0</v>
      </c>
      <c r="IS21" s="28" t="n">
        <v>0</v>
      </c>
      <c r="IT21" s="28" t="n">
        <v>0</v>
      </c>
      <c r="IU21" s="28" t="n">
        <v>0</v>
      </c>
      <c r="IV21" s="28" t="n">
        <v>0</v>
      </c>
      <c r="IW21" s="28" t="n">
        <v>0</v>
      </c>
      <c r="IX21" s="28" t="n">
        <v>0</v>
      </c>
      <c r="IY21" s="28" t="n">
        <v>0</v>
      </c>
      <c r="IZ21" s="28" t="n">
        <v>0</v>
      </c>
      <c r="JA21" s="28" t="n">
        <v>0</v>
      </c>
      <c r="JB21" s="28" t="n">
        <v>0</v>
      </c>
      <c r="JC21" s="28" t="n">
        <v>0</v>
      </c>
      <c r="JD21" s="28" t="n">
        <v>0</v>
      </c>
      <c r="JE21" s="28" t="n">
        <v>0</v>
      </c>
      <c r="JF21" s="28" t="n">
        <v>0</v>
      </c>
      <c r="JG21" s="28" t="n">
        <v>0</v>
      </c>
      <c r="JH21" s="28" t="n">
        <v>0</v>
      </c>
      <c r="JI21" s="28" t="n">
        <v>0</v>
      </c>
      <c r="JJ21" s="28" t="n">
        <v>0</v>
      </c>
      <c r="JK21" s="28" t="n">
        <v>0</v>
      </c>
      <c r="JL21" s="28" t="n">
        <v>0</v>
      </c>
      <c r="JM21" s="28" t="n">
        <v>0</v>
      </c>
      <c r="JN21" s="28" t="n">
        <v>0</v>
      </c>
      <c r="JO21" s="28" t="n">
        <v>0</v>
      </c>
      <c r="JP21" s="28" t="n">
        <v>0</v>
      </c>
      <c r="JQ21" s="28" t="n">
        <v>0</v>
      </c>
      <c r="JR21" s="28" t="n">
        <v>0</v>
      </c>
      <c r="JS21" s="28" t="n">
        <v>0</v>
      </c>
      <c r="JT21" s="28" t="n">
        <v>0</v>
      </c>
      <c r="JU21" s="28" t="n">
        <v>0</v>
      </c>
      <c r="JV21" s="28" t="n">
        <v>0</v>
      </c>
      <c r="JW21" s="28" t="n">
        <v>0</v>
      </c>
      <c r="JX21" s="28" t="n">
        <v>0</v>
      </c>
      <c r="JY21" s="28" t="n">
        <v>0</v>
      </c>
      <c r="JZ21" s="28" t="n">
        <v>0</v>
      </c>
      <c r="KA21" s="28" t="n">
        <v>0</v>
      </c>
      <c r="KB21" s="28" t="n">
        <v>0</v>
      </c>
      <c r="KC21" s="28" t="n">
        <v>0</v>
      </c>
      <c r="KD21" s="28" t="n">
        <v>0</v>
      </c>
      <c r="KE21" s="28" t="n">
        <v>0</v>
      </c>
      <c r="KF21" s="28" t="n">
        <v>0</v>
      </c>
      <c r="KG21" s="28" t="n">
        <v>0</v>
      </c>
      <c r="KH21" s="28" t="n">
        <v>0</v>
      </c>
      <c r="KI21" s="28" t="n">
        <v>0</v>
      </c>
      <c r="KJ21" s="28" t="n">
        <v>0</v>
      </c>
      <c r="KK21" s="28" t="n">
        <v>0</v>
      </c>
      <c r="KL21" s="28" t="n">
        <v>0</v>
      </c>
      <c r="KM21" s="28" t="n">
        <v>0</v>
      </c>
      <c r="KN21" s="28" t="n">
        <v>0</v>
      </c>
      <c r="KO21" s="28" t="n">
        <v>0</v>
      </c>
      <c r="KP21" s="28" t="n">
        <v>0</v>
      </c>
      <c r="KQ21" s="28" t="n">
        <v>0</v>
      </c>
      <c r="KR21" s="28" t="n">
        <v>0</v>
      </c>
      <c r="KS21" s="28" t="n">
        <v>0</v>
      </c>
      <c r="KT21" s="28" t="n">
        <v>0</v>
      </c>
      <c r="KU21" s="28" t="n">
        <v>0</v>
      </c>
      <c r="KV21" s="28" t="n">
        <v>0</v>
      </c>
      <c r="KW21" s="28" t="n">
        <v>0</v>
      </c>
      <c r="KX21" s="28" t="n">
        <v>0</v>
      </c>
      <c r="KY21" s="28" t="n">
        <v>0</v>
      </c>
      <c r="KZ21" s="28" t="n">
        <v>0</v>
      </c>
      <c r="LA21" s="28" t="n">
        <v>0</v>
      </c>
      <c r="LB21" s="28" t="n">
        <v>0</v>
      </c>
      <c r="LC21" s="28" t="n">
        <v>0</v>
      </c>
      <c r="LD21" s="28" t="n">
        <v>0</v>
      </c>
      <c r="LE21" s="28" t="n">
        <v>0</v>
      </c>
      <c r="LF21" s="28" t="n">
        <v>0</v>
      </c>
      <c r="LG21" s="28" t="n">
        <v>0</v>
      </c>
      <c r="LH21" s="28" t="n">
        <v>0</v>
      </c>
      <c r="LI21" s="28" t="n">
        <v>0</v>
      </c>
      <c r="LJ21" s="28" t="n">
        <v>0</v>
      </c>
      <c r="LK21" s="28" t="n">
        <v>0</v>
      </c>
      <c r="LL21" s="28" t="n">
        <v>0</v>
      </c>
      <c r="LM21" s="28" t="n">
        <v>0</v>
      </c>
      <c r="LN21" s="28" t="n">
        <v>0</v>
      </c>
      <c r="LO21" s="28" t="n">
        <v>0</v>
      </c>
      <c r="LP21" s="28" t="n">
        <v>0</v>
      </c>
      <c r="LQ21" s="28" t="n">
        <v>0</v>
      </c>
      <c r="LR21" s="28" t="n">
        <v>0</v>
      </c>
      <c r="LS21" s="28" t="n">
        <v>0</v>
      </c>
      <c r="LT21" s="28" t="n">
        <v>0</v>
      </c>
      <c r="LU21" s="28" t="n">
        <v>0</v>
      </c>
      <c r="LV21" s="28" t="n">
        <v>0</v>
      </c>
      <c r="LW21" s="28" t="n">
        <v>0</v>
      </c>
      <c r="LX21" s="28" t="n">
        <v>0</v>
      </c>
      <c r="LY21" s="28" t="n">
        <v>0</v>
      </c>
      <c r="LZ21" s="28" t="n">
        <v>0</v>
      </c>
      <c r="MA21" s="28" t="n">
        <v>0</v>
      </c>
      <c r="MB21" s="28" t="n">
        <v>0</v>
      </c>
      <c r="MC21" s="28" t="n">
        <v>0</v>
      </c>
      <c r="MD21" s="28" t="n">
        <v>0</v>
      </c>
      <c r="ME21" s="28" t="n">
        <v>0</v>
      </c>
      <c r="MF21" s="28" t="n">
        <v>0</v>
      </c>
      <c r="MG21" s="28" t="n">
        <v>0</v>
      </c>
      <c r="MH21" s="28" t="n">
        <v>0</v>
      </c>
      <c r="MI21" s="28" t="n">
        <v>0</v>
      </c>
      <c r="MJ21" s="28" t="n">
        <v>0</v>
      </c>
      <c r="MK21" s="28" t="n">
        <v>0</v>
      </c>
      <c r="ML21" s="28" t="n">
        <v>0</v>
      </c>
      <c r="MM21" s="28" t="n">
        <v>0</v>
      </c>
      <c r="MN21" s="28" t="n">
        <v>0</v>
      </c>
      <c r="MO21" s="28" t="n">
        <v>0</v>
      </c>
      <c r="MP21" s="28" t="n">
        <v>0</v>
      </c>
      <c r="MQ21" s="28" t="n">
        <v>0</v>
      </c>
      <c r="MR21" s="28" t="n">
        <v>0</v>
      </c>
      <c r="MS21" s="28" t="n">
        <v>0</v>
      </c>
      <c r="MT21" s="28" t="n">
        <v>0</v>
      </c>
      <c r="MU21" s="28" t="n">
        <v>0</v>
      </c>
      <c r="MV21" s="28" t="n">
        <v>0</v>
      </c>
      <c r="MW21" s="28" t="n">
        <v>0</v>
      </c>
      <c r="MX21" s="28" t="n">
        <v>0</v>
      </c>
      <c r="MY21" s="28" t="n">
        <v>0</v>
      </c>
      <c r="MZ21" s="28" t="n">
        <v>0</v>
      </c>
      <c r="NA21" s="28" t="n">
        <v>0</v>
      </c>
      <c r="NB21" s="28" t="n">
        <v>0</v>
      </c>
      <c r="NC21" s="28" t="n">
        <v>0</v>
      </c>
      <c r="ND21" s="28" t="n">
        <v>0</v>
      </c>
      <c r="NE21" s="28" t="n">
        <v>0</v>
      </c>
      <c r="NF21" s="28" t="n">
        <v>0</v>
      </c>
      <c r="NG21" s="28" t="n">
        <v>0</v>
      </c>
      <c r="NH21" s="28" t="n">
        <v>0</v>
      </c>
      <c r="NI21" s="28" t="n">
        <v>0</v>
      </c>
      <c r="NJ21" s="28" t="n">
        <v>0</v>
      </c>
      <c r="NK21" s="28" t="n">
        <v>0</v>
      </c>
      <c r="NL21" s="28" t="n">
        <v>0</v>
      </c>
      <c r="NM21" s="28" t="n">
        <v>0</v>
      </c>
      <c r="NN21" s="28" t="n">
        <v>0</v>
      </c>
      <c r="NO21" s="28" t="n">
        <v>0</v>
      </c>
      <c r="NP21" s="28" t="n">
        <v>0</v>
      </c>
      <c r="NQ21" s="28" t="n">
        <v>0</v>
      </c>
      <c r="NR21" s="28" t="n">
        <v>0</v>
      </c>
      <c r="NS21" s="28" t="n">
        <v>0</v>
      </c>
      <c r="NT21" s="28" t="n">
        <v>0</v>
      </c>
      <c r="NU21" s="28" t="n">
        <v>0</v>
      </c>
      <c r="NV21" s="28" t="n">
        <v>0</v>
      </c>
      <c r="NW21" s="28" t="n">
        <v>0</v>
      </c>
      <c r="NX21" s="28" t="n">
        <v>0</v>
      </c>
      <c r="NY21" s="28" t="n">
        <v>0</v>
      </c>
      <c r="NZ21" s="28" t="n">
        <v>0</v>
      </c>
      <c r="OA21" s="28" t="n">
        <v>0</v>
      </c>
      <c r="OB21" s="28" t="n">
        <v>0</v>
      </c>
      <c r="OC21" s="28" t="n">
        <v>0</v>
      </c>
      <c r="OD21" s="28" t="n">
        <v>0</v>
      </c>
      <c r="OE21" s="28" t="n">
        <v>0</v>
      </c>
      <c r="OF21" s="28" t="n">
        <v>0</v>
      </c>
      <c r="OG21" s="28" t="n">
        <v>0</v>
      </c>
      <c r="OH21" s="28" t="n">
        <v>0</v>
      </c>
      <c r="OI21" s="28" t="n">
        <v>0</v>
      </c>
      <c r="OJ21" s="28" t="n">
        <v>0</v>
      </c>
      <c r="OK21" s="28" t="n">
        <v>0</v>
      </c>
      <c r="OL21" s="28" t="n">
        <v>0</v>
      </c>
      <c r="OM21" s="28" t="n">
        <v>0</v>
      </c>
      <c r="ON21" s="28" t="n">
        <v>0</v>
      </c>
      <c r="OO21" s="28" t="n">
        <v>0</v>
      </c>
      <c r="OP21" s="28" t="n">
        <v>0</v>
      </c>
      <c r="OQ21" s="28" t="n">
        <v>0</v>
      </c>
      <c r="OR21" s="28" t="n">
        <v>0</v>
      </c>
      <c r="OS21" s="28" t="n">
        <v>0</v>
      </c>
      <c r="OT21" s="28" t="n">
        <v>0</v>
      </c>
      <c r="OU21" s="28" t="n">
        <v>0</v>
      </c>
      <c r="OV21" s="28" t="n">
        <v>0</v>
      </c>
      <c r="OW21" s="28" t="n">
        <v>0</v>
      </c>
      <c r="OX21" s="28" t="n">
        <v>0</v>
      </c>
      <c r="OY21" s="28" t="n">
        <v>0</v>
      </c>
      <c r="OZ21" s="28" t="n">
        <v>0</v>
      </c>
      <c r="PA21" s="28" t="n">
        <v>0</v>
      </c>
      <c r="PB21" s="28" t="n">
        <v>0</v>
      </c>
      <c r="PC21" s="28" t="n">
        <v>0</v>
      </c>
      <c r="PD21" s="28" t="n">
        <v>0</v>
      </c>
      <c r="PE21" s="28" t="n">
        <v>0</v>
      </c>
      <c r="PF21" s="28" t="n">
        <v>0</v>
      </c>
      <c r="PG21" s="28" t="n">
        <v>0</v>
      </c>
      <c r="PH21" s="28" t="n">
        <v>0</v>
      </c>
      <c r="PI21" s="28" t="n">
        <v>0</v>
      </c>
      <c r="PJ21" s="28" t="n">
        <v>0</v>
      </c>
      <c r="PK21" s="28" t="n">
        <v>0</v>
      </c>
      <c r="PL21" s="28" t="n">
        <v>0</v>
      </c>
      <c r="PM21" s="28" t="n">
        <v>0</v>
      </c>
      <c r="PN21" s="28" t="n">
        <v>0</v>
      </c>
      <c r="PO21" s="28" t="n">
        <v>0</v>
      </c>
      <c r="PP21" s="28" t="n">
        <v>0</v>
      </c>
      <c r="PQ21" s="28" t="n">
        <v>0</v>
      </c>
      <c r="PR21" s="28" t="n">
        <v>0</v>
      </c>
      <c r="PS21" s="28" t="n">
        <v>0</v>
      </c>
      <c r="PT21" s="28" t="n">
        <v>0</v>
      </c>
      <c r="PU21" s="28" t="n">
        <v>0</v>
      </c>
      <c r="PV21" s="28" t="n">
        <v>0</v>
      </c>
      <c r="PW21" s="28" t="n">
        <v>0</v>
      </c>
      <c r="PX21" s="28" t="n">
        <v>0</v>
      </c>
      <c r="PY21" s="28" t="n">
        <v>0</v>
      </c>
      <c r="PZ21" s="28" t="n">
        <v>0</v>
      </c>
      <c r="QA21" s="28" t="n">
        <v>0</v>
      </c>
      <c r="QB21" s="28" t="n">
        <v>0</v>
      </c>
      <c r="QC21" s="28" t="n">
        <v>0</v>
      </c>
      <c r="QD21" s="28" t="n">
        <v>0</v>
      </c>
      <c r="QE21" s="28" t="n">
        <v>0</v>
      </c>
      <c r="QF21" s="28" t="n">
        <v>0</v>
      </c>
      <c r="QG21" s="28" t="n">
        <v>0</v>
      </c>
      <c r="QH21" s="28" t="n">
        <v>0</v>
      </c>
      <c r="QI21" s="28" t="n">
        <v>0</v>
      </c>
      <c r="QJ21" s="28" t="n">
        <v>0</v>
      </c>
      <c r="QK21" s="28" t="n">
        <v>0</v>
      </c>
      <c r="QL21" s="28" t="n">
        <v>0</v>
      </c>
      <c r="QM21" s="28" t="n">
        <v>0</v>
      </c>
      <c r="QN21" s="28" t="n">
        <v>0</v>
      </c>
      <c r="QO21" s="28" t="n">
        <v>0</v>
      </c>
      <c r="QP21" s="28" t="n">
        <v>0</v>
      </c>
      <c r="QQ21" s="28" t="n">
        <v>0</v>
      </c>
      <c r="QR21" s="28" t="n">
        <v>0</v>
      </c>
      <c r="QS21" s="28" t="n">
        <v>0</v>
      </c>
      <c r="QT21" s="28" t="n">
        <v>0</v>
      </c>
      <c r="QU21" s="28" t="n">
        <v>0</v>
      </c>
      <c r="QV21" s="28" t="n">
        <v>0</v>
      </c>
      <c r="QW21" s="28" t="n">
        <v>0</v>
      </c>
      <c r="QX21" s="28" t="n">
        <v>0</v>
      </c>
      <c r="QY21" s="28" t="n">
        <v>0</v>
      </c>
      <c r="QZ21" s="28" t="n">
        <v>0</v>
      </c>
      <c r="RA21" s="28" t="n">
        <v>0</v>
      </c>
      <c r="RB21" s="28" t="n">
        <v>0</v>
      </c>
      <c r="RC21" s="28" t="n">
        <v>0</v>
      </c>
      <c r="RD21" s="28" t="n">
        <v>0</v>
      </c>
      <c r="RE21" s="28" t="n">
        <v>0</v>
      </c>
      <c r="RF21" s="28" t="n">
        <v>0</v>
      </c>
      <c r="RG21" s="28" t="n">
        <v>0</v>
      </c>
      <c r="RH21" s="28" t="n">
        <v>0</v>
      </c>
      <c r="RI21" s="28" t="n">
        <v>0</v>
      </c>
      <c r="RJ21" s="28" t="n">
        <v>0</v>
      </c>
      <c r="RK21" s="28" t="n">
        <v>0</v>
      </c>
      <c r="RL21" s="28" t="n">
        <v>0</v>
      </c>
      <c r="RM21" s="28" t="n">
        <v>0</v>
      </c>
      <c r="RN21" s="28" t="n">
        <v>0</v>
      </c>
      <c r="RO21" s="28" t="n">
        <v>0</v>
      </c>
      <c r="RP21" s="28" t="n">
        <v>0</v>
      </c>
      <c r="RQ21" s="28" t="n">
        <v>0</v>
      </c>
      <c r="RR21" s="28" t="n">
        <v>0</v>
      </c>
      <c r="RS21" s="28" t="n">
        <v>0</v>
      </c>
      <c r="RT21" s="28" t="n">
        <v>0</v>
      </c>
      <c r="RU21" s="28" t="n">
        <v>0</v>
      </c>
      <c r="RV21" s="28" t="n">
        <v>0</v>
      </c>
      <c r="RW21" s="28" t="n">
        <v>0</v>
      </c>
    </row>
    <row r="22" hidden="1" outlineLevel="1" ht="13.05" customHeight="1">
      <c r="E22" s="34" t="inlineStr">
        <is>
          <t>Cash Flow from Investing</t>
        </is>
      </c>
      <c r="F22" s="35" t="n"/>
      <c r="G22" s="35" t="inlineStr">
        <is>
          <t>kEUR</t>
        </is>
      </c>
      <c r="H22" s="35" t="n"/>
      <c r="I22" s="35" t="n"/>
      <c r="J22" s="36" t="n">
        <v>-1175256</v>
      </c>
      <c r="K22" s="35" t="n"/>
      <c r="L22" s="37">
        <f>-'Costs'!L33</f>
        <v/>
      </c>
      <c r="M22" s="37">
        <f>-'Costs'!M33</f>
        <v/>
      </c>
      <c r="N22" s="37">
        <f>-'Costs'!N33</f>
        <v/>
      </c>
      <c r="O22" s="37">
        <f>-'Costs'!O33</f>
        <v/>
      </c>
      <c r="P22" s="37">
        <f>-'Costs'!P33</f>
        <v/>
      </c>
      <c r="Q22" s="37">
        <f>-'Costs'!Q33</f>
        <v/>
      </c>
      <c r="R22" s="37">
        <f>-'Costs'!R33</f>
        <v/>
      </c>
      <c r="S22" s="37">
        <f>-'Costs'!S33</f>
        <v/>
      </c>
      <c r="T22" s="37">
        <f>-'Costs'!T33</f>
        <v/>
      </c>
      <c r="U22" s="37">
        <f>-'Costs'!U33</f>
        <v/>
      </c>
      <c r="V22" s="37">
        <f>-'Costs'!V33</f>
        <v/>
      </c>
      <c r="W22" s="37">
        <f>-'Costs'!W33</f>
        <v/>
      </c>
      <c r="X22" s="37">
        <f>-'Costs'!X33</f>
        <v/>
      </c>
      <c r="Y22" s="37">
        <f>-'Costs'!Y33</f>
        <v/>
      </c>
      <c r="Z22" s="37">
        <f>-'Costs'!Z33</f>
        <v/>
      </c>
      <c r="AA22" s="37">
        <f>-'Costs'!AA33</f>
        <v/>
      </c>
      <c r="AB22" s="37">
        <f>-'Costs'!AB33</f>
        <v/>
      </c>
      <c r="AC22" s="37">
        <f>-'Costs'!AC33</f>
        <v/>
      </c>
      <c r="AD22" s="37">
        <f>-'Costs'!AD33</f>
        <v/>
      </c>
      <c r="AE22" s="37">
        <f>-'Costs'!AE33</f>
        <v/>
      </c>
      <c r="AF22" s="37">
        <f>-'Costs'!AF33</f>
        <v/>
      </c>
      <c r="AG22" s="37">
        <f>-'Costs'!AG33</f>
        <v/>
      </c>
      <c r="AH22" s="37">
        <f>-'Costs'!AH33</f>
        <v/>
      </c>
      <c r="AI22" s="37">
        <f>-'Costs'!AI33</f>
        <v/>
      </c>
      <c r="AJ22" s="37">
        <f>-'Costs'!AJ33</f>
        <v/>
      </c>
      <c r="AK22" s="37">
        <f>-'Costs'!AK33</f>
        <v/>
      </c>
      <c r="AL22" s="37">
        <f>-'Costs'!AL33</f>
        <v/>
      </c>
      <c r="AM22" s="37">
        <f>-'Costs'!AM33</f>
        <v/>
      </c>
      <c r="AN22" s="37">
        <f>-'Costs'!AN33</f>
        <v/>
      </c>
      <c r="AO22" s="37">
        <f>-'Costs'!AO33</f>
        <v/>
      </c>
      <c r="AP22" s="37">
        <f>-'Costs'!AP33</f>
        <v/>
      </c>
      <c r="AQ22" s="37">
        <f>-'Costs'!AQ33</f>
        <v/>
      </c>
      <c r="AR22" s="37">
        <f>-'Costs'!AR33</f>
        <v/>
      </c>
      <c r="AS22" s="37">
        <f>-'Costs'!AS33</f>
        <v/>
      </c>
      <c r="AT22" s="37">
        <f>-'Costs'!AT33</f>
        <v/>
      </c>
      <c r="AU22" s="37">
        <f>-'Costs'!AU33</f>
        <v/>
      </c>
      <c r="AV22" s="37">
        <f>-'Costs'!AV33</f>
        <v/>
      </c>
      <c r="AW22" s="37">
        <f>-'Costs'!AW33</f>
        <v/>
      </c>
      <c r="AX22" s="37">
        <f>-'Costs'!AX33</f>
        <v/>
      </c>
      <c r="AY22" s="37">
        <f>-'Costs'!AY33</f>
        <v/>
      </c>
      <c r="AZ22" s="37">
        <f>-'Costs'!AZ33</f>
        <v/>
      </c>
      <c r="BA22" s="37">
        <f>-'Costs'!BA33</f>
        <v/>
      </c>
      <c r="BB22" s="37">
        <f>-'Costs'!BB33</f>
        <v/>
      </c>
      <c r="BC22" s="37">
        <f>-'Costs'!BC33</f>
        <v/>
      </c>
      <c r="BD22" s="37">
        <f>-'Costs'!BD33</f>
        <v/>
      </c>
      <c r="BE22" s="37">
        <f>-'Costs'!BE33</f>
        <v/>
      </c>
      <c r="BF22" s="37">
        <f>-'Costs'!BF33</f>
        <v/>
      </c>
      <c r="BG22" s="37">
        <f>-'Costs'!BG33</f>
        <v/>
      </c>
      <c r="BH22" s="37">
        <f>-'Costs'!BH33</f>
        <v/>
      </c>
      <c r="BI22" s="37">
        <f>-'Costs'!BI33</f>
        <v/>
      </c>
      <c r="BJ22" s="37">
        <f>-'Costs'!BJ33</f>
        <v/>
      </c>
      <c r="BK22" s="37">
        <f>-'Costs'!BK33</f>
        <v/>
      </c>
      <c r="BL22" s="37">
        <f>-'Costs'!BL33</f>
        <v/>
      </c>
      <c r="BM22" s="37">
        <f>-'Costs'!BM33</f>
        <v/>
      </c>
      <c r="BN22" s="37">
        <f>-'Costs'!BN33</f>
        <v/>
      </c>
      <c r="BO22" s="37">
        <f>-'Costs'!BO33</f>
        <v/>
      </c>
      <c r="BP22" s="37">
        <f>-'Costs'!BP33</f>
        <v/>
      </c>
      <c r="BQ22" s="37">
        <f>-'Costs'!BQ33</f>
        <v/>
      </c>
      <c r="BR22" s="37">
        <f>-'Costs'!BR33</f>
        <v/>
      </c>
      <c r="BS22" s="37">
        <f>-'Costs'!BS33</f>
        <v/>
      </c>
      <c r="BT22" s="37">
        <f>-'Costs'!BT33</f>
        <v/>
      </c>
      <c r="BU22" s="37">
        <f>-'Costs'!BU33</f>
        <v/>
      </c>
      <c r="BV22" s="37">
        <f>-'Costs'!BV33</f>
        <v/>
      </c>
      <c r="BW22" s="37">
        <f>-'Costs'!BW33</f>
        <v/>
      </c>
      <c r="BX22" s="37">
        <f>-'Costs'!BX33</f>
        <v/>
      </c>
      <c r="BY22" s="37">
        <f>-'Costs'!BY33</f>
        <v/>
      </c>
      <c r="BZ22" s="37">
        <f>-'Costs'!BZ33</f>
        <v/>
      </c>
      <c r="CA22" s="37">
        <f>-'Costs'!CA33</f>
        <v/>
      </c>
      <c r="CB22" s="37">
        <f>-'Costs'!CB33</f>
        <v/>
      </c>
      <c r="CC22" s="37">
        <f>-'Costs'!CC33</f>
        <v/>
      </c>
      <c r="CD22" s="37">
        <f>-'Costs'!CD33</f>
        <v/>
      </c>
      <c r="CE22" s="37">
        <f>-'Costs'!CE33</f>
        <v/>
      </c>
      <c r="CF22" s="37">
        <f>-'Costs'!CF33</f>
        <v/>
      </c>
      <c r="CG22" s="37">
        <f>-'Costs'!CG33</f>
        <v/>
      </c>
      <c r="CH22" s="37">
        <f>-'Costs'!CH33</f>
        <v/>
      </c>
      <c r="CI22" s="37">
        <f>-'Costs'!CI33</f>
        <v/>
      </c>
      <c r="CJ22" s="37">
        <f>-'Costs'!CJ33</f>
        <v/>
      </c>
      <c r="CK22" s="37">
        <f>-'Costs'!CK33</f>
        <v/>
      </c>
      <c r="CL22" s="37">
        <f>-'Costs'!CL33</f>
        <v/>
      </c>
      <c r="CM22" s="37">
        <f>-'Costs'!CM33</f>
        <v/>
      </c>
      <c r="CN22" s="37">
        <f>-'Costs'!CN33</f>
        <v/>
      </c>
      <c r="CO22" s="37">
        <f>-'Costs'!CO33</f>
        <v/>
      </c>
      <c r="CP22" s="37">
        <f>-'Costs'!CP33</f>
        <v/>
      </c>
      <c r="CQ22" s="37">
        <f>-'Costs'!CQ33</f>
        <v/>
      </c>
      <c r="CR22" s="37">
        <f>-'Costs'!CR33</f>
        <v/>
      </c>
      <c r="CS22" s="37">
        <f>-'Costs'!CS33</f>
        <v/>
      </c>
      <c r="CT22" s="37">
        <f>-'Costs'!CT33</f>
        <v/>
      </c>
      <c r="CU22" s="37">
        <f>-'Costs'!CU33</f>
        <v/>
      </c>
      <c r="CV22" s="37">
        <f>-'Costs'!CV33</f>
        <v/>
      </c>
      <c r="CW22" s="37">
        <f>-'Costs'!CW33</f>
        <v/>
      </c>
      <c r="CX22" s="37">
        <f>-'Costs'!CX33</f>
        <v/>
      </c>
      <c r="CY22" s="37">
        <f>-'Costs'!CY33</f>
        <v/>
      </c>
      <c r="CZ22" s="37">
        <f>-'Costs'!CZ33</f>
        <v/>
      </c>
      <c r="DA22" s="37">
        <f>-'Costs'!DA33</f>
        <v/>
      </c>
      <c r="DB22" s="37">
        <f>-'Costs'!DB33</f>
        <v/>
      </c>
      <c r="DC22" s="37">
        <f>-'Costs'!DC33</f>
        <v/>
      </c>
      <c r="DD22" s="37">
        <f>-'Costs'!DD33</f>
        <v/>
      </c>
      <c r="DE22" s="37">
        <f>-'Costs'!DE33</f>
        <v/>
      </c>
      <c r="DF22" s="37">
        <f>-'Costs'!DF33</f>
        <v/>
      </c>
      <c r="DG22" s="37">
        <f>-'Costs'!DG33</f>
        <v/>
      </c>
      <c r="DH22" s="37">
        <f>-'Costs'!DH33</f>
        <v/>
      </c>
      <c r="DI22" s="37">
        <f>-'Costs'!DI33</f>
        <v/>
      </c>
      <c r="DJ22" s="37">
        <f>-'Costs'!DJ33</f>
        <v/>
      </c>
      <c r="DK22" s="37">
        <f>-'Costs'!DK33</f>
        <v/>
      </c>
      <c r="DL22" s="37">
        <f>-'Costs'!DL33</f>
        <v/>
      </c>
      <c r="DM22" s="37">
        <f>-'Costs'!DM33</f>
        <v/>
      </c>
      <c r="DN22" s="37">
        <f>-'Costs'!DN33</f>
        <v/>
      </c>
      <c r="DO22" s="37">
        <f>-'Costs'!DO33</f>
        <v/>
      </c>
      <c r="DP22" s="37">
        <f>-'Costs'!DP33</f>
        <v/>
      </c>
      <c r="DQ22" s="37">
        <f>-'Costs'!DQ33</f>
        <v/>
      </c>
      <c r="DR22" s="37">
        <f>-'Costs'!DR33</f>
        <v/>
      </c>
      <c r="DS22" s="37">
        <f>-'Costs'!DS33</f>
        <v/>
      </c>
      <c r="DT22" s="37">
        <f>-'Costs'!DT33</f>
        <v/>
      </c>
      <c r="DU22" s="37">
        <f>-'Costs'!DU33</f>
        <v/>
      </c>
      <c r="DV22" s="37">
        <f>-'Costs'!DV33</f>
        <v/>
      </c>
      <c r="DW22" s="37">
        <f>-'Costs'!DW33</f>
        <v/>
      </c>
      <c r="DX22" s="37">
        <f>-'Costs'!DX33</f>
        <v/>
      </c>
      <c r="DY22" s="37">
        <f>-'Costs'!DY33</f>
        <v/>
      </c>
      <c r="DZ22" s="37">
        <f>-'Costs'!DZ33</f>
        <v/>
      </c>
      <c r="EA22" s="37">
        <f>-'Costs'!EA33</f>
        <v/>
      </c>
      <c r="EB22" s="37">
        <f>-'Costs'!EB33</f>
        <v/>
      </c>
      <c r="EC22" s="37">
        <f>-'Costs'!EC33</f>
        <v/>
      </c>
      <c r="ED22" s="37">
        <f>-'Costs'!ED33</f>
        <v/>
      </c>
      <c r="EE22" s="37">
        <f>-'Costs'!EE33</f>
        <v/>
      </c>
      <c r="EF22" s="37">
        <f>-'Costs'!EF33</f>
        <v/>
      </c>
      <c r="EG22" s="37">
        <f>-'Costs'!EG33</f>
        <v/>
      </c>
      <c r="EH22" s="37">
        <f>-'Costs'!EH33</f>
        <v/>
      </c>
      <c r="EI22" s="37">
        <f>-'Costs'!EI33</f>
        <v/>
      </c>
      <c r="EJ22" s="37">
        <f>-'Costs'!EJ33</f>
        <v/>
      </c>
      <c r="EK22" s="37">
        <f>-'Costs'!EK33</f>
        <v/>
      </c>
      <c r="EL22" s="37">
        <f>-'Costs'!EL33</f>
        <v/>
      </c>
      <c r="EM22" s="37">
        <f>-'Costs'!EM33</f>
        <v/>
      </c>
      <c r="EN22" s="37">
        <f>-'Costs'!EN33</f>
        <v/>
      </c>
      <c r="EO22" s="37">
        <f>-'Costs'!EO33</f>
        <v/>
      </c>
      <c r="EP22" s="37">
        <f>-'Costs'!EP33</f>
        <v/>
      </c>
      <c r="EQ22" s="37">
        <f>-'Costs'!EQ33</f>
        <v/>
      </c>
      <c r="ER22" s="37">
        <f>-'Costs'!ER33</f>
        <v/>
      </c>
      <c r="ES22" s="37">
        <f>-'Costs'!ES33</f>
        <v/>
      </c>
      <c r="ET22" s="37">
        <f>-'Costs'!ET33</f>
        <v/>
      </c>
      <c r="EU22" s="37">
        <f>-'Costs'!EU33</f>
        <v/>
      </c>
      <c r="EV22" s="37">
        <f>-'Costs'!EV33</f>
        <v/>
      </c>
      <c r="EW22" s="37">
        <f>-'Costs'!EW33</f>
        <v/>
      </c>
      <c r="EX22" s="37">
        <f>-'Costs'!EX33</f>
        <v/>
      </c>
      <c r="EY22" s="37">
        <f>-'Costs'!EY33</f>
        <v/>
      </c>
      <c r="EZ22" s="37">
        <f>-'Costs'!EZ33</f>
        <v/>
      </c>
      <c r="FA22" s="37">
        <f>-'Costs'!FA33</f>
        <v/>
      </c>
      <c r="FB22" s="37">
        <f>-'Costs'!FB33</f>
        <v/>
      </c>
      <c r="FC22" s="37">
        <f>-'Costs'!FC33</f>
        <v/>
      </c>
      <c r="FD22" s="37">
        <f>-'Costs'!FD33</f>
        <v/>
      </c>
      <c r="FE22" s="37">
        <f>-'Costs'!FE33</f>
        <v/>
      </c>
      <c r="FF22" s="37">
        <f>-'Costs'!FF33</f>
        <v/>
      </c>
      <c r="FG22" s="37">
        <f>-'Costs'!FG33</f>
        <v/>
      </c>
      <c r="FH22" s="37">
        <f>-'Costs'!FH33</f>
        <v/>
      </c>
      <c r="FI22" s="37">
        <f>-'Costs'!FI33</f>
        <v/>
      </c>
      <c r="FJ22" s="37">
        <f>-'Costs'!FJ33</f>
        <v/>
      </c>
      <c r="FK22" s="37">
        <f>-'Costs'!FK33</f>
        <v/>
      </c>
      <c r="FL22" s="37">
        <f>-'Costs'!FL33</f>
        <v/>
      </c>
      <c r="FM22" s="37">
        <f>-'Costs'!FM33</f>
        <v/>
      </c>
      <c r="FN22" s="37">
        <f>-'Costs'!FN33</f>
        <v/>
      </c>
      <c r="FO22" s="37">
        <f>-'Costs'!FO33</f>
        <v/>
      </c>
      <c r="FP22" s="37">
        <f>-'Costs'!FP33</f>
        <v/>
      </c>
      <c r="FQ22" s="37">
        <f>-'Costs'!FQ33</f>
        <v/>
      </c>
      <c r="FR22" s="37">
        <f>-'Costs'!FR33</f>
        <v/>
      </c>
      <c r="FS22" s="37">
        <f>-'Costs'!FS33</f>
        <v/>
      </c>
      <c r="FT22" s="37">
        <f>-'Costs'!FT33</f>
        <v/>
      </c>
      <c r="FU22" s="37">
        <f>-'Costs'!FU33</f>
        <v/>
      </c>
      <c r="FV22" s="37">
        <f>-'Costs'!FV33</f>
        <v/>
      </c>
      <c r="FW22" s="37">
        <f>-'Costs'!FW33</f>
        <v/>
      </c>
      <c r="FX22" s="37">
        <f>-'Costs'!FX33</f>
        <v/>
      </c>
      <c r="FY22" s="37">
        <f>-'Costs'!FY33</f>
        <v/>
      </c>
      <c r="FZ22" s="37">
        <f>-'Costs'!FZ33</f>
        <v/>
      </c>
      <c r="GA22" s="37">
        <f>-'Costs'!GA33</f>
        <v/>
      </c>
      <c r="GB22" s="37">
        <f>-'Costs'!GB33</f>
        <v/>
      </c>
      <c r="GC22" s="37">
        <f>-'Costs'!GC33</f>
        <v/>
      </c>
      <c r="GD22" s="37">
        <f>-'Costs'!GD33</f>
        <v/>
      </c>
      <c r="GE22" s="37">
        <f>-'Costs'!GE33</f>
        <v/>
      </c>
      <c r="GF22" s="37">
        <f>-'Costs'!GF33</f>
        <v/>
      </c>
      <c r="GG22" s="37">
        <f>-'Costs'!GG33</f>
        <v/>
      </c>
      <c r="GH22" s="37">
        <f>-'Costs'!GH33</f>
        <v/>
      </c>
      <c r="GI22" s="37">
        <f>-'Costs'!GI33</f>
        <v/>
      </c>
      <c r="GJ22" s="37">
        <f>-'Costs'!GJ33</f>
        <v/>
      </c>
      <c r="GK22" s="37">
        <f>-'Costs'!GK33</f>
        <v/>
      </c>
      <c r="GL22" s="37">
        <f>-'Costs'!GL33</f>
        <v/>
      </c>
      <c r="GM22" s="37">
        <f>-'Costs'!GM33</f>
        <v/>
      </c>
      <c r="GN22" s="37">
        <f>-'Costs'!GN33</f>
        <v/>
      </c>
      <c r="GO22" s="37">
        <f>-'Costs'!GO33</f>
        <v/>
      </c>
      <c r="GP22" s="37">
        <f>-'Costs'!GP33</f>
        <v/>
      </c>
      <c r="GQ22" s="37">
        <f>-'Costs'!GQ33</f>
        <v/>
      </c>
      <c r="GR22" s="37">
        <f>-'Costs'!GR33</f>
        <v/>
      </c>
      <c r="GS22" s="37">
        <f>-'Costs'!GS33</f>
        <v/>
      </c>
      <c r="GT22" s="37">
        <f>-'Costs'!GT33</f>
        <v/>
      </c>
      <c r="GU22" s="37">
        <f>-'Costs'!GU33</f>
        <v/>
      </c>
      <c r="GV22" s="37">
        <f>-'Costs'!GV33</f>
        <v/>
      </c>
      <c r="GW22" s="37">
        <f>-'Costs'!GW33</f>
        <v/>
      </c>
      <c r="GX22" s="37">
        <f>-'Costs'!GX33</f>
        <v/>
      </c>
      <c r="GY22" s="37">
        <f>-'Costs'!GY33</f>
        <v/>
      </c>
      <c r="GZ22" s="37">
        <f>-'Costs'!GZ33</f>
        <v/>
      </c>
      <c r="HA22" s="37">
        <f>-'Costs'!HA33</f>
        <v/>
      </c>
      <c r="HB22" s="37">
        <f>-'Costs'!HB33</f>
        <v/>
      </c>
      <c r="HC22" s="37">
        <f>-'Costs'!HC33</f>
        <v/>
      </c>
      <c r="HD22" s="37">
        <f>-'Costs'!HD33</f>
        <v/>
      </c>
      <c r="HE22" s="37">
        <f>-'Costs'!HE33</f>
        <v/>
      </c>
      <c r="HF22" s="37">
        <f>-'Costs'!HF33</f>
        <v/>
      </c>
      <c r="HG22" s="37">
        <f>-'Costs'!HG33</f>
        <v/>
      </c>
      <c r="HH22" s="37">
        <f>-'Costs'!HH33</f>
        <v/>
      </c>
      <c r="HI22" s="37">
        <f>-'Costs'!HI33</f>
        <v/>
      </c>
      <c r="HJ22" s="37">
        <f>-'Costs'!HJ33</f>
        <v/>
      </c>
      <c r="HK22" s="37">
        <f>-'Costs'!HK33</f>
        <v/>
      </c>
      <c r="HL22" s="37">
        <f>-'Costs'!HL33</f>
        <v/>
      </c>
      <c r="HM22" s="37">
        <f>-'Costs'!HM33</f>
        <v/>
      </c>
      <c r="HN22" s="37">
        <f>-'Costs'!HN33</f>
        <v/>
      </c>
      <c r="HO22" s="37">
        <f>-'Costs'!HO33</f>
        <v/>
      </c>
      <c r="HP22" s="37">
        <f>-'Costs'!HP33</f>
        <v/>
      </c>
      <c r="HQ22" s="37">
        <f>-'Costs'!HQ33</f>
        <v/>
      </c>
      <c r="HR22" s="37">
        <f>-'Costs'!HR33</f>
        <v/>
      </c>
      <c r="HS22" s="37">
        <f>-'Costs'!HS33</f>
        <v/>
      </c>
      <c r="HT22" s="37">
        <f>-'Costs'!HT33</f>
        <v/>
      </c>
      <c r="HU22" s="37">
        <f>-'Costs'!HU33</f>
        <v/>
      </c>
      <c r="HV22" s="37">
        <f>-'Costs'!HV33</f>
        <v/>
      </c>
      <c r="HW22" s="37">
        <f>-'Costs'!HW33</f>
        <v/>
      </c>
      <c r="HX22" s="37">
        <f>-'Costs'!HX33</f>
        <v/>
      </c>
      <c r="HY22" s="37">
        <f>-'Costs'!HY33</f>
        <v/>
      </c>
      <c r="HZ22" s="37">
        <f>-'Costs'!HZ33</f>
        <v/>
      </c>
      <c r="IA22" s="37">
        <f>-'Costs'!IA33</f>
        <v/>
      </c>
      <c r="IB22" s="37">
        <f>-'Costs'!IB33</f>
        <v/>
      </c>
      <c r="IC22" s="37">
        <f>-'Costs'!IC33</f>
        <v/>
      </c>
      <c r="ID22" s="37">
        <f>-'Costs'!ID33</f>
        <v/>
      </c>
      <c r="IE22" s="37">
        <f>-'Costs'!IE33</f>
        <v/>
      </c>
      <c r="IF22" s="37">
        <f>-'Costs'!IF33</f>
        <v/>
      </c>
      <c r="IG22" s="37">
        <f>-'Costs'!IG33</f>
        <v/>
      </c>
      <c r="IH22" s="37">
        <f>-'Costs'!IH33</f>
        <v/>
      </c>
      <c r="II22" s="37">
        <f>-'Costs'!II33</f>
        <v/>
      </c>
      <c r="IJ22" s="37">
        <f>-'Costs'!IJ33</f>
        <v/>
      </c>
      <c r="IK22" s="37">
        <f>-'Costs'!IK33</f>
        <v/>
      </c>
      <c r="IL22" s="37">
        <f>-'Costs'!IL33</f>
        <v/>
      </c>
      <c r="IM22" s="37">
        <f>-'Costs'!IM33</f>
        <v/>
      </c>
      <c r="IN22" s="37">
        <f>-'Costs'!IN33</f>
        <v/>
      </c>
      <c r="IO22" s="37">
        <f>-'Costs'!IO33</f>
        <v/>
      </c>
      <c r="IP22" s="37">
        <f>-'Costs'!IP33</f>
        <v/>
      </c>
      <c r="IQ22" s="37">
        <f>-'Costs'!IQ33</f>
        <v/>
      </c>
      <c r="IR22" s="37">
        <f>-'Costs'!IR33</f>
        <v/>
      </c>
      <c r="IS22" s="37">
        <f>-'Costs'!IS33</f>
        <v/>
      </c>
      <c r="IT22" s="37">
        <f>-'Costs'!IT33</f>
        <v/>
      </c>
      <c r="IU22" s="37">
        <f>-'Costs'!IU33</f>
        <v/>
      </c>
      <c r="IV22" s="37">
        <f>-'Costs'!IV33</f>
        <v/>
      </c>
      <c r="IW22" s="37">
        <f>-'Costs'!IW33</f>
        <v/>
      </c>
      <c r="IX22" s="37">
        <f>-'Costs'!IX33</f>
        <v/>
      </c>
      <c r="IY22" s="37">
        <f>-'Costs'!IY33</f>
        <v/>
      </c>
      <c r="IZ22" s="37">
        <f>-'Costs'!IZ33</f>
        <v/>
      </c>
      <c r="JA22" s="37">
        <f>-'Costs'!JA33</f>
        <v/>
      </c>
      <c r="JB22" s="37">
        <f>-'Costs'!JB33</f>
        <v/>
      </c>
      <c r="JC22" s="37">
        <f>-'Costs'!JC33</f>
        <v/>
      </c>
      <c r="JD22" s="37">
        <f>-'Costs'!JD33</f>
        <v/>
      </c>
      <c r="JE22" s="37">
        <f>-'Costs'!JE33</f>
        <v/>
      </c>
      <c r="JF22" s="37">
        <f>-'Costs'!JF33</f>
        <v/>
      </c>
      <c r="JG22" s="37">
        <f>-'Costs'!JG33</f>
        <v/>
      </c>
      <c r="JH22" s="37">
        <f>-'Costs'!JH33</f>
        <v/>
      </c>
      <c r="JI22" s="37">
        <f>-'Costs'!JI33</f>
        <v/>
      </c>
      <c r="JJ22" s="37">
        <f>-'Costs'!JJ33</f>
        <v/>
      </c>
      <c r="JK22" s="37">
        <f>-'Costs'!JK33</f>
        <v/>
      </c>
      <c r="JL22" s="37">
        <f>-'Costs'!JL33</f>
        <v/>
      </c>
      <c r="JM22" s="37">
        <f>-'Costs'!JM33</f>
        <v/>
      </c>
      <c r="JN22" s="37">
        <f>-'Costs'!JN33</f>
        <v/>
      </c>
      <c r="JO22" s="37">
        <f>-'Costs'!JO33</f>
        <v/>
      </c>
      <c r="JP22" s="37">
        <f>-'Costs'!JP33</f>
        <v/>
      </c>
      <c r="JQ22" s="37">
        <f>-'Costs'!JQ33</f>
        <v/>
      </c>
      <c r="JR22" s="37">
        <f>-'Costs'!JR33</f>
        <v/>
      </c>
      <c r="JS22" s="37">
        <f>-'Costs'!JS33</f>
        <v/>
      </c>
      <c r="JT22" s="37">
        <f>-'Costs'!JT33</f>
        <v/>
      </c>
      <c r="JU22" s="37">
        <f>-'Costs'!JU33</f>
        <v/>
      </c>
      <c r="JV22" s="37">
        <f>-'Costs'!JV33</f>
        <v/>
      </c>
      <c r="JW22" s="37">
        <f>-'Costs'!JW33</f>
        <v/>
      </c>
      <c r="JX22" s="37">
        <f>-'Costs'!JX33</f>
        <v/>
      </c>
      <c r="JY22" s="37">
        <f>-'Costs'!JY33</f>
        <v/>
      </c>
      <c r="JZ22" s="37">
        <f>-'Costs'!JZ33</f>
        <v/>
      </c>
      <c r="KA22" s="37">
        <f>-'Costs'!KA33</f>
        <v/>
      </c>
      <c r="KB22" s="37">
        <f>-'Costs'!KB33</f>
        <v/>
      </c>
      <c r="KC22" s="37">
        <f>-'Costs'!KC33</f>
        <v/>
      </c>
      <c r="KD22" s="37">
        <f>-'Costs'!KD33</f>
        <v/>
      </c>
      <c r="KE22" s="37">
        <f>-'Costs'!KE33</f>
        <v/>
      </c>
      <c r="KF22" s="37">
        <f>-'Costs'!KF33</f>
        <v/>
      </c>
      <c r="KG22" s="37">
        <f>-'Costs'!KG33</f>
        <v/>
      </c>
      <c r="KH22" s="37">
        <f>-'Costs'!KH33</f>
        <v/>
      </c>
      <c r="KI22" s="37">
        <f>-'Costs'!KI33</f>
        <v/>
      </c>
      <c r="KJ22" s="37">
        <f>-'Costs'!KJ33</f>
        <v/>
      </c>
      <c r="KK22" s="37">
        <f>-'Costs'!KK33</f>
        <v/>
      </c>
      <c r="KL22" s="37">
        <f>-'Costs'!KL33</f>
        <v/>
      </c>
      <c r="KM22" s="37">
        <f>-'Costs'!KM33</f>
        <v/>
      </c>
      <c r="KN22" s="37">
        <f>-'Costs'!KN33</f>
        <v/>
      </c>
      <c r="KO22" s="37">
        <f>-'Costs'!KO33</f>
        <v/>
      </c>
      <c r="KP22" s="37">
        <f>-'Costs'!KP33</f>
        <v/>
      </c>
      <c r="KQ22" s="37">
        <f>-'Costs'!KQ33</f>
        <v/>
      </c>
      <c r="KR22" s="37">
        <f>-'Costs'!KR33</f>
        <v/>
      </c>
      <c r="KS22" s="37">
        <f>-'Costs'!KS33</f>
        <v/>
      </c>
      <c r="KT22" s="37">
        <f>-'Costs'!KT33</f>
        <v/>
      </c>
      <c r="KU22" s="37">
        <f>-'Costs'!KU33</f>
        <v/>
      </c>
      <c r="KV22" s="37">
        <f>-'Costs'!KV33</f>
        <v/>
      </c>
      <c r="KW22" s="37">
        <f>-'Costs'!KW33</f>
        <v/>
      </c>
      <c r="KX22" s="37">
        <f>-'Costs'!KX33</f>
        <v/>
      </c>
      <c r="KY22" s="37">
        <f>-'Costs'!KY33</f>
        <v/>
      </c>
      <c r="KZ22" s="37">
        <f>-'Costs'!KZ33</f>
        <v/>
      </c>
      <c r="LA22" s="37">
        <f>-'Costs'!LA33</f>
        <v/>
      </c>
      <c r="LB22" s="37">
        <f>-'Costs'!LB33</f>
        <v/>
      </c>
      <c r="LC22" s="37">
        <f>-'Costs'!LC33</f>
        <v/>
      </c>
      <c r="LD22" s="37">
        <f>-'Costs'!LD33</f>
        <v/>
      </c>
      <c r="LE22" s="37">
        <f>-'Costs'!LE33</f>
        <v/>
      </c>
      <c r="LF22" s="37">
        <f>-'Costs'!LF33</f>
        <v/>
      </c>
      <c r="LG22" s="37">
        <f>-'Costs'!LG33</f>
        <v/>
      </c>
      <c r="LH22" s="37">
        <f>-'Costs'!LH33</f>
        <v/>
      </c>
      <c r="LI22" s="37">
        <f>-'Costs'!LI33</f>
        <v/>
      </c>
      <c r="LJ22" s="37">
        <f>-'Costs'!LJ33</f>
        <v/>
      </c>
      <c r="LK22" s="37">
        <f>-'Costs'!LK33</f>
        <v/>
      </c>
      <c r="LL22" s="37">
        <f>-'Costs'!LL33</f>
        <v/>
      </c>
      <c r="LM22" s="37">
        <f>-'Costs'!LM33</f>
        <v/>
      </c>
      <c r="LN22" s="37">
        <f>-'Costs'!LN33</f>
        <v/>
      </c>
      <c r="LO22" s="37">
        <f>-'Costs'!LO33</f>
        <v/>
      </c>
      <c r="LP22" s="37">
        <f>-'Costs'!LP33</f>
        <v/>
      </c>
      <c r="LQ22" s="37">
        <f>-'Costs'!LQ33</f>
        <v/>
      </c>
      <c r="LR22" s="37">
        <f>-'Costs'!LR33</f>
        <v/>
      </c>
      <c r="LS22" s="37">
        <f>-'Costs'!LS33</f>
        <v/>
      </c>
      <c r="LT22" s="37">
        <f>-'Costs'!LT33</f>
        <v/>
      </c>
      <c r="LU22" s="37">
        <f>-'Costs'!LU33</f>
        <v/>
      </c>
      <c r="LV22" s="37">
        <f>-'Costs'!LV33</f>
        <v/>
      </c>
      <c r="LW22" s="37">
        <f>-'Costs'!LW33</f>
        <v/>
      </c>
      <c r="LX22" s="37">
        <f>-'Costs'!LX33</f>
        <v/>
      </c>
      <c r="LY22" s="37">
        <f>-'Costs'!LY33</f>
        <v/>
      </c>
      <c r="LZ22" s="37">
        <f>-'Costs'!LZ33</f>
        <v/>
      </c>
      <c r="MA22" s="37">
        <f>-'Costs'!MA33</f>
        <v/>
      </c>
      <c r="MB22" s="37">
        <f>-'Costs'!MB33</f>
        <v/>
      </c>
      <c r="MC22" s="37">
        <f>-'Costs'!MC33</f>
        <v/>
      </c>
      <c r="MD22" s="37">
        <f>-'Costs'!MD33</f>
        <v/>
      </c>
      <c r="ME22" s="37">
        <f>-'Costs'!ME33</f>
        <v/>
      </c>
      <c r="MF22" s="37">
        <f>-'Costs'!MF33</f>
        <v/>
      </c>
      <c r="MG22" s="37">
        <f>-'Costs'!MG33</f>
        <v/>
      </c>
      <c r="MH22" s="37">
        <f>-'Costs'!MH33</f>
        <v/>
      </c>
      <c r="MI22" s="37">
        <f>-'Costs'!MI33</f>
        <v/>
      </c>
      <c r="MJ22" s="37">
        <f>-'Costs'!MJ33</f>
        <v/>
      </c>
      <c r="MK22" s="37">
        <f>-'Costs'!MK33</f>
        <v/>
      </c>
      <c r="ML22" s="37">
        <f>-'Costs'!ML33</f>
        <v/>
      </c>
      <c r="MM22" s="37">
        <f>-'Costs'!MM33</f>
        <v/>
      </c>
      <c r="MN22" s="37">
        <f>-'Costs'!MN33</f>
        <v/>
      </c>
      <c r="MO22" s="37">
        <f>-'Costs'!MO33</f>
        <v/>
      </c>
      <c r="MP22" s="37">
        <f>-'Costs'!MP33</f>
        <v/>
      </c>
      <c r="MQ22" s="37">
        <f>-'Costs'!MQ33</f>
        <v/>
      </c>
      <c r="MR22" s="37">
        <f>-'Costs'!MR33</f>
        <v/>
      </c>
      <c r="MS22" s="37">
        <f>-'Costs'!MS33</f>
        <v/>
      </c>
      <c r="MT22" s="37">
        <f>-'Costs'!MT33</f>
        <v/>
      </c>
      <c r="MU22" s="37">
        <f>-'Costs'!MU33</f>
        <v/>
      </c>
      <c r="MV22" s="37">
        <f>-'Costs'!MV33</f>
        <v/>
      </c>
      <c r="MW22" s="37">
        <f>-'Costs'!MW33</f>
        <v/>
      </c>
      <c r="MX22" s="37">
        <f>-'Costs'!MX33</f>
        <v/>
      </c>
      <c r="MY22" s="37">
        <f>-'Costs'!MY33</f>
        <v/>
      </c>
      <c r="MZ22" s="37">
        <f>-'Costs'!MZ33</f>
        <v/>
      </c>
      <c r="NA22" s="37">
        <f>-'Costs'!NA33</f>
        <v/>
      </c>
      <c r="NB22" s="37">
        <f>-'Costs'!NB33</f>
        <v/>
      </c>
      <c r="NC22" s="37">
        <f>-'Costs'!NC33</f>
        <v/>
      </c>
      <c r="ND22" s="37">
        <f>-'Costs'!ND33</f>
        <v/>
      </c>
      <c r="NE22" s="37">
        <f>-'Costs'!NE33</f>
        <v/>
      </c>
      <c r="NF22" s="37">
        <f>-'Costs'!NF33</f>
        <v/>
      </c>
      <c r="NG22" s="37">
        <f>-'Costs'!NG33</f>
        <v/>
      </c>
      <c r="NH22" s="37">
        <f>-'Costs'!NH33</f>
        <v/>
      </c>
      <c r="NI22" s="37">
        <f>-'Costs'!NI33</f>
        <v/>
      </c>
      <c r="NJ22" s="37">
        <f>-'Costs'!NJ33</f>
        <v/>
      </c>
      <c r="NK22" s="37">
        <f>-'Costs'!NK33</f>
        <v/>
      </c>
      <c r="NL22" s="37">
        <f>-'Costs'!NL33</f>
        <v/>
      </c>
      <c r="NM22" s="37">
        <f>-'Costs'!NM33</f>
        <v/>
      </c>
      <c r="NN22" s="37">
        <f>-'Costs'!NN33</f>
        <v/>
      </c>
      <c r="NO22" s="37">
        <f>-'Costs'!NO33</f>
        <v/>
      </c>
      <c r="NP22" s="37">
        <f>-'Costs'!NP33</f>
        <v/>
      </c>
      <c r="NQ22" s="37">
        <f>-'Costs'!NQ33</f>
        <v/>
      </c>
      <c r="NR22" s="37">
        <f>-'Costs'!NR33</f>
        <v/>
      </c>
      <c r="NS22" s="37">
        <f>-'Costs'!NS33</f>
        <v/>
      </c>
      <c r="NT22" s="37">
        <f>-'Costs'!NT33</f>
        <v/>
      </c>
      <c r="NU22" s="37">
        <f>-'Costs'!NU33</f>
        <v/>
      </c>
      <c r="NV22" s="37">
        <f>-'Costs'!NV33</f>
        <v/>
      </c>
      <c r="NW22" s="37">
        <f>-'Costs'!NW33</f>
        <v/>
      </c>
      <c r="NX22" s="37">
        <f>-'Costs'!NX33</f>
        <v/>
      </c>
      <c r="NY22" s="37">
        <f>-'Costs'!NY33</f>
        <v/>
      </c>
      <c r="NZ22" s="37">
        <f>-'Costs'!NZ33</f>
        <v/>
      </c>
      <c r="OA22" s="37">
        <f>-'Costs'!OA33</f>
        <v/>
      </c>
      <c r="OB22" s="37">
        <f>-'Costs'!OB33</f>
        <v/>
      </c>
      <c r="OC22" s="37">
        <f>-'Costs'!OC33</f>
        <v/>
      </c>
      <c r="OD22" s="37">
        <f>-'Costs'!OD33</f>
        <v/>
      </c>
      <c r="OE22" s="37">
        <f>-'Costs'!OE33</f>
        <v/>
      </c>
      <c r="OF22" s="37">
        <f>-'Costs'!OF33</f>
        <v/>
      </c>
      <c r="OG22" s="37">
        <f>-'Costs'!OG33</f>
        <v/>
      </c>
      <c r="OH22" s="37">
        <f>-'Costs'!OH33</f>
        <v/>
      </c>
      <c r="OI22" s="37">
        <f>-'Costs'!OI33</f>
        <v/>
      </c>
      <c r="OJ22" s="37">
        <f>-'Costs'!OJ33</f>
        <v/>
      </c>
      <c r="OK22" s="37">
        <f>-'Costs'!OK33</f>
        <v/>
      </c>
      <c r="OL22" s="37">
        <f>-'Costs'!OL33</f>
        <v/>
      </c>
      <c r="OM22" s="37">
        <f>-'Costs'!OM33</f>
        <v/>
      </c>
      <c r="ON22" s="37">
        <f>-'Costs'!ON33</f>
        <v/>
      </c>
      <c r="OO22" s="37">
        <f>-'Costs'!OO33</f>
        <v/>
      </c>
      <c r="OP22" s="37">
        <f>-'Costs'!OP33</f>
        <v/>
      </c>
      <c r="OQ22" s="37">
        <f>-'Costs'!OQ33</f>
        <v/>
      </c>
      <c r="OR22" s="37">
        <f>-'Costs'!OR33</f>
        <v/>
      </c>
      <c r="OS22" s="37">
        <f>-'Costs'!OS33</f>
        <v/>
      </c>
      <c r="OT22" s="37">
        <f>-'Costs'!OT33</f>
        <v/>
      </c>
      <c r="OU22" s="37">
        <f>-'Costs'!OU33</f>
        <v/>
      </c>
      <c r="OV22" s="37">
        <f>-'Costs'!OV33</f>
        <v/>
      </c>
      <c r="OW22" s="37">
        <f>-'Costs'!OW33</f>
        <v/>
      </c>
      <c r="OX22" s="37">
        <f>-'Costs'!OX33</f>
        <v/>
      </c>
      <c r="OY22" s="37">
        <f>-'Costs'!OY33</f>
        <v/>
      </c>
      <c r="OZ22" s="37">
        <f>-'Costs'!OZ33</f>
        <v/>
      </c>
      <c r="PA22" s="37">
        <f>-'Costs'!PA33</f>
        <v/>
      </c>
      <c r="PB22" s="37">
        <f>-'Costs'!PB33</f>
        <v/>
      </c>
      <c r="PC22" s="37">
        <f>-'Costs'!PC33</f>
        <v/>
      </c>
      <c r="PD22" s="37">
        <f>-'Costs'!PD33</f>
        <v/>
      </c>
      <c r="PE22" s="37">
        <f>-'Costs'!PE33</f>
        <v/>
      </c>
      <c r="PF22" s="37">
        <f>-'Costs'!PF33</f>
        <v/>
      </c>
      <c r="PG22" s="37">
        <f>-'Costs'!PG33</f>
        <v/>
      </c>
      <c r="PH22" s="37">
        <f>-'Costs'!PH33</f>
        <v/>
      </c>
      <c r="PI22" s="37">
        <f>-'Costs'!PI33</f>
        <v/>
      </c>
      <c r="PJ22" s="37">
        <f>-'Costs'!PJ33</f>
        <v/>
      </c>
      <c r="PK22" s="37">
        <f>-'Costs'!PK33</f>
        <v/>
      </c>
      <c r="PL22" s="37">
        <f>-'Costs'!PL33</f>
        <v/>
      </c>
      <c r="PM22" s="37">
        <f>-'Costs'!PM33</f>
        <v/>
      </c>
      <c r="PN22" s="37">
        <f>-'Costs'!PN33</f>
        <v/>
      </c>
      <c r="PO22" s="37">
        <f>-'Costs'!PO33</f>
        <v/>
      </c>
      <c r="PP22" s="37">
        <f>-'Costs'!PP33</f>
        <v/>
      </c>
      <c r="PQ22" s="37">
        <f>-'Costs'!PQ33</f>
        <v/>
      </c>
      <c r="PR22" s="37">
        <f>-'Costs'!PR33</f>
        <v/>
      </c>
      <c r="PS22" s="37">
        <f>-'Costs'!PS33</f>
        <v/>
      </c>
      <c r="PT22" s="37">
        <f>-'Costs'!PT33</f>
        <v/>
      </c>
      <c r="PU22" s="37">
        <f>-'Costs'!PU33</f>
        <v/>
      </c>
      <c r="PV22" s="37">
        <f>-'Costs'!PV33</f>
        <v/>
      </c>
      <c r="PW22" s="37">
        <f>-'Costs'!PW33</f>
        <v/>
      </c>
      <c r="PX22" s="37">
        <f>-'Costs'!PX33</f>
        <v/>
      </c>
      <c r="PY22" s="37">
        <f>-'Costs'!PY33</f>
        <v/>
      </c>
      <c r="PZ22" s="37">
        <f>-'Costs'!PZ33</f>
        <v/>
      </c>
      <c r="QA22" s="37">
        <f>-'Costs'!QA33</f>
        <v/>
      </c>
      <c r="QB22" s="37">
        <f>-'Costs'!QB33</f>
        <v/>
      </c>
      <c r="QC22" s="37">
        <f>-'Costs'!QC33</f>
        <v/>
      </c>
      <c r="QD22" s="37">
        <f>-'Costs'!QD33</f>
        <v/>
      </c>
      <c r="QE22" s="37">
        <f>-'Costs'!QE33</f>
        <v/>
      </c>
      <c r="QF22" s="37">
        <f>-'Costs'!QF33</f>
        <v/>
      </c>
      <c r="QG22" s="37">
        <f>-'Costs'!QG33</f>
        <v/>
      </c>
      <c r="QH22" s="37">
        <f>-'Costs'!QH33</f>
        <v/>
      </c>
      <c r="QI22" s="37">
        <f>-'Costs'!QI33</f>
        <v/>
      </c>
      <c r="QJ22" s="37">
        <f>-'Costs'!QJ33</f>
        <v/>
      </c>
      <c r="QK22" s="37">
        <f>-'Costs'!QK33</f>
        <v/>
      </c>
      <c r="QL22" s="37">
        <f>-'Costs'!QL33</f>
        <v/>
      </c>
      <c r="QM22" s="37">
        <f>-'Costs'!QM33</f>
        <v/>
      </c>
      <c r="QN22" s="37">
        <f>-'Costs'!QN33</f>
        <v/>
      </c>
      <c r="QO22" s="37">
        <f>-'Costs'!QO33</f>
        <v/>
      </c>
      <c r="QP22" s="37">
        <f>-'Costs'!QP33</f>
        <v/>
      </c>
      <c r="QQ22" s="37">
        <f>-'Costs'!QQ33</f>
        <v/>
      </c>
      <c r="QR22" s="37">
        <f>-'Costs'!QR33</f>
        <v/>
      </c>
      <c r="QS22" s="37">
        <f>-'Costs'!QS33</f>
        <v/>
      </c>
      <c r="QT22" s="37">
        <f>-'Costs'!QT33</f>
        <v/>
      </c>
      <c r="QU22" s="37">
        <f>-'Costs'!QU33</f>
        <v/>
      </c>
      <c r="QV22" s="37">
        <f>-'Costs'!QV33</f>
        <v/>
      </c>
      <c r="QW22" s="37">
        <f>-'Costs'!QW33</f>
        <v/>
      </c>
      <c r="QX22" s="37">
        <f>-'Costs'!QX33</f>
        <v/>
      </c>
      <c r="QY22" s="37">
        <f>-'Costs'!QY33</f>
        <v/>
      </c>
      <c r="QZ22" s="37">
        <f>-'Costs'!QZ33</f>
        <v/>
      </c>
      <c r="RA22" s="37">
        <f>-'Costs'!RA33</f>
        <v/>
      </c>
      <c r="RB22" s="37">
        <f>-'Costs'!RB33</f>
        <v/>
      </c>
      <c r="RC22" s="37">
        <f>-'Costs'!RC33</f>
        <v/>
      </c>
      <c r="RD22" s="37">
        <f>-'Costs'!RD33</f>
        <v/>
      </c>
      <c r="RE22" s="37">
        <f>-'Costs'!RE33</f>
        <v/>
      </c>
      <c r="RF22" s="37">
        <f>-'Costs'!RF33</f>
        <v/>
      </c>
      <c r="RG22" s="37">
        <f>-'Costs'!RG33</f>
        <v/>
      </c>
      <c r="RH22" s="37">
        <f>-'Costs'!RH33</f>
        <v/>
      </c>
      <c r="RI22" s="37">
        <f>-'Costs'!RI33</f>
        <v/>
      </c>
      <c r="RJ22" s="37">
        <f>-'Costs'!RJ33</f>
        <v/>
      </c>
      <c r="RK22" s="37">
        <f>-'Costs'!RK33</f>
        <v/>
      </c>
      <c r="RL22" s="37">
        <f>-'Costs'!RL33</f>
        <v/>
      </c>
      <c r="RM22" s="37">
        <f>-'Costs'!RM33</f>
        <v/>
      </c>
      <c r="RN22" s="37">
        <f>-'Costs'!RN33</f>
        <v/>
      </c>
      <c r="RO22" s="37">
        <f>-'Costs'!RO33</f>
        <v/>
      </c>
      <c r="RP22" s="37">
        <f>-'Costs'!RP33</f>
        <v/>
      </c>
      <c r="RQ22" s="37">
        <f>-'Costs'!RQ33</f>
        <v/>
      </c>
      <c r="RR22" s="37">
        <f>-'Costs'!RR33</f>
        <v/>
      </c>
      <c r="RS22" s="37">
        <f>-'Costs'!RS33</f>
        <v/>
      </c>
      <c r="RT22" s="37">
        <f>-'Costs'!RT33</f>
        <v/>
      </c>
      <c r="RU22" s="37">
        <f>-'Costs'!RU33</f>
        <v/>
      </c>
      <c r="RV22" s="37">
        <f>-'Costs'!RV33</f>
        <v/>
      </c>
      <c r="RW22" s="37">
        <f>-'Costs'!RW33</f>
        <v/>
      </c>
    </row>
    <row r="23" ht="5.25" customHeight="1">
      <c r="A23" s="38" t="n"/>
      <c r="B23" s="38" t="n"/>
      <c r="C23" s="38" t="n"/>
      <c r="D23" s="38" t="n"/>
      <c r="E23" s="38" t="inlineStr">
        <is>
          <t>Operating Costs</t>
        </is>
      </c>
      <c r="F23" s="38" t="n"/>
      <c r="G23" s="38" t="n"/>
    </row>
    <row r="24" hidden="1" outlineLevel="1" ht="13.05" customHeight="1">
      <c r="E24" s="25" t="inlineStr">
        <is>
          <t>Debt Drawdown</t>
        </is>
      </c>
      <c r="F24" s="26" t="n"/>
      <c r="G24" s="26" t="inlineStr">
        <is>
          <t>kEUR</t>
        </is>
      </c>
      <c r="H24" s="26" t="n"/>
      <c r="I24" s="26" t="n"/>
      <c r="J24" s="27" t="n">
        <v>846184</v>
      </c>
      <c r="K24" s="26" t="n"/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23505.11111111111</v>
      </c>
      <c r="BI24" s="28" t="n">
        <v>23505.11111111111</v>
      </c>
      <c r="BJ24" s="28" t="n">
        <v>23505.11111111111</v>
      </c>
      <c r="BK24" s="28" t="n">
        <v>23505.11111111111</v>
      </c>
      <c r="BL24" s="28" t="n">
        <v>23505.11111111111</v>
      </c>
      <c r="BM24" s="28" t="n">
        <v>23505.11111111111</v>
      </c>
      <c r="BN24" s="28" t="n">
        <v>23505.11111111111</v>
      </c>
      <c r="BO24" s="28" t="n">
        <v>23505.11111111111</v>
      </c>
      <c r="BP24" s="28" t="n">
        <v>23505.11111111111</v>
      </c>
      <c r="BQ24" s="28" t="n">
        <v>23505.11111111111</v>
      </c>
      <c r="BR24" s="28" t="n">
        <v>23505.11111111111</v>
      </c>
      <c r="BS24" s="28" t="n">
        <v>23505.11111111111</v>
      </c>
      <c r="BT24" s="28" t="n">
        <v>23505.11111111111</v>
      </c>
      <c r="BU24" s="28" t="n">
        <v>23505.11111111111</v>
      </c>
      <c r="BV24" s="28" t="n">
        <v>23505.11111111111</v>
      </c>
      <c r="BW24" s="28" t="n">
        <v>23505.11111111111</v>
      </c>
      <c r="BX24" s="28" t="n">
        <v>23505.11111111111</v>
      </c>
      <c r="BY24" s="28" t="n">
        <v>23505.11111111111</v>
      </c>
      <c r="BZ24" s="28" t="n">
        <v>23505.11111111111</v>
      </c>
      <c r="CA24" s="28" t="n">
        <v>23505.11111111111</v>
      </c>
      <c r="CB24" s="28" t="n">
        <v>23505.11111111111</v>
      </c>
      <c r="CC24" s="28" t="n">
        <v>23505.11111111111</v>
      </c>
      <c r="CD24" s="28" t="n">
        <v>23505.11111111111</v>
      </c>
      <c r="CE24" s="28" t="n">
        <v>23505.11111111111</v>
      </c>
      <c r="CF24" s="28" t="n">
        <v>23505.11111111111</v>
      </c>
      <c r="CG24" s="28" t="n">
        <v>23505.11111111111</v>
      </c>
      <c r="CH24" s="28" t="n">
        <v>23505.11111111111</v>
      </c>
      <c r="CI24" s="28" t="n">
        <v>23505.11111111111</v>
      </c>
      <c r="CJ24" s="28" t="n">
        <v>23505.11111111111</v>
      </c>
      <c r="CK24" s="28" t="n">
        <v>23505.11111111111</v>
      </c>
      <c r="CL24" s="28" t="n">
        <v>23505.11111111111</v>
      </c>
      <c r="CM24" s="28" t="n">
        <v>23505.11111111111</v>
      </c>
      <c r="CN24" s="28" t="n">
        <v>23505.11111111111</v>
      </c>
      <c r="CO24" s="28" t="n">
        <v>23505.11111111111</v>
      </c>
      <c r="CP24" s="28" t="n">
        <v>23505.11111111111</v>
      </c>
      <c r="CQ24" s="28" t="n">
        <v>23505.11111111111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0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 t="n">
        <v>0</v>
      </c>
      <c r="EB24" s="28" t="n">
        <v>0</v>
      </c>
      <c r="EC24" s="28" t="n">
        <v>0</v>
      </c>
      <c r="ED24" s="28" t="n">
        <v>0</v>
      </c>
      <c r="EE24" s="28" t="n">
        <v>0</v>
      </c>
      <c r="EF24" s="28" t="n">
        <v>0</v>
      </c>
      <c r="EG24" s="28" t="n">
        <v>0</v>
      </c>
      <c r="EH24" s="28" t="n">
        <v>0</v>
      </c>
      <c r="EI24" s="28" t="n">
        <v>0</v>
      </c>
      <c r="EJ24" s="28" t="n">
        <v>0</v>
      </c>
      <c r="EK24" s="28" t="n">
        <v>0</v>
      </c>
      <c r="EL24" s="28" t="n">
        <v>0</v>
      </c>
      <c r="EM24" s="28" t="n">
        <v>0</v>
      </c>
      <c r="EN24" s="28" t="n">
        <v>0</v>
      </c>
      <c r="EO24" s="28" t="n">
        <v>0</v>
      </c>
      <c r="EP24" s="28" t="n">
        <v>0</v>
      </c>
      <c r="EQ24" s="28" t="n">
        <v>0</v>
      </c>
      <c r="ER24" s="28" t="n">
        <v>0</v>
      </c>
      <c r="ES24" s="28" t="n">
        <v>0</v>
      </c>
      <c r="ET24" s="28" t="n">
        <v>0</v>
      </c>
      <c r="EU24" s="28" t="n">
        <v>0</v>
      </c>
      <c r="EV24" s="28" t="n">
        <v>0</v>
      </c>
      <c r="EW24" s="28" t="n">
        <v>0</v>
      </c>
      <c r="EX24" s="28" t="n">
        <v>0</v>
      </c>
      <c r="EY24" s="28" t="n">
        <v>0</v>
      </c>
      <c r="EZ24" s="28" t="n">
        <v>0</v>
      </c>
      <c r="FA24" s="28" t="n">
        <v>0</v>
      </c>
      <c r="FB24" s="28" t="n">
        <v>0</v>
      </c>
      <c r="FC24" s="28" t="n">
        <v>0</v>
      </c>
      <c r="FD24" s="28" t="n">
        <v>0</v>
      </c>
      <c r="FE24" s="28" t="n">
        <v>0</v>
      </c>
      <c r="FF24" s="28" t="n">
        <v>0</v>
      </c>
      <c r="FG24" s="28" t="n">
        <v>0</v>
      </c>
      <c r="FH24" s="28" t="n">
        <v>0</v>
      </c>
      <c r="FI24" s="28" t="n">
        <v>0</v>
      </c>
      <c r="FJ24" s="28" t="n">
        <v>0</v>
      </c>
      <c r="FK24" s="28" t="n">
        <v>0</v>
      </c>
      <c r="FL24" s="28" t="n">
        <v>0</v>
      </c>
      <c r="FM24" s="28" t="n">
        <v>0</v>
      </c>
      <c r="FN24" s="28" t="n">
        <v>0</v>
      </c>
      <c r="FO24" s="28" t="n">
        <v>0</v>
      </c>
      <c r="FP24" s="28" t="n">
        <v>0</v>
      </c>
      <c r="FQ24" s="28" t="n">
        <v>0</v>
      </c>
      <c r="FR24" s="28" t="n">
        <v>0</v>
      </c>
      <c r="FS24" s="28" t="n">
        <v>0</v>
      </c>
      <c r="FT24" s="28" t="n">
        <v>0</v>
      </c>
      <c r="FU24" s="28" t="n">
        <v>0</v>
      </c>
      <c r="FV24" s="28" t="n">
        <v>0</v>
      </c>
      <c r="FW24" s="28" t="n">
        <v>0</v>
      </c>
      <c r="FX24" s="28" t="n">
        <v>0</v>
      </c>
      <c r="FY24" s="28" t="n">
        <v>0</v>
      </c>
      <c r="FZ24" s="28" t="n">
        <v>0</v>
      </c>
      <c r="GA24" s="28" t="n">
        <v>0</v>
      </c>
      <c r="GB24" s="28" t="n">
        <v>0</v>
      </c>
      <c r="GC24" s="28" t="n">
        <v>0</v>
      </c>
      <c r="GD24" s="28" t="n">
        <v>0</v>
      </c>
      <c r="GE24" s="28" t="n">
        <v>0</v>
      </c>
      <c r="GF24" s="28" t="n">
        <v>0</v>
      </c>
      <c r="GG24" s="28" t="n">
        <v>0</v>
      </c>
      <c r="GH24" s="28" t="n">
        <v>0</v>
      </c>
      <c r="GI24" s="28" t="n">
        <v>0</v>
      </c>
      <c r="GJ24" s="28" t="n">
        <v>0</v>
      </c>
      <c r="GK24" s="28" t="n">
        <v>0</v>
      </c>
      <c r="GL24" s="28" t="n">
        <v>0</v>
      </c>
      <c r="GM24" s="28" t="n">
        <v>0</v>
      </c>
      <c r="GN24" s="28" t="n">
        <v>0</v>
      </c>
      <c r="GO24" s="28" t="n">
        <v>0</v>
      </c>
      <c r="GP24" s="28" t="n">
        <v>0</v>
      </c>
      <c r="GQ24" s="28" t="n">
        <v>0</v>
      </c>
      <c r="GR24" s="28" t="n">
        <v>0</v>
      </c>
      <c r="GS24" s="28" t="n">
        <v>0</v>
      </c>
      <c r="GT24" s="28" t="n">
        <v>0</v>
      </c>
      <c r="GU24" s="28" t="n">
        <v>0</v>
      </c>
      <c r="GV24" s="28" t="n">
        <v>0</v>
      </c>
      <c r="GW24" s="28" t="n">
        <v>0</v>
      </c>
      <c r="GX24" s="28" t="n">
        <v>0</v>
      </c>
      <c r="GY24" s="28" t="n">
        <v>0</v>
      </c>
      <c r="GZ24" s="28" t="n">
        <v>0</v>
      </c>
      <c r="HA24" s="28" t="n">
        <v>0</v>
      </c>
      <c r="HB24" s="28" t="n">
        <v>0</v>
      </c>
      <c r="HC24" s="28" t="n">
        <v>0</v>
      </c>
      <c r="HD24" s="28" t="n">
        <v>0</v>
      </c>
      <c r="HE24" s="28" t="n">
        <v>0</v>
      </c>
      <c r="HF24" s="28" t="n">
        <v>0</v>
      </c>
      <c r="HG24" s="28" t="n">
        <v>0</v>
      </c>
      <c r="HH24" s="28" t="n">
        <v>0</v>
      </c>
      <c r="HI24" s="28" t="n">
        <v>0</v>
      </c>
      <c r="HJ24" s="28" t="n">
        <v>0</v>
      </c>
      <c r="HK24" s="28" t="n">
        <v>0</v>
      </c>
      <c r="HL24" s="28" t="n">
        <v>0</v>
      </c>
      <c r="HM24" s="28" t="n">
        <v>0</v>
      </c>
      <c r="HN24" s="28" t="n">
        <v>0</v>
      </c>
      <c r="HO24" s="28" t="n">
        <v>0</v>
      </c>
      <c r="HP24" s="28" t="n">
        <v>0</v>
      </c>
      <c r="HQ24" s="28" t="n">
        <v>0</v>
      </c>
      <c r="HR24" s="28" t="n">
        <v>0</v>
      </c>
      <c r="HS24" s="28" t="n">
        <v>0</v>
      </c>
      <c r="HT24" s="28" t="n">
        <v>0</v>
      </c>
      <c r="HU24" s="28" t="n">
        <v>0</v>
      </c>
      <c r="HV24" s="28" t="n">
        <v>0</v>
      </c>
      <c r="HW24" s="28" t="n">
        <v>0</v>
      </c>
      <c r="HX24" s="28" t="n">
        <v>0</v>
      </c>
      <c r="HY24" s="28" t="n">
        <v>0</v>
      </c>
      <c r="HZ24" s="28" t="n">
        <v>0</v>
      </c>
      <c r="IA24" s="28" t="n">
        <v>0</v>
      </c>
      <c r="IB24" s="28" t="n">
        <v>0</v>
      </c>
      <c r="IC24" s="28" t="n">
        <v>0</v>
      </c>
      <c r="ID24" s="28" t="n">
        <v>0</v>
      </c>
      <c r="IE24" s="28" t="n">
        <v>0</v>
      </c>
      <c r="IF24" s="28" t="n">
        <v>0</v>
      </c>
      <c r="IG24" s="28" t="n">
        <v>0</v>
      </c>
      <c r="IH24" s="28" t="n">
        <v>0</v>
      </c>
      <c r="II24" s="28" t="n">
        <v>0</v>
      </c>
      <c r="IJ24" s="28" t="n">
        <v>0</v>
      </c>
      <c r="IK24" s="28" t="n">
        <v>0</v>
      </c>
      <c r="IL24" s="28" t="n">
        <v>0</v>
      </c>
      <c r="IM24" s="28" t="n">
        <v>0</v>
      </c>
      <c r="IN24" s="28" t="n">
        <v>0</v>
      </c>
      <c r="IO24" s="28" t="n">
        <v>0</v>
      </c>
      <c r="IP24" s="28" t="n">
        <v>0</v>
      </c>
      <c r="IQ24" s="28" t="n">
        <v>0</v>
      </c>
      <c r="IR24" s="28" t="n">
        <v>0</v>
      </c>
      <c r="IS24" s="28" t="n">
        <v>0</v>
      </c>
      <c r="IT24" s="28" t="n">
        <v>0</v>
      </c>
      <c r="IU24" s="28" t="n">
        <v>0</v>
      </c>
      <c r="IV24" s="28" t="n">
        <v>0</v>
      </c>
      <c r="IW24" s="28" t="n">
        <v>0</v>
      </c>
      <c r="IX24" s="28" t="n">
        <v>0</v>
      </c>
      <c r="IY24" s="28" t="n">
        <v>0</v>
      </c>
      <c r="IZ24" s="28" t="n">
        <v>0</v>
      </c>
      <c r="JA24" s="28" t="n">
        <v>0</v>
      </c>
      <c r="JB24" s="28" t="n">
        <v>0</v>
      </c>
      <c r="JC24" s="28" t="n">
        <v>0</v>
      </c>
      <c r="JD24" s="28" t="n">
        <v>0</v>
      </c>
      <c r="JE24" s="28" t="n">
        <v>0</v>
      </c>
      <c r="JF24" s="28" t="n">
        <v>0</v>
      </c>
      <c r="JG24" s="28" t="n">
        <v>0</v>
      </c>
      <c r="JH24" s="28" t="n">
        <v>0</v>
      </c>
      <c r="JI24" s="28" t="n">
        <v>0</v>
      </c>
      <c r="JJ24" s="28" t="n">
        <v>0</v>
      </c>
      <c r="JK24" s="28" t="n">
        <v>0</v>
      </c>
      <c r="JL24" s="28" t="n">
        <v>0</v>
      </c>
      <c r="JM24" s="28" t="n">
        <v>0</v>
      </c>
      <c r="JN24" s="28" t="n">
        <v>0</v>
      </c>
      <c r="JO24" s="28" t="n">
        <v>0</v>
      </c>
      <c r="JP24" s="28" t="n">
        <v>0</v>
      </c>
      <c r="JQ24" s="28" t="n">
        <v>0</v>
      </c>
      <c r="JR24" s="28" t="n">
        <v>0</v>
      </c>
      <c r="JS24" s="28" t="n">
        <v>0</v>
      </c>
      <c r="JT24" s="28" t="n">
        <v>0</v>
      </c>
      <c r="JU24" s="28" t="n">
        <v>0</v>
      </c>
      <c r="JV24" s="28" t="n">
        <v>0</v>
      </c>
      <c r="JW24" s="28" t="n">
        <v>0</v>
      </c>
      <c r="JX24" s="28" t="n">
        <v>0</v>
      </c>
      <c r="JY24" s="28" t="n">
        <v>0</v>
      </c>
      <c r="JZ24" s="28" t="n">
        <v>0</v>
      </c>
      <c r="KA24" s="28" t="n">
        <v>0</v>
      </c>
      <c r="KB24" s="28" t="n">
        <v>0</v>
      </c>
      <c r="KC24" s="28" t="n">
        <v>0</v>
      </c>
      <c r="KD24" s="28" t="n">
        <v>0</v>
      </c>
      <c r="KE24" s="28" t="n">
        <v>0</v>
      </c>
      <c r="KF24" s="28" t="n">
        <v>0</v>
      </c>
      <c r="KG24" s="28" t="n">
        <v>0</v>
      </c>
      <c r="KH24" s="28" t="n">
        <v>0</v>
      </c>
      <c r="KI24" s="28" t="n">
        <v>0</v>
      </c>
      <c r="KJ24" s="28" t="n">
        <v>0</v>
      </c>
      <c r="KK24" s="28" t="n">
        <v>0</v>
      </c>
      <c r="KL24" s="28" t="n">
        <v>0</v>
      </c>
      <c r="KM24" s="28" t="n">
        <v>0</v>
      </c>
      <c r="KN24" s="28" t="n">
        <v>0</v>
      </c>
      <c r="KO24" s="28" t="n">
        <v>0</v>
      </c>
      <c r="KP24" s="28" t="n">
        <v>0</v>
      </c>
      <c r="KQ24" s="28" t="n">
        <v>0</v>
      </c>
      <c r="KR24" s="28" t="n">
        <v>0</v>
      </c>
      <c r="KS24" s="28" t="n">
        <v>0</v>
      </c>
      <c r="KT24" s="28" t="n">
        <v>0</v>
      </c>
      <c r="KU24" s="28" t="n">
        <v>0</v>
      </c>
      <c r="KV24" s="28" t="n">
        <v>0</v>
      </c>
      <c r="KW24" s="28" t="n">
        <v>0</v>
      </c>
      <c r="KX24" s="28" t="n">
        <v>0</v>
      </c>
      <c r="KY24" s="28" t="n">
        <v>0</v>
      </c>
      <c r="KZ24" s="28" t="n">
        <v>0</v>
      </c>
      <c r="LA24" s="28" t="n">
        <v>0</v>
      </c>
      <c r="LB24" s="28" t="n">
        <v>0</v>
      </c>
      <c r="LC24" s="28" t="n">
        <v>0</v>
      </c>
      <c r="LD24" s="28" t="n">
        <v>0</v>
      </c>
      <c r="LE24" s="28" t="n">
        <v>0</v>
      </c>
      <c r="LF24" s="28" t="n">
        <v>0</v>
      </c>
      <c r="LG24" s="28" t="n">
        <v>0</v>
      </c>
      <c r="LH24" s="28" t="n">
        <v>0</v>
      </c>
      <c r="LI24" s="28" t="n">
        <v>0</v>
      </c>
      <c r="LJ24" s="28" t="n">
        <v>0</v>
      </c>
      <c r="LK24" s="28" t="n">
        <v>0</v>
      </c>
      <c r="LL24" s="28" t="n">
        <v>0</v>
      </c>
      <c r="LM24" s="28" t="n">
        <v>0</v>
      </c>
      <c r="LN24" s="28" t="n">
        <v>0</v>
      </c>
      <c r="LO24" s="28" t="n">
        <v>0</v>
      </c>
      <c r="LP24" s="28" t="n">
        <v>0</v>
      </c>
      <c r="LQ24" s="28" t="n">
        <v>0</v>
      </c>
      <c r="LR24" s="28" t="n">
        <v>0</v>
      </c>
      <c r="LS24" s="28" t="n">
        <v>0</v>
      </c>
      <c r="LT24" s="28" t="n">
        <v>0</v>
      </c>
      <c r="LU24" s="28" t="n">
        <v>0</v>
      </c>
      <c r="LV24" s="28" t="n">
        <v>0</v>
      </c>
      <c r="LW24" s="28" t="n">
        <v>0</v>
      </c>
      <c r="LX24" s="28" t="n">
        <v>0</v>
      </c>
      <c r="LY24" s="28" t="n">
        <v>0</v>
      </c>
      <c r="LZ24" s="28" t="n">
        <v>0</v>
      </c>
      <c r="MA24" s="28" t="n">
        <v>0</v>
      </c>
      <c r="MB24" s="28" t="n">
        <v>0</v>
      </c>
      <c r="MC24" s="28" t="n">
        <v>0</v>
      </c>
      <c r="MD24" s="28" t="n">
        <v>0</v>
      </c>
      <c r="ME24" s="28" t="n">
        <v>0</v>
      </c>
      <c r="MF24" s="28" t="n">
        <v>0</v>
      </c>
      <c r="MG24" s="28" t="n">
        <v>0</v>
      </c>
      <c r="MH24" s="28" t="n">
        <v>0</v>
      </c>
      <c r="MI24" s="28" t="n">
        <v>0</v>
      </c>
      <c r="MJ24" s="28" t="n">
        <v>0</v>
      </c>
      <c r="MK24" s="28" t="n">
        <v>0</v>
      </c>
      <c r="ML24" s="28" t="n">
        <v>0</v>
      </c>
      <c r="MM24" s="28" t="n">
        <v>0</v>
      </c>
      <c r="MN24" s="28" t="n">
        <v>0</v>
      </c>
      <c r="MO24" s="28" t="n">
        <v>0</v>
      </c>
      <c r="MP24" s="28" t="n">
        <v>0</v>
      </c>
      <c r="MQ24" s="28" t="n">
        <v>0</v>
      </c>
      <c r="MR24" s="28" t="n">
        <v>0</v>
      </c>
      <c r="MS24" s="28" t="n">
        <v>0</v>
      </c>
      <c r="MT24" s="28" t="n">
        <v>0</v>
      </c>
      <c r="MU24" s="28" t="n">
        <v>0</v>
      </c>
      <c r="MV24" s="28" t="n">
        <v>0</v>
      </c>
      <c r="MW24" s="28" t="n">
        <v>0</v>
      </c>
      <c r="MX24" s="28" t="n">
        <v>0</v>
      </c>
      <c r="MY24" s="28" t="n">
        <v>0</v>
      </c>
      <c r="MZ24" s="28" t="n">
        <v>0</v>
      </c>
      <c r="NA24" s="28" t="n">
        <v>0</v>
      </c>
      <c r="NB24" s="28" t="n">
        <v>0</v>
      </c>
      <c r="NC24" s="28" t="n">
        <v>0</v>
      </c>
      <c r="ND24" s="28" t="n">
        <v>0</v>
      </c>
      <c r="NE24" s="28" t="n">
        <v>0</v>
      </c>
      <c r="NF24" s="28" t="n">
        <v>0</v>
      </c>
      <c r="NG24" s="28" t="n">
        <v>0</v>
      </c>
      <c r="NH24" s="28" t="n">
        <v>0</v>
      </c>
      <c r="NI24" s="28" t="n">
        <v>0</v>
      </c>
      <c r="NJ24" s="28" t="n">
        <v>0</v>
      </c>
      <c r="NK24" s="28" t="n">
        <v>0</v>
      </c>
      <c r="NL24" s="28" t="n">
        <v>0</v>
      </c>
      <c r="NM24" s="28" t="n">
        <v>0</v>
      </c>
      <c r="NN24" s="28" t="n">
        <v>0</v>
      </c>
      <c r="NO24" s="28" t="n">
        <v>0</v>
      </c>
      <c r="NP24" s="28" t="n">
        <v>0</v>
      </c>
      <c r="NQ24" s="28" t="n">
        <v>0</v>
      </c>
      <c r="NR24" s="28" t="n">
        <v>0</v>
      </c>
      <c r="NS24" s="28" t="n">
        <v>0</v>
      </c>
      <c r="NT24" s="28" t="n">
        <v>0</v>
      </c>
      <c r="NU24" s="28" t="n">
        <v>0</v>
      </c>
      <c r="NV24" s="28" t="n">
        <v>0</v>
      </c>
      <c r="NW24" s="28" t="n">
        <v>0</v>
      </c>
      <c r="NX24" s="28" t="n">
        <v>0</v>
      </c>
      <c r="NY24" s="28" t="n">
        <v>0</v>
      </c>
      <c r="NZ24" s="28" t="n">
        <v>0</v>
      </c>
      <c r="OA24" s="28" t="n">
        <v>0</v>
      </c>
      <c r="OB24" s="28" t="n">
        <v>0</v>
      </c>
      <c r="OC24" s="28" t="n">
        <v>0</v>
      </c>
      <c r="OD24" s="28" t="n">
        <v>0</v>
      </c>
      <c r="OE24" s="28" t="n">
        <v>0</v>
      </c>
      <c r="OF24" s="28" t="n">
        <v>0</v>
      </c>
      <c r="OG24" s="28" t="n">
        <v>0</v>
      </c>
      <c r="OH24" s="28" t="n">
        <v>0</v>
      </c>
      <c r="OI24" s="28" t="n">
        <v>0</v>
      </c>
      <c r="OJ24" s="28" t="n">
        <v>0</v>
      </c>
      <c r="OK24" s="28" t="n">
        <v>0</v>
      </c>
      <c r="OL24" s="28" t="n">
        <v>0</v>
      </c>
      <c r="OM24" s="28" t="n">
        <v>0</v>
      </c>
      <c r="ON24" s="28" t="n">
        <v>0</v>
      </c>
      <c r="OO24" s="28" t="n">
        <v>0</v>
      </c>
      <c r="OP24" s="28" t="n">
        <v>0</v>
      </c>
      <c r="OQ24" s="28" t="n">
        <v>0</v>
      </c>
      <c r="OR24" s="28" t="n">
        <v>0</v>
      </c>
      <c r="OS24" s="28" t="n">
        <v>0</v>
      </c>
      <c r="OT24" s="28" t="n">
        <v>0</v>
      </c>
      <c r="OU24" s="28" t="n">
        <v>0</v>
      </c>
      <c r="OV24" s="28" t="n">
        <v>0</v>
      </c>
      <c r="OW24" s="28" t="n">
        <v>0</v>
      </c>
      <c r="OX24" s="28" t="n">
        <v>0</v>
      </c>
      <c r="OY24" s="28" t="n">
        <v>0</v>
      </c>
      <c r="OZ24" s="28" t="n">
        <v>0</v>
      </c>
      <c r="PA24" s="28" t="n">
        <v>0</v>
      </c>
      <c r="PB24" s="28" t="n">
        <v>0</v>
      </c>
      <c r="PC24" s="28" t="n">
        <v>0</v>
      </c>
      <c r="PD24" s="28" t="n">
        <v>0</v>
      </c>
      <c r="PE24" s="28" t="n">
        <v>0</v>
      </c>
      <c r="PF24" s="28" t="n">
        <v>0</v>
      </c>
      <c r="PG24" s="28" t="n">
        <v>0</v>
      </c>
      <c r="PH24" s="28" t="n">
        <v>0</v>
      </c>
      <c r="PI24" s="28" t="n">
        <v>0</v>
      </c>
      <c r="PJ24" s="28" t="n">
        <v>0</v>
      </c>
      <c r="PK24" s="28" t="n">
        <v>0</v>
      </c>
      <c r="PL24" s="28" t="n">
        <v>0</v>
      </c>
      <c r="PM24" s="28" t="n">
        <v>0</v>
      </c>
      <c r="PN24" s="28" t="n">
        <v>0</v>
      </c>
      <c r="PO24" s="28" t="n">
        <v>0</v>
      </c>
      <c r="PP24" s="28" t="n">
        <v>0</v>
      </c>
      <c r="PQ24" s="28" t="n">
        <v>0</v>
      </c>
      <c r="PR24" s="28" t="n">
        <v>0</v>
      </c>
      <c r="PS24" s="28" t="n">
        <v>0</v>
      </c>
      <c r="PT24" s="28" t="n">
        <v>0</v>
      </c>
      <c r="PU24" s="28" t="n">
        <v>0</v>
      </c>
      <c r="PV24" s="28" t="n">
        <v>0</v>
      </c>
      <c r="PW24" s="28" t="n">
        <v>0</v>
      </c>
      <c r="PX24" s="28" t="n">
        <v>0</v>
      </c>
      <c r="PY24" s="28" t="n">
        <v>0</v>
      </c>
      <c r="PZ24" s="28" t="n">
        <v>0</v>
      </c>
      <c r="QA24" s="28" t="n">
        <v>0</v>
      </c>
      <c r="QB24" s="28" t="n">
        <v>0</v>
      </c>
      <c r="QC24" s="28" t="n">
        <v>0</v>
      </c>
      <c r="QD24" s="28" t="n">
        <v>0</v>
      </c>
      <c r="QE24" s="28" t="n">
        <v>0</v>
      </c>
      <c r="QF24" s="28" t="n">
        <v>0</v>
      </c>
      <c r="QG24" s="28" t="n">
        <v>0</v>
      </c>
      <c r="QH24" s="28" t="n">
        <v>0</v>
      </c>
      <c r="QI24" s="28" t="n">
        <v>0</v>
      </c>
      <c r="QJ24" s="28" t="n">
        <v>0</v>
      </c>
      <c r="QK24" s="28" t="n">
        <v>0</v>
      </c>
      <c r="QL24" s="28" t="n">
        <v>0</v>
      </c>
      <c r="QM24" s="28" t="n">
        <v>0</v>
      </c>
      <c r="QN24" s="28" t="n">
        <v>0</v>
      </c>
      <c r="QO24" s="28" t="n">
        <v>0</v>
      </c>
      <c r="QP24" s="28" t="n">
        <v>0</v>
      </c>
      <c r="QQ24" s="28" t="n">
        <v>0</v>
      </c>
      <c r="QR24" s="28" t="n">
        <v>0</v>
      </c>
      <c r="QS24" s="28" t="n">
        <v>0</v>
      </c>
      <c r="QT24" s="28" t="n">
        <v>0</v>
      </c>
      <c r="QU24" s="28" t="n">
        <v>0</v>
      </c>
      <c r="QV24" s="28" t="n">
        <v>0</v>
      </c>
      <c r="QW24" s="28" t="n">
        <v>0</v>
      </c>
      <c r="QX24" s="28" t="n">
        <v>0</v>
      </c>
      <c r="QY24" s="28" t="n">
        <v>0</v>
      </c>
      <c r="QZ24" s="28" t="n">
        <v>0</v>
      </c>
      <c r="RA24" s="28" t="n">
        <v>0</v>
      </c>
      <c r="RB24" s="28" t="n">
        <v>0</v>
      </c>
      <c r="RC24" s="28" t="n">
        <v>0</v>
      </c>
      <c r="RD24" s="28" t="n">
        <v>0</v>
      </c>
      <c r="RE24" s="28" t="n">
        <v>0</v>
      </c>
      <c r="RF24" s="28" t="n">
        <v>0</v>
      </c>
      <c r="RG24" s="28" t="n">
        <v>0</v>
      </c>
      <c r="RH24" s="28" t="n">
        <v>0</v>
      </c>
      <c r="RI24" s="28" t="n">
        <v>0</v>
      </c>
      <c r="RJ24" s="28" t="n">
        <v>0</v>
      </c>
      <c r="RK24" s="28" t="n">
        <v>0</v>
      </c>
      <c r="RL24" s="28" t="n">
        <v>0</v>
      </c>
      <c r="RM24" s="28" t="n">
        <v>0</v>
      </c>
      <c r="RN24" s="28" t="n">
        <v>0</v>
      </c>
      <c r="RO24" s="28" t="n">
        <v>0</v>
      </c>
      <c r="RP24" s="28" t="n">
        <v>0</v>
      </c>
      <c r="RQ24" s="28" t="n">
        <v>0</v>
      </c>
      <c r="RR24" s="28" t="n">
        <v>0</v>
      </c>
      <c r="RS24" s="28" t="n">
        <v>0</v>
      </c>
      <c r="RT24" s="28" t="n">
        <v>0</v>
      </c>
      <c r="RU24" s="28" t="n">
        <v>0</v>
      </c>
      <c r="RV24" s="28" t="n">
        <v>0</v>
      </c>
      <c r="RW24" s="28" t="n">
        <v>0</v>
      </c>
    </row>
    <row r="25" hidden="1" outlineLevel="1" ht="13.05" customHeight="1">
      <c r="E25" s="25" t="inlineStr">
        <is>
          <t>Principal Repayment</t>
        </is>
      </c>
      <c r="F25" s="26" t="n"/>
      <c r="G25" s="26" t="inlineStr">
        <is>
          <t>kEUR</t>
        </is>
      </c>
      <c r="H25" s="26" t="n"/>
      <c r="I25" s="26" t="n"/>
      <c r="J25" s="27" t="n">
        <v>846184.0000000049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0</v>
      </c>
      <c r="CR25" s="28" t="n">
        <v>0</v>
      </c>
      <c r="CS25" s="28" t="n">
        <v>0</v>
      </c>
      <c r="CT25" s="28" t="n">
        <v>0</v>
      </c>
      <c r="CU25" s="28" t="n">
        <v>0</v>
      </c>
      <c r="CV25" s="28" t="n">
        <v>0</v>
      </c>
      <c r="CW25" s="28" t="n">
        <v>2820.613333333333</v>
      </c>
      <c r="CX25" s="28" t="n">
        <v>2820.613333333333</v>
      </c>
      <c r="CY25" s="28" t="n">
        <v>2820.613333333333</v>
      </c>
      <c r="CZ25" s="28" t="n">
        <v>2820.613333333333</v>
      </c>
      <c r="DA25" s="28" t="n">
        <v>2820.613333333333</v>
      </c>
      <c r="DB25" s="28" t="n">
        <v>2820.613333333333</v>
      </c>
      <c r="DC25" s="28" t="n">
        <v>2820.613333333333</v>
      </c>
      <c r="DD25" s="28" t="n">
        <v>2820.613333333333</v>
      </c>
      <c r="DE25" s="28" t="n">
        <v>2820.613333333333</v>
      </c>
      <c r="DF25" s="28" t="n">
        <v>2820.613333333333</v>
      </c>
      <c r="DG25" s="28" t="n">
        <v>2820.613333333333</v>
      </c>
      <c r="DH25" s="28" t="n">
        <v>2820.613333333333</v>
      </c>
      <c r="DI25" s="28" t="n">
        <v>2820.613333333333</v>
      </c>
      <c r="DJ25" s="28" t="n">
        <v>2820.613333333333</v>
      </c>
      <c r="DK25" s="28" t="n">
        <v>2820.613333333333</v>
      </c>
      <c r="DL25" s="28" t="n">
        <v>2820.613333333333</v>
      </c>
      <c r="DM25" s="28" t="n">
        <v>2820.613333333333</v>
      </c>
      <c r="DN25" s="28" t="n">
        <v>2820.613333333333</v>
      </c>
      <c r="DO25" s="28" t="n">
        <v>2820.613333333333</v>
      </c>
      <c r="DP25" s="28" t="n">
        <v>2820.613333333333</v>
      </c>
      <c r="DQ25" s="28" t="n">
        <v>2820.613333333333</v>
      </c>
      <c r="DR25" s="28" t="n">
        <v>2820.613333333333</v>
      </c>
      <c r="DS25" s="28" t="n">
        <v>2820.613333333333</v>
      </c>
      <c r="DT25" s="28" t="n">
        <v>2820.613333333333</v>
      </c>
      <c r="DU25" s="28" t="n">
        <v>2820.613333333333</v>
      </c>
      <c r="DV25" s="28" t="n">
        <v>2820.613333333333</v>
      </c>
      <c r="DW25" s="28" t="n">
        <v>2820.613333333333</v>
      </c>
      <c r="DX25" s="28" t="n">
        <v>2820.613333333333</v>
      </c>
      <c r="DY25" s="28" t="n">
        <v>2820.613333333333</v>
      </c>
      <c r="DZ25" s="28" t="n">
        <v>2820.613333333333</v>
      </c>
      <c r="EA25" s="28" t="n">
        <v>2820.613333333333</v>
      </c>
      <c r="EB25" s="28" t="n">
        <v>2820.613333333333</v>
      </c>
      <c r="EC25" s="28" t="n">
        <v>2820.613333333333</v>
      </c>
      <c r="ED25" s="28" t="n">
        <v>2820.613333333333</v>
      </c>
      <c r="EE25" s="28" t="n">
        <v>2820.613333333333</v>
      </c>
      <c r="EF25" s="28" t="n">
        <v>2820.613333333333</v>
      </c>
      <c r="EG25" s="28" t="n">
        <v>2820.613333333333</v>
      </c>
      <c r="EH25" s="28" t="n">
        <v>2820.613333333333</v>
      </c>
      <c r="EI25" s="28" t="n">
        <v>2820.613333333333</v>
      </c>
      <c r="EJ25" s="28" t="n">
        <v>2820.613333333333</v>
      </c>
      <c r="EK25" s="28" t="n">
        <v>2820.613333333333</v>
      </c>
      <c r="EL25" s="28" t="n">
        <v>2820.613333333333</v>
      </c>
      <c r="EM25" s="28" t="n">
        <v>2820.613333333333</v>
      </c>
      <c r="EN25" s="28" t="n">
        <v>2820.613333333333</v>
      </c>
      <c r="EO25" s="28" t="n">
        <v>2820.613333333333</v>
      </c>
      <c r="EP25" s="28" t="n">
        <v>2820.613333333333</v>
      </c>
      <c r="EQ25" s="28" t="n">
        <v>2820.613333333333</v>
      </c>
      <c r="ER25" s="28" t="n">
        <v>2820.613333333333</v>
      </c>
      <c r="ES25" s="28" t="n">
        <v>2820.613333333333</v>
      </c>
      <c r="ET25" s="28" t="n">
        <v>2820.613333333333</v>
      </c>
      <c r="EU25" s="28" t="n">
        <v>2820.613333333333</v>
      </c>
      <c r="EV25" s="28" t="n">
        <v>2820.613333333333</v>
      </c>
      <c r="EW25" s="28" t="n">
        <v>2820.613333333333</v>
      </c>
      <c r="EX25" s="28" t="n">
        <v>2820.613333333333</v>
      </c>
      <c r="EY25" s="28" t="n">
        <v>2820.613333333333</v>
      </c>
      <c r="EZ25" s="28" t="n">
        <v>2820.613333333333</v>
      </c>
      <c r="FA25" s="28" t="n">
        <v>2820.613333333333</v>
      </c>
      <c r="FB25" s="28" t="n">
        <v>2820.613333333333</v>
      </c>
      <c r="FC25" s="28" t="n">
        <v>2820.613333333333</v>
      </c>
      <c r="FD25" s="28" t="n">
        <v>2820.613333333333</v>
      </c>
      <c r="FE25" s="28" t="n">
        <v>2820.613333333333</v>
      </c>
      <c r="FF25" s="28" t="n">
        <v>2820.613333333333</v>
      </c>
      <c r="FG25" s="28" t="n">
        <v>2820.613333333333</v>
      </c>
      <c r="FH25" s="28" t="n">
        <v>2820.613333333333</v>
      </c>
      <c r="FI25" s="28" t="n">
        <v>2820.613333333333</v>
      </c>
      <c r="FJ25" s="28" t="n">
        <v>2820.613333333333</v>
      </c>
      <c r="FK25" s="28" t="n">
        <v>2820.613333333333</v>
      </c>
      <c r="FL25" s="28" t="n">
        <v>2820.613333333333</v>
      </c>
      <c r="FM25" s="28" t="n">
        <v>2820.613333333333</v>
      </c>
      <c r="FN25" s="28" t="n">
        <v>2820.613333333333</v>
      </c>
      <c r="FO25" s="28" t="n">
        <v>2820.613333333333</v>
      </c>
      <c r="FP25" s="28" t="n">
        <v>2820.613333333333</v>
      </c>
      <c r="FQ25" s="28" t="n">
        <v>2820.613333333333</v>
      </c>
      <c r="FR25" s="28" t="n">
        <v>2820.613333333333</v>
      </c>
      <c r="FS25" s="28" t="n">
        <v>2820.613333333333</v>
      </c>
      <c r="FT25" s="28" t="n">
        <v>2820.613333333333</v>
      </c>
      <c r="FU25" s="28" t="n">
        <v>2820.613333333333</v>
      </c>
      <c r="FV25" s="28" t="n">
        <v>2820.613333333333</v>
      </c>
      <c r="FW25" s="28" t="n">
        <v>2820.613333333333</v>
      </c>
      <c r="FX25" s="28" t="n">
        <v>2820.613333333333</v>
      </c>
      <c r="FY25" s="28" t="n">
        <v>2820.613333333333</v>
      </c>
      <c r="FZ25" s="28" t="n">
        <v>2820.613333333333</v>
      </c>
      <c r="GA25" s="28" t="n">
        <v>2820.613333333333</v>
      </c>
      <c r="GB25" s="28" t="n">
        <v>2820.613333333333</v>
      </c>
      <c r="GC25" s="28" t="n">
        <v>2820.613333333333</v>
      </c>
      <c r="GD25" s="28" t="n">
        <v>2820.613333333333</v>
      </c>
      <c r="GE25" s="28" t="n">
        <v>2820.613333333333</v>
      </c>
      <c r="GF25" s="28" t="n">
        <v>2820.613333333333</v>
      </c>
      <c r="GG25" s="28" t="n">
        <v>2820.613333333333</v>
      </c>
      <c r="GH25" s="28" t="n">
        <v>2820.613333333333</v>
      </c>
      <c r="GI25" s="28" t="n">
        <v>2820.613333333333</v>
      </c>
      <c r="GJ25" s="28" t="n">
        <v>2820.613333333333</v>
      </c>
      <c r="GK25" s="28" t="n">
        <v>2820.613333333333</v>
      </c>
      <c r="GL25" s="28" t="n">
        <v>2820.613333333333</v>
      </c>
      <c r="GM25" s="28" t="n">
        <v>2820.613333333333</v>
      </c>
      <c r="GN25" s="28" t="n">
        <v>2820.613333333333</v>
      </c>
      <c r="GO25" s="28" t="n">
        <v>2820.613333333333</v>
      </c>
      <c r="GP25" s="28" t="n">
        <v>2820.613333333333</v>
      </c>
      <c r="GQ25" s="28" t="n">
        <v>2820.613333333333</v>
      </c>
      <c r="GR25" s="28" t="n">
        <v>2820.613333333333</v>
      </c>
      <c r="GS25" s="28" t="n">
        <v>2820.613333333333</v>
      </c>
      <c r="GT25" s="28" t="n">
        <v>2820.613333333333</v>
      </c>
      <c r="GU25" s="28" t="n">
        <v>2820.613333333333</v>
      </c>
      <c r="GV25" s="28" t="n">
        <v>2820.613333333333</v>
      </c>
      <c r="GW25" s="28" t="n">
        <v>2820.613333333333</v>
      </c>
      <c r="GX25" s="28" t="n">
        <v>2820.613333333333</v>
      </c>
      <c r="GY25" s="28" t="n">
        <v>2820.613333333333</v>
      </c>
      <c r="GZ25" s="28" t="n">
        <v>2820.613333333333</v>
      </c>
      <c r="HA25" s="28" t="n">
        <v>2820.613333333333</v>
      </c>
      <c r="HB25" s="28" t="n">
        <v>2820.613333333333</v>
      </c>
      <c r="HC25" s="28" t="n">
        <v>2820.613333333333</v>
      </c>
      <c r="HD25" s="28" t="n">
        <v>2820.613333333333</v>
      </c>
      <c r="HE25" s="28" t="n">
        <v>2820.613333333333</v>
      </c>
      <c r="HF25" s="28" t="n">
        <v>2820.613333333333</v>
      </c>
      <c r="HG25" s="28" t="n">
        <v>2820.613333333333</v>
      </c>
      <c r="HH25" s="28" t="n">
        <v>2820.613333333333</v>
      </c>
      <c r="HI25" s="28" t="n">
        <v>2820.613333333333</v>
      </c>
      <c r="HJ25" s="28" t="n">
        <v>2820.613333333333</v>
      </c>
      <c r="HK25" s="28" t="n">
        <v>2820.613333333333</v>
      </c>
      <c r="HL25" s="28" t="n">
        <v>2820.613333333333</v>
      </c>
      <c r="HM25" s="28" t="n">
        <v>2820.613333333333</v>
      </c>
      <c r="HN25" s="28" t="n">
        <v>2820.613333333333</v>
      </c>
      <c r="HO25" s="28" t="n">
        <v>2820.613333333333</v>
      </c>
      <c r="HP25" s="28" t="n">
        <v>2820.613333333333</v>
      </c>
      <c r="HQ25" s="28" t="n">
        <v>2820.613333333333</v>
      </c>
      <c r="HR25" s="28" t="n">
        <v>2820.613333333333</v>
      </c>
      <c r="HS25" s="28" t="n">
        <v>2820.613333333333</v>
      </c>
      <c r="HT25" s="28" t="n">
        <v>2820.613333333333</v>
      </c>
      <c r="HU25" s="28" t="n">
        <v>2820.613333333333</v>
      </c>
      <c r="HV25" s="28" t="n">
        <v>2820.613333333333</v>
      </c>
      <c r="HW25" s="28" t="n">
        <v>2820.613333333333</v>
      </c>
      <c r="HX25" s="28" t="n">
        <v>2820.613333333333</v>
      </c>
      <c r="HY25" s="28" t="n">
        <v>2820.613333333333</v>
      </c>
      <c r="HZ25" s="28" t="n">
        <v>2820.613333333333</v>
      </c>
      <c r="IA25" s="28" t="n">
        <v>2820.613333333333</v>
      </c>
      <c r="IB25" s="28" t="n">
        <v>2820.613333333333</v>
      </c>
      <c r="IC25" s="28" t="n">
        <v>2820.613333333333</v>
      </c>
      <c r="ID25" s="28" t="n">
        <v>2820.613333333333</v>
      </c>
      <c r="IE25" s="28" t="n">
        <v>2820.613333333333</v>
      </c>
      <c r="IF25" s="28" t="n">
        <v>2820.613333333333</v>
      </c>
      <c r="IG25" s="28" t="n">
        <v>2820.613333333333</v>
      </c>
      <c r="IH25" s="28" t="n">
        <v>2820.613333333333</v>
      </c>
      <c r="II25" s="28" t="n">
        <v>2820.613333333333</v>
      </c>
      <c r="IJ25" s="28" t="n">
        <v>2820.613333333333</v>
      </c>
      <c r="IK25" s="28" t="n">
        <v>2820.613333333333</v>
      </c>
      <c r="IL25" s="28" t="n">
        <v>2820.613333333333</v>
      </c>
      <c r="IM25" s="28" t="n">
        <v>2820.613333333333</v>
      </c>
      <c r="IN25" s="28" t="n">
        <v>2820.613333333333</v>
      </c>
      <c r="IO25" s="28" t="n">
        <v>2820.613333333333</v>
      </c>
      <c r="IP25" s="28" t="n">
        <v>2820.613333333333</v>
      </c>
      <c r="IQ25" s="28" t="n">
        <v>2820.613333333333</v>
      </c>
      <c r="IR25" s="28" t="n">
        <v>2820.613333333333</v>
      </c>
      <c r="IS25" s="28" t="n">
        <v>2820.613333333333</v>
      </c>
      <c r="IT25" s="28" t="n">
        <v>2820.613333333333</v>
      </c>
      <c r="IU25" s="28" t="n">
        <v>2820.613333333333</v>
      </c>
      <c r="IV25" s="28" t="n">
        <v>2820.613333333333</v>
      </c>
      <c r="IW25" s="28" t="n">
        <v>2820.613333333333</v>
      </c>
      <c r="IX25" s="28" t="n">
        <v>2820.613333333333</v>
      </c>
      <c r="IY25" s="28" t="n">
        <v>2820.613333333333</v>
      </c>
      <c r="IZ25" s="28" t="n">
        <v>2820.613333333333</v>
      </c>
      <c r="JA25" s="28" t="n">
        <v>2820.613333333333</v>
      </c>
      <c r="JB25" s="28" t="n">
        <v>2820.613333333333</v>
      </c>
      <c r="JC25" s="28" t="n">
        <v>2820.613333333333</v>
      </c>
      <c r="JD25" s="28" t="n">
        <v>2820.613333333333</v>
      </c>
      <c r="JE25" s="28" t="n">
        <v>2820.613333333333</v>
      </c>
      <c r="JF25" s="28" t="n">
        <v>2820.613333333333</v>
      </c>
      <c r="JG25" s="28" t="n">
        <v>2820.613333333333</v>
      </c>
      <c r="JH25" s="28" t="n">
        <v>2820.613333333333</v>
      </c>
      <c r="JI25" s="28" t="n">
        <v>2820.613333333333</v>
      </c>
      <c r="JJ25" s="28" t="n">
        <v>2820.613333333333</v>
      </c>
      <c r="JK25" s="28" t="n">
        <v>2820.613333333333</v>
      </c>
      <c r="JL25" s="28" t="n">
        <v>2820.613333333333</v>
      </c>
      <c r="JM25" s="28" t="n">
        <v>2820.613333333333</v>
      </c>
      <c r="JN25" s="28" t="n">
        <v>2820.613333333333</v>
      </c>
      <c r="JO25" s="28" t="n">
        <v>2820.613333333333</v>
      </c>
      <c r="JP25" s="28" t="n">
        <v>2820.613333333333</v>
      </c>
      <c r="JQ25" s="28" t="n">
        <v>2820.613333333333</v>
      </c>
      <c r="JR25" s="28" t="n">
        <v>2820.613333333333</v>
      </c>
      <c r="JS25" s="28" t="n">
        <v>2820.613333333333</v>
      </c>
      <c r="JT25" s="28" t="n">
        <v>2820.613333333333</v>
      </c>
      <c r="JU25" s="28" t="n">
        <v>2820.613333333333</v>
      </c>
      <c r="JV25" s="28" t="n">
        <v>2820.613333333333</v>
      </c>
      <c r="JW25" s="28" t="n">
        <v>2820.613333333333</v>
      </c>
      <c r="JX25" s="28" t="n">
        <v>2820.613333333333</v>
      </c>
      <c r="JY25" s="28" t="n">
        <v>2820.613333333333</v>
      </c>
      <c r="JZ25" s="28" t="n">
        <v>2820.613333333333</v>
      </c>
      <c r="KA25" s="28" t="n">
        <v>2820.613333333333</v>
      </c>
      <c r="KB25" s="28" t="n">
        <v>2820.613333333333</v>
      </c>
      <c r="KC25" s="28" t="n">
        <v>2820.613333333333</v>
      </c>
      <c r="KD25" s="28" t="n">
        <v>2820.613333333333</v>
      </c>
      <c r="KE25" s="28" t="n">
        <v>2820.613333333333</v>
      </c>
      <c r="KF25" s="28" t="n">
        <v>2820.613333333333</v>
      </c>
      <c r="KG25" s="28" t="n">
        <v>2820.613333333333</v>
      </c>
      <c r="KH25" s="28" t="n">
        <v>2820.613333333333</v>
      </c>
      <c r="KI25" s="28" t="n">
        <v>2820.613333333333</v>
      </c>
      <c r="KJ25" s="28" t="n">
        <v>2820.613333333333</v>
      </c>
      <c r="KK25" s="28" t="n">
        <v>2820.613333333333</v>
      </c>
      <c r="KL25" s="28" t="n">
        <v>2820.613333333333</v>
      </c>
      <c r="KM25" s="28" t="n">
        <v>2820.613333333333</v>
      </c>
      <c r="KN25" s="28" t="n">
        <v>2820.613333333333</v>
      </c>
      <c r="KO25" s="28" t="n">
        <v>2820.613333333333</v>
      </c>
      <c r="KP25" s="28" t="n">
        <v>2820.613333333333</v>
      </c>
      <c r="KQ25" s="28" t="n">
        <v>2820.613333333333</v>
      </c>
      <c r="KR25" s="28" t="n">
        <v>2820.613333333333</v>
      </c>
      <c r="KS25" s="28" t="n">
        <v>2820.613333333333</v>
      </c>
      <c r="KT25" s="28" t="n">
        <v>2820.613333333333</v>
      </c>
      <c r="KU25" s="28" t="n">
        <v>2820.613333333333</v>
      </c>
      <c r="KV25" s="28" t="n">
        <v>2820.613333333333</v>
      </c>
      <c r="KW25" s="28" t="n">
        <v>2820.613333333333</v>
      </c>
      <c r="KX25" s="28" t="n">
        <v>2820.613333333333</v>
      </c>
      <c r="KY25" s="28" t="n">
        <v>2820.613333333333</v>
      </c>
      <c r="KZ25" s="28" t="n">
        <v>2820.613333333333</v>
      </c>
      <c r="LA25" s="28" t="n">
        <v>2820.613333333333</v>
      </c>
      <c r="LB25" s="28" t="n">
        <v>2820.613333333333</v>
      </c>
      <c r="LC25" s="28" t="n">
        <v>2820.613333333333</v>
      </c>
      <c r="LD25" s="28" t="n">
        <v>2820.613333333333</v>
      </c>
      <c r="LE25" s="28" t="n">
        <v>2820.613333333333</v>
      </c>
      <c r="LF25" s="28" t="n">
        <v>2820.613333333333</v>
      </c>
      <c r="LG25" s="28" t="n">
        <v>2820.613333333333</v>
      </c>
      <c r="LH25" s="28" t="n">
        <v>2820.613333333333</v>
      </c>
      <c r="LI25" s="28" t="n">
        <v>2820.613333333333</v>
      </c>
      <c r="LJ25" s="28" t="n">
        <v>2820.613333333333</v>
      </c>
      <c r="LK25" s="28" t="n">
        <v>2820.613333333333</v>
      </c>
      <c r="LL25" s="28" t="n">
        <v>2820.613333333333</v>
      </c>
      <c r="LM25" s="28" t="n">
        <v>2820.613333333333</v>
      </c>
      <c r="LN25" s="28" t="n">
        <v>2820.613333333333</v>
      </c>
      <c r="LO25" s="28" t="n">
        <v>2820.613333333333</v>
      </c>
      <c r="LP25" s="28" t="n">
        <v>2820.613333333333</v>
      </c>
      <c r="LQ25" s="28" t="n">
        <v>2820.613333333333</v>
      </c>
      <c r="LR25" s="28" t="n">
        <v>2820.613333333333</v>
      </c>
      <c r="LS25" s="28" t="n">
        <v>2820.613333333333</v>
      </c>
      <c r="LT25" s="28" t="n">
        <v>2820.613333333333</v>
      </c>
      <c r="LU25" s="28" t="n">
        <v>2820.613333333333</v>
      </c>
      <c r="LV25" s="28" t="n">
        <v>2820.613333333333</v>
      </c>
      <c r="LW25" s="28" t="n">
        <v>2820.613333333333</v>
      </c>
      <c r="LX25" s="28" t="n">
        <v>2820.613333333333</v>
      </c>
      <c r="LY25" s="28" t="n">
        <v>2820.613333333333</v>
      </c>
      <c r="LZ25" s="28" t="n">
        <v>2820.613333333333</v>
      </c>
      <c r="MA25" s="28" t="n">
        <v>2820.613333333333</v>
      </c>
      <c r="MB25" s="28" t="n">
        <v>2820.613333333333</v>
      </c>
      <c r="MC25" s="28" t="n">
        <v>2820.613333333333</v>
      </c>
      <c r="MD25" s="28" t="n">
        <v>2820.613333333333</v>
      </c>
      <c r="ME25" s="28" t="n">
        <v>2820.613333333333</v>
      </c>
      <c r="MF25" s="28" t="n">
        <v>2820.613333333333</v>
      </c>
      <c r="MG25" s="28" t="n">
        <v>2820.613333333333</v>
      </c>
      <c r="MH25" s="28" t="n">
        <v>2820.613333333333</v>
      </c>
      <c r="MI25" s="28" t="n">
        <v>2820.613333333333</v>
      </c>
      <c r="MJ25" s="28" t="n">
        <v>2820.613333333333</v>
      </c>
      <c r="MK25" s="28" t="n">
        <v>2820.613333333333</v>
      </c>
      <c r="ML25" s="28" t="n">
        <v>2820.613333333333</v>
      </c>
      <c r="MM25" s="28" t="n">
        <v>2820.613333333333</v>
      </c>
      <c r="MN25" s="28" t="n">
        <v>2820.613333333333</v>
      </c>
      <c r="MO25" s="28" t="n">
        <v>2820.613333333333</v>
      </c>
      <c r="MP25" s="28" t="n">
        <v>2820.613333333333</v>
      </c>
      <c r="MQ25" s="28" t="n">
        <v>2820.613333333333</v>
      </c>
      <c r="MR25" s="28" t="n">
        <v>2820.613333333333</v>
      </c>
      <c r="MS25" s="28" t="n">
        <v>2820.613333333333</v>
      </c>
      <c r="MT25" s="28" t="n">
        <v>2820.613333333333</v>
      </c>
      <c r="MU25" s="28" t="n">
        <v>2820.613333333333</v>
      </c>
      <c r="MV25" s="28" t="n">
        <v>2820.613333333333</v>
      </c>
      <c r="MW25" s="28" t="n">
        <v>2820.613333333333</v>
      </c>
      <c r="MX25" s="28" t="n">
        <v>2820.613333333333</v>
      </c>
      <c r="MY25" s="28" t="n">
        <v>2820.613333333333</v>
      </c>
      <c r="MZ25" s="28" t="n">
        <v>2820.613333333333</v>
      </c>
      <c r="NA25" s="28" t="n">
        <v>2820.613333333333</v>
      </c>
      <c r="NB25" s="28" t="n">
        <v>2820.613333333333</v>
      </c>
      <c r="NC25" s="28" t="n">
        <v>2820.613333333333</v>
      </c>
      <c r="ND25" s="28" t="n">
        <v>2820.613333333333</v>
      </c>
      <c r="NE25" s="28" t="n">
        <v>2820.613333333333</v>
      </c>
      <c r="NF25" s="28" t="n">
        <v>2820.613333333333</v>
      </c>
      <c r="NG25" s="28" t="n">
        <v>2820.613333333333</v>
      </c>
      <c r="NH25" s="28" t="n">
        <v>2820.613333333333</v>
      </c>
      <c r="NI25" s="28" t="n">
        <v>2820.613333333333</v>
      </c>
      <c r="NJ25" s="28" t="n">
        <v>2820.613333333333</v>
      </c>
      <c r="NK25" s="28" t="n">
        <v>2820.613333333333</v>
      </c>
      <c r="NL25" s="28" t="n">
        <v>2820.613333333333</v>
      </c>
      <c r="NM25" s="28" t="n">
        <v>2820.613333333333</v>
      </c>
      <c r="NN25" s="28" t="n">
        <v>2820.613333333333</v>
      </c>
      <c r="NO25" s="28" t="n">
        <v>2820.613333333333</v>
      </c>
      <c r="NP25" s="28" t="n">
        <v>2820.613333333333</v>
      </c>
      <c r="NQ25" s="28" t="n">
        <v>2820.613333333333</v>
      </c>
      <c r="NR25" s="28" t="n">
        <v>2820.613333333333</v>
      </c>
      <c r="NS25" s="28" t="n">
        <v>2820.613333333333</v>
      </c>
      <c r="NT25" s="28" t="n">
        <v>2820.613333333333</v>
      </c>
      <c r="NU25" s="28" t="n">
        <v>2820.613333333333</v>
      </c>
      <c r="NV25" s="28" t="n">
        <v>2820.613333333333</v>
      </c>
      <c r="NW25" s="28" t="n">
        <v>2820.613333333333</v>
      </c>
      <c r="NX25" s="28" t="n">
        <v>2820.613333333333</v>
      </c>
      <c r="NY25" s="28" t="n">
        <v>2820.613333333333</v>
      </c>
      <c r="NZ25" s="28" t="n">
        <v>2820.613333333333</v>
      </c>
      <c r="OA25" s="28" t="n">
        <v>2820.613333333333</v>
      </c>
      <c r="OB25" s="28" t="n">
        <v>2820.613333333333</v>
      </c>
      <c r="OC25" s="28" t="n">
        <v>2820.613333333333</v>
      </c>
      <c r="OD25" s="28" t="n">
        <v>2820.613333333333</v>
      </c>
      <c r="OE25" s="28" t="n">
        <v>2820.613333333333</v>
      </c>
      <c r="OF25" s="28" t="n">
        <v>2820.613333333333</v>
      </c>
      <c r="OG25" s="28" t="n">
        <v>2820.613333333333</v>
      </c>
      <c r="OH25" s="28" t="n">
        <v>2820.613333333333</v>
      </c>
      <c r="OI25" s="28" t="n">
        <v>2820.613333333333</v>
      </c>
      <c r="OJ25" s="28" t="n">
        <v>2820.613333333333</v>
      </c>
      <c r="OK25" s="28" t="n">
        <v>4.943103704135865e-09</v>
      </c>
      <c r="OL25" s="28" t="n">
        <v>0</v>
      </c>
      <c r="OM25" s="28" t="n">
        <v>0</v>
      </c>
      <c r="ON25" s="28" t="n">
        <v>0</v>
      </c>
      <c r="OO25" s="28" t="n">
        <v>0</v>
      </c>
      <c r="OP25" s="28" t="n">
        <v>0</v>
      </c>
      <c r="OQ25" s="28" t="n">
        <v>0</v>
      </c>
      <c r="OR25" s="28" t="n">
        <v>0</v>
      </c>
      <c r="OS25" s="28" t="n">
        <v>0</v>
      </c>
      <c r="OT25" s="28" t="n">
        <v>0</v>
      </c>
      <c r="OU25" s="28" t="n">
        <v>0</v>
      </c>
      <c r="OV25" s="28" t="n">
        <v>0</v>
      </c>
      <c r="OW25" s="28" t="n">
        <v>0</v>
      </c>
      <c r="OX25" s="28" t="n">
        <v>0</v>
      </c>
      <c r="OY25" s="28" t="n">
        <v>0</v>
      </c>
      <c r="OZ25" s="28" t="n">
        <v>0</v>
      </c>
      <c r="PA25" s="28" t="n">
        <v>0</v>
      </c>
      <c r="PB25" s="28" t="n">
        <v>0</v>
      </c>
      <c r="PC25" s="28" t="n">
        <v>0</v>
      </c>
      <c r="PD25" s="28" t="n">
        <v>0</v>
      </c>
      <c r="PE25" s="28" t="n">
        <v>0</v>
      </c>
      <c r="PF25" s="28" t="n">
        <v>0</v>
      </c>
      <c r="PG25" s="28" t="n">
        <v>0</v>
      </c>
      <c r="PH25" s="28" t="n">
        <v>0</v>
      </c>
      <c r="PI25" s="28" t="n">
        <v>0</v>
      </c>
      <c r="PJ25" s="28" t="n">
        <v>0</v>
      </c>
      <c r="PK25" s="28" t="n">
        <v>0</v>
      </c>
      <c r="PL25" s="28" t="n">
        <v>0</v>
      </c>
      <c r="PM25" s="28" t="n">
        <v>0</v>
      </c>
      <c r="PN25" s="28" t="n">
        <v>0</v>
      </c>
      <c r="PO25" s="28" t="n">
        <v>0</v>
      </c>
      <c r="PP25" s="28" t="n">
        <v>0</v>
      </c>
      <c r="PQ25" s="28" t="n">
        <v>0</v>
      </c>
      <c r="PR25" s="28" t="n">
        <v>0</v>
      </c>
      <c r="PS25" s="28" t="n">
        <v>0</v>
      </c>
      <c r="PT25" s="28" t="n">
        <v>0</v>
      </c>
      <c r="PU25" s="28" t="n">
        <v>0</v>
      </c>
      <c r="PV25" s="28" t="n">
        <v>0</v>
      </c>
      <c r="PW25" s="28" t="n">
        <v>0</v>
      </c>
      <c r="PX25" s="28" t="n">
        <v>0</v>
      </c>
      <c r="PY25" s="28" t="n">
        <v>0</v>
      </c>
      <c r="PZ25" s="28" t="n">
        <v>0</v>
      </c>
      <c r="QA25" s="28" t="n">
        <v>0</v>
      </c>
      <c r="QB25" s="28" t="n">
        <v>0</v>
      </c>
      <c r="QC25" s="28" t="n">
        <v>0</v>
      </c>
      <c r="QD25" s="28" t="n">
        <v>0</v>
      </c>
      <c r="QE25" s="28" t="n">
        <v>0</v>
      </c>
      <c r="QF25" s="28" t="n">
        <v>0</v>
      </c>
      <c r="QG25" s="28" t="n">
        <v>0</v>
      </c>
      <c r="QH25" s="28" t="n">
        <v>0</v>
      </c>
      <c r="QI25" s="28" t="n">
        <v>0</v>
      </c>
      <c r="QJ25" s="28" t="n">
        <v>0</v>
      </c>
      <c r="QK25" s="28" t="n">
        <v>0</v>
      </c>
      <c r="QL25" s="28" t="n">
        <v>0</v>
      </c>
      <c r="QM25" s="28" t="n">
        <v>0</v>
      </c>
      <c r="QN25" s="28" t="n">
        <v>0</v>
      </c>
      <c r="QO25" s="28" t="n">
        <v>0</v>
      </c>
      <c r="QP25" s="28" t="n">
        <v>0</v>
      </c>
      <c r="QQ25" s="28" t="n">
        <v>0</v>
      </c>
      <c r="QR25" s="28" t="n">
        <v>0</v>
      </c>
      <c r="QS25" s="28" t="n">
        <v>0</v>
      </c>
      <c r="QT25" s="28" t="n">
        <v>0</v>
      </c>
      <c r="QU25" s="28" t="n">
        <v>0</v>
      </c>
      <c r="QV25" s="28" t="n">
        <v>0</v>
      </c>
      <c r="QW25" s="28" t="n">
        <v>0</v>
      </c>
      <c r="QX25" s="28" t="n">
        <v>0</v>
      </c>
      <c r="QY25" s="28" t="n">
        <v>0</v>
      </c>
      <c r="QZ25" s="28" t="n">
        <v>0</v>
      </c>
      <c r="RA25" s="28" t="n">
        <v>0</v>
      </c>
      <c r="RB25" s="28" t="n">
        <v>0</v>
      </c>
      <c r="RC25" s="28" t="n">
        <v>0</v>
      </c>
      <c r="RD25" s="28" t="n">
        <v>0</v>
      </c>
      <c r="RE25" s="28" t="n">
        <v>0</v>
      </c>
      <c r="RF25" s="28" t="n">
        <v>0</v>
      </c>
      <c r="RG25" s="28" t="n">
        <v>0</v>
      </c>
      <c r="RH25" s="28" t="n">
        <v>0</v>
      </c>
      <c r="RI25" s="28" t="n">
        <v>0</v>
      </c>
      <c r="RJ25" s="28" t="n">
        <v>0</v>
      </c>
      <c r="RK25" s="28" t="n">
        <v>0</v>
      </c>
      <c r="RL25" s="28" t="n">
        <v>0</v>
      </c>
      <c r="RM25" s="28" t="n">
        <v>0</v>
      </c>
      <c r="RN25" s="28" t="n">
        <v>0</v>
      </c>
      <c r="RO25" s="28" t="n">
        <v>0</v>
      </c>
      <c r="RP25" s="28" t="n">
        <v>0</v>
      </c>
      <c r="RQ25" s="28" t="n">
        <v>0</v>
      </c>
      <c r="RR25" s="28" t="n">
        <v>0</v>
      </c>
      <c r="RS25" s="28" t="n">
        <v>0</v>
      </c>
      <c r="RT25" s="28" t="n">
        <v>0</v>
      </c>
      <c r="RU25" s="28" t="n">
        <v>0</v>
      </c>
      <c r="RV25" s="28" t="n">
        <v>0</v>
      </c>
      <c r="RW25" s="28" t="n">
        <v>0</v>
      </c>
    </row>
    <row r="26" hidden="1" outlineLevel="1" ht="13.05" customHeight="1">
      <c r="E26" s="21" t="inlineStr">
        <is>
          <t>Interest Paid</t>
        </is>
      </c>
      <c r="F26" s="29" t="n"/>
      <c r="G26" s="29" t="inlineStr">
        <is>
          <t>kEUR</t>
        </is>
      </c>
      <c r="H26" s="29" t="n"/>
      <c r="I26" s="29" t="n"/>
      <c r="J26" s="32" t="n">
        <v>700231.3630666732</v>
      </c>
      <c r="K26" s="29" t="n"/>
      <c r="L26" s="33" t="n">
        <v>0</v>
      </c>
      <c r="M26" s="33" t="n">
        <v>0</v>
      </c>
      <c r="N26" s="33" t="n">
        <v>0</v>
      </c>
      <c r="O26" s="33" t="n">
        <v>0</v>
      </c>
      <c r="P26" s="33" t="n">
        <v>0</v>
      </c>
      <c r="Q26" s="33" t="n">
        <v>0</v>
      </c>
      <c r="R26" s="33" t="n">
        <v>0</v>
      </c>
      <c r="S26" s="33" t="n">
        <v>0</v>
      </c>
      <c r="T26" s="33" t="n">
        <v>0</v>
      </c>
      <c r="U26" s="33" t="n">
        <v>0</v>
      </c>
      <c r="V26" s="33" t="n">
        <v>0</v>
      </c>
      <c r="W26" s="33" t="n">
        <v>0</v>
      </c>
      <c r="X26" s="33" t="n">
        <v>0</v>
      </c>
      <c r="Y26" s="33" t="n">
        <v>0</v>
      </c>
      <c r="Z26" s="33" t="n">
        <v>0</v>
      </c>
      <c r="AA26" s="33" t="n">
        <v>0</v>
      </c>
      <c r="AB26" s="33" t="n">
        <v>0</v>
      </c>
      <c r="AC26" s="33" t="n">
        <v>0</v>
      </c>
      <c r="AD26" s="33" t="n">
        <v>0</v>
      </c>
      <c r="AE26" s="33" t="n">
        <v>0</v>
      </c>
      <c r="AF26" s="33" t="n">
        <v>0</v>
      </c>
      <c r="AG26" s="33" t="n">
        <v>0</v>
      </c>
      <c r="AH26" s="33" t="n">
        <v>0</v>
      </c>
      <c r="AI26" s="33" t="n">
        <v>0</v>
      </c>
      <c r="AJ26" s="33" t="n">
        <v>0</v>
      </c>
      <c r="AK26" s="33" t="n">
        <v>0</v>
      </c>
      <c r="AL26" s="33" t="n">
        <v>0</v>
      </c>
      <c r="AM26" s="33" t="n">
        <v>0</v>
      </c>
      <c r="AN26" s="33" t="n">
        <v>0</v>
      </c>
      <c r="AO26" s="33" t="n">
        <v>0</v>
      </c>
      <c r="AP26" s="33" t="n">
        <v>0</v>
      </c>
      <c r="AQ26" s="33" t="n">
        <v>0</v>
      </c>
      <c r="AR26" s="33" t="n">
        <v>0</v>
      </c>
      <c r="AS26" s="33" t="n">
        <v>0</v>
      </c>
      <c r="AT26" s="33" t="n">
        <v>0</v>
      </c>
      <c r="AU26" s="33" t="n">
        <v>0</v>
      </c>
      <c r="AV26" s="33" t="n">
        <v>0</v>
      </c>
      <c r="AW26" s="33" t="n">
        <v>0</v>
      </c>
      <c r="AX26" s="33" t="n">
        <v>0</v>
      </c>
      <c r="AY26" s="33" t="n">
        <v>0</v>
      </c>
      <c r="AZ26" s="33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112.4327814814815</v>
      </c>
      <c r="BJ26" s="33" t="n">
        <v>224.8655629629629</v>
      </c>
      <c r="BK26" s="33" t="n">
        <v>337.2983444444444</v>
      </c>
      <c r="BL26" s="33" t="n">
        <v>449.7311259259259</v>
      </c>
      <c r="BM26" s="33" t="n">
        <v>562.1639074074074</v>
      </c>
      <c r="BN26" s="33" t="n">
        <v>674.5966888888888</v>
      </c>
      <c r="BO26" s="33" t="n">
        <v>787.0294703703702</v>
      </c>
      <c r="BP26" s="33" t="n">
        <v>899.4622518518518</v>
      </c>
      <c r="BQ26" s="33" t="n">
        <v>1011.895033333333</v>
      </c>
      <c r="BR26" s="33" t="n">
        <v>1124.327814814815</v>
      </c>
      <c r="BS26" s="33" t="n">
        <v>1236.760596296296</v>
      </c>
      <c r="BT26" s="33" t="n">
        <v>1349.193377777778</v>
      </c>
      <c r="BU26" s="33" t="n">
        <v>1461.626159259259</v>
      </c>
      <c r="BV26" s="33" t="n">
        <v>1574.058940740741</v>
      </c>
      <c r="BW26" s="33" t="n">
        <v>1686.491722222223</v>
      </c>
      <c r="BX26" s="33" t="n">
        <v>1798.924503703704</v>
      </c>
      <c r="BY26" s="33" t="n">
        <v>1911.357285185185</v>
      </c>
      <c r="BZ26" s="33" t="n">
        <v>2023.790066666667</v>
      </c>
      <c r="CA26" s="33" t="n">
        <v>2136.222848148149</v>
      </c>
      <c r="CB26" s="33" t="n">
        <v>2248.65562962963</v>
      </c>
      <c r="CC26" s="33" t="n">
        <v>2361.088411111112</v>
      </c>
      <c r="CD26" s="33" t="n">
        <v>2473.521192592593</v>
      </c>
      <c r="CE26" s="33" t="n">
        <v>2585.953974074075</v>
      </c>
      <c r="CF26" s="33" t="n">
        <v>2698.386755555556</v>
      </c>
      <c r="CG26" s="33" t="n">
        <v>2810.819537037038</v>
      </c>
      <c r="CH26" s="33" t="n">
        <v>2923.25231851852</v>
      </c>
      <c r="CI26" s="33" t="n">
        <v>3035.685100000001</v>
      </c>
      <c r="CJ26" s="33" t="n">
        <v>3148.117881481483</v>
      </c>
      <c r="CK26" s="33" t="n">
        <v>3260.550662962964</v>
      </c>
      <c r="CL26" s="33" t="n">
        <v>3372.983444444445</v>
      </c>
      <c r="CM26" s="33" t="n">
        <v>3485.416225925927</v>
      </c>
      <c r="CN26" s="33" t="n">
        <v>3597.849007407408</v>
      </c>
      <c r="CO26" s="33" t="n">
        <v>3710.28178888889</v>
      </c>
      <c r="CP26" s="33" t="n">
        <v>3822.714570370372</v>
      </c>
      <c r="CQ26" s="33" t="n">
        <v>3935.147351851853</v>
      </c>
      <c r="CR26" s="33" t="n">
        <v>4047.580133333335</v>
      </c>
      <c r="CS26" s="33" t="n">
        <v>4047.580133333335</v>
      </c>
      <c r="CT26" s="33" t="n">
        <v>4047.580133333335</v>
      </c>
      <c r="CU26" s="33" t="n">
        <v>4047.580133333335</v>
      </c>
      <c r="CV26" s="33" t="n">
        <v>4047.580133333335</v>
      </c>
      <c r="CW26" s="33" t="n">
        <v>4047.580133333335</v>
      </c>
      <c r="CX26" s="33" t="n">
        <v>4034.088199555557</v>
      </c>
      <c r="CY26" s="33" t="n">
        <v>4020.59626577778</v>
      </c>
      <c r="CZ26" s="33" t="n">
        <v>4007.104332000002</v>
      </c>
      <c r="DA26" s="33" t="n">
        <v>3993.612398222225</v>
      </c>
      <c r="DB26" s="33" t="n">
        <v>3980.120464444447</v>
      </c>
      <c r="DC26" s="33" t="n">
        <v>3966.62853066667</v>
      </c>
      <c r="DD26" s="33" t="n">
        <v>3953.136596888892</v>
      </c>
      <c r="DE26" s="33" t="n">
        <v>3939.644663111114</v>
      </c>
      <c r="DF26" s="33" t="n">
        <v>3926.152729333337</v>
      </c>
      <c r="DG26" s="33" t="n">
        <v>3912.660795555559</v>
      </c>
      <c r="DH26" s="33" t="n">
        <v>3899.168861777782</v>
      </c>
      <c r="DI26" s="33" t="n">
        <v>3885.676928000004</v>
      </c>
      <c r="DJ26" s="33" t="n">
        <v>3872.184994222227</v>
      </c>
      <c r="DK26" s="33" t="n">
        <v>3858.693060444449</v>
      </c>
      <c r="DL26" s="33" t="n">
        <v>3845.201126666672</v>
      </c>
      <c r="DM26" s="33" t="n">
        <v>3831.709192888894</v>
      </c>
      <c r="DN26" s="33" t="n">
        <v>3818.217259111117</v>
      </c>
      <c r="DO26" s="33" t="n">
        <v>3804.725325333339</v>
      </c>
      <c r="DP26" s="33" t="n">
        <v>3791.233391555561</v>
      </c>
      <c r="DQ26" s="33" t="n">
        <v>3777.741457777784</v>
      </c>
      <c r="DR26" s="33" t="n">
        <v>3764.249524000006</v>
      </c>
      <c r="DS26" s="33" t="n">
        <v>3750.757590222229</v>
      </c>
      <c r="DT26" s="33" t="n">
        <v>3737.265656444451</v>
      </c>
      <c r="DU26" s="33" t="n">
        <v>3723.773722666674</v>
      </c>
      <c r="DV26" s="33" t="n">
        <v>3710.281788888896</v>
      </c>
      <c r="DW26" s="33" t="n">
        <v>3696.789855111119</v>
      </c>
      <c r="DX26" s="33" t="n">
        <v>3683.297921333341</v>
      </c>
      <c r="DY26" s="33" t="n">
        <v>3669.805987555564</v>
      </c>
      <c r="DZ26" s="33" t="n">
        <v>3656.314053777786</v>
      </c>
      <c r="EA26" s="33" t="n">
        <v>3642.822120000008</v>
      </c>
      <c r="EB26" s="33" t="n">
        <v>3629.330186222231</v>
      </c>
      <c r="EC26" s="33" t="n">
        <v>3615.838252444454</v>
      </c>
      <c r="ED26" s="33" t="n">
        <v>3602.346318666676</v>
      </c>
      <c r="EE26" s="33" t="n">
        <v>3588.854384888898</v>
      </c>
      <c r="EF26" s="33" t="n">
        <v>3575.362451111121</v>
      </c>
      <c r="EG26" s="33" t="n">
        <v>3561.870517333343</v>
      </c>
      <c r="EH26" s="33" t="n">
        <v>3548.378583555566</v>
      </c>
      <c r="EI26" s="33" t="n">
        <v>3534.886649777788</v>
      </c>
      <c r="EJ26" s="33" t="n">
        <v>3521.394716000011</v>
      </c>
      <c r="EK26" s="33" t="n">
        <v>3507.902782222233</v>
      </c>
      <c r="EL26" s="33" t="n">
        <v>3494.410848444455</v>
      </c>
      <c r="EM26" s="33" t="n">
        <v>3480.918914666678</v>
      </c>
      <c r="EN26" s="33" t="n">
        <v>3467.426980888901</v>
      </c>
      <c r="EO26" s="33" t="n">
        <v>3453.935047111123</v>
      </c>
      <c r="EP26" s="33" t="n">
        <v>3440.443113333346</v>
      </c>
      <c r="EQ26" s="33" t="n">
        <v>3426.951179555568</v>
      </c>
      <c r="ER26" s="33" t="n">
        <v>3413.45924577779</v>
      </c>
      <c r="ES26" s="33" t="n">
        <v>3399.967312000013</v>
      </c>
      <c r="ET26" s="33" t="n">
        <v>3386.475378222235</v>
      </c>
      <c r="EU26" s="33" t="n">
        <v>3372.983444444458</v>
      </c>
      <c r="EV26" s="33" t="n">
        <v>3359.49151066668</v>
      </c>
      <c r="EW26" s="33" t="n">
        <v>3345.999576888903</v>
      </c>
      <c r="EX26" s="33" t="n">
        <v>3332.507643111125</v>
      </c>
      <c r="EY26" s="33" t="n">
        <v>3319.015709333348</v>
      </c>
      <c r="EZ26" s="33" t="n">
        <v>3305.52377555557</v>
      </c>
      <c r="FA26" s="33" t="n">
        <v>3292.031841777793</v>
      </c>
      <c r="FB26" s="33" t="n">
        <v>3278.539908000015</v>
      </c>
      <c r="FC26" s="33" t="n">
        <v>3265.047974222237</v>
      </c>
      <c r="FD26" s="33" t="n">
        <v>3251.55604044446</v>
      </c>
      <c r="FE26" s="33" t="n">
        <v>3238.064106666682</v>
      </c>
      <c r="FF26" s="33" t="n">
        <v>3224.572172888905</v>
      </c>
      <c r="FG26" s="33" t="n">
        <v>3211.080239111127</v>
      </c>
      <c r="FH26" s="33" t="n">
        <v>3197.58830533335</v>
      </c>
      <c r="FI26" s="33" t="n">
        <v>3184.096371555572</v>
      </c>
      <c r="FJ26" s="33" t="n">
        <v>3170.604437777795</v>
      </c>
      <c r="FK26" s="33" t="n">
        <v>3157.112504000017</v>
      </c>
      <c r="FL26" s="33" t="n">
        <v>3143.62057022224</v>
      </c>
      <c r="FM26" s="33" t="n">
        <v>3130.128636444462</v>
      </c>
      <c r="FN26" s="33" t="n">
        <v>3116.636702666684</v>
      </c>
      <c r="FO26" s="33" t="n">
        <v>3103.144768888907</v>
      </c>
      <c r="FP26" s="33" t="n">
        <v>3089.65283511113</v>
      </c>
      <c r="FQ26" s="33" t="n">
        <v>3076.160901333352</v>
      </c>
      <c r="FR26" s="33" t="n">
        <v>3062.668967555574</v>
      </c>
      <c r="FS26" s="33" t="n">
        <v>3049.177033777797</v>
      </c>
      <c r="FT26" s="33" t="n">
        <v>3035.685100000019</v>
      </c>
      <c r="FU26" s="33" t="n">
        <v>3022.193166222242</v>
      </c>
      <c r="FV26" s="33" t="n">
        <v>3008.701232444464</v>
      </c>
      <c r="FW26" s="33" t="n">
        <v>2995.209298666687</v>
      </c>
      <c r="FX26" s="33" t="n">
        <v>2981.717364888909</v>
      </c>
      <c r="FY26" s="33" t="n">
        <v>2968.225431111131</v>
      </c>
      <c r="FZ26" s="33" t="n">
        <v>2954.733497333354</v>
      </c>
      <c r="GA26" s="33" t="n">
        <v>2941.241563555577</v>
      </c>
      <c r="GB26" s="33" t="n">
        <v>2927.749629777799</v>
      </c>
      <c r="GC26" s="33" t="n">
        <v>2914.257696000021</v>
      </c>
      <c r="GD26" s="33" t="n">
        <v>2900.765762222244</v>
      </c>
      <c r="GE26" s="33" t="n">
        <v>2887.273828444466</v>
      </c>
      <c r="GF26" s="33" t="n">
        <v>2873.781894666689</v>
      </c>
      <c r="GG26" s="33" t="n">
        <v>2860.289960888911</v>
      </c>
      <c r="GH26" s="33" t="n">
        <v>2846.798027111134</v>
      </c>
      <c r="GI26" s="33" t="n">
        <v>2833.306093333356</v>
      </c>
      <c r="GJ26" s="33" t="n">
        <v>2819.814159555578</v>
      </c>
      <c r="GK26" s="33" t="n">
        <v>2806.322225777801</v>
      </c>
      <c r="GL26" s="33" t="n">
        <v>2792.830292000024</v>
      </c>
      <c r="GM26" s="33" t="n">
        <v>2779.338358222246</v>
      </c>
      <c r="GN26" s="33" t="n">
        <v>2765.846424444469</v>
      </c>
      <c r="GO26" s="33" t="n">
        <v>2752.354490666691</v>
      </c>
      <c r="GP26" s="33" t="n">
        <v>2738.862556888913</v>
      </c>
      <c r="GQ26" s="33" t="n">
        <v>2725.370623111136</v>
      </c>
      <c r="GR26" s="33" t="n">
        <v>2711.878689333358</v>
      </c>
      <c r="GS26" s="33" t="n">
        <v>2698.386755555581</v>
      </c>
      <c r="GT26" s="33" t="n">
        <v>2684.894821777803</v>
      </c>
      <c r="GU26" s="33" t="n">
        <v>2671.402888000026</v>
      </c>
      <c r="GV26" s="33" t="n">
        <v>2657.910954222248</v>
      </c>
      <c r="GW26" s="33" t="n">
        <v>2644.419020444471</v>
      </c>
      <c r="GX26" s="33" t="n">
        <v>2630.927086666693</v>
      </c>
      <c r="GY26" s="33" t="n">
        <v>2617.435152888916</v>
      </c>
      <c r="GZ26" s="33" t="n">
        <v>2603.943219111138</v>
      </c>
      <c r="HA26" s="33" t="n">
        <v>2590.45128533336</v>
      </c>
      <c r="HB26" s="33" t="n">
        <v>2576.959351555583</v>
      </c>
      <c r="HC26" s="33" t="n">
        <v>2563.467417777806</v>
      </c>
      <c r="HD26" s="33" t="n">
        <v>2549.975484000028</v>
      </c>
      <c r="HE26" s="33" t="n">
        <v>2536.48355022225</v>
      </c>
      <c r="HF26" s="33" t="n">
        <v>2522.991616444473</v>
      </c>
      <c r="HG26" s="33" t="n">
        <v>2509.499682666695</v>
      </c>
      <c r="HH26" s="33" t="n">
        <v>2496.007748888917</v>
      </c>
      <c r="HI26" s="33" t="n">
        <v>2482.51581511114</v>
      </c>
      <c r="HJ26" s="33" t="n">
        <v>2469.023881333362</v>
      </c>
      <c r="HK26" s="33" t="n">
        <v>2455.531947555584</v>
      </c>
      <c r="HL26" s="33" t="n">
        <v>2442.040013777806</v>
      </c>
      <c r="HM26" s="33" t="n">
        <v>2428.548080000028</v>
      </c>
      <c r="HN26" s="33" t="n">
        <v>2415.05614622225</v>
      </c>
      <c r="HO26" s="33" t="n">
        <v>2401.564212444473</v>
      </c>
      <c r="HP26" s="33" t="n">
        <v>2388.072278666695</v>
      </c>
      <c r="HQ26" s="33" t="n">
        <v>2374.580344888917</v>
      </c>
      <c r="HR26" s="33" t="n">
        <v>2361.088411111139</v>
      </c>
      <c r="HS26" s="33" t="n">
        <v>2347.596477333361</v>
      </c>
      <c r="HT26" s="33" t="n">
        <v>2334.104543555583</v>
      </c>
      <c r="HU26" s="33" t="n">
        <v>2320.612609777806</v>
      </c>
      <c r="HV26" s="33" t="n">
        <v>2307.120676000028</v>
      </c>
      <c r="HW26" s="33" t="n">
        <v>2293.62874222225</v>
      </c>
      <c r="HX26" s="33" t="n">
        <v>2280.136808444473</v>
      </c>
      <c r="HY26" s="33" t="n">
        <v>2266.644874666695</v>
      </c>
      <c r="HZ26" s="33" t="n">
        <v>2253.152940888917</v>
      </c>
      <c r="IA26" s="33" t="n">
        <v>2239.661007111139</v>
      </c>
      <c r="IB26" s="33" t="n">
        <v>2226.169073333361</v>
      </c>
      <c r="IC26" s="33" t="n">
        <v>2212.677139555583</v>
      </c>
      <c r="ID26" s="33" t="n">
        <v>2199.185205777806</v>
      </c>
      <c r="IE26" s="33" t="n">
        <v>2185.693272000028</v>
      </c>
      <c r="IF26" s="33" t="n">
        <v>2172.20133822225</v>
      </c>
      <c r="IG26" s="33" t="n">
        <v>2158.709404444472</v>
      </c>
      <c r="IH26" s="33" t="n">
        <v>2145.217470666694</v>
      </c>
      <c r="II26" s="33" t="n">
        <v>2131.725536888916</v>
      </c>
      <c r="IJ26" s="33" t="n">
        <v>2118.233603111139</v>
      </c>
      <c r="IK26" s="33" t="n">
        <v>2104.741669333361</v>
      </c>
      <c r="IL26" s="33" t="n">
        <v>2091.249735555583</v>
      </c>
      <c r="IM26" s="33" t="n">
        <v>2077.757801777805</v>
      </c>
      <c r="IN26" s="33" t="n">
        <v>2064.265868000027</v>
      </c>
      <c r="IO26" s="33" t="n">
        <v>2050.773934222249</v>
      </c>
      <c r="IP26" s="33" t="n">
        <v>2037.282000444472</v>
      </c>
      <c r="IQ26" s="33" t="n">
        <v>2023.790066666694</v>
      </c>
      <c r="IR26" s="33" t="n">
        <v>2010.298132888916</v>
      </c>
      <c r="IS26" s="33" t="n">
        <v>1996.806199111138</v>
      </c>
      <c r="IT26" s="33" t="n">
        <v>1983.31426533336</v>
      </c>
      <c r="IU26" s="33" t="n">
        <v>1969.822331555583</v>
      </c>
      <c r="IV26" s="33" t="n">
        <v>1956.330397777805</v>
      </c>
      <c r="IW26" s="33" t="n">
        <v>1942.838464000027</v>
      </c>
      <c r="IX26" s="33" t="n">
        <v>1929.346530222249</v>
      </c>
      <c r="IY26" s="33" t="n">
        <v>1915.854596444471</v>
      </c>
      <c r="IZ26" s="33" t="n">
        <v>1902.362662666693</v>
      </c>
      <c r="JA26" s="33" t="n">
        <v>1888.870728888916</v>
      </c>
      <c r="JB26" s="33" t="n">
        <v>1875.378795111138</v>
      </c>
      <c r="JC26" s="33" t="n">
        <v>1861.88686133336</v>
      </c>
      <c r="JD26" s="33" t="n">
        <v>1848.394927555582</v>
      </c>
      <c r="JE26" s="33" t="n">
        <v>1834.902993777804</v>
      </c>
      <c r="JF26" s="33" t="n">
        <v>1821.411060000027</v>
      </c>
      <c r="JG26" s="33" t="n">
        <v>1807.919126222249</v>
      </c>
      <c r="JH26" s="33" t="n">
        <v>1794.427192444471</v>
      </c>
      <c r="JI26" s="33" t="n">
        <v>1780.935258666693</v>
      </c>
      <c r="JJ26" s="33" t="n">
        <v>1767.443324888915</v>
      </c>
      <c r="JK26" s="33" t="n">
        <v>1753.951391111137</v>
      </c>
      <c r="JL26" s="33" t="n">
        <v>1740.45945733336</v>
      </c>
      <c r="JM26" s="33" t="n">
        <v>1726.967523555582</v>
      </c>
      <c r="JN26" s="33" t="n">
        <v>1713.475589777804</v>
      </c>
      <c r="JO26" s="33" t="n">
        <v>1699.983656000026</v>
      </c>
      <c r="JP26" s="33" t="n">
        <v>1686.491722222248</v>
      </c>
      <c r="JQ26" s="33" t="n">
        <v>1672.999788444471</v>
      </c>
      <c r="JR26" s="33" t="n">
        <v>1659.507854666693</v>
      </c>
      <c r="JS26" s="33" t="n">
        <v>1646.015920888915</v>
      </c>
      <c r="JT26" s="33" t="n">
        <v>1632.523987111137</v>
      </c>
      <c r="JU26" s="33" t="n">
        <v>1619.032053333359</v>
      </c>
      <c r="JV26" s="33" t="n">
        <v>1605.540119555581</v>
      </c>
      <c r="JW26" s="33" t="n">
        <v>1592.048185777804</v>
      </c>
      <c r="JX26" s="33" t="n">
        <v>1578.556252000026</v>
      </c>
      <c r="JY26" s="33" t="n">
        <v>1565.064318222248</v>
      </c>
      <c r="JZ26" s="33" t="n">
        <v>1551.57238444447</v>
      </c>
      <c r="KA26" s="33" t="n">
        <v>1538.080450666692</v>
      </c>
      <c r="KB26" s="33" t="n">
        <v>1524.588516888914</v>
      </c>
      <c r="KC26" s="33" t="n">
        <v>1511.096583111137</v>
      </c>
      <c r="KD26" s="33" t="n">
        <v>1497.604649333359</v>
      </c>
      <c r="KE26" s="33" t="n">
        <v>1484.112715555581</v>
      </c>
      <c r="KF26" s="33" t="n">
        <v>1470.620781777803</v>
      </c>
      <c r="KG26" s="33" t="n">
        <v>1457.128848000026</v>
      </c>
      <c r="KH26" s="33" t="n">
        <v>1443.636914222248</v>
      </c>
      <c r="KI26" s="33" t="n">
        <v>1430.14498044447</v>
      </c>
      <c r="KJ26" s="33" t="n">
        <v>1416.653046666692</v>
      </c>
      <c r="KK26" s="33" t="n">
        <v>1403.161112888914</v>
      </c>
      <c r="KL26" s="33" t="n">
        <v>1389.669179111136</v>
      </c>
      <c r="KM26" s="33" t="n">
        <v>1376.177245333359</v>
      </c>
      <c r="KN26" s="33" t="n">
        <v>1362.685311555581</v>
      </c>
      <c r="KO26" s="33" t="n">
        <v>1349.193377777803</v>
      </c>
      <c r="KP26" s="33" t="n">
        <v>1335.701444000025</v>
      </c>
      <c r="KQ26" s="33" t="n">
        <v>1322.209510222247</v>
      </c>
      <c r="KR26" s="33" t="n">
        <v>1308.717576444469</v>
      </c>
      <c r="KS26" s="33" t="n">
        <v>1295.225642666692</v>
      </c>
      <c r="KT26" s="33" t="n">
        <v>1281.733708888914</v>
      </c>
      <c r="KU26" s="33" t="n">
        <v>1268.241775111136</v>
      </c>
      <c r="KV26" s="33" t="n">
        <v>1254.749841333358</v>
      </c>
      <c r="KW26" s="33" t="n">
        <v>1241.25790755558</v>
      </c>
      <c r="KX26" s="33" t="n">
        <v>1227.765973777803</v>
      </c>
      <c r="KY26" s="33" t="n">
        <v>1214.274040000025</v>
      </c>
      <c r="KZ26" s="33" t="n">
        <v>1200.782106222247</v>
      </c>
      <c r="LA26" s="33" t="n">
        <v>1187.290172444469</v>
      </c>
      <c r="LB26" s="33" t="n">
        <v>1173.798238666691</v>
      </c>
      <c r="LC26" s="33" t="n">
        <v>1160.306304888913</v>
      </c>
      <c r="LD26" s="33" t="n">
        <v>1146.814371111136</v>
      </c>
      <c r="LE26" s="33" t="n">
        <v>1133.322437333358</v>
      </c>
      <c r="LF26" s="33" t="n">
        <v>1119.83050355558</v>
      </c>
      <c r="LG26" s="33" t="n">
        <v>1106.338569777802</v>
      </c>
      <c r="LH26" s="33" t="n">
        <v>1092.846636000024</v>
      </c>
      <c r="LI26" s="33" t="n">
        <v>1079.354702222246</v>
      </c>
      <c r="LJ26" s="33" t="n">
        <v>1065.862768444469</v>
      </c>
      <c r="LK26" s="33" t="n">
        <v>1052.370834666691</v>
      </c>
      <c r="LL26" s="33" t="n">
        <v>1038.878900888913</v>
      </c>
      <c r="LM26" s="33" t="n">
        <v>1025.386967111135</v>
      </c>
      <c r="LN26" s="33" t="n">
        <v>1011.895033333357</v>
      </c>
      <c r="LO26" s="33" t="n">
        <v>998.4030995555796</v>
      </c>
      <c r="LP26" s="33" t="n">
        <v>984.9111657778019</v>
      </c>
      <c r="LQ26" s="33" t="n">
        <v>971.4192320000241</v>
      </c>
      <c r="LR26" s="33" t="n">
        <v>957.9272982222462</v>
      </c>
      <c r="LS26" s="33" t="n">
        <v>944.4353644444684</v>
      </c>
      <c r="LT26" s="33" t="n">
        <v>930.9434306666906</v>
      </c>
      <c r="LU26" s="33" t="n">
        <v>917.4514968889127</v>
      </c>
      <c r="LV26" s="33" t="n">
        <v>903.9595631111349</v>
      </c>
      <c r="LW26" s="33" t="n">
        <v>890.4676293333571</v>
      </c>
      <c r="LX26" s="33" t="n">
        <v>876.9756955555794</v>
      </c>
      <c r="LY26" s="33" t="n">
        <v>863.4837617778015</v>
      </c>
      <c r="LZ26" s="33" t="n">
        <v>849.9918280000237</v>
      </c>
      <c r="MA26" s="33" t="n">
        <v>836.4998942222459</v>
      </c>
      <c r="MB26" s="33" t="n">
        <v>823.007960444468</v>
      </c>
      <c r="MC26" s="33" t="n">
        <v>809.5160266666902</v>
      </c>
      <c r="MD26" s="33" t="n">
        <v>796.0240928889124</v>
      </c>
      <c r="ME26" s="33" t="n">
        <v>782.5321591111345</v>
      </c>
      <c r="MF26" s="33" t="n">
        <v>769.0402253333567</v>
      </c>
      <c r="MG26" s="33" t="n">
        <v>755.548291555579</v>
      </c>
      <c r="MH26" s="33" t="n">
        <v>742.0563577778012</v>
      </c>
      <c r="MI26" s="33" t="n">
        <v>728.5644240000233</v>
      </c>
      <c r="MJ26" s="33" t="n">
        <v>715.0724902222455</v>
      </c>
      <c r="MK26" s="33" t="n">
        <v>701.5805564444677</v>
      </c>
      <c r="ML26" s="33" t="n">
        <v>688.0886226666898</v>
      </c>
      <c r="MM26" s="33" t="n">
        <v>674.596688888912</v>
      </c>
      <c r="MN26" s="33" t="n">
        <v>661.1047551111342</v>
      </c>
      <c r="MO26" s="33" t="n">
        <v>647.6128213333565</v>
      </c>
      <c r="MP26" s="33" t="n">
        <v>634.1208875555786</v>
      </c>
      <c r="MQ26" s="33" t="n">
        <v>620.6289537778008</v>
      </c>
      <c r="MR26" s="33" t="n">
        <v>607.1370200000231</v>
      </c>
      <c r="MS26" s="33" t="n">
        <v>593.6450862222454</v>
      </c>
      <c r="MT26" s="33" t="n">
        <v>580.1531524444677</v>
      </c>
      <c r="MU26" s="33" t="n">
        <v>566.6612186666898</v>
      </c>
      <c r="MV26" s="33" t="n">
        <v>553.1692848889121</v>
      </c>
      <c r="MW26" s="33" t="n">
        <v>539.6773511111344</v>
      </c>
      <c r="MX26" s="33" t="n">
        <v>526.1854173333566</v>
      </c>
      <c r="MY26" s="33" t="n">
        <v>512.6934835555788</v>
      </c>
      <c r="MZ26" s="33" t="n">
        <v>499.2015497778011</v>
      </c>
      <c r="NA26" s="33" t="n">
        <v>485.7096160000233</v>
      </c>
      <c r="NB26" s="33" t="n">
        <v>472.2176822222456</v>
      </c>
      <c r="NC26" s="33" t="n">
        <v>458.7257484444679</v>
      </c>
      <c r="ND26" s="33" t="n">
        <v>445.2338146666901</v>
      </c>
      <c r="NE26" s="33" t="n">
        <v>431.7418808889124</v>
      </c>
      <c r="NF26" s="33" t="n">
        <v>418.2499471111346</v>
      </c>
      <c r="NG26" s="33" t="n">
        <v>404.7580133333569</v>
      </c>
      <c r="NH26" s="33" t="n">
        <v>391.2660795555792</v>
      </c>
      <c r="NI26" s="33" t="n">
        <v>377.7741457778014</v>
      </c>
      <c r="NJ26" s="33" t="n">
        <v>364.2822120000236</v>
      </c>
      <c r="NK26" s="33" t="n">
        <v>350.7902782222459</v>
      </c>
      <c r="NL26" s="33" t="n">
        <v>337.2983444444681</v>
      </c>
      <c r="NM26" s="33" t="n">
        <v>323.8064106666904</v>
      </c>
      <c r="NN26" s="33" t="n">
        <v>310.3144768889126</v>
      </c>
      <c r="NO26" s="33" t="n">
        <v>296.8225431111348</v>
      </c>
      <c r="NP26" s="33" t="n">
        <v>283.330609333357</v>
      </c>
      <c r="NQ26" s="33" t="n">
        <v>269.8386755555792</v>
      </c>
      <c r="NR26" s="33" t="n">
        <v>256.3467417778015</v>
      </c>
      <c r="NS26" s="33" t="n">
        <v>242.8548080000237</v>
      </c>
      <c r="NT26" s="33" t="n">
        <v>229.3628742222459</v>
      </c>
      <c r="NU26" s="33" t="n">
        <v>215.8709404444681</v>
      </c>
      <c r="NV26" s="33" t="n">
        <v>202.3790066666903</v>
      </c>
      <c r="NW26" s="33" t="n">
        <v>188.8870728889126</v>
      </c>
      <c r="NX26" s="33" t="n">
        <v>175.3951391111348</v>
      </c>
      <c r="NY26" s="33" t="n">
        <v>161.903205333357</v>
      </c>
      <c r="NZ26" s="33" t="n">
        <v>148.4112715555792</v>
      </c>
      <c r="OA26" s="33" t="n">
        <v>134.9193377778014</v>
      </c>
      <c r="OB26" s="33" t="n">
        <v>121.4274040000236</v>
      </c>
      <c r="OC26" s="33" t="n">
        <v>107.9354702222459</v>
      </c>
      <c r="OD26" s="33" t="n">
        <v>94.44353644446808</v>
      </c>
      <c r="OE26" s="33" t="n">
        <v>80.95160266669029</v>
      </c>
      <c r="OF26" s="33" t="n">
        <v>67.45966888891252</v>
      </c>
      <c r="OG26" s="33" t="n">
        <v>53.96773511113474</v>
      </c>
      <c r="OH26" s="33" t="n">
        <v>40.47580133335697</v>
      </c>
      <c r="OI26" s="33" t="n">
        <v>26.9838675555792</v>
      </c>
      <c r="OJ26" s="33" t="n">
        <v>13.49193377780142</v>
      </c>
      <c r="OK26" s="33" t="n">
        <v>2.364451271811655e-11</v>
      </c>
      <c r="OL26" s="33" t="n">
        <v>0</v>
      </c>
      <c r="OM26" s="33" t="n">
        <v>0</v>
      </c>
      <c r="ON26" s="33" t="n">
        <v>0</v>
      </c>
      <c r="OO26" s="33" t="n">
        <v>0</v>
      </c>
      <c r="OP26" s="33" t="n">
        <v>0</v>
      </c>
      <c r="OQ26" s="33" t="n">
        <v>0</v>
      </c>
      <c r="OR26" s="33" t="n">
        <v>0</v>
      </c>
      <c r="OS26" s="33" t="n">
        <v>0</v>
      </c>
      <c r="OT26" s="33" t="n">
        <v>0</v>
      </c>
      <c r="OU26" s="33" t="n">
        <v>0</v>
      </c>
      <c r="OV26" s="33" t="n">
        <v>0</v>
      </c>
      <c r="OW26" s="33" t="n">
        <v>0</v>
      </c>
      <c r="OX26" s="33" t="n">
        <v>0</v>
      </c>
      <c r="OY26" s="33" t="n">
        <v>0</v>
      </c>
      <c r="OZ26" s="33" t="n">
        <v>0</v>
      </c>
      <c r="PA26" s="33" t="n">
        <v>0</v>
      </c>
      <c r="PB26" s="33" t="n">
        <v>0</v>
      </c>
      <c r="PC26" s="33" t="n">
        <v>0</v>
      </c>
      <c r="PD26" s="33" t="n">
        <v>0</v>
      </c>
      <c r="PE26" s="33" t="n">
        <v>0</v>
      </c>
      <c r="PF26" s="33" t="n">
        <v>0</v>
      </c>
      <c r="PG26" s="33" t="n">
        <v>0</v>
      </c>
      <c r="PH26" s="33" t="n">
        <v>0</v>
      </c>
      <c r="PI26" s="33" t="n">
        <v>0</v>
      </c>
      <c r="PJ26" s="33" t="n">
        <v>0</v>
      </c>
      <c r="PK26" s="33" t="n">
        <v>0</v>
      </c>
      <c r="PL26" s="33" t="n">
        <v>0</v>
      </c>
      <c r="PM26" s="33" t="n">
        <v>0</v>
      </c>
      <c r="PN26" s="33" t="n">
        <v>0</v>
      </c>
      <c r="PO26" s="33" t="n">
        <v>0</v>
      </c>
      <c r="PP26" s="33" t="n">
        <v>0</v>
      </c>
      <c r="PQ26" s="33" t="n">
        <v>0</v>
      </c>
      <c r="PR26" s="33" t="n">
        <v>0</v>
      </c>
      <c r="PS26" s="33" t="n">
        <v>0</v>
      </c>
      <c r="PT26" s="33" t="n">
        <v>0</v>
      </c>
      <c r="PU26" s="33" t="n">
        <v>0</v>
      </c>
      <c r="PV26" s="33" t="n">
        <v>0</v>
      </c>
      <c r="PW26" s="33" t="n">
        <v>0</v>
      </c>
      <c r="PX26" s="33" t="n">
        <v>0</v>
      </c>
      <c r="PY26" s="33" t="n">
        <v>0</v>
      </c>
      <c r="PZ26" s="33" t="n">
        <v>0</v>
      </c>
      <c r="QA26" s="33" t="n">
        <v>0</v>
      </c>
      <c r="QB26" s="33" t="n">
        <v>0</v>
      </c>
      <c r="QC26" s="33" t="n">
        <v>0</v>
      </c>
      <c r="QD26" s="33" t="n">
        <v>0</v>
      </c>
      <c r="QE26" s="33" t="n">
        <v>0</v>
      </c>
      <c r="QF26" s="33" t="n">
        <v>0</v>
      </c>
      <c r="QG26" s="33" t="n">
        <v>0</v>
      </c>
      <c r="QH26" s="33" t="n">
        <v>0</v>
      </c>
      <c r="QI26" s="33" t="n">
        <v>0</v>
      </c>
      <c r="QJ26" s="33" t="n">
        <v>0</v>
      </c>
      <c r="QK26" s="33" t="n">
        <v>0</v>
      </c>
      <c r="QL26" s="33" t="n">
        <v>0</v>
      </c>
      <c r="QM26" s="33" t="n">
        <v>0</v>
      </c>
      <c r="QN26" s="33" t="n">
        <v>0</v>
      </c>
      <c r="QO26" s="33" t="n">
        <v>0</v>
      </c>
      <c r="QP26" s="33" t="n">
        <v>0</v>
      </c>
      <c r="QQ26" s="33" t="n">
        <v>0</v>
      </c>
      <c r="QR26" s="33" t="n">
        <v>0</v>
      </c>
      <c r="QS26" s="33" t="n">
        <v>0</v>
      </c>
      <c r="QT26" s="33" t="n">
        <v>0</v>
      </c>
      <c r="QU26" s="33" t="n">
        <v>0</v>
      </c>
      <c r="QV26" s="33" t="n">
        <v>0</v>
      </c>
      <c r="QW26" s="33" t="n">
        <v>0</v>
      </c>
      <c r="QX26" s="33" t="n">
        <v>0</v>
      </c>
      <c r="QY26" s="33" t="n">
        <v>0</v>
      </c>
      <c r="QZ26" s="33" t="n">
        <v>0</v>
      </c>
      <c r="RA26" s="33" t="n">
        <v>0</v>
      </c>
      <c r="RB26" s="33" t="n">
        <v>0</v>
      </c>
      <c r="RC26" s="33" t="n">
        <v>0</v>
      </c>
      <c r="RD26" s="33" t="n">
        <v>0</v>
      </c>
      <c r="RE26" s="33" t="n">
        <v>0</v>
      </c>
      <c r="RF26" s="33" t="n">
        <v>0</v>
      </c>
      <c r="RG26" s="33" t="n">
        <v>0</v>
      </c>
      <c r="RH26" s="33" t="n">
        <v>0</v>
      </c>
      <c r="RI26" s="33" t="n">
        <v>0</v>
      </c>
      <c r="RJ26" s="33" t="n">
        <v>0</v>
      </c>
      <c r="RK26" s="33" t="n">
        <v>0</v>
      </c>
      <c r="RL26" s="33" t="n">
        <v>0</v>
      </c>
      <c r="RM26" s="33" t="n">
        <v>0</v>
      </c>
      <c r="RN26" s="33" t="n">
        <v>0</v>
      </c>
      <c r="RO26" s="33" t="n">
        <v>0</v>
      </c>
      <c r="RP26" s="33" t="n">
        <v>0</v>
      </c>
      <c r="RQ26" s="33" t="n">
        <v>0</v>
      </c>
      <c r="RR26" s="33" t="n">
        <v>0</v>
      </c>
      <c r="RS26" s="33" t="n">
        <v>0</v>
      </c>
      <c r="RT26" s="33" t="n">
        <v>0</v>
      </c>
      <c r="RU26" s="33" t="n">
        <v>0</v>
      </c>
      <c r="RV26" s="33" t="n">
        <v>0</v>
      </c>
      <c r="RW26" s="33" t="n">
        <v>0</v>
      </c>
    </row>
    <row r="27" hidden="1" outlineLevel="1" ht="13.05" customHeight="1">
      <c r="E27" s="21" t="inlineStr">
        <is>
          <t>Dividends Paid</t>
        </is>
      </c>
      <c r="F27" s="29" t="n"/>
      <c r="G27" s="29" t="inlineStr">
        <is>
          <t>kEUR</t>
        </is>
      </c>
      <c r="H27" s="29" t="n"/>
      <c r="I27" s="29" t="n"/>
      <c r="J27" s="32" t="n">
        <v>42495.87476311181</v>
      </c>
      <c r="K27" s="29" t="n"/>
      <c r="L27" s="33" t="n">
        <v>0</v>
      </c>
      <c r="M27" s="33" t="n">
        <v>0</v>
      </c>
      <c r="N27" s="33" t="n">
        <v>0</v>
      </c>
      <c r="O27" s="33" t="n">
        <v>0</v>
      </c>
      <c r="P27" s="33" t="n">
        <v>0</v>
      </c>
      <c r="Q27" s="33" t="n">
        <v>0</v>
      </c>
      <c r="R27" s="33" t="n">
        <v>0</v>
      </c>
      <c r="S27" s="33" t="n">
        <v>0</v>
      </c>
      <c r="T27" s="33" t="n">
        <v>0</v>
      </c>
      <c r="U27" s="33" t="n">
        <v>0</v>
      </c>
      <c r="V27" s="33" t="n">
        <v>0</v>
      </c>
      <c r="W27" s="33" t="n">
        <v>0</v>
      </c>
      <c r="X27" s="33" t="n">
        <v>0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0</v>
      </c>
      <c r="AE27" s="33" t="n">
        <v>0</v>
      </c>
      <c r="AF27" s="33" t="n">
        <v>0</v>
      </c>
      <c r="AG27" s="33" t="n">
        <v>0</v>
      </c>
      <c r="AH27" s="33" t="n">
        <v>0</v>
      </c>
      <c r="AI27" s="33" t="n">
        <v>0</v>
      </c>
      <c r="AJ27" s="33" t="n">
        <v>0</v>
      </c>
      <c r="AK27" s="33" t="n">
        <v>0</v>
      </c>
      <c r="AL27" s="33" t="n">
        <v>0</v>
      </c>
      <c r="AM27" s="33" t="n">
        <v>0</v>
      </c>
      <c r="AN27" s="33" t="n">
        <v>0</v>
      </c>
      <c r="AO27" s="33" t="n">
        <v>0</v>
      </c>
      <c r="AP27" s="33" t="n">
        <v>0</v>
      </c>
      <c r="AQ27" s="33" t="n">
        <v>0</v>
      </c>
      <c r="AR27" s="33" t="n">
        <v>0</v>
      </c>
      <c r="AS27" s="33" t="n">
        <v>0</v>
      </c>
      <c r="AT27" s="33" t="n">
        <v>0</v>
      </c>
      <c r="AU27" s="33" t="n">
        <v>0</v>
      </c>
      <c r="AV27" s="33" t="n">
        <v>0</v>
      </c>
      <c r="AW27" s="33" t="n">
        <v>0</v>
      </c>
      <c r="AX27" s="33" t="n">
        <v>0</v>
      </c>
      <c r="AY27" s="33" t="n">
        <v>0</v>
      </c>
      <c r="AZ27" s="33" t="n">
        <v>0</v>
      </c>
      <c r="BA27" s="33" t="n">
        <v>0</v>
      </c>
      <c r="BB27" s="33" t="n">
        <v>0</v>
      </c>
      <c r="BC27" s="33" t="n">
        <v>0</v>
      </c>
      <c r="BD27" s="33" t="n">
        <v>0</v>
      </c>
      <c r="BE27" s="33" t="n">
        <v>0</v>
      </c>
      <c r="BF27" s="33" t="n">
        <v>0</v>
      </c>
      <c r="BG27" s="33" t="n">
        <v>0</v>
      </c>
      <c r="BH27" s="33" t="n">
        <v>0</v>
      </c>
      <c r="BI27" s="33" t="n">
        <v>0</v>
      </c>
      <c r="BJ27" s="33" t="n">
        <v>0</v>
      </c>
      <c r="BK27" s="33" t="n">
        <v>0</v>
      </c>
      <c r="BL27" s="33" t="n">
        <v>0</v>
      </c>
      <c r="BM27" s="33" t="n">
        <v>0</v>
      </c>
      <c r="BN27" s="33" t="n">
        <v>0</v>
      </c>
      <c r="BO27" s="33" t="n">
        <v>0</v>
      </c>
      <c r="BP27" s="33" t="n">
        <v>0</v>
      </c>
      <c r="BQ27" s="33" t="n">
        <v>0</v>
      </c>
      <c r="BR27" s="33" t="n">
        <v>0</v>
      </c>
      <c r="BS27" s="33" t="n">
        <v>0</v>
      </c>
      <c r="BT27" s="33" t="n">
        <v>0</v>
      </c>
      <c r="BU27" s="33" t="n">
        <v>0</v>
      </c>
      <c r="BV27" s="33" t="n">
        <v>0</v>
      </c>
      <c r="BW27" s="33" t="n">
        <v>0</v>
      </c>
      <c r="BX27" s="33" t="n">
        <v>0</v>
      </c>
      <c r="BY27" s="33" t="n">
        <v>0</v>
      </c>
      <c r="BZ27" s="33" t="n">
        <v>0</v>
      </c>
      <c r="CA27" s="33" t="n">
        <v>0</v>
      </c>
      <c r="CB27" s="33" t="n">
        <v>0</v>
      </c>
      <c r="CC27" s="33" t="n">
        <v>0</v>
      </c>
      <c r="CD27" s="33" t="n">
        <v>0</v>
      </c>
      <c r="CE27" s="33" t="n">
        <v>0</v>
      </c>
      <c r="CF27" s="33" t="n">
        <v>0</v>
      </c>
      <c r="CG27" s="33" t="n">
        <v>0</v>
      </c>
      <c r="CH27" s="33" t="n">
        <v>0</v>
      </c>
      <c r="CI27" s="33" t="n">
        <v>0</v>
      </c>
      <c r="CJ27" s="33" t="n">
        <v>0</v>
      </c>
      <c r="CK27" s="33" t="n">
        <v>0</v>
      </c>
      <c r="CL27" s="33" t="n">
        <v>0</v>
      </c>
      <c r="CM27" s="33" t="n">
        <v>0</v>
      </c>
      <c r="CN27" s="33" t="n">
        <v>0</v>
      </c>
      <c r="CO27" s="33" t="n">
        <v>0</v>
      </c>
      <c r="CP27" s="33" t="n">
        <v>0</v>
      </c>
      <c r="CQ27" s="33" t="n">
        <v>0</v>
      </c>
      <c r="CR27" s="33" t="n">
        <v>0</v>
      </c>
      <c r="CS27" s="33" t="n">
        <v>0</v>
      </c>
      <c r="CT27" s="33" t="n">
        <v>0</v>
      </c>
      <c r="CU27" s="33" t="n">
        <v>0</v>
      </c>
      <c r="CV27" s="33" t="n">
        <v>0</v>
      </c>
      <c r="CW27" s="33" t="n">
        <v>0</v>
      </c>
      <c r="CX27" s="33" t="n">
        <v>0</v>
      </c>
      <c r="CY27" s="33" t="n">
        <v>0</v>
      </c>
      <c r="CZ27" s="33" t="n">
        <v>0</v>
      </c>
      <c r="DA27" s="33" t="n">
        <v>0</v>
      </c>
      <c r="DB27" s="33" t="n">
        <v>0</v>
      </c>
      <c r="DC27" s="33" t="n">
        <v>0</v>
      </c>
      <c r="DD27" s="33" t="n">
        <v>0</v>
      </c>
      <c r="DE27" s="33" t="n">
        <v>0</v>
      </c>
      <c r="DF27" s="33" t="n">
        <v>0</v>
      </c>
      <c r="DG27" s="33" t="n">
        <v>0</v>
      </c>
      <c r="DH27" s="33" t="n">
        <v>0</v>
      </c>
      <c r="DI27" s="33" t="n">
        <v>0</v>
      </c>
      <c r="DJ27" s="33" t="n">
        <v>0</v>
      </c>
      <c r="DK27" s="33" t="n">
        <v>0</v>
      </c>
      <c r="DL27" s="33" t="n">
        <v>0</v>
      </c>
      <c r="DM27" s="33" t="n">
        <v>0</v>
      </c>
      <c r="DN27" s="33" t="n">
        <v>0</v>
      </c>
      <c r="DO27" s="33" t="n">
        <v>0</v>
      </c>
      <c r="DP27" s="33" t="n">
        <v>0</v>
      </c>
      <c r="DQ27" s="33" t="n">
        <v>0</v>
      </c>
      <c r="DR27" s="33" t="n">
        <v>0</v>
      </c>
      <c r="DS27" s="33" t="n">
        <v>0</v>
      </c>
      <c r="DT27" s="33" t="n">
        <v>0</v>
      </c>
      <c r="DU27" s="33" t="n">
        <v>0</v>
      </c>
      <c r="DV27" s="33" t="n">
        <v>0</v>
      </c>
      <c r="DW27" s="33" t="n">
        <v>0</v>
      </c>
      <c r="DX27" s="33" t="n">
        <v>0</v>
      </c>
      <c r="DY27" s="33" t="n">
        <v>0</v>
      </c>
      <c r="DZ27" s="33" t="n">
        <v>0</v>
      </c>
      <c r="EA27" s="33" t="n">
        <v>0</v>
      </c>
      <c r="EB27" s="33" t="n">
        <v>0</v>
      </c>
      <c r="EC27" s="33" t="n">
        <v>0</v>
      </c>
      <c r="ED27" s="33" t="n">
        <v>0</v>
      </c>
      <c r="EE27" s="33" t="n">
        <v>0</v>
      </c>
      <c r="EF27" s="33" t="n">
        <v>0</v>
      </c>
      <c r="EG27" s="33" t="n">
        <v>0</v>
      </c>
      <c r="EH27" s="33" t="n">
        <v>0</v>
      </c>
      <c r="EI27" s="33" t="n">
        <v>0</v>
      </c>
      <c r="EJ27" s="33" t="n">
        <v>0</v>
      </c>
      <c r="EK27" s="33" t="n">
        <v>0</v>
      </c>
      <c r="EL27" s="33" t="n">
        <v>0</v>
      </c>
      <c r="EM27" s="33" t="n">
        <v>0</v>
      </c>
      <c r="EN27" s="33" t="n">
        <v>0</v>
      </c>
      <c r="EO27" s="33" t="n">
        <v>0</v>
      </c>
      <c r="EP27" s="33" t="n">
        <v>0</v>
      </c>
      <c r="EQ27" s="33" t="n">
        <v>0</v>
      </c>
      <c r="ER27" s="33" t="n">
        <v>0</v>
      </c>
      <c r="ES27" s="33" t="n">
        <v>0</v>
      </c>
      <c r="ET27" s="33" t="n">
        <v>0</v>
      </c>
      <c r="EU27" s="33" t="n">
        <v>0</v>
      </c>
      <c r="EV27" s="33" t="n">
        <v>0</v>
      </c>
      <c r="EW27" s="33" t="n">
        <v>0</v>
      </c>
      <c r="EX27" s="33" t="n">
        <v>0</v>
      </c>
      <c r="EY27" s="33" t="n">
        <v>0</v>
      </c>
      <c r="EZ27" s="33" t="n">
        <v>0</v>
      </c>
      <c r="FA27" s="33" t="n">
        <v>0</v>
      </c>
      <c r="FB27" s="33" t="n">
        <v>0</v>
      </c>
      <c r="FC27" s="33" t="n">
        <v>0</v>
      </c>
      <c r="FD27" s="33" t="n">
        <v>0</v>
      </c>
      <c r="FE27" s="33" t="n">
        <v>0</v>
      </c>
      <c r="FF27" s="33" t="n">
        <v>0</v>
      </c>
      <c r="FG27" s="33" t="n">
        <v>0</v>
      </c>
      <c r="FH27" s="33" t="n">
        <v>0</v>
      </c>
      <c r="FI27" s="33" t="n">
        <v>0</v>
      </c>
      <c r="FJ27" s="33" t="n">
        <v>0</v>
      </c>
      <c r="FK27" s="33" t="n">
        <v>0</v>
      </c>
      <c r="FL27" s="33" t="n">
        <v>0</v>
      </c>
      <c r="FM27" s="33" t="n">
        <v>0</v>
      </c>
      <c r="FN27" s="33" t="n">
        <v>0</v>
      </c>
      <c r="FO27" s="33" t="n">
        <v>0</v>
      </c>
      <c r="FP27" s="33" t="n">
        <v>0</v>
      </c>
      <c r="FQ27" s="33" t="n">
        <v>0</v>
      </c>
      <c r="FR27" s="33" t="n">
        <v>0</v>
      </c>
      <c r="FS27" s="33" t="n">
        <v>0</v>
      </c>
      <c r="FT27" s="33" t="n">
        <v>0</v>
      </c>
      <c r="FU27" s="33" t="n">
        <v>0</v>
      </c>
      <c r="FV27" s="33" t="n">
        <v>0</v>
      </c>
      <c r="FW27" s="33" t="n">
        <v>0</v>
      </c>
      <c r="FX27" s="33" t="n">
        <v>0</v>
      </c>
      <c r="FY27" s="33" t="n">
        <v>0</v>
      </c>
      <c r="FZ27" s="33" t="n">
        <v>0</v>
      </c>
      <c r="GA27" s="33" t="n">
        <v>0</v>
      </c>
      <c r="GB27" s="33" t="n">
        <v>0</v>
      </c>
      <c r="GC27" s="33" t="n">
        <v>0</v>
      </c>
      <c r="GD27" s="33" t="n">
        <v>0</v>
      </c>
      <c r="GE27" s="33" t="n">
        <v>0</v>
      </c>
      <c r="GF27" s="33" t="n">
        <v>0</v>
      </c>
      <c r="GG27" s="33" t="n">
        <v>0</v>
      </c>
      <c r="GH27" s="33" t="n">
        <v>0</v>
      </c>
      <c r="GI27" s="33" t="n">
        <v>0</v>
      </c>
      <c r="GJ27" s="33" t="n">
        <v>0</v>
      </c>
      <c r="GK27" s="33" t="n">
        <v>0</v>
      </c>
      <c r="GL27" s="33" t="n">
        <v>0</v>
      </c>
      <c r="GM27" s="33" t="n">
        <v>0</v>
      </c>
      <c r="GN27" s="33" t="n">
        <v>0</v>
      </c>
      <c r="GO27" s="33" t="n">
        <v>0</v>
      </c>
      <c r="GP27" s="33" t="n">
        <v>0</v>
      </c>
      <c r="GQ27" s="33" t="n">
        <v>0</v>
      </c>
      <c r="GR27" s="33" t="n">
        <v>0</v>
      </c>
      <c r="GS27" s="33" t="n">
        <v>0</v>
      </c>
      <c r="GT27" s="33" t="n">
        <v>0</v>
      </c>
      <c r="GU27" s="33" t="n">
        <v>0</v>
      </c>
      <c r="GV27" s="33" t="n">
        <v>0</v>
      </c>
      <c r="GW27" s="33" t="n">
        <v>0</v>
      </c>
      <c r="GX27" s="33" t="n">
        <v>0</v>
      </c>
      <c r="GY27" s="33" t="n">
        <v>0</v>
      </c>
      <c r="GZ27" s="33" t="n">
        <v>0</v>
      </c>
      <c r="HA27" s="33" t="n">
        <v>0</v>
      </c>
      <c r="HB27" s="33" t="n">
        <v>0</v>
      </c>
      <c r="HC27" s="33" t="n">
        <v>0</v>
      </c>
      <c r="HD27" s="33" t="n">
        <v>0</v>
      </c>
      <c r="HE27" s="33" t="n">
        <v>0</v>
      </c>
      <c r="HF27" s="33" t="n">
        <v>0</v>
      </c>
      <c r="HG27" s="33" t="n">
        <v>0</v>
      </c>
      <c r="HH27" s="33" t="n">
        <v>0</v>
      </c>
      <c r="HI27" s="33" t="n">
        <v>0</v>
      </c>
      <c r="HJ27" s="33" t="n">
        <v>0</v>
      </c>
      <c r="HK27" s="33" t="n">
        <v>0</v>
      </c>
      <c r="HL27" s="33" t="n">
        <v>0</v>
      </c>
      <c r="HM27" s="33" t="n">
        <v>0</v>
      </c>
      <c r="HN27" s="33" t="n">
        <v>0</v>
      </c>
      <c r="HO27" s="33" t="n">
        <v>0</v>
      </c>
      <c r="HP27" s="33" t="n">
        <v>0</v>
      </c>
      <c r="HQ27" s="33" t="n">
        <v>0</v>
      </c>
      <c r="HR27" s="33" t="n">
        <v>0</v>
      </c>
      <c r="HS27" s="33" t="n">
        <v>0</v>
      </c>
      <c r="HT27" s="33" t="n">
        <v>0</v>
      </c>
      <c r="HU27" s="33" t="n">
        <v>0</v>
      </c>
      <c r="HV27" s="33" t="n">
        <v>0</v>
      </c>
      <c r="HW27" s="33" t="n">
        <v>0</v>
      </c>
      <c r="HX27" s="33" t="n">
        <v>0</v>
      </c>
      <c r="HY27" s="33" t="n">
        <v>0</v>
      </c>
      <c r="HZ27" s="33" t="n">
        <v>0</v>
      </c>
      <c r="IA27" s="33" t="n">
        <v>0</v>
      </c>
      <c r="IB27" s="33" t="n">
        <v>0</v>
      </c>
      <c r="IC27" s="33" t="n">
        <v>0</v>
      </c>
      <c r="ID27" s="33" t="n">
        <v>0</v>
      </c>
      <c r="IE27" s="33" t="n">
        <v>0</v>
      </c>
      <c r="IF27" s="33" t="n">
        <v>0</v>
      </c>
      <c r="IG27" s="33" t="n">
        <v>0</v>
      </c>
      <c r="IH27" s="33" t="n">
        <v>0</v>
      </c>
      <c r="II27" s="33" t="n">
        <v>0</v>
      </c>
      <c r="IJ27" s="33" t="n">
        <v>0</v>
      </c>
      <c r="IK27" s="33" t="n">
        <v>0</v>
      </c>
      <c r="IL27" s="33" t="n">
        <v>0</v>
      </c>
      <c r="IM27" s="33" t="n">
        <v>0</v>
      </c>
      <c r="IN27" s="33" t="n">
        <v>0</v>
      </c>
      <c r="IO27" s="33" t="n">
        <v>0</v>
      </c>
      <c r="IP27" s="33" t="n">
        <v>0</v>
      </c>
      <c r="IQ27" s="33" t="n">
        <v>0</v>
      </c>
      <c r="IR27" s="33" t="n">
        <v>0</v>
      </c>
      <c r="IS27" s="33" t="n">
        <v>0</v>
      </c>
      <c r="IT27" s="33" t="n">
        <v>0</v>
      </c>
      <c r="IU27" s="33" t="n">
        <v>0</v>
      </c>
      <c r="IV27" s="33" t="n">
        <v>0</v>
      </c>
      <c r="IW27" s="33" t="n">
        <v>0</v>
      </c>
      <c r="IX27" s="33" t="n">
        <v>0</v>
      </c>
      <c r="IY27" s="33" t="n">
        <v>0</v>
      </c>
      <c r="IZ27" s="33" t="n">
        <v>0</v>
      </c>
      <c r="JA27" s="33" t="n">
        <v>0</v>
      </c>
      <c r="JB27" s="33" t="n">
        <v>0</v>
      </c>
      <c r="JC27" s="33" t="n">
        <v>0</v>
      </c>
      <c r="JD27" s="33" t="n">
        <v>0</v>
      </c>
      <c r="JE27" s="33" t="n">
        <v>0</v>
      </c>
      <c r="JF27" s="33" t="n">
        <v>0</v>
      </c>
      <c r="JG27" s="33" t="n">
        <v>0</v>
      </c>
      <c r="JH27" s="33" t="n">
        <v>0</v>
      </c>
      <c r="JI27" s="33" t="n">
        <v>0</v>
      </c>
      <c r="JJ27" s="33" t="n">
        <v>0</v>
      </c>
      <c r="JK27" s="33" t="n">
        <v>0</v>
      </c>
      <c r="JL27" s="33" t="n">
        <v>0</v>
      </c>
      <c r="JM27" s="33" t="n">
        <v>0</v>
      </c>
      <c r="JN27" s="33" t="n">
        <v>0</v>
      </c>
      <c r="JO27" s="33" t="n">
        <v>0</v>
      </c>
      <c r="JP27" s="33" t="n">
        <v>0</v>
      </c>
      <c r="JQ27" s="33" t="n">
        <v>0</v>
      </c>
      <c r="JR27" s="33" t="n">
        <v>0</v>
      </c>
      <c r="JS27" s="33" t="n">
        <v>0</v>
      </c>
      <c r="JT27" s="33" t="n">
        <v>0</v>
      </c>
      <c r="JU27" s="33" t="n">
        <v>0</v>
      </c>
      <c r="JV27" s="33" t="n">
        <v>0</v>
      </c>
      <c r="JW27" s="33" t="n">
        <v>0</v>
      </c>
      <c r="JX27" s="33" t="n">
        <v>0</v>
      </c>
      <c r="JY27" s="33" t="n">
        <v>0</v>
      </c>
      <c r="JZ27" s="33" t="n">
        <v>0</v>
      </c>
      <c r="KA27" s="33" t="n">
        <v>0</v>
      </c>
      <c r="KB27" s="33" t="n">
        <v>0</v>
      </c>
      <c r="KC27" s="33" t="n">
        <v>0</v>
      </c>
      <c r="KD27" s="33" t="n">
        <v>0</v>
      </c>
      <c r="KE27" s="33" t="n">
        <v>0</v>
      </c>
      <c r="KF27" s="33" t="n">
        <v>0</v>
      </c>
      <c r="KG27" s="33" t="n">
        <v>0</v>
      </c>
      <c r="KH27" s="33" t="n">
        <v>0</v>
      </c>
      <c r="KI27" s="33" t="n">
        <v>0</v>
      </c>
      <c r="KJ27" s="33" t="n">
        <v>0</v>
      </c>
      <c r="KK27" s="33" t="n">
        <v>0</v>
      </c>
      <c r="KL27" s="33" t="n">
        <v>0</v>
      </c>
      <c r="KM27" s="33" t="n">
        <v>0</v>
      </c>
      <c r="KN27" s="33" t="n">
        <v>0</v>
      </c>
      <c r="KO27" s="33" t="n">
        <v>0</v>
      </c>
      <c r="KP27" s="33" t="n">
        <v>0</v>
      </c>
      <c r="KQ27" s="33" t="n">
        <v>0</v>
      </c>
      <c r="KR27" s="33" t="n">
        <v>0</v>
      </c>
      <c r="KS27" s="33" t="n">
        <v>0</v>
      </c>
      <c r="KT27" s="33" t="n">
        <v>0</v>
      </c>
      <c r="KU27" s="33" t="n">
        <v>0</v>
      </c>
      <c r="KV27" s="33" t="n">
        <v>0</v>
      </c>
      <c r="KW27" s="33" t="n">
        <v>0</v>
      </c>
      <c r="KX27" s="33" t="n">
        <v>0</v>
      </c>
      <c r="KY27" s="33" t="n">
        <v>0</v>
      </c>
      <c r="KZ27" s="33" t="n">
        <v>0</v>
      </c>
      <c r="LA27" s="33" t="n">
        <v>0</v>
      </c>
      <c r="LB27" s="33" t="n">
        <v>0</v>
      </c>
      <c r="LC27" s="33" t="n">
        <v>0</v>
      </c>
      <c r="LD27" s="33" t="n">
        <v>0</v>
      </c>
      <c r="LE27" s="33" t="n">
        <v>0</v>
      </c>
      <c r="LF27" s="33" t="n">
        <v>0</v>
      </c>
      <c r="LG27" s="33" t="n">
        <v>0</v>
      </c>
      <c r="LH27" s="33" t="n">
        <v>0</v>
      </c>
      <c r="LI27" s="33" t="n">
        <v>0</v>
      </c>
      <c r="LJ27" s="33" t="n">
        <v>0</v>
      </c>
      <c r="LK27" s="33" t="n">
        <v>0</v>
      </c>
      <c r="LL27" s="33" t="n">
        <v>0</v>
      </c>
      <c r="LM27" s="33" t="n">
        <v>0</v>
      </c>
      <c r="LN27" s="33" t="n">
        <v>0</v>
      </c>
      <c r="LO27" s="33" t="n">
        <v>0</v>
      </c>
      <c r="LP27" s="33" t="n">
        <v>0</v>
      </c>
      <c r="LQ27" s="33" t="n">
        <v>0</v>
      </c>
      <c r="LR27" s="33" t="n">
        <v>0</v>
      </c>
      <c r="LS27" s="33" t="n">
        <v>0</v>
      </c>
      <c r="LT27" s="33" t="n">
        <v>0</v>
      </c>
      <c r="LU27" s="33" t="n">
        <v>0</v>
      </c>
      <c r="LV27" s="33" t="n">
        <v>0</v>
      </c>
      <c r="LW27" s="33" t="n">
        <v>0</v>
      </c>
      <c r="LX27" s="33" t="n">
        <v>0</v>
      </c>
      <c r="LY27" s="33" t="n">
        <v>0</v>
      </c>
      <c r="LZ27" s="33" t="n">
        <v>0</v>
      </c>
      <c r="MA27" s="33" t="n">
        <v>0</v>
      </c>
      <c r="MB27" s="33" t="n">
        <v>0</v>
      </c>
      <c r="MC27" s="33" t="n">
        <v>0</v>
      </c>
      <c r="MD27" s="33" t="n">
        <v>0</v>
      </c>
      <c r="ME27" s="33" t="n">
        <v>0</v>
      </c>
      <c r="MF27" s="33" t="n">
        <v>0</v>
      </c>
      <c r="MG27" s="33" t="n">
        <v>0</v>
      </c>
      <c r="MH27" s="33" t="n">
        <v>0</v>
      </c>
      <c r="MI27" s="33" t="n">
        <v>0</v>
      </c>
      <c r="MJ27" s="33" t="n">
        <v>0</v>
      </c>
      <c r="MK27" s="33" t="n">
        <v>0</v>
      </c>
      <c r="ML27" s="33" t="n">
        <v>0</v>
      </c>
      <c r="MM27" s="33" t="n">
        <v>0</v>
      </c>
      <c r="MN27" s="33" t="n">
        <v>0</v>
      </c>
      <c r="MO27" s="33" t="n">
        <v>0</v>
      </c>
      <c r="MP27" s="33" t="n">
        <v>0</v>
      </c>
      <c r="MQ27" s="33" t="n">
        <v>0</v>
      </c>
      <c r="MR27" s="33" t="n">
        <v>0</v>
      </c>
      <c r="MS27" s="33" t="n">
        <v>0</v>
      </c>
      <c r="MT27" s="33" t="n">
        <v>0</v>
      </c>
      <c r="MU27" s="33" t="n">
        <v>0</v>
      </c>
      <c r="MV27" s="33" t="n">
        <v>0</v>
      </c>
      <c r="MW27" s="33" t="n">
        <v>0</v>
      </c>
      <c r="MX27" s="33" t="n">
        <v>0</v>
      </c>
      <c r="MY27" s="33" t="n">
        <v>0</v>
      </c>
      <c r="MZ27" s="33" t="n">
        <v>0</v>
      </c>
      <c r="NA27" s="33" t="n">
        <v>0</v>
      </c>
      <c r="NB27" s="33" t="n">
        <v>0</v>
      </c>
      <c r="NC27" s="33" t="n">
        <v>0</v>
      </c>
      <c r="ND27" s="33" t="n">
        <v>0</v>
      </c>
      <c r="NE27" s="33" t="n">
        <v>0</v>
      </c>
      <c r="NF27" s="33" t="n">
        <v>0</v>
      </c>
      <c r="NG27" s="33" t="n">
        <v>0</v>
      </c>
      <c r="NH27" s="33" t="n">
        <v>0</v>
      </c>
      <c r="NI27" s="33" t="n">
        <v>0</v>
      </c>
      <c r="NJ27" s="33" t="n">
        <v>0</v>
      </c>
      <c r="NK27" s="33" t="n">
        <v>0</v>
      </c>
      <c r="NL27" s="33" t="n">
        <v>0</v>
      </c>
      <c r="NM27" s="33" t="n">
        <v>0</v>
      </c>
      <c r="NN27" s="33" t="n">
        <v>0</v>
      </c>
      <c r="NO27" s="33" t="n">
        <v>0</v>
      </c>
      <c r="NP27" s="33" t="n">
        <v>0</v>
      </c>
      <c r="NQ27" s="33" t="n">
        <v>0</v>
      </c>
      <c r="NR27" s="33" t="n">
        <v>0</v>
      </c>
      <c r="NS27" s="33" t="n">
        <v>0</v>
      </c>
      <c r="NT27" s="33" t="n">
        <v>0</v>
      </c>
      <c r="NU27" s="33" t="n">
        <v>0</v>
      </c>
      <c r="NV27" s="33" t="n">
        <v>0</v>
      </c>
      <c r="NW27" s="33" t="n">
        <v>0</v>
      </c>
      <c r="NX27" s="33" t="n">
        <v>0</v>
      </c>
      <c r="NY27" s="33" t="n">
        <v>0</v>
      </c>
      <c r="NZ27" s="33" t="n">
        <v>0</v>
      </c>
      <c r="OA27" s="33" t="n">
        <v>0</v>
      </c>
      <c r="OB27" s="33" t="n">
        <v>0</v>
      </c>
      <c r="OC27" s="33" t="n">
        <v>0</v>
      </c>
      <c r="OD27" s="33" t="n">
        <v>0</v>
      </c>
      <c r="OE27" s="33" t="n">
        <v>0</v>
      </c>
      <c r="OF27" s="33" t="n">
        <v>0</v>
      </c>
      <c r="OG27" s="33" t="n">
        <v>0</v>
      </c>
      <c r="OH27" s="33" t="n">
        <v>0</v>
      </c>
      <c r="OI27" s="33" t="n">
        <v>0</v>
      </c>
      <c r="OJ27" s="33" t="n">
        <v>0</v>
      </c>
      <c r="OK27" s="33" t="n">
        <v>0</v>
      </c>
      <c r="OL27" s="33" t="n">
        <v>0</v>
      </c>
      <c r="OM27" s="33" t="n">
        <v>0</v>
      </c>
      <c r="ON27" s="33" t="n">
        <v>0</v>
      </c>
      <c r="OO27" s="33" t="n">
        <v>0</v>
      </c>
      <c r="OP27" s="33" t="n">
        <v>0</v>
      </c>
      <c r="OQ27" s="33" t="n">
        <v>0</v>
      </c>
      <c r="OR27" s="33" t="n">
        <v>0</v>
      </c>
      <c r="OS27" s="33" t="n">
        <v>0</v>
      </c>
      <c r="OT27" s="33" t="n">
        <v>0</v>
      </c>
      <c r="OU27" s="33" t="n">
        <v>0</v>
      </c>
      <c r="OV27" s="33" t="n">
        <v>0</v>
      </c>
      <c r="OW27" s="33" t="n">
        <v>0</v>
      </c>
      <c r="OX27" s="33" t="n">
        <v>0</v>
      </c>
      <c r="OY27" s="33" t="n">
        <v>0</v>
      </c>
      <c r="OZ27" s="33" t="n">
        <v>0</v>
      </c>
      <c r="PA27" s="33" t="n">
        <v>0</v>
      </c>
      <c r="PB27" s="33" t="n">
        <v>0</v>
      </c>
      <c r="PC27" s="33" t="n">
        <v>0</v>
      </c>
      <c r="PD27" s="33" t="n">
        <v>0</v>
      </c>
      <c r="PE27" s="33" t="n">
        <v>0</v>
      </c>
      <c r="PF27" s="33" t="n">
        <v>0</v>
      </c>
      <c r="PG27" s="33" t="n">
        <v>0</v>
      </c>
      <c r="PH27" s="33" t="n">
        <v>0</v>
      </c>
      <c r="PI27" s="33" t="n">
        <v>0</v>
      </c>
      <c r="PJ27" s="33" t="n">
        <v>0</v>
      </c>
      <c r="PK27" s="33" t="n">
        <v>0</v>
      </c>
      <c r="PL27" s="33" t="n">
        <v>0</v>
      </c>
      <c r="PM27" s="33" t="n">
        <v>0</v>
      </c>
      <c r="PN27" s="33" t="n">
        <v>0</v>
      </c>
      <c r="PO27" s="33" t="n">
        <v>0</v>
      </c>
      <c r="PP27" s="33" t="n">
        <v>0</v>
      </c>
      <c r="PQ27" s="33" t="n">
        <v>0</v>
      </c>
      <c r="PR27" s="33" t="n">
        <v>0</v>
      </c>
      <c r="PS27" s="33" t="n">
        <v>0</v>
      </c>
      <c r="PT27" s="33" t="n">
        <v>0</v>
      </c>
      <c r="PU27" s="33" t="n">
        <v>0</v>
      </c>
      <c r="PV27" s="33" t="n">
        <v>0</v>
      </c>
      <c r="PW27" s="33" t="n">
        <v>0</v>
      </c>
      <c r="PX27" s="33" t="n">
        <v>0</v>
      </c>
      <c r="PY27" s="33" t="n">
        <v>0</v>
      </c>
      <c r="PZ27" s="33" t="n">
        <v>0</v>
      </c>
      <c r="QA27" s="33" t="n">
        <v>0</v>
      </c>
      <c r="QB27" s="33" t="n">
        <v>0</v>
      </c>
      <c r="QC27" s="33" t="n">
        <v>10103.42722780611</v>
      </c>
      <c r="QD27" s="33" t="n">
        <v>0</v>
      </c>
      <c r="QE27" s="33" t="n">
        <v>0</v>
      </c>
      <c r="QF27" s="33" t="n">
        <v>0</v>
      </c>
      <c r="QG27" s="33" t="n">
        <v>0</v>
      </c>
      <c r="QH27" s="33" t="n">
        <v>0</v>
      </c>
      <c r="QI27" s="33" t="n">
        <v>0</v>
      </c>
      <c r="QJ27" s="33" t="n">
        <v>0</v>
      </c>
      <c r="QK27" s="33" t="n">
        <v>0</v>
      </c>
      <c r="QL27" s="33" t="n">
        <v>0</v>
      </c>
      <c r="QM27" s="33" t="n">
        <v>0</v>
      </c>
      <c r="QN27" s="33" t="n">
        <v>0</v>
      </c>
      <c r="QO27" s="33" t="n">
        <v>32392.4475353057</v>
      </c>
      <c r="QP27" s="33" t="n">
        <v>0</v>
      </c>
      <c r="QQ27" s="33" t="n">
        <v>0</v>
      </c>
      <c r="QR27" s="33" t="n">
        <v>0</v>
      </c>
      <c r="QS27" s="33" t="n">
        <v>0</v>
      </c>
      <c r="QT27" s="33" t="n">
        <v>0</v>
      </c>
      <c r="QU27" s="33" t="n">
        <v>0</v>
      </c>
      <c r="QV27" s="33" t="n">
        <v>0</v>
      </c>
      <c r="QW27" s="33" t="n">
        <v>0</v>
      </c>
      <c r="QX27" s="33" t="n">
        <v>0</v>
      </c>
      <c r="QY27" s="33" t="n">
        <v>0</v>
      </c>
      <c r="QZ27" s="33" t="n">
        <v>0</v>
      </c>
      <c r="RA27" s="33" t="n">
        <v>0</v>
      </c>
      <c r="RB27" s="33" t="n">
        <v>0</v>
      </c>
      <c r="RC27" s="33" t="n">
        <v>0</v>
      </c>
      <c r="RD27" s="33" t="n">
        <v>0</v>
      </c>
      <c r="RE27" s="33" t="n">
        <v>0</v>
      </c>
      <c r="RF27" s="33" t="n">
        <v>0</v>
      </c>
      <c r="RG27" s="33" t="n">
        <v>0</v>
      </c>
      <c r="RH27" s="33" t="n">
        <v>0</v>
      </c>
      <c r="RI27" s="33" t="n">
        <v>0</v>
      </c>
      <c r="RJ27" s="33" t="n">
        <v>0</v>
      </c>
      <c r="RK27" s="33" t="n">
        <v>0</v>
      </c>
      <c r="RL27" s="33" t="n">
        <v>0</v>
      </c>
      <c r="RM27" s="33" t="n">
        <v>0</v>
      </c>
      <c r="RN27" s="33" t="n">
        <v>0</v>
      </c>
      <c r="RO27" s="33" t="n">
        <v>0</v>
      </c>
      <c r="RP27" s="33" t="n">
        <v>0</v>
      </c>
      <c r="RQ27" s="33" t="n">
        <v>0</v>
      </c>
      <c r="RR27" s="33" t="n">
        <v>0</v>
      </c>
      <c r="RS27" s="33" t="n">
        <v>0</v>
      </c>
      <c r="RT27" s="33" t="n">
        <v>0</v>
      </c>
      <c r="RU27" s="33" t="n">
        <v>0</v>
      </c>
      <c r="RV27" s="33" t="n">
        <v>0</v>
      </c>
      <c r="RW27" s="33" t="n">
        <v>0</v>
      </c>
    </row>
    <row r="28" hidden="1" outlineLevel="1" ht="13.05" customHeight="1">
      <c r="E28" s="34" t="inlineStr">
        <is>
          <t>Cash Flow from Financing</t>
        </is>
      </c>
      <c r="F28" s="35" t="n"/>
      <c r="G28" s="35" t="inlineStr">
        <is>
          <t>kEUR</t>
        </is>
      </c>
      <c r="H28" s="35" t="n"/>
      <c r="I28" s="35" t="n"/>
      <c r="J28" s="36" t="n">
        <v>-742727.2378297899</v>
      </c>
      <c r="K28" s="35" t="n"/>
      <c r="L28" s="37">
        <f>'Debt'!L7-'Debt'!L9-'Debt'!L8-L27</f>
        <v/>
      </c>
      <c r="M28" s="37">
        <f>'Debt'!M7-'Debt'!M9-'Debt'!M8-M27</f>
        <v/>
      </c>
      <c r="N28" s="37">
        <f>'Debt'!N7-'Debt'!N9-'Debt'!N8-N27</f>
        <v/>
      </c>
      <c r="O28" s="37">
        <f>'Debt'!O7-'Debt'!O9-'Debt'!O8-O27</f>
        <v/>
      </c>
      <c r="P28" s="37">
        <f>'Debt'!P7-'Debt'!P9-'Debt'!P8-P27</f>
        <v/>
      </c>
      <c r="Q28" s="37">
        <f>'Debt'!Q7-'Debt'!Q9-'Debt'!Q8-Q27</f>
        <v/>
      </c>
      <c r="R28" s="37">
        <f>'Debt'!R7-'Debt'!R9-'Debt'!R8-R27</f>
        <v/>
      </c>
      <c r="S28" s="37">
        <f>'Debt'!S7-'Debt'!S9-'Debt'!S8-S27</f>
        <v/>
      </c>
      <c r="T28" s="37">
        <f>'Debt'!T7-'Debt'!T9-'Debt'!T8-T27</f>
        <v/>
      </c>
      <c r="U28" s="37">
        <f>'Debt'!U7-'Debt'!U9-'Debt'!U8-U27</f>
        <v/>
      </c>
      <c r="V28" s="37">
        <f>'Debt'!V7-'Debt'!V9-'Debt'!V8-V27</f>
        <v/>
      </c>
      <c r="W28" s="37">
        <f>'Debt'!W7-'Debt'!W9-'Debt'!W8-W27</f>
        <v/>
      </c>
      <c r="X28" s="37">
        <f>'Debt'!X7-'Debt'!X9-'Debt'!X8-X27</f>
        <v/>
      </c>
      <c r="Y28" s="37">
        <f>'Debt'!Y7-'Debt'!Y9-'Debt'!Y8-Y27</f>
        <v/>
      </c>
      <c r="Z28" s="37">
        <f>'Debt'!Z7-'Debt'!Z9-'Debt'!Z8-Z27</f>
        <v/>
      </c>
      <c r="AA28" s="37">
        <f>'Debt'!AA7-'Debt'!AA9-'Debt'!AA8-AA27</f>
        <v/>
      </c>
      <c r="AB28" s="37">
        <f>'Debt'!AB7-'Debt'!AB9-'Debt'!AB8-AB27</f>
        <v/>
      </c>
      <c r="AC28" s="37">
        <f>'Debt'!AC7-'Debt'!AC9-'Debt'!AC8-AC27</f>
        <v/>
      </c>
      <c r="AD28" s="37">
        <f>'Debt'!AD7-'Debt'!AD9-'Debt'!AD8-AD27</f>
        <v/>
      </c>
      <c r="AE28" s="37">
        <f>'Debt'!AE7-'Debt'!AE9-'Debt'!AE8-AE27</f>
        <v/>
      </c>
      <c r="AF28" s="37">
        <f>'Debt'!AF7-'Debt'!AF9-'Debt'!AF8-AF27</f>
        <v/>
      </c>
      <c r="AG28" s="37">
        <f>'Debt'!AG7-'Debt'!AG9-'Debt'!AG8-AG27</f>
        <v/>
      </c>
      <c r="AH28" s="37">
        <f>'Debt'!AH7-'Debt'!AH9-'Debt'!AH8-AH27</f>
        <v/>
      </c>
      <c r="AI28" s="37">
        <f>'Debt'!AI7-'Debt'!AI9-'Debt'!AI8-AI27</f>
        <v/>
      </c>
      <c r="AJ28" s="37">
        <f>'Debt'!AJ7-'Debt'!AJ9-'Debt'!AJ8-AJ27</f>
        <v/>
      </c>
      <c r="AK28" s="37">
        <f>'Debt'!AK7-'Debt'!AK9-'Debt'!AK8-AK27</f>
        <v/>
      </c>
      <c r="AL28" s="37">
        <f>'Debt'!AL7-'Debt'!AL9-'Debt'!AL8-AL27</f>
        <v/>
      </c>
      <c r="AM28" s="37">
        <f>'Debt'!AM7-'Debt'!AM9-'Debt'!AM8-AM27</f>
        <v/>
      </c>
      <c r="AN28" s="37">
        <f>'Debt'!AN7-'Debt'!AN9-'Debt'!AN8-AN27</f>
        <v/>
      </c>
      <c r="AO28" s="37">
        <f>'Debt'!AO7-'Debt'!AO9-'Debt'!AO8-AO27</f>
        <v/>
      </c>
      <c r="AP28" s="37">
        <f>'Debt'!AP7-'Debt'!AP9-'Debt'!AP8-AP27</f>
        <v/>
      </c>
      <c r="AQ28" s="37">
        <f>'Debt'!AQ7-'Debt'!AQ9-'Debt'!AQ8-AQ27</f>
        <v/>
      </c>
      <c r="AR28" s="37">
        <f>'Debt'!AR7-'Debt'!AR9-'Debt'!AR8-AR27</f>
        <v/>
      </c>
      <c r="AS28" s="37">
        <f>'Debt'!AS7-'Debt'!AS9-'Debt'!AS8-AS27</f>
        <v/>
      </c>
      <c r="AT28" s="37">
        <f>'Debt'!AT7-'Debt'!AT9-'Debt'!AT8-AT27</f>
        <v/>
      </c>
      <c r="AU28" s="37">
        <f>'Debt'!AU7-'Debt'!AU9-'Debt'!AU8-AU27</f>
        <v/>
      </c>
      <c r="AV28" s="37">
        <f>'Debt'!AV7-'Debt'!AV9-'Debt'!AV8-AV27</f>
        <v/>
      </c>
      <c r="AW28" s="37">
        <f>'Debt'!AW7-'Debt'!AW9-'Debt'!AW8-AW27</f>
        <v/>
      </c>
      <c r="AX28" s="37">
        <f>'Debt'!AX7-'Debt'!AX9-'Debt'!AX8-AX27</f>
        <v/>
      </c>
      <c r="AY28" s="37">
        <f>'Debt'!AY7-'Debt'!AY9-'Debt'!AY8-AY27</f>
        <v/>
      </c>
      <c r="AZ28" s="37">
        <f>'Debt'!AZ7-'Debt'!AZ9-'Debt'!AZ8-AZ27</f>
        <v/>
      </c>
      <c r="BA28" s="37">
        <f>'Debt'!BA7-'Debt'!BA9-'Debt'!BA8-BA27</f>
        <v/>
      </c>
      <c r="BB28" s="37">
        <f>'Debt'!BB7-'Debt'!BB9-'Debt'!BB8-BB27</f>
        <v/>
      </c>
      <c r="BC28" s="37">
        <f>'Debt'!BC7-'Debt'!BC9-'Debt'!BC8-BC27</f>
        <v/>
      </c>
      <c r="BD28" s="37">
        <f>'Debt'!BD7-'Debt'!BD9-'Debt'!BD8-BD27</f>
        <v/>
      </c>
      <c r="BE28" s="37">
        <f>'Debt'!BE7-'Debt'!BE9-'Debt'!BE8-BE27</f>
        <v/>
      </c>
      <c r="BF28" s="37">
        <f>'Debt'!BF7-'Debt'!BF9-'Debt'!BF8-BF27</f>
        <v/>
      </c>
      <c r="BG28" s="37">
        <f>'Debt'!BG7-'Debt'!BG9-'Debt'!BG8-BG27</f>
        <v/>
      </c>
      <c r="BH28" s="37">
        <f>'Debt'!BH7-'Debt'!BH9-'Debt'!BH8-BH27</f>
        <v/>
      </c>
      <c r="BI28" s="37">
        <f>'Debt'!BI7-'Debt'!BI9-'Debt'!BI8-BI27</f>
        <v/>
      </c>
      <c r="BJ28" s="37">
        <f>'Debt'!BJ7-'Debt'!BJ9-'Debt'!BJ8-BJ27</f>
        <v/>
      </c>
      <c r="BK28" s="37">
        <f>'Debt'!BK7-'Debt'!BK9-'Debt'!BK8-BK27</f>
        <v/>
      </c>
      <c r="BL28" s="37">
        <f>'Debt'!BL7-'Debt'!BL9-'Debt'!BL8-BL27</f>
        <v/>
      </c>
      <c r="BM28" s="37">
        <f>'Debt'!BM7-'Debt'!BM9-'Debt'!BM8-BM27</f>
        <v/>
      </c>
      <c r="BN28" s="37">
        <f>'Debt'!BN7-'Debt'!BN9-'Debt'!BN8-BN27</f>
        <v/>
      </c>
      <c r="BO28" s="37">
        <f>'Debt'!BO7-'Debt'!BO9-'Debt'!BO8-BO27</f>
        <v/>
      </c>
      <c r="BP28" s="37">
        <f>'Debt'!BP7-'Debt'!BP9-'Debt'!BP8-BP27</f>
        <v/>
      </c>
      <c r="BQ28" s="37">
        <f>'Debt'!BQ7-'Debt'!BQ9-'Debt'!BQ8-BQ27</f>
        <v/>
      </c>
      <c r="BR28" s="37">
        <f>'Debt'!BR7-'Debt'!BR9-'Debt'!BR8-BR27</f>
        <v/>
      </c>
      <c r="BS28" s="37">
        <f>'Debt'!BS7-'Debt'!BS9-'Debt'!BS8-BS27</f>
        <v/>
      </c>
      <c r="BT28" s="37">
        <f>'Debt'!BT7-'Debt'!BT9-'Debt'!BT8-BT27</f>
        <v/>
      </c>
      <c r="BU28" s="37">
        <f>'Debt'!BU7-'Debt'!BU9-'Debt'!BU8-BU27</f>
        <v/>
      </c>
      <c r="BV28" s="37">
        <f>'Debt'!BV7-'Debt'!BV9-'Debt'!BV8-BV27</f>
        <v/>
      </c>
      <c r="BW28" s="37">
        <f>'Debt'!BW7-'Debt'!BW9-'Debt'!BW8-BW27</f>
        <v/>
      </c>
      <c r="BX28" s="37">
        <f>'Debt'!BX7-'Debt'!BX9-'Debt'!BX8-BX27</f>
        <v/>
      </c>
      <c r="BY28" s="37">
        <f>'Debt'!BY7-'Debt'!BY9-'Debt'!BY8-BY27</f>
        <v/>
      </c>
      <c r="BZ28" s="37">
        <f>'Debt'!BZ7-'Debt'!BZ9-'Debt'!BZ8-BZ27</f>
        <v/>
      </c>
      <c r="CA28" s="37">
        <f>'Debt'!CA7-'Debt'!CA9-'Debt'!CA8-CA27</f>
        <v/>
      </c>
      <c r="CB28" s="37">
        <f>'Debt'!CB7-'Debt'!CB9-'Debt'!CB8-CB27</f>
        <v/>
      </c>
      <c r="CC28" s="37">
        <f>'Debt'!CC7-'Debt'!CC9-'Debt'!CC8-CC27</f>
        <v/>
      </c>
      <c r="CD28" s="37">
        <f>'Debt'!CD7-'Debt'!CD9-'Debt'!CD8-CD27</f>
        <v/>
      </c>
      <c r="CE28" s="37">
        <f>'Debt'!CE7-'Debt'!CE9-'Debt'!CE8-CE27</f>
        <v/>
      </c>
      <c r="CF28" s="37">
        <f>'Debt'!CF7-'Debt'!CF9-'Debt'!CF8-CF27</f>
        <v/>
      </c>
      <c r="CG28" s="37">
        <f>'Debt'!CG7-'Debt'!CG9-'Debt'!CG8-CG27</f>
        <v/>
      </c>
      <c r="CH28" s="37">
        <f>'Debt'!CH7-'Debt'!CH9-'Debt'!CH8-CH27</f>
        <v/>
      </c>
      <c r="CI28" s="37">
        <f>'Debt'!CI7-'Debt'!CI9-'Debt'!CI8-CI27</f>
        <v/>
      </c>
      <c r="CJ28" s="37">
        <f>'Debt'!CJ7-'Debt'!CJ9-'Debt'!CJ8-CJ27</f>
        <v/>
      </c>
      <c r="CK28" s="37">
        <f>'Debt'!CK7-'Debt'!CK9-'Debt'!CK8-CK27</f>
        <v/>
      </c>
      <c r="CL28" s="37">
        <f>'Debt'!CL7-'Debt'!CL9-'Debt'!CL8-CL27</f>
        <v/>
      </c>
      <c r="CM28" s="37">
        <f>'Debt'!CM7-'Debt'!CM9-'Debt'!CM8-CM27</f>
        <v/>
      </c>
      <c r="CN28" s="37">
        <f>'Debt'!CN7-'Debt'!CN9-'Debt'!CN8-CN27</f>
        <v/>
      </c>
      <c r="CO28" s="37">
        <f>'Debt'!CO7-'Debt'!CO9-'Debt'!CO8-CO27</f>
        <v/>
      </c>
      <c r="CP28" s="37">
        <f>'Debt'!CP7-'Debt'!CP9-'Debt'!CP8-CP27</f>
        <v/>
      </c>
      <c r="CQ28" s="37">
        <f>'Debt'!CQ7-'Debt'!CQ9-'Debt'!CQ8-CQ27</f>
        <v/>
      </c>
      <c r="CR28" s="37">
        <f>'Debt'!CR7-'Debt'!CR9-'Debt'!CR8-CR27</f>
        <v/>
      </c>
      <c r="CS28" s="37">
        <f>'Debt'!CS7-'Debt'!CS9-'Debt'!CS8-CS27</f>
        <v/>
      </c>
      <c r="CT28" s="37">
        <f>'Debt'!CT7-'Debt'!CT9-'Debt'!CT8-CT27</f>
        <v/>
      </c>
      <c r="CU28" s="37">
        <f>'Debt'!CU7-'Debt'!CU9-'Debt'!CU8-CU27</f>
        <v/>
      </c>
      <c r="CV28" s="37">
        <f>'Debt'!CV7-'Debt'!CV9-'Debt'!CV8-CV27</f>
        <v/>
      </c>
      <c r="CW28" s="37">
        <f>'Debt'!CW7-'Debt'!CW9-'Debt'!CW8-CW27</f>
        <v/>
      </c>
      <c r="CX28" s="37">
        <f>'Debt'!CX7-'Debt'!CX9-'Debt'!CX8-CX27</f>
        <v/>
      </c>
      <c r="CY28" s="37">
        <f>'Debt'!CY7-'Debt'!CY9-'Debt'!CY8-CY27</f>
        <v/>
      </c>
      <c r="CZ28" s="37">
        <f>'Debt'!CZ7-'Debt'!CZ9-'Debt'!CZ8-CZ27</f>
        <v/>
      </c>
      <c r="DA28" s="37">
        <f>'Debt'!DA7-'Debt'!DA9-'Debt'!DA8-DA27</f>
        <v/>
      </c>
      <c r="DB28" s="37">
        <f>'Debt'!DB7-'Debt'!DB9-'Debt'!DB8-DB27</f>
        <v/>
      </c>
      <c r="DC28" s="37">
        <f>'Debt'!DC7-'Debt'!DC9-'Debt'!DC8-DC27</f>
        <v/>
      </c>
      <c r="DD28" s="37">
        <f>'Debt'!DD7-'Debt'!DD9-'Debt'!DD8-DD27</f>
        <v/>
      </c>
      <c r="DE28" s="37">
        <f>'Debt'!DE7-'Debt'!DE9-'Debt'!DE8-DE27</f>
        <v/>
      </c>
      <c r="DF28" s="37">
        <f>'Debt'!DF7-'Debt'!DF9-'Debt'!DF8-DF27</f>
        <v/>
      </c>
      <c r="DG28" s="37">
        <f>'Debt'!DG7-'Debt'!DG9-'Debt'!DG8-DG27</f>
        <v/>
      </c>
      <c r="DH28" s="37">
        <f>'Debt'!DH7-'Debt'!DH9-'Debt'!DH8-DH27</f>
        <v/>
      </c>
      <c r="DI28" s="37">
        <f>'Debt'!DI7-'Debt'!DI9-'Debt'!DI8-DI27</f>
        <v/>
      </c>
      <c r="DJ28" s="37">
        <f>'Debt'!DJ7-'Debt'!DJ9-'Debt'!DJ8-DJ27</f>
        <v/>
      </c>
      <c r="DK28" s="37">
        <f>'Debt'!DK7-'Debt'!DK9-'Debt'!DK8-DK27</f>
        <v/>
      </c>
      <c r="DL28" s="37">
        <f>'Debt'!DL7-'Debt'!DL9-'Debt'!DL8-DL27</f>
        <v/>
      </c>
      <c r="DM28" s="37">
        <f>'Debt'!DM7-'Debt'!DM9-'Debt'!DM8-DM27</f>
        <v/>
      </c>
      <c r="DN28" s="37">
        <f>'Debt'!DN7-'Debt'!DN9-'Debt'!DN8-DN27</f>
        <v/>
      </c>
      <c r="DO28" s="37">
        <f>'Debt'!DO7-'Debt'!DO9-'Debt'!DO8-DO27</f>
        <v/>
      </c>
      <c r="DP28" s="37">
        <f>'Debt'!DP7-'Debt'!DP9-'Debt'!DP8-DP27</f>
        <v/>
      </c>
      <c r="DQ28" s="37">
        <f>'Debt'!DQ7-'Debt'!DQ9-'Debt'!DQ8-DQ27</f>
        <v/>
      </c>
      <c r="DR28" s="37">
        <f>'Debt'!DR7-'Debt'!DR9-'Debt'!DR8-DR27</f>
        <v/>
      </c>
      <c r="DS28" s="37">
        <f>'Debt'!DS7-'Debt'!DS9-'Debt'!DS8-DS27</f>
        <v/>
      </c>
      <c r="DT28" s="37">
        <f>'Debt'!DT7-'Debt'!DT9-'Debt'!DT8-DT27</f>
        <v/>
      </c>
      <c r="DU28" s="37">
        <f>'Debt'!DU7-'Debt'!DU9-'Debt'!DU8-DU27</f>
        <v/>
      </c>
      <c r="DV28" s="37">
        <f>'Debt'!DV7-'Debt'!DV9-'Debt'!DV8-DV27</f>
        <v/>
      </c>
      <c r="DW28" s="37">
        <f>'Debt'!DW7-'Debt'!DW9-'Debt'!DW8-DW27</f>
        <v/>
      </c>
      <c r="DX28" s="37">
        <f>'Debt'!DX7-'Debt'!DX9-'Debt'!DX8-DX27</f>
        <v/>
      </c>
      <c r="DY28" s="37">
        <f>'Debt'!DY7-'Debt'!DY9-'Debt'!DY8-DY27</f>
        <v/>
      </c>
      <c r="DZ28" s="37">
        <f>'Debt'!DZ7-'Debt'!DZ9-'Debt'!DZ8-DZ27</f>
        <v/>
      </c>
      <c r="EA28" s="37">
        <f>'Debt'!EA7-'Debt'!EA9-'Debt'!EA8-EA27</f>
        <v/>
      </c>
      <c r="EB28" s="37">
        <f>'Debt'!EB7-'Debt'!EB9-'Debt'!EB8-EB27</f>
        <v/>
      </c>
      <c r="EC28" s="37">
        <f>'Debt'!EC7-'Debt'!EC9-'Debt'!EC8-EC27</f>
        <v/>
      </c>
      <c r="ED28" s="37">
        <f>'Debt'!ED7-'Debt'!ED9-'Debt'!ED8-ED27</f>
        <v/>
      </c>
      <c r="EE28" s="37">
        <f>'Debt'!EE7-'Debt'!EE9-'Debt'!EE8-EE27</f>
        <v/>
      </c>
      <c r="EF28" s="37">
        <f>'Debt'!EF7-'Debt'!EF9-'Debt'!EF8-EF27</f>
        <v/>
      </c>
      <c r="EG28" s="37">
        <f>'Debt'!EG7-'Debt'!EG9-'Debt'!EG8-EG27</f>
        <v/>
      </c>
      <c r="EH28" s="37">
        <f>'Debt'!EH7-'Debt'!EH9-'Debt'!EH8-EH27</f>
        <v/>
      </c>
      <c r="EI28" s="37">
        <f>'Debt'!EI7-'Debt'!EI9-'Debt'!EI8-EI27</f>
        <v/>
      </c>
      <c r="EJ28" s="37">
        <f>'Debt'!EJ7-'Debt'!EJ9-'Debt'!EJ8-EJ27</f>
        <v/>
      </c>
      <c r="EK28" s="37">
        <f>'Debt'!EK7-'Debt'!EK9-'Debt'!EK8-EK27</f>
        <v/>
      </c>
      <c r="EL28" s="37">
        <f>'Debt'!EL7-'Debt'!EL9-'Debt'!EL8-EL27</f>
        <v/>
      </c>
      <c r="EM28" s="37">
        <f>'Debt'!EM7-'Debt'!EM9-'Debt'!EM8-EM27</f>
        <v/>
      </c>
      <c r="EN28" s="37">
        <f>'Debt'!EN7-'Debt'!EN9-'Debt'!EN8-EN27</f>
        <v/>
      </c>
      <c r="EO28" s="37">
        <f>'Debt'!EO7-'Debt'!EO9-'Debt'!EO8-EO27</f>
        <v/>
      </c>
      <c r="EP28" s="37">
        <f>'Debt'!EP7-'Debt'!EP9-'Debt'!EP8-EP27</f>
        <v/>
      </c>
      <c r="EQ28" s="37">
        <f>'Debt'!EQ7-'Debt'!EQ9-'Debt'!EQ8-EQ27</f>
        <v/>
      </c>
      <c r="ER28" s="37">
        <f>'Debt'!ER7-'Debt'!ER9-'Debt'!ER8-ER27</f>
        <v/>
      </c>
      <c r="ES28" s="37">
        <f>'Debt'!ES7-'Debt'!ES9-'Debt'!ES8-ES27</f>
        <v/>
      </c>
      <c r="ET28" s="37">
        <f>'Debt'!ET7-'Debt'!ET9-'Debt'!ET8-ET27</f>
        <v/>
      </c>
      <c r="EU28" s="37">
        <f>'Debt'!EU7-'Debt'!EU9-'Debt'!EU8-EU27</f>
        <v/>
      </c>
      <c r="EV28" s="37">
        <f>'Debt'!EV7-'Debt'!EV9-'Debt'!EV8-EV27</f>
        <v/>
      </c>
      <c r="EW28" s="37">
        <f>'Debt'!EW7-'Debt'!EW9-'Debt'!EW8-EW27</f>
        <v/>
      </c>
      <c r="EX28" s="37">
        <f>'Debt'!EX7-'Debt'!EX9-'Debt'!EX8-EX27</f>
        <v/>
      </c>
      <c r="EY28" s="37">
        <f>'Debt'!EY7-'Debt'!EY9-'Debt'!EY8-EY27</f>
        <v/>
      </c>
      <c r="EZ28" s="37">
        <f>'Debt'!EZ7-'Debt'!EZ9-'Debt'!EZ8-EZ27</f>
        <v/>
      </c>
      <c r="FA28" s="37">
        <f>'Debt'!FA7-'Debt'!FA9-'Debt'!FA8-FA27</f>
        <v/>
      </c>
      <c r="FB28" s="37">
        <f>'Debt'!FB7-'Debt'!FB9-'Debt'!FB8-FB27</f>
        <v/>
      </c>
      <c r="FC28" s="37">
        <f>'Debt'!FC7-'Debt'!FC9-'Debt'!FC8-FC27</f>
        <v/>
      </c>
      <c r="FD28" s="37">
        <f>'Debt'!FD7-'Debt'!FD9-'Debt'!FD8-FD27</f>
        <v/>
      </c>
      <c r="FE28" s="37">
        <f>'Debt'!FE7-'Debt'!FE9-'Debt'!FE8-FE27</f>
        <v/>
      </c>
      <c r="FF28" s="37">
        <f>'Debt'!FF7-'Debt'!FF9-'Debt'!FF8-FF27</f>
        <v/>
      </c>
      <c r="FG28" s="37">
        <f>'Debt'!FG7-'Debt'!FG9-'Debt'!FG8-FG27</f>
        <v/>
      </c>
      <c r="FH28" s="37">
        <f>'Debt'!FH7-'Debt'!FH9-'Debt'!FH8-FH27</f>
        <v/>
      </c>
      <c r="FI28" s="37">
        <f>'Debt'!FI7-'Debt'!FI9-'Debt'!FI8-FI27</f>
        <v/>
      </c>
      <c r="FJ28" s="37">
        <f>'Debt'!FJ7-'Debt'!FJ9-'Debt'!FJ8-FJ27</f>
        <v/>
      </c>
      <c r="FK28" s="37">
        <f>'Debt'!FK7-'Debt'!FK9-'Debt'!FK8-FK27</f>
        <v/>
      </c>
      <c r="FL28" s="37">
        <f>'Debt'!FL7-'Debt'!FL9-'Debt'!FL8-FL27</f>
        <v/>
      </c>
      <c r="FM28" s="37">
        <f>'Debt'!FM7-'Debt'!FM9-'Debt'!FM8-FM27</f>
        <v/>
      </c>
      <c r="FN28" s="37">
        <f>'Debt'!FN7-'Debt'!FN9-'Debt'!FN8-FN27</f>
        <v/>
      </c>
      <c r="FO28" s="37">
        <f>'Debt'!FO7-'Debt'!FO9-'Debt'!FO8-FO27</f>
        <v/>
      </c>
      <c r="FP28" s="37">
        <f>'Debt'!FP7-'Debt'!FP9-'Debt'!FP8-FP27</f>
        <v/>
      </c>
      <c r="FQ28" s="37">
        <f>'Debt'!FQ7-'Debt'!FQ9-'Debt'!FQ8-FQ27</f>
        <v/>
      </c>
      <c r="FR28" s="37">
        <f>'Debt'!FR7-'Debt'!FR9-'Debt'!FR8-FR27</f>
        <v/>
      </c>
      <c r="FS28" s="37">
        <f>'Debt'!FS7-'Debt'!FS9-'Debt'!FS8-FS27</f>
        <v/>
      </c>
      <c r="FT28" s="37">
        <f>'Debt'!FT7-'Debt'!FT9-'Debt'!FT8-FT27</f>
        <v/>
      </c>
      <c r="FU28" s="37">
        <f>'Debt'!FU7-'Debt'!FU9-'Debt'!FU8-FU27</f>
        <v/>
      </c>
      <c r="FV28" s="37">
        <f>'Debt'!FV7-'Debt'!FV9-'Debt'!FV8-FV27</f>
        <v/>
      </c>
      <c r="FW28" s="37">
        <f>'Debt'!FW7-'Debt'!FW9-'Debt'!FW8-FW27</f>
        <v/>
      </c>
      <c r="FX28" s="37">
        <f>'Debt'!FX7-'Debt'!FX9-'Debt'!FX8-FX27</f>
        <v/>
      </c>
      <c r="FY28" s="37">
        <f>'Debt'!FY7-'Debt'!FY9-'Debt'!FY8-FY27</f>
        <v/>
      </c>
      <c r="FZ28" s="37">
        <f>'Debt'!FZ7-'Debt'!FZ9-'Debt'!FZ8-FZ27</f>
        <v/>
      </c>
      <c r="GA28" s="37">
        <f>'Debt'!GA7-'Debt'!GA9-'Debt'!GA8-GA27</f>
        <v/>
      </c>
      <c r="GB28" s="37">
        <f>'Debt'!GB7-'Debt'!GB9-'Debt'!GB8-GB27</f>
        <v/>
      </c>
      <c r="GC28" s="37">
        <f>'Debt'!GC7-'Debt'!GC9-'Debt'!GC8-GC27</f>
        <v/>
      </c>
      <c r="GD28" s="37">
        <f>'Debt'!GD7-'Debt'!GD9-'Debt'!GD8-GD27</f>
        <v/>
      </c>
      <c r="GE28" s="37">
        <f>'Debt'!GE7-'Debt'!GE9-'Debt'!GE8-GE27</f>
        <v/>
      </c>
      <c r="GF28" s="37">
        <f>'Debt'!GF7-'Debt'!GF9-'Debt'!GF8-GF27</f>
        <v/>
      </c>
      <c r="GG28" s="37">
        <f>'Debt'!GG7-'Debt'!GG9-'Debt'!GG8-GG27</f>
        <v/>
      </c>
      <c r="GH28" s="37">
        <f>'Debt'!GH7-'Debt'!GH9-'Debt'!GH8-GH27</f>
        <v/>
      </c>
      <c r="GI28" s="37">
        <f>'Debt'!GI7-'Debt'!GI9-'Debt'!GI8-GI27</f>
        <v/>
      </c>
      <c r="GJ28" s="37">
        <f>'Debt'!GJ7-'Debt'!GJ9-'Debt'!GJ8-GJ27</f>
        <v/>
      </c>
      <c r="GK28" s="37">
        <f>'Debt'!GK7-'Debt'!GK9-'Debt'!GK8-GK27</f>
        <v/>
      </c>
      <c r="GL28" s="37">
        <f>'Debt'!GL7-'Debt'!GL9-'Debt'!GL8-GL27</f>
        <v/>
      </c>
      <c r="GM28" s="37">
        <f>'Debt'!GM7-'Debt'!GM9-'Debt'!GM8-GM27</f>
        <v/>
      </c>
      <c r="GN28" s="37">
        <f>'Debt'!GN7-'Debt'!GN9-'Debt'!GN8-GN27</f>
        <v/>
      </c>
      <c r="GO28" s="37">
        <f>'Debt'!GO7-'Debt'!GO9-'Debt'!GO8-GO27</f>
        <v/>
      </c>
      <c r="GP28" s="37">
        <f>'Debt'!GP7-'Debt'!GP9-'Debt'!GP8-GP27</f>
        <v/>
      </c>
      <c r="GQ28" s="37">
        <f>'Debt'!GQ7-'Debt'!GQ9-'Debt'!GQ8-GQ27</f>
        <v/>
      </c>
      <c r="GR28" s="37">
        <f>'Debt'!GR7-'Debt'!GR9-'Debt'!GR8-GR27</f>
        <v/>
      </c>
      <c r="GS28" s="37">
        <f>'Debt'!GS7-'Debt'!GS9-'Debt'!GS8-GS27</f>
        <v/>
      </c>
      <c r="GT28" s="37">
        <f>'Debt'!GT7-'Debt'!GT9-'Debt'!GT8-GT27</f>
        <v/>
      </c>
      <c r="GU28" s="37">
        <f>'Debt'!GU7-'Debt'!GU9-'Debt'!GU8-GU27</f>
        <v/>
      </c>
      <c r="GV28" s="37">
        <f>'Debt'!GV7-'Debt'!GV9-'Debt'!GV8-GV27</f>
        <v/>
      </c>
      <c r="GW28" s="37">
        <f>'Debt'!GW7-'Debt'!GW9-'Debt'!GW8-GW27</f>
        <v/>
      </c>
      <c r="GX28" s="37">
        <f>'Debt'!GX7-'Debt'!GX9-'Debt'!GX8-GX27</f>
        <v/>
      </c>
      <c r="GY28" s="37">
        <f>'Debt'!GY7-'Debt'!GY9-'Debt'!GY8-GY27</f>
        <v/>
      </c>
      <c r="GZ28" s="37">
        <f>'Debt'!GZ7-'Debt'!GZ9-'Debt'!GZ8-GZ27</f>
        <v/>
      </c>
      <c r="HA28" s="37">
        <f>'Debt'!HA7-'Debt'!HA9-'Debt'!HA8-HA27</f>
        <v/>
      </c>
      <c r="HB28" s="37">
        <f>'Debt'!HB7-'Debt'!HB9-'Debt'!HB8-HB27</f>
        <v/>
      </c>
      <c r="HC28" s="37">
        <f>'Debt'!HC7-'Debt'!HC9-'Debt'!HC8-HC27</f>
        <v/>
      </c>
      <c r="HD28" s="37">
        <f>'Debt'!HD7-'Debt'!HD9-'Debt'!HD8-HD27</f>
        <v/>
      </c>
      <c r="HE28" s="37">
        <f>'Debt'!HE7-'Debt'!HE9-'Debt'!HE8-HE27</f>
        <v/>
      </c>
      <c r="HF28" s="37">
        <f>'Debt'!HF7-'Debt'!HF9-'Debt'!HF8-HF27</f>
        <v/>
      </c>
      <c r="HG28" s="37">
        <f>'Debt'!HG7-'Debt'!HG9-'Debt'!HG8-HG27</f>
        <v/>
      </c>
      <c r="HH28" s="37">
        <f>'Debt'!HH7-'Debt'!HH9-'Debt'!HH8-HH27</f>
        <v/>
      </c>
      <c r="HI28" s="37">
        <f>'Debt'!HI7-'Debt'!HI9-'Debt'!HI8-HI27</f>
        <v/>
      </c>
      <c r="HJ28" s="37">
        <f>'Debt'!HJ7-'Debt'!HJ9-'Debt'!HJ8-HJ27</f>
        <v/>
      </c>
      <c r="HK28" s="37">
        <f>'Debt'!HK7-'Debt'!HK9-'Debt'!HK8-HK27</f>
        <v/>
      </c>
      <c r="HL28" s="37">
        <f>'Debt'!HL7-'Debt'!HL9-'Debt'!HL8-HL27</f>
        <v/>
      </c>
      <c r="HM28" s="37">
        <f>'Debt'!HM7-'Debt'!HM9-'Debt'!HM8-HM27</f>
        <v/>
      </c>
      <c r="HN28" s="37">
        <f>'Debt'!HN7-'Debt'!HN9-'Debt'!HN8-HN27</f>
        <v/>
      </c>
      <c r="HO28" s="37">
        <f>'Debt'!HO7-'Debt'!HO9-'Debt'!HO8-HO27</f>
        <v/>
      </c>
      <c r="HP28" s="37">
        <f>'Debt'!HP7-'Debt'!HP9-'Debt'!HP8-HP27</f>
        <v/>
      </c>
      <c r="HQ28" s="37">
        <f>'Debt'!HQ7-'Debt'!HQ9-'Debt'!HQ8-HQ27</f>
        <v/>
      </c>
      <c r="HR28" s="37">
        <f>'Debt'!HR7-'Debt'!HR9-'Debt'!HR8-HR27</f>
        <v/>
      </c>
      <c r="HS28" s="37">
        <f>'Debt'!HS7-'Debt'!HS9-'Debt'!HS8-HS27</f>
        <v/>
      </c>
      <c r="HT28" s="37">
        <f>'Debt'!HT7-'Debt'!HT9-'Debt'!HT8-HT27</f>
        <v/>
      </c>
      <c r="HU28" s="37">
        <f>'Debt'!HU7-'Debt'!HU9-'Debt'!HU8-HU27</f>
        <v/>
      </c>
      <c r="HV28" s="37">
        <f>'Debt'!HV7-'Debt'!HV9-'Debt'!HV8-HV27</f>
        <v/>
      </c>
      <c r="HW28" s="37">
        <f>'Debt'!HW7-'Debt'!HW9-'Debt'!HW8-HW27</f>
        <v/>
      </c>
      <c r="HX28" s="37">
        <f>'Debt'!HX7-'Debt'!HX9-'Debt'!HX8-HX27</f>
        <v/>
      </c>
      <c r="HY28" s="37">
        <f>'Debt'!HY7-'Debt'!HY9-'Debt'!HY8-HY27</f>
        <v/>
      </c>
      <c r="HZ28" s="37">
        <f>'Debt'!HZ7-'Debt'!HZ9-'Debt'!HZ8-HZ27</f>
        <v/>
      </c>
      <c r="IA28" s="37">
        <f>'Debt'!IA7-'Debt'!IA9-'Debt'!IA8-IA27</f>
        <v/>
      </c>
      <c r="IB28" s="37">
        <f>'Debt'!IB7-'Debt'!IB9-'Debt'!IB8-IB27</f>
        <v/>
      </c>
      <c r="IC28" s="37">
        <f>'Debt'!IC7-'Debt'!IC9-'Debt'!IC8-IC27</f>
        <v/>
      </c>
      <c r="ID28" s="37">
        <f>'Debt'!ID7-'Debt'!ID9-'Debt'!ID8-ID27</f>
        <v/>
      </c>
      <c r="IE28" s="37">
        <f>'Debt'!IE7-'Debt'!IE9-'Debt'!IE8-IE27</f>
        <v/>
      </c>
      <c r="IF28" s="37">
        <f>'Debt'!IF7-'Debt'!IF9-'Debt'!IF8-IF27</f>
        <v/>
      </c>
      <c r="IG28" s="37">
        <f>'Debt'!IG7-'Debt'!IG9-'Debt'!IG8-IG27</f>
        <v/>
      </c>
      <c r="IH28" s="37">
        <f>'Debt'!IH7-'Debt'!IH9-'Debt'!IH8-IH27</f>
        <v/>
      </c>
      <c r="II28" s="37">
        <f>'Debt'!II7-'Debt'!II9-'Debt'!II8-II27</f>
        <v/>
      </c>
      <c r="IJ28" s="37">
        <f>'Debt'!IJ7-'Debt'!IJ9-'Debt'!IJ8-IJ27</f>
        <v/>
      </c>
      <c r="IK28" s="37">
        <f>'Debt'!IK7-'Debt'!IK9-'Debt'!IK8-IK27</f>
        <v/>
      </c>
      <c r="IL28" s="37">
        <f>'Debt'!IL7-'Debt'!IL9-'Debt'!IL8-IL27</f>
        <v/>
      </c>
      <c r="IM28" s="37">
        <f>'Debt'!IM7-'Debt'!IM9-'Debt'!IM8-IM27</f>
        <v/>
      </c>
      <c r="IN28" s="37">
        <f>'Debt'!IN7-'Debt'!IN9-'Debt'!IN8-IN27</f>
        <v/>
      </c>
      <c r="IO28" s="37">
        <f>'Debt'!IO7-'Debt'!IO9-'Debt'!IO8-IO27</f>
        <v/>
      </c>
      <c r="IP28" s="37">
        <f>'Debt'!IP7-'Debt'!IP9-'Debt'!IP8-IP27</f>
        <v/>
      </c>
      <c r="IQ28" s="37">
        <f>'Debt'!IQ7-'Debt'!IQ9-'Debt'!IQ8-IQ27</f>
        <v/>
      </c>
      <c r="IR28" s="37">
        <f>'Debt'!IR7-'Debt'!IR9-'Debt'!IR8-IR27</f>
        <v/>
      </c>
      <c r="IS28" s="37">
        <f>'Debt'!IS7-'Debt'!IS9-'Debt'!IS8-IS27</f>
        <v/>
      </c>
      <c r="IT28" s="37">
        <f>'Debt'!IT7-'Debt'!IT9-'Debt'!IT8-IT27</f>
        <v/>
      </c>
      <c r="IU28" s="37">
        <f>'Debt'!IU7-'Debt'!IU9-'Debt'!IU8-IU27</f>
        <v/>
      </c>
      <c r="IV28" s="37">
        <f>'Debt'!IV7-'Debt'!IV9-'Debt'!IV8-IV27</f>
        <v/>
      </c>
      <c r="IW28" s="37">
        <f>'Debt'!IW7-'Debt'!IW9-'Debt'!IW8-IW27</f>
        <v/>
      </c>
      <c r="IX28" s="37">
        <f>'Debt'!IX7-'Debt'!IX9-'Debt'!IX8-IX27</f>
        <v/>
      </c>
      <c r="IY28" s="37">
        <f>'Debt'!IY7-'Debt'!IY9-'Debt'!IY8-IY27</f>
        <v/>
      </c>
      <c r="IZ28" s="37">
        <f>'Debt'!IZ7-'Debt'!IZ9-'Debt'!IZ8-IZ27</f>
        <v/>
      </c>
      <c r="JA28" s="37">
        <f>'Debt'!JA7-'Debt'!JA9-'Debt'!JA8-JA27</f>
        <v/>
      </c>
      <c r="JB28" s="37">
        <f>'Debt'!JB7-'Debt'!JB9-'Debt'!JB8-JB27</f>
        <v/>
      </c>
      <c r="JC28" s="37">
        <f>'Debt'!JC7-'Debt'!JC9-'Debt'!JC8-JC27</f>
        <v/>
      </c>
      <c r="JD28" s="37">
        <f>'Debt'!JD7-'Debt'!JD9-'Debt'!JD8-JD27</f>
        <v/>
      </c>
      <c r="JE28" s="37">
        <f>'Debt'!JE7-'Debt'!JE9-'Debt'!JE8-JE27</f>
        <v/>
      </c>
      <c r="JF28" s="37">
        <f>'Debt'!JF7-'Debt'!JF9-'Debt'!JF8-JF27</f>
        <v/>
      </c>
      <c r="JG28" s="37">
        <f>'Debt'!JG7-'Debt'!JG9-'Debt'!JG8-JG27</f>
        <v/>
      </c>
      <c r="JH28" s="37">
        <f>'Debt'!JH7-'Debt'!JH9-'Debt'!JH8-JH27</f>
        <v/>
      </c>
      <c r="JI28" s="37">
        <f>'Debt'!JI7-'Debt'!JI9-'Debt'!JI8-JI27</f>
        <v/>
      </c>
      <c r="JJ28" s="37">
        <f>'Debt'!JJ7-'Debt'!JJ9-'Debt'!JJ8-JJ27</f>
        <v/>
      </c>
      <c r="JK28" s="37">
        <f>'Debt'!JK7-'Debt'!JK9-'Debt'!JK8-JK27</f>
        <v/>
      </c>
      <c r="JL28" s="37">
        <f>'Debt'!JL7-'Debt'!JL9-'Debt'!JL8-JL27</f>
        <v/>
      </c>
      <c r="JM28" s="37">
        <f>'Debt'!JM7-'Debt'!JM9-'Debt'!JM8-JM27</f>
        <v/>
      </c>
      <c r="JN28" s="37">
        <f>'Debt'!JN7-'Debt'!JN9-'Debt'!JN8-JN27</f>
        <v/>
      </c>
      <c r="JO28" s="37">
        <f>'Debt'!JO7-'Debt'!JO9-'Debt'!JO8-JO27</f>
        <v/>
      </c>
      <c r="JP28" s="37">
        <f>'Debt'!JP7-'Debt'!JP9-'Debt'!JP8-JP27</f>
        <v/>
      </c>
      <c r="JQ28" s="37">
        <f>'Debt'!JQ7-'Debt'!JQ9-'Debt'!JQ8-JQ27</f>
        <v/>
      </c>
      <c r="JR28" s="37">
        <f>'Debt'!JR7-'Debt'!JR9-'Debt'!JR8-JR27</f>
        <v/>
      </c>
      <c r="JS28" s="37">
        <f>'Debt'!JS7-'Debt'!JS9-'Debt'!JS8-JS27</f>
        <v/>
      </c>
      <c r="JT28" s="37">
        <f>'Debt'!JT7-'Debt'!JT9-'Debt'!JT8-JT27</f>
        <v/>
      </c>
      <c r="JU28" s="37">
        <f>'Debt'!JU7-'Debt'!JU9-'Debt'!JU8-JU27</f>
        <v/>
      </c>
      <c r="JV28" s="37">
        <f>'Debt'!JV7-'Debt'!JV9-'Debt'!JV8-JV27</f>
        <v/>
      </c>
      <c r="JW28" s="37">
        <f>'Debt'!JW7-'Debt'!JW9-'Debt'!JW8-JW27</f>
        <v/>
      </c>
      <c r="JX28" s="37">
        <f>'Debt'!JX7-'Debt'!JX9-'Debt'!JX8-JX27</f>
        <v/>
      </c>
      <c r="JY28" s="37">
        <f>'Debt'!JY7-'Debt'!JY9-'Debt'!JY8-JY27</f>
        <v/>
      </c>
      <c r="JZ28" s="37">
        <f>'Debt'!JZ7-'Debt'!JZ9-'Debt'!JZ8-JZ27</f>
        <v/>
      </c>
      <c r="KA28" s="37">
        <f>'Debt'!KA7-'Debt'!KA9-'Debt'!KA8-KA27</f>
        <v/>
      </c>
      <c r="KB28" s="37">
        <f>'Debt'!KB7-'Debt'!KB9-'Debt'!KB8-KB27</f>
        <v/>
      </c>
      <c r="KC28" s="37">
        <f>'Debt'!KC7-'Debt'!KC9-'Debt'!KC8-KC27</f>
        <v/>
      </c>
      <c r="KD28" s="37">
        <f>'Debt'!KD7-'Debt'!KD9-'Debt'!KD8-KD27</f>
        <v/>
      </c>
      <c r="KE28" s="37">
        <f>'Debt'!KE7-'Debt'!KE9-'Debt'!KE8-KE27</f>
        <v/>
      </c>
      <c r="KF28" s="37">
        <f>'Debt'!KF7-'Debt'!KF9-'Debt'!KF8-KF27</f>
        <v/>
      </c>
      <c r="KG28" s="37">
        <f>'Debt'!KG7-'Debt'!KG9-'Debt'!KG8-KG27</f>
        <v/>
      </c>
      <c r="KH28" s="37">
        <f>'Debt'!KH7-'Debt'!KH9-'Debt'!KH8-KH27</f>
        <v/>
      </c>
      <c r="KI28" s="37">
        <f>'Debt'!KI7-'Debt'!KI9-'Debt'!KI8-KI27</f>
        <v/>
      </c>
      <c r="KJ28" s="37">
        <f>'Debt'!KJ7-'Debt'!KJ9-'Debt'!KJ8-KJ27</f>
        <v/>
      </c>
      <c r="KK28" s="37">
        <f>'Debt'!KK7-'Debt'!KK9-'Debt'!KK8-KK27</f>
        <v/>
      </c>
      <c r="KL28" s="37">
        <f>'Debt'!KL7-'Debt'!KL9-'Debt'!KL8-KL27</f>
        <v/>
      </c>
      <c r="KM28" s="37">
        <f>'Debt'!KM7-'Debt'!KM9-'Debt'!KM8-KM27</f>
        <v/>
      </c>
      <c r="KN28" s="37">
        <f>'Debt'!KN7-'Debt'!KN9-'Debt'!KN8-KN27</f>
        <v/>
      </c>
      <c r="KO28" s="37">
        <f>'Debt'!KO7-'Debt'!KO9-'Debt'!KO8-KO27</f>
        <v/>
      </c>
      <c r="KP28" s="37">
        <f>'Debt'!KP7-'Debt'!KP9-'Debt'!KP8-KP27</f>
        <v/>
      </c>
      <c r="KQ28" s="37">
        <f>'Debt'!KQ7-'Debt'!KQ9-'Debt'!KQ8-KQ27</f>
        <v/>
      </c>
      <c r="KR28" s="37">
        <f>'Debt'!KR7-'Debt'!KR9-'Debt'!KR8-KR27</f>
        <v/>
      </c>
      <c r="KS28" s="37">
        <f>'Debt'!KS7-'Debt'!KS9-'Debt'!KS8-KS27</f>
        <v/>
      </c>
      <c r="KT28" s="37">
        <f>'Debt'!KT7-'Debt'!KT9-'Debt'!KT8-KT27</f>
        <v/>
      </c>
      <c r="KU28" s="37">
        <f>'Debt'!KU7-'Debt'!KU9-'Debt'!KU8-KU27</f>
        <v/>
      </c>
      <c r="KV28" s="37">
        <f>'Debt'!KV7-'Debt'!KV9-'Debt'!KV8-KV27</f>
        <v/>
      </c>
      <c r="KW28" s="37">
        <f>'Debt'!KW7-'Debt'!KW9-'Debt'!KW8-KW27</f>
        <v/>
      </c>
      <c r="KX28" s="37">
        <f>'Debt'!KX7-'Debt'!KX9-'Debt'!KX8-KX27</f>
        <v/>
      </c>
      <c r="KY28" s="37">
        <f>'Debt'!KY7-'Debt'!KY9-'Debt'!KY8-KY27</f>
        <v/>
      </c>
      <c r="KZ28" s="37">
        <f>'Debt'!KZ7-'Debt'!KZ9-'Debt'!KZ8-KZ27</f>
        <v/>
      </c>
      <c r="LA28" s="37">
        <f>'Debt'!LA7-'Debt'!LA9-'Debt'!LA8-LA27</f>
        <v/>
      </c>
      <c r="LB28" s="37">
        <f>'Debt'!LB7-'Debt'!LB9-'Debt'!LB8-LB27</f>
        <v/>
      </c>
      <c r="LC28" s="37">
        <f>'Debt'!LC7-'Debt'!LC9-'Debt'!LC8-LC27</f>
        <v/>
      </c>
      <c r="LD28" s="37">
        <f>'Debt'!LD7-'Debt'!LD9-'Debt'!LD8-LD27</f>
        <v/>
      </c>
      <c r="LE28" s="37">
        <f>'Debt'!LE7-'Debt'!LE9-'Debt'!LE8-LE27</f>
        <v/>
      </c>
      <c r="LF28" s="37">
        <f>'Debt'!LF7-'Debt'!LF9-'Debt'!LF8-LF27</f>
        <v/>
      </c>
      <c r="LG28" s="37">
        <f>'Debt'!LG7-'Debt'!LG9-'Debt'!LG8-LG27</f>
        <v/>
      </c>
      <c r="LH28" s="37">
        <f>'Debt'!LH7-'Debt'!LH9-'Debt'!LH8-LH27</f>
        <v/>
      </c>
      <c r="LI28" s="37">
        <f>'Debt'!LI7-'Debt'!LI9-'Debt'!LI8-LI27</f>
        <v/>
      </c>
      <c r="LJ28" s="37">
        <f>'Debt'!LJ7-'Debt'!LJ9-'Debt'!LJ8-LJ27</f>
        <v/>
      </c>
      <c r="LK28" s="37">
        <f>'Debt'!LK7-'Debt'!LK9-'Debt'!LK8-LK27</f>
        <v/>
      </c>
      <c r="LL28" s="37">
        <f>'Debt'!LL7-'Debt'!LL9-'Debt'!LL8-LL27</f>
        <v/>
      </c>
      <c r="LM28" s="37">
        <f>'Debt'!LM7-'Debt'!LM9-'Debt'!LM8-LM27</f>
        <v/>
      </c>
      <c r="LN28" s="37">
        <f>'Debt'!LN7-'Debt'!LN9-'Debt'!LN8-LN27</f>
        <v/>
      </c>
      <c r="LO28" s="37">
        <f>'Debt'!LO7-'Debt'!LO9-'Debt'!LO8-LO27</f>
        <v/>
      </c>
      <c r="LP28" s="37">
        <f>'Debt'!LP7-'Debt'!LP9-'Debt'!LP8-LP27</f>
        <v/>
      </c>
      <c r="LQ28" s="37">
        <f>'Debt'!LQ7-'Debt'!LQ9-'Debt'!LQ8-LQ27</f>
        <v/>
      </c>
      <c r="LR28" s="37">
        <f>'Debt'!LR7-'Debt'!LR9-'Debt'!LR8-LR27</f>
        <v/>
      </c>
      <c r="LS28" s="37">
        <f>'Debt'!LS7-'Debt'!LS9-'Debt'!LS8-LS27</f>
        <v/>
      </c>
      <c r="LT28" s="37">
        <f>'Debt'!LT7-'Debt'!LT9-'Debt'!LT8-LT27</f>
        <v/>
      </c>
      <c r="LU28" s="37">
        <f>'Debt'!LU7-'Debt'!LU9-'Debt'!LU8-LU27</f>
        <v/>
      </c>
      <c r="LV28" s="37">
        <f>'Debt'!LV7-'Debt'!LV9-'Debt'!LV8-LV27</f>
        <v/>
      </c>
      <c r="LW28" s="37">
        <f>'Debt'!LW7-'Debt'!LW9-'Debt'!LW8-LW27</f>
        <v/>
      </c>
      <c r="LX28" s="37">
        <f>'Debt'!LX7-'Debt'!LX9-'Debt'!LX8-LX27</f>
        <v/>
      </c>
      <c r="LY28" s="37">
        <f>'Debt'!LY7-'Debt'!LY9-'Debt'!LY8-LY27</f>
        <v/>
      </c>
      <c r="LZ28" s="37">
        <f>'Debt'!LZ7-'Debt'!LZ9-'Debt'!LZ8-LZ27</f>
        <v/>
      </c>
      <c r="MA28" s="37">
        <f>'Debt'!MA7-'Debt'!MA9-'Debt'!MA8-MA27</f>
        <v/>
      </c>
      <c r="MB28" s="37">
        <f>'Debt'!MB7-'Debt'!MB9-'Debt'!MB8-MB27</f>
        <v/>
      </c>
      <c r="MC28" s="37">
        <f>'Debt'!MC7-'Debt'!MC9-'Debt'!MC8-MC27</f>
        <v/>
      </c>
      <c r="MD28" s="37">
        <f>'Debt'!MD7-'Debt'!MD9-'Debt'!MD8-MD27</f>
        <v/>
      </c>
      <c r="ME28" s="37">
        <f>'Debt'!ME7-'Debt'!ME9-'Debt'!ME8-ME27</f>
        <v/>
      </c>
      <c r="MF28" s="37">
        <f>'Debt'!MF7-'Debt'!MF9-'Debt'!MF8-MF27</f>
        <v/>
      </c>
      <c r="MG28" s="37">
        <f>'Debt'!MG7-'Debt'!MG9-'Debt'!MG8-MG27</f>
        <v/>
      </c>
      <c r="MH28" s="37">
        <f>'Debt'!MH7-'Debt'!MH9-'Debt'!MH8-MH27</f>
        <v/>
      </c>
      <c r="MI28" s="37">
        <f>'Debt'!MI7-'Debt'!MI9-'Debt'!MI8-MI27</f>
        <v/>
      </c>
      <c r="MJ28" s="37">
        <f>'Debt'!MJ7-'Debt'!MJ9-'Debt'!MJ8-MJ27</f>
        <v/>
      </c>
      <c r="MK28" s="37">
        <f>'Debt'!MK7-'Debt'!MK9-'Debt'!MK8-MK27</f>
        <v/>
      </c>
      <c r="ML28" s="37">
        <f>'Debt'!ML7-'Debt'!ML9-'Debt'!ML8-ML27</f>
        <v/>
      </c>
      <c r="MM28" s="37">
        <f>'Debt'!MM7-'Debt'!MM9-'Debt'!MM8-MM27</f>
        <v/>
      </c>
      <c r="MN28" s="37">
        <f>'Debt'!MN7-'Debt'!MN9-'Debt'!MN8-MN27</f>
        <v/>
      </c>
      <c r="MO28" s="37">
        <f>'Debt'!MO7-'Debt'!MO9-'Debt'!MO8-MO27</f>
        <v/>
      </c>
      <c r="MP28" s="37">
        <f>'Debt'!MP7-'Debt'!MP9-'Debt'!MP8-MP27</f>
        <v/>
      </c>
      <c r="MQ28" s="37">
        <f>'Debt'!MQ7-'Debt'!MQ9-'Debt'!MQ8-MQ27</f>
        <v/>
      </c>
      <c r="MR28" s="37">
        <f>'Debt'!MR7-'Debt'!MR9-'Debt'!MR8-MR27</f>
        <v/>
      </c>
      <c r="MS28" s="37">
        <f>'Debt'!MS7-'Debt'!MS9-'Debt'!MS8-MS27</f>
        <v/>
      </c>
      <c r="MT28" s="37">
        <f>'Debt'!MT7-'Debt'!MT9-'Debt'!MT8-MT27</f>
        <v/>
      </c>
      <c r="MU28" s="37">
        <f>'Debt'!MU7-'Debt'!MU9-'Debt'!MU8-MU27</f>
        <v/>
      </c>
      <c r="MV28" s="37">
        <f>'Debt'!MV7-'Debt'!MV9-'Debt'!MV8-MV27</f>
        <v/>
      </c>
      <c r="MW28" s="37">
        <f>'Debt'!MW7-'Debt'!MW9-'Debt'!MW8-MW27</f>
        <v/>
      </c>
      <c r="MX28" s="37">
        <f>'Debt'!MX7-'Debt'!MX9-'Debt'!MX8-MX27</f>
        <v/>
      </c>
      <c r="MY28" s="37">
        <f>'Debt'!MY7-'Debt'!MY9-'Debt'!MY8-MY27</f>
        <v/>
      </c>
      <c r="MZ28" s="37">
        <f>'Debt'!MZ7-'Debt'!MZ9-'Debt'!MZ8-MZ27</f>
        <v/>
      </c>
      <c r="NA28" s="37">
        <f>'Debt'!NA7-'Debt'!NA9-'Debt'!NA8-NA27</f>
        <v/>
      </c>
      <c r="NB28" s="37">
        <f>'Debt'!NB7-'Debt'!NB9-'Debt'!NB8-NB27</f>
        <v/>
      </c>
      <c r="NC28" s="37">
        <f>'Debt'!NC7-'Debt'!NC9-'Debt'!NC8-NC27</f>
        <v/>
      </c>
      <c r="ND28" s="37">
        <f>'Debt'!ND7-'Debt'!ND9-'Debt'!ND8-ND27</f>
        <v/>
      </c>
      <c r="NE28" s="37">
        <f>'Debt'!NE7-'Debt'!NE9-'Debt'!NE8-NE27</f>
        <v/>
      </c>
      <c r="NF28" s="37">
        <f>'Debt'!NF7-'Debt'!NF9-'Debt'!NF8-NF27</f>
        <v/>
      </c>
      <c r="NG28" s="37">
        <f>'Debt'!NG7-'Debt'!NG9-'Debt'!NG8-NG27</f>
        <v/>
      </c>
      <c r="NH28" s="37">
        <f>'Debt'!NH7-'Debt'!NH9-'Debt'!NH8-NH27</f>
        <v/>
      </c>
      <c r="NI28" s="37">
        <f>'Debt'!NI7-'Debt'!NI9-'Debt'!NI8-NI27</f>
        <v/>
      </c>
      <c r="NJ28" s="37">
        <f>'Debt'!NJ7-'Debt'!NJ9-'Debt'!NJ8-NJ27</f>
        <v/>
      </c>
      <c r="NK28" s="37">
        <f>'Debt'!NK7-'Debt'!NK9-'Debt'!NK8-NK27</f>
        <v/>
      </c>
      <c r="NL28" s="37">
        <f>'Debt'!NL7-'Debt'!NL9-'Debt'!NL8-NL27</f>
        <v/>
      </c>
      <c r="NM28" s="37">
        <f>'Debt'!NM7-'Debt'!NM9-'Debt'!NM8-NM27</f>
        <v/>
      </c>
      <c r="NN28" s="37">
        <f>'Debt'!NN7-'Debt'!NN9-'Debt'!NN8-NN27</f>
        <v/>
      </c>
      <c r="NO28" s="37">
        <f>'Debt'!NO7-'Debt'!NO9-'Debt'!NO8-NO27</f>
        <v/>
      </c>
      <c r="NP28" s="37">
        <f>'Debt'!NP7-'Debt'!NP9-'Debt'!NP8-NP27</f>
        <v/>
      </c>
      <c r="NQ28" s="37">
        <f>'Debt'!NQ7-'Debt'!NQ9-'Debt'!NQ8-NQ27</f>
        <v/>
      </c>
      <c r="NR28" s="37">
        <f>'Debt'!NR7-'Debt'!NR9-'Debt'!NR8-NR27</f>
        <v/>
      </c>
      <c r="NS28" s="37">
        <f>'Debt'!NS7-'Debt'!NS9-'Debt'!NS8-NS27</f>
        <v/>
      </c>
      <c r="NT28" s="37">
        <f>'Debt'!NT7-'Debt'!NT9-'Debt'!NT8-NT27</f>
        <v/>
      </c>
      <c r="NU28" s="37">
        <f>'Debt'!NU7-'Debt'!NU9-'Debt'!NU8-NU27</f>
        <v/>
      </c>
      <c r="NV28" s="37">
        <f>'Debt'!NV7-'Debt'!NV9-'Debt'!NV8-NV27</f>
        <v/>
      </c>
      <c r="NW28" s="37">
        <f>'Debt'!NW7-'Debt'!NW9-'Debt'!NW8-NW27</f>
        <v/>
      </c>
      <c r="NX28" s="37">
        <f>'Debt'!NX7-'Debt'!NX9-'Debt'!NX8-NX27</f>
        <v/>
      </c>
      <c r="NY28" s="37">
        <f>'Debt'!NY7-'Debt'!NY9-'Debt'!NY8-NY27</f>
        <v/>
      </c>
      <c r="NZ28" s="37">
        <f>'Debt'!NZ7-'Debt'!NZ9-'Debt'!NZ8-NZ27</f>
        <v/>
      </c>
      <c r="OA28" s="37">
        <f>'Debt'!OA7-'Debt'!OA9-'Debt'!OA8-OA27</f>
        <v/>
      </c>
      <c r="OB28" s="37">
        <f>'Debt'!OB7-'Debt'!OB9-'Debt'!OB8-OB27</f>
        <v/>
      </c>
      <c r="OC28" s="37">
        <f>'Debt'!OC7-'Debt'!OC9-'Debt'!OC8-OC27</f>
        <v/>
      </c>
      <c r="OD28" s="37">
        <f>'Debt'!OD7-'Debt'!OD9-'Debt'!OD8-OD27</f>
        <v/>
      </c>
      <c r="OE28" s="37">
        <f>'Debt'!OE7-'Debt'!OE9-'Debt'!OE8-OE27</f>
        <v/>
      </c>
      <c r="OF28" s="37">
        <f>'Debt'!OF7-'Debt'!OF9-'Debt'!OF8-OF27</f>
        <v/>
      </c>
      <c r="OG28" s="37">
        <f>'Debt'!OG7-'Debt'!OG9-'Debt'!OG8-OG27</f>
        <v/>
      </c>
      <c r="OH28" s="37">
        <f>'Debt'!OH7-'Debt'!OH9-'Debt'!OH8-OH27</f>
        <v/>
      </c>
      <c r="OI28" s="37">
        <f>'Debt'!OI7-'Debt'!OI9-'Debt'!OI8-OI27</f>
        <v/>
      </c>
      <c r="OJ28" s="37">
        <f>'Debt'!OJ7-'Debt'!OJ9-'Debt'!OJ8-OJ27</f>
        <v/>
      </c>
      <c r="OK28" s="37">
        <f>'Debt'!OK7-'Debt'!OK9-'Debt'!OK8-OK27</f>
        <v/>
      </c>
      <c r="OL28" s="37">
        <f>'Debt'!OL7-'Debt'!OL9-'Debt'!OL8-OL27</f>
        <v/>
      </c>
      <c r="OM28" s="37">
        <f>'Debt'!OM7-'Debt'!OM9-'Debt'!OM8-OM27</f>
        <v/>
      </c>
      <c r="ON28" s="37">
        <f>'Debt'!ON7-'Debt'!ON9-'Debt'!ON8-ON27</f>
        <v/>
      </c>
      <c r="OO28" s="37">
        <f>'Debt'!OO7-'Debt'!OO9-'Debt'!OO8-OO27</f>
        <v/>
      </c>
      <c r="OP28" s="37">
        <f>'Debt'!OP7-'Debt'!OP9-'Debt'!OP8-OP27</f>
        <v/>
      </c>
      <c r="OQ28" s="37">
        <f>'Debt'!OQ7-'Debt'!OQ9-'Debt'!OQ8-OQ27</f>
        <v/>
      </c>
      <c r="OR28" s="37">
        <f>'Debt'!OR7-'Debt'!OR9-'Debt'!OR8-OR27</f>
        <v/>
      </c>
      <c r="OS28" s="37">
        <f>'Debt'!OS7-'Debt'!OS9-'Debt'!OS8-OS27</f>
        <v/>
      </c>
      <c r="OT28" s="37">
        <f>'Debt'!OT7-'Debt'!OT9-'Debt'!OT8-OT27</f>
        <v/>
      </c>
      <c r="OU28" s="37">
        <f>'Debt'!OU7-'Debt'!OU9-'Debt'!OU8-OU27</f>
        <v/>
      </c>
      <c r="OV28" s="37">
        <f>'Debt'!OV7-'Debt'!OV9-'Debt'!OV8-OV27</f>
        <v/>
      </c>
      <c r="OW28" s="37">
        <f>'Debt'!OW7-'Debt'!OW9-'Debt'!OW8-OW27</f>
        <v/>
      </c>
      <c r="OX28" s="37">
        <f>'Debt'!OX7-'Debt'!OX9-'Debt'!OX8-OX27</f>
        <v/>
      </c>
      <c r="OY28" s="37">
        <f>'Debt'!OY7-'Debt'!OY9-'Debt'!OY8-OY27</f>
        <v/>
      </c>
      <c r="OZ28" s="37">
        <f>'Debt'!OZ7-'Debt'!OZ9-'Debt'!OZ8-OZ27</f>
        <v/>
      </c>
      <c r="PA28" s="37">
        <f>'Debt'!PA7-'Debt'!PA9-'Debt'!PA8-PA27</f>
        <v/>
      </c>
      <c r="PB28" s="37">
        <f>'Debt'!PB7-'Debt'!PB9-'Debt'!PB8-PB27</f>
        <v/>
      </c>
      <c r="PC28" s="37">
        <f>'Debt'!PC7-'Debt'!PC9-'Debt'!PC8-PC27</f>
        <v/>
      </c>
      <c r="PD28" s="37">
        <f>'Debt'!PD7-'Debt'!PD9-'Debt'!PD8-PD27</f>
        <v/>
      </c>
      <c r="PE28" s="37">
        <f>'Debt'!PE7-'Debt'!PE9-'Debt'!PE8-PE27</f>
        <v/>
      </c>
      <c r="PF28" s="37">
        <f>'Debt'!PF7-'Debt'!PF9-'Debt'!PF8-PF27</f>
        <v/>
      </c>
      <c r="PG28" s="37">
        <f>'Debt'!PG7-'Debt'!PG9-'Debt'!PG8-PG27</f>
        <v/>
      </c>
      <c r="PH28" s="37">
        <f>'Debt'!PH7-'Debt'!PH9-'Debt'!PH8-PH27</f>
        <v/>
      </c>
      <c r="PI28" s="37">
        <f>'Debt'!PI7-'Debt'!PI9-'Debt'!PI8-PI27</f>
        <v/>
      </c>
      <c r="PJ28" s="37">
        <f>'Debt'!PJ7-'Debt'!PJ9-'Debt'!PJ8-PJ27</f>
        <v/>
      </c>
      <c r="PK28" s="37">
        <f>'Debt'!PK7-'Debt'!PK9-'Debt'!PK8-PK27</f>
        <v/>
      </c>
      <c r="PL28" s="37">
        <f>'Debt'!PL7-'Debt'!PL9-'Debt'!PL8-PL27</f>
        <v/>
      </c>
      <c r="PM28" s="37">
        <f>'Debt'!PM7-'Debt'!PM9-'Debt'!PM8-PM27</f>
        <v/>
      </c>
      <c r="PN28" s="37">
        <f>'Debt'!PN7-'Debt'!PN9-'Debt'!PN8-PN27</f>
        <v/>
      </c>
      <c r="PO28" s="37">
        <f>'Debt'!PO7-'Debt'!PO9-'Debt'!PO8-PO27</f>
        <v/>
      </c>
      <c r="PP28" s="37">
        <f>'Debt'!PP7-'Debt'!PP9-'Debt'!PP8-PP27</f>
        <v/>
      </c>
      <c r="PQ28" s="37">
        <f>'Debt'!PQ7-'Debt'!PQ9-'Debt'!PQ8-PQ27</f>
        <v/>
      </c>
      <c r="PR28" s="37">
        <f>'Debt'!PR7-'Debt'!PR9-'Debt'!PR8-PR27</f>
        <v/>
      </c>
      <c r="PS28" s="37">
        <f>'Debt'!PS7-'Debt'!PS9-'Debt'!PS8-PS27</f>
        <v/>
      </c>
      <c r="PT28" s="37">
        <f>'Debt'!PT7-'Debt'!PT9-'Debt'!PT8-PT27</f>
        <v/>
      </c>
      <c r="PU28" s="37">
        <f>'Debt'!PU7-'Debt'!PU9-'Debt'!PU8-PU27</f>
        <v/>
      </c>
      <c r="PV28" s="37">
        <f>'Debt'!PV7-'Debt'!PV9-'Debt'!PV8-PV27</f>
        <v/>
      </c>
      <c r="PW28" s="37">
        <f>'Debt'!PW7-'Debt'!PW9-'Debt'!PW8-PW27</f>
        <v/>
      </c>
      <c r="PX28" s="37">
        <f>'Debt'!PX7-'Debt'!PX9-'Debt'!PX8-PX27</f>
        <v/>
      </c>
      <c r="PY28" s="37">
        <f>'Debt'!PY7-'Debt'!PY9-'Debt'!PY8-PY27</f>
        <v/>
      </c>
      <c r="PZ28" s="37">
        <f>'Debt'!PZ7-'Debt'!PZ9-'Debt'!PZ8-PZ27</f>
        <v/>
      </c>
      <c r="QA28" s="37">
        <f>'Debt'!QA7-'Debt'!QA9-'Debt'!QA8-QA27</f>
        <v/>
      </c>
      <c r="QB28" s="37">
        <f>'Debt'!QB7-'Debt'!QB9-'Debt'!QB8-QB27</f>
        <v/>
      </c>
      <c r="QC28" s="37">
        <f>'Debt'!QC7-'Debt'!QC9-'Debt'!QC8-QC27</f>
        <v/>
      </c>
      <c r="QD28" s="37">
        <f>'Debt'!QD7-'Debt'!QD9-'Debt'!QD8-QD27</f>
        <v/>
      </c>
      <c r="QE28" s="37">
        <f>'Debt'!QE7-'Debt'!QE9-'Debt'!QE8-QE27</f>
        <v/>
      </c>
      <c r="QF28" s="37">
        <f>'Debt'!QF7-'Debt'!QF9-'Debt'!QF8-QF27</f>
        <v/>
      </c>
      <c r="QG28" s="37">
        <f>'Debt'!QG7-'Debt'!QG9-'Debt'!QG8-QG27</f>
        <v/>
      </c>
      <c r="QH28" s="37">
        <f>'Debt'!QH7-'Debt'!QH9-'Debt'!QH8-QH27</f>
        <v/>
      </c>
      <c r="QI28" s="37">
        <f>'Debt'!QI7-'Debt'!QI9-'Debt'!QI8-QI27</f>
        <v/>
      </c>
      <c r="QJ28" s="37">
        <f>'Debt'!QJ7-'Debt'!QJ9-'Debt'!QJ8-QJ27</f>
        <v/>
      </c>
      <c r="QK28" s="37">
        <f>'Debt'!QK7-'Debt'!QK9-'Debt'!QK8-QK27</f>
        <v/>
      </c>
      <c r="QL28" s="37">
        <f>'Debt'!QL7-'Debt'!QL9-'Debt'!QL8-QL27</f>
        <v/>
      </c>
      <c r="QM28" s="37">
        <f>'Debt'!QM7-'Debt'!QM9-'Debt'!QM8-QM27</f>
        <v/>
      </c>
      <c r="QN28" s="37">
        <f>'Debt'!QN7-'Debt'!QN9-'Debt'!QN8-QN27</f>
        <v/>
      </c>
      <c r="QO28" s="37">
        <f>'Debt'!QO7-'Debt'!QO9-'Debt'!QO8-QO27</f>
        <v/>
      </c>
      <c r="QP28" s="37">
        <f>'Debt'!QP7-'Debt'!QP9-'Debt'!QP8-QP27</f>
        <v/>
      </c>
      <c r="QQ28" s="37">
        <f>'Debt'!QQ7-'Debt'!QQ9-'Debt'!QQ8-QQ27</f>
        <v/>
      </c>
      <c r="QR28" s="37">
        <f>'Debt'!QR7-'Debt'!QR9-'Debt'!QR8-QR27</f>
        <v/>
      </c>
      <c r="QS28" s="37">
        <f>'Debt'!QS7-'Debt'!QS9-'Debt'!QS8-QS27</f>
        <v/>
      </c>
      <c r="QT28" s="37">
        <f>'Debt'!QT7-'Debt'!QT9-'Debt'!QT8-QT27</f>
        <v/>
      </c>
      <c r="QU28" s="37">
        <f>'Debt'!QU7-'Debt'!QU9-'Debt'!QU8-QU27</f>
        <v/>
      </c>
      <c r="QV28" s="37">
        <f>'Debt'!QV7-'Debt'!QV9-'Debt'!QV8-QV27</f>
        <v/>
      </c>
      <c r="QW28" s="37">
        <f>'Debt'!QW7-'Debt'!QW9-'Debt'!QW8-QW27</f>
        <v/>
      </c>
      <c r="QX28" s="37">
        <f>'Debt'!QX7-'Debt'!QX9-'Debt'!QX8-QX27</f>
        <v/>
      </c>
      <c r="QY28" s="37">
        <f>'Debt'!QY7-'Debt'!QY9-'Debt'!QY8-QY27</f>
        <v/>
      </c>
      <c r="QZ28" s="37">
        <f>'Debt'!QZ7-'Debt'!QZ9-'Debt'!QZ8-QZ27</f>
        <v/>
      </c>
      <c r="RA28" s="37">
        <f>'Debt'!RA7-'Debt'!RA9-'Debt'!RA8-RA27</f>
        <v/>
      </c>
      <c r="RB28" s="37">
        <f>'Debt'!RB7-'Debt'!RB9-'Debt'!RB8-RB27</f>
        <v/>
      </c>
      <c r="RC28" s="37">
        <f>'Debt'!RC7-'Debt'!RC9-'Debt'!RC8-RC27</f>
        <v/>
      </c>
      <c r="RD28" s="37">
        <f>'Debt'!RD7-'Debt'!RD9-'Debt'!RD8-RD27</f>
        <v/>
      </c>
      <c r="RE28" s="37">
        <f>'Debt'!RE7-'Debt'!RE9-'Debt'!RE8-RE27</f>
        <v/>
      </c>
      <c r="RF28" s="37">
        <f>'Debt'!RF7-'Debt'!RF9-'Debt'!RF8-RF27</f>
        <v/>
      </c>
      <c r="RG28" s="37">
        <f>'Debt'!RG7-'Debt'!RG9-'Debt'!RG8-RG27</f>
        <v/>
      </c>
      <c r="RH28" s="37">
        <f>'Debt'!RH7-'Debt'!RH9-'Debt'!RH8-RH27</f>
        <v/>
      </c>
      <c r="RI28" s="37">
        <f>'Debt'!RI7-'Debt'!RI9-'Debt'!RI8-RI27</f>
        <v/>
      </c>
      <c r="RJ28" s="37">
        <f>'Debt'!RJ7-'Debt'!RJ9-'Debt'!RJ8-RJ27</f>
        <v/>
      </c>
      <c r="RK28" s="37">
        <f>'Debt'!RK7-'Debt'!RK9-'Debt'!RK8-RK27</f>
        <v/>
      </c>
      <c r="RL28" s="37">
        <f>'Debt'!RL7-'Debt'!RL9-'Debt'!RL8-RL27</f>
        <v/>
      </c>
      <c r="RM28" s="37">
        <f>'Debt'!RM7-'Debt'!RM9-'Debt'!RM8-RM27</f>
        <v/>
      </c>
      <c r="RN28" s="37">
        <f>'Debt'!RN7-'Debt'!RN9-'Debt'!RN8-RN27</f>
        <v/>
      </c>
      <c r="RO28" s="37">
        <f>'Debt'!RO7-'Debt'!RO9-'Debt'!RO8-RO27</f>
        <v/>
      </c>
      <c r="RP28" s="37">
        <f>'Debt'!RP7-'Debt'!RP9-'Debt'!RP8-RP27</f>
        <v/>
      </c>
      <c r="RQ28" s="37">
        <f>'Debt'!RQ7-'Debt'!RQ9-'Debt'!RQ8-RQ27</f>
        <v/>
      </c>
      <c r="RR28" s="37">
        <f>'Debt'!RR7-'Debt'!RR9-'Debt'!RR8-RR27</f>
        <v/>
      </c>
      <c r="RS28" s="37">
        <f>'Debt'!RS7-'Debt'!RS9-'Debt'!RS8-RS27</f>
        <v/>
      </c>
      <c r="RT28" s="37">
        <f>'Debt'!RT7-'Debt'!RT9-'Debt'!RT8-RT27</f>
        <v/>
      </c>
      <c r="RU28" s="37">
        <f>'Debt'!RU7-'Debt'!RU9-'Debt'!RU8-RU27</f>
        <v/>
      </c>
      <c r="RV28" s="37">
        <f>'Debt'!RV7-'Debt'!RV9-'Debt'!RV8-RV27</f>
        <v/>
      </c>
      <c r="RW28" s="37">
        <f>'Debt'!RW7-'Debt'!RW9-'Debt'!RW8-RW27</f>
        <v/>
      </c>
    </row>
    <row r="29" ht="5.25" customHeight="1"/>
    <row r="30" hidden="1" outlineLevel="1" ht="13.05" customHeight="1">
      <c r="E30" s="34" t="inlineStr">
        <is>
          <t>Net Cash Flow</t>
        </is>
      </c>
      <c r="F30" s="35" t="n"/>
      <c r="G30" s="35" t="inlineStr">
        <is>
          <t>kEUR</t>
        </is>
      </c>
      <c r="H30" s="35" t="n"/>
      <c r="I30" s="35" t="n"/>
      <c r="J30" s="36" t="n">
        <v>-228734.3378877262</v>
      </c>
      <c r="K30" s="35" t="n"/>
      <c r="L30" s="37">
        <f>L19+L22+L28</f>
        <v/>
      </c>
      <c r="M30" s="37">
        <f>M19+M22+M28</f>
        <v/>
      </c>
      <c r="N30" s="37">
        <f>N19+N22+N28</f>
        <v/>
      </c>
      <c r="O30" s="37">
        <f>O19+O22+O28</f>
        <v/>
      </c>
      <c r="P30" s="37">
        <f>P19+P22+P28</f>
        <v/>
      </c>
      <c r="Q30" s="37">
        <f>Q19+Q22+Q28</f>
        <v/>
      </c>
      <c r="R30" s="37">
        <f>R19+R22+R28</f>
        <v/>
      </c>
      <c r="S30" s="37">
        <f>S19+S22+S28</f>
        <v/>
      </c>
      <c r="T30" s="37">
        <f>T19+T22+T28</f>
        <v/>
      </c>
      <c r="U30" s="37">
        <f>U19+U22+U28</f>
        <v/>
      </c>
      <c r="V30" s="37">
        <f>V19+V22+V28</f>
        <v/>
      </c>
      <c r="W30" s="37">
        <f>W19+W22+W28</f>
        <v/>
      </c>
      <c r="X30" s="37">
        <f>X19+X22+X28</f>
        <v/>
      </c>
      <c r="Y30" s="37">
        <f>Y19+Y22+Y28</f>
        <v/>
      </c>
      <c r="Z30" s="37">
        <f>Z19+Z22+Z28</f>
        <v/>
      </c>
      <c r="AA30" s="37">
        <f>AA19+AA22+AA28</f>
        <v/>
      </c>
      <c r="AB30" s="37">
        <f>AB19+AB22+AB28</f>
        <v/>
      </c>
      <c r="AC30" s="37">
        <f>AC19+AC22+AC28</f>
        <v/>
      </c>
      <c r="AD30" s="37">
        <f>AD19+AD22+AD28</f>
        <v/>
      </c>
      <c r="AE30" s="37">
        <f>AE19+AE22+AE28</f>
        <v/>
      </c>
      <c r="AF30" s="37">
        <f>AF19+AF22+AF28</f>
        <v/>
      </c>
      <c r="AG30" s="37">
        <f>AG19+AG22+AG28</f>
        <v/>
      </c>
      <c r="AH30" s="37">
        <f>AH19+AH22+AH28</f>
        <v/>
      </c>
      <c r="AI30" s="37">
        <f>AI19+AI22+AI28</f>
        <v/>
      </c>
      <c r="AJ30" s="37">
        <f>AJ19+AJ22+AJ28</f>
        <v/>
      </c>
      <c r="AK30" s="37">
        <f>AK19+AK22+AK28</f>
        <v/>
      </c>
      <c r="AL30" s="37">
        <f>AL19+AL22+AL28</f>
        <v/>
      </c>
      <c r="AM30" s="37">
        <f>AM19+AM22+AM28</f>
        <v/>
      </c>
      <c r="AN30" s="37">
        <f>AN19+AN22+AN28</f>
        <v/>
      </c>
      <c r="AO30" s="37">
        <f>AO19+AO22+AO28</f>
        <v/>
      </c>
      <c r="AP30" s="37">
        <f>AP19+AP22+AP28</f>
        <v/>
      </c>
      <c r="AQ30" s="37">
        <f>AQ19+AQ22+AQ28</f>
        <v/>
      </c>
      <c r="AR30" s="37">
        <f>AR19+AR22+AR28</f>
        <v/>
      </c>
      <c r="AS30" s="37">
        <f>AS19+AS22+AS28</f>
        <v/>
      </c>
      <c r="AT30" s="37">
        <f>AT19+AT22+AT28</f>
        <v/>
      </c>
      <c r="AU30" s="37">
        <f>AU19+AU22+AU28</f>
        <v/>
      </c>
      <c r="AV30" s="37">
        <f>AV19+AV22+AV28</f>
        <v/>
      </c>
      <c r="AW30" s="37">
        <f>AW19+AW22+AW28</f>
        <v/>
      </c>
      <c r="AX30" s="37">
        <f>AX19+AX22+AX28</f>
        <v/>
      </c>
      <c r="AY30" s="37">
        <f>AY19+AY22+AY28</f>
        <v/>
      </c>
      <c r="AZ30" s="37">
        <f>AZ19+AZ22+AZ28</f>
        <v/>
      </c>
      <c r="BA30" s="37">
        <f>BA19+BA22+BA28</f>
        <v/>
      </c>
      <c r="BB30" s="37">
        <f>BB19+BB22+BB28</f>
        <v/>
      </c>
      <c r="BC30" s="37">
        <f>BC19+BC22+BC28</f>
        <v/>
      </c>
      <c r="BD30" s="37">
        <f>BD19+BD22+BD28</f>
        <v/>
      </c>
      <c r="BE30" s="37">
        <f>BE19+BE22+BE28</f>
        <v/>
      </c>
      <c r="BF30" s="37">
        <f>BF19+BF22+BF28</f>
        <v/>
      </c>
      <c r="BG30" s="37">
        <f>BG19+BG22+BG28</f>
        <v/>
      </c>
      <c r="BH30" s="37">
        <f>BH19+BH22+BH28</f>
        <v/>
      </c>
      <c r="BI30" s="37">
        <f>BI19+BI22+BI28</f>
        <v/>
      </c>
      <c r="BJ30" s="37">
        <f>BJ19+BJ22+BJ28</f>
        <v/>
      </c>
      <c r="BK30" s="37">
        <f>BK19+BK22+BK28</f>
        <v/>
      </c>
      <c r="BL30" s="37">
        <f>BL19+BL22+BL28</f>
        <v/>
      </c>
      <c r="BM30" s="37">
        <f>BM19+BM22+BM28</f>
        <v/>
      </c>
      <c r="BN30" s="37">
        <f>BN19+BN22+BN28</f>
        <v/>
      </c>
      <c r="BO30" s="37">
        <f>BO19+BO22+BO28</f>
        <v/>
      </c>
      <c r="BP30" s="37">
        <f>BP19+BP22+BP28</f>
        <v/>
      </c>
      <c r="BQ30" s="37">
        <f>BQ19+BQ22+BQ28</f>
        <v/>
      </c>
      <c r="BR30" s="37">
        <f>BR19+BR22+BR28</f>
        <v/>
      </c>
      <c r="BS30" s="37">
        <f>BS19+BS22+BS28</f>
        <v/>
      </c>
      <c r="BT30" s="37">
        <f>BT19+BT22+BT28</f>
        <v/>
      </c>
      <c r="BU30" s="37">
        <f>BU19+BU22+BU28</f>
        <v/>
      </c>
      <c r="BV30" s="37">
        <f>BV19+BV22+BV28</f>
        <v/>
      </c>
      <c r="BW30" s="37">
        <f>BW19+BW22+BW28</f>
        <v/>
      </c>
      <c r="BX30" s="37">
        <f>BX19+BX22+BX28</f>
        <v/>
      </c>
      <c r="BY30" s="37">
        <f>BY19+BY22+BY28</f>
        <v/>
      </c>
      <c r="BZ30" s="37">
        <f>BZ19+BZ22+BZ28</f>
        <v/>
      </c>
      <c r="CA30" s="37">
        <f>CA19+CA22+CA28</f>
        <v/>
      </c>
      <c r="CB30" s="37">
        <f>CB19+CB22+CB28</f>
        <v/>
      </c>
      <c r="CC30" s="37">
        <f>CC19+CC22+CC28</f>
        <v/>
      </c>
      <c r="CD30" s="37">
        <f>CD19+CD22+CD28</f>
        <v/>
      </c>
      <c r="CE30" s="37">
        <f>CE19+CE22+CE28</f>
        <v/>
      </c>
      <c r="CF30" s="37">
        <f>CF19+CF22+CF28</f>
        <v/>
      </c>
      <c r="CG30" s="37">
        <f>CG19+CG22+CG28</f>
        <v/>
      </c>
      <c r="CH30" s="37">
        <f>CH19+CH22+CH28</f>
        <v/>
      </c>
      <c r="CI30" s="37">
        <f>CI19+CI22+CI28</f>
        <v/>
      </c>
      <c r="CJ30" s="37">
        <f>CJ19+CJ22+CJ28</f>
        <v/>
      </c>
      <c r="CK30" s="37">
        <f>CK19+CK22+CK28</f>
        <v/>
      </c>
      <c r="CL30" s="37">
        <f>CL19+CL22+CL28</f>
        <v/>
      </c>
      <c r="CM30" s="37">
        <f>CM19+CM22+CM28</f>
        <v/>
      </c>
      <c r="CN30" s="37">
        <f>CN19+CN22+CN28</f>
        <v/>
      </c>
      <c r="CO30" s="37">
        <f>CO19+CO22+CO28</f>
        <v/>
      </c>
      <c r="CP30" s="37">
        <f>CP19+CP22+CP28</f>
        <v/>
      </c>
      <c r="CQ30" s="37">
        <f>CQ19+CQ22+CQ28</f>
        <v/>
      </c>
      <c r="CR30" s="37">
        <f>CR19+CR22+CR28</f>
        <v/>
      </c>
      <c r="CS30" s="37">
        <f>CS19+CS22+CS28</f>
        <v/>
      </c>
      <c r="CT30" s="37">
        <f>CT19+CT22+CT28</f>
        <v/>
      </c>
      <c r="CU30" s="37">
        <f>CU19+CU22+CU28</f>
        <v/>
      </c>
      <c r="CV30" s="37">
        <f>CV19+CV22+CV28</f>
        <v/>
      </c>
      <c r="CW30" s="37">
        <f>CW19+CW22+CW28</f>
        <v/>
      </c>
      <c r="CX30" s="37">
        <f>CX19+CX22+CX28</f>
        <v/>
      </c>
      <c r="CY30" s="37">
        <f>CY19+CY22+CY28</f>
        <v/>
      </c>
      <c r="CZ30" s="37">
        <f>CZ19+CZ22+CZ28</f>
        <v/>
      </c>
      <c r="DA30" s="37">
        <f>DA19+DA22+DA28</f>
        <v/>
      </c>
      <c r="DB30" s="37">
        <f>DB19+DB22+DB28</f>
        <v/>
      </c>
      <c r="DC30" s="37">
        <f>DC19+DC22+DC28</f>
        <v/>
      </c>
      <c r="DD30" s="37">
        <f>DD19+DD22+DD28</f>
        <v/>
      </c>
      <c r="DE30" s="37">
        <f>DE19+DE22+DE28</f>
        <v/>
      </c>
      <c r="DF30" s="37">
        <f>DF19+DF22+DF28</f>
        <v/>
      </c>
      <c r="DG30" s="37">
        <f>DG19+DG22+DG28</f>
        <v/>
      </c>
      <c r="DH30" s="37">
        <f>DH19+DH22+DH28</f>
        <v/>
      </c>
      <c r="DI30" s="37">
        <f>DI19+DI22+DI28</f>
        <v/>
      </c>
      <c r="DJ30" s="37">
        <f>DJ19+DJ22+DJ28</f>
        <v/>
      </c>
      <c r="DK30" s="37">
        <f>DK19+DK22+DK28</f>
        <v/>
      </c>
      <c r="DL30" s="37">
        <f>DL19+DL22+DL28</f>
        <v/>
      </c>
      <c r="DM30" s="37">
        <f>DM19+DM22+DM28</f>
        <v/>
      </c>
      <c r="DN30" s="37">
        <f>DN19+DN22+DN28</f>
        <v/>
      </c>
      <c r="DO30" s="37">
        <f>DO19+DO22+DO28</f>
        <v/>
      </c>
      <c r="DP30" s="37">
        <f>DP19+DP22+DP28</f>
        <v/>
      </c>
      <c r="DQ30" s="37">
        <f>DQ19+DQ22+DQ28</f>
        <v/>
      </c>
      <c r="DR30" s="37">
        <f>DR19+DR22+DR28</f>
        <v/>
      </c>
      <c r="DS30" s="37">
        <f>DS19+DS22+DS28</f>
        <v/>
      </c>
      <c r="DT30" s="37">
        <f>DT19+DT22+DT28</f>
        <v/>
      </c>
      <c r="DU30" s="37">
        <f>DU19+DU22+DU28</f>
        <v/>
      </c>
      <c r="DV30" s="37">
        <f>DV19+DV22+DV28</f>
        <v/>
      </c>
      <c r="DW30" s="37">
        <f>DW19+DW22+DW28</f>
        <v/>
      </c>
      <c r="DX30" s="37">
        <f>DX19+DX22+DX28</f>
        <v/>
      </c>
      <c r="DY30" s="37">
        <f>DY19+DY22+DY28</f>
        <v/>
      </c>
      <c r="DZ30" s="37">
        <f>DZ19+DZ22+DZ28</f>
        <v/>
      </c>
      <c r="EA30" s="37">
        <f>EA19+EA22+EA28</f>
        <v/>
      </c>
      <c r="EB30" s="37">
        <f>EB19+EB22+EB28</f>
        <v/>
      </c>
      <c r="EC30" s="37">
        <f>EC19+EC22+EC28</f>
        <v/>
      </c>
      <c r="ED30" s="37">
        <f>ED19+ED22+ED28</f>
        <v/>
      </c>
      <c r="EE30" s="37">
        <f>EE19+EE22+EE28</f>
        <v/>
      </c>
      <c r="EF30" s="37">
        <f>EF19+EF22+EF28</f>
        <v/>
      </c>
      <c r="EG30" s="37">
        <f>EG19+EG22+EG28</f>
        <v/>
      </c>
      <c r="EH30" s="37">
        <f>EH19+EH22+EH28</f>
        <v/>
      </c>
      <c r="EI30" s="37">
        <f>EI19+EI22+EI28</f>
        <v/>
      </c>
      <c r="EJ30" s="37">
        <f>EJ19+EJ22+EJ28</f>
        <v/>
      </c>
      <c r="EK30" s="37">
        <f>EK19+EK22+EK28</f>
        <v/>
      </c>
      <c r="EL30" s="37">
        <f>EL19+EL22+EL28</f>
        <v/>
      </c>
      <c r="EM30" s="37">
        <f>EM19+EM22+EM28</f>
        <v/>
      </c>
      <c r="EN30" s="37">
        <f>EN19+EN22+EN28</f>
        <v/>
      </c>
      <c r="EO30" s="37">
        <f>EO19+EO22+EO28</f>
        <v/>
      </c>
      <c r="EP30" s="37">
        <f>EP19+EP22+EP28</f>
        <v/>
      </c>
      <c r="EQ30" s="37">
        <f>EQ19+EQ22+EQ28</f>
        <v/>
      </c>
      <c r="ER30" s="37">
        <f>ER19+ER22+ER28</f>
        <v/>
      </c>
      <c r="ES30" s="37">
        <f>ES19+ES22+ES28</f>
        <v/>
      </c>
      <c r="ET30" s="37">
        <f>ET19+ET22+ET28</f>
        <v/>
      </c>
      <c r="EU30" s="37">
        <f>EU19+EU22+EU28</f>
        <v/>
      </c>
      <c r="EV30" s="37">
        <f>EV19+EV22+EV28</f>
        <v/>
      </c>
      <c r="EW30" s="37">
        <f>EW19+EW22+EW28</f>
        <v/>
      </c>
      <c r="EX30" s="37">
        <f>EX19+EX22+EX28</f>
        <v/>
      </c>
      <c r="EY30" s="37">
        <f>EY19+EY22+EY28</f>
        <v/>
      </c>
      <c r="EZ30" s="37">
        <f>EZ19+EZ22+EZ28</f>
        <v/>
      </c>
      <c r="FA30" s="37">
        <f>FA19+FA22+FA28</f>
        <v/>
      </c>
      <c r="FB30" s="37">
        <f>FB19+FB22+FB28</f>
        <v/>
      </c>
      <c r="FC30" s="37">
        <f>FC19+FC22+FC28</f>
        <v/>
      </c>
      <c r="FD30" s="37">
        <f>FD19+FD22+FD28</f>
        <v/>
      </c>
      <c r="FE30" s="37">
        <f>FE19+FE22+FE28</f>
        <v/>
      </c>
      <c r="FF30" s="37">
        <f>FF19+FF22+FF28</f>
        <v/>
      </c>
      <c r="FG30" s="37">
        <f>FG19+FG22+FG28</f>
        <v/>
      </c>
      <c r="FH30" s="37">
        <f>FH19+FH22+FH28</f>
        <v/>
      </c>
      <c r="FI30" s="37">
        <f>FI19+FI22+FI28</f>
        <v/>
      </c>
      <c r="FJ30" s="37">
        <f>FJ19+FJ22+FJ28</f>
        <v/>
      </c>
      <c r="FK30" s="37">
        <f>FK19+FK22+FK28</f>
        <v/>
      </c>
      <c r="FL30" s="37">
        <f>FL19+FL22+FL28</f>
        <v/>
      </c>
      <c r="FM30" s="37">
        <f>FM19+FM22+FM28</f>
        <v/>
      </c>
      <c r="FN30" s="37">
        <f>FN19+FN22+FN28</f>
        <v/>
      </c>
      <c r="FO30" s="37">
        <f>FO19+FO22+FO28</f>
        <v/>
      </c>
      <c r="FP30" s="37">
        <f>FP19+FP22+FP28</f>
        <v/>
      </c>
      <c r="FQ30" s="37">
        <f>FQ19+FQ22+FQ28</f>
        <v/>
      </c>
      <c r="FR30" s="37">
        <f>FR19+FR22+FR28</f>
        <v/>
      </c>
      <c r="FS30" s="37">
        <f>FS19+FS22+FS28</f>
        <v/>
      </c>
      <c r="FT30" s="37">
        <f>FT19+FT22+FT28</f>
        <v/>
      </c>
      <c r="FU30" s="37">
        <f>FU19+FU22+FU28</f>
        <v/>
      </c>
      <c r="FV30" s="37">
        <f>FV19+FV22+FV28</f>
        <v/>
      </c>
      <c r="FW30" s="37">
        <f>FW19+FW22+FW28</f>
        <v/>
      </c>
      <c r="FX30" s="37">
        <f>FX19+FX22+FX28</f>
        <v/>
      </c>
      <c r="FY30" s="37">
        <f>FY19+FY22+FY28</f>
        <v/>
      </c>
      <c r="FZ30" s="37">
        <f>FZ19+FZ22+FZ28</f>
        <v/>
      </c>
      <c r="GA30" s="37">
        <f>GA19+GA22+GA28</f>
        <v/>
      </c>
      <c r="GB30" s="37">
        <f>GB19+GB22+GB28</f>
        <v/>
      </c>
      <c r="GC30" s="37">
        <f>GC19+GC22+GC28</f>
        <v/>
      </c>
      <c r="GD30" s="37">
        <f>GD19+GD22+GD28</f>
        <v/>
      </c>
      <c r="GE30" s="37">
        <f>GE19+GE22+GE28</f>
        <v/>
      </c>
      <c r="GF30" s="37">
        <f>GF19+GF22+GF28</f>
        <v/>
      </c>
      <c r="GG30" s="37">
        <f>GG19+GG22+GG28</f>
        <v/>
      </c>
      <c r="GH30" s="37">
        <f>GH19+GH22+GH28</f>
        <v/>
      </c>
      <c r="GI30" s="37">
        <f>GI19+GI22+GI28</f>
        <v/>
      </c>
      <c r="GJ30" s="37">
        <f>GJ19+GJ22+GJ28</f>
        <v/>
      </c>
      <c r="GK30" s="37">
        <f>GK19+GK22+GK28</f>
        <v/>
      </c>
      <c r="GL30" s="37">
        <f>GL19+GL22+GL28</f>
        <v/>
      </c>
      <c r="GM30" s="37">
        <f>GM19+GM22+GM28</f>
        <v/>
      </c>
      <c r="GN30" s="37">
        <f>GN19+GN22+GN28</f>
        <v/>
      </c>
      <c r="GO30" s="37">
        <f>GO19+GO22+GO28</f>
        <v/>
      </c>
      <c r="GP30" s="37">
        <f>GP19+GP22+GP28</f>
        <v/>
      </c>
      <c r="GQ30" s="37">
        <f>GQ19+GQ22+GQ28</f>
        <v/>
      </c>
      <c r="GR30" s="37">
        <f>GR19+GR22+GR28</f>
        <v/>
      </c>
      <c r="GS30" s="37">
        <f>GS19+GS22+GS28</f>
        <v/>
      </c>
      <c r="GT30" s="37">
        <f>GT19+GT22+GT28</f>
        <v/>
      </c>
      <c r="GU30" s="37">
        <f>GU19+GU22+GU28</f>
        <v/>
      </c>
      <c r="GV30" s="37">
        <f>GV19+GV22+GV28</f>
        <v/>
      </c>
      <c r="GW30" s="37">
        <f>GW19+GW22+GW28</f>
        <v/>
      </c>
      <c r="GX30" s="37">
        <f>GX19+GX22+GX28</f>
        <v/>
      </c>
      <c r="GY30" s="37">
        <f>GY19+GY22+GY28</f>
        <v/>
      </c>
      <c r="GZ30" s="37">
        <f>GZ19+GZ22+GZ28</f>
        <v/>
      </c>
      <c r="HA30" s="37">
        <f>HA19+HA22+HA28</f>
        <v/>
      </c>
      <c r="HB30" s="37">
        <f>HB19+HB22+HB28</f>
        <v/>
      </c>
      <c r="HC30" s="37">
        <f>HC19+HC22+HC28</f>
        <v/>
      </c>
      <c r="HD30" s="37">
        <f>HD19+HD22+HD28</f>
        <v/>
      </c>
      <c r="HE30" s="37">
        <f>HE19+HE22+HE28</f>
        <v/>
      </c>
      <c r="HF30" s="37">
        <f>HF19+HF22+HF28</f>
        <v/>
      </c>
      <c r="HG30" s="37">
        <f>HG19+HG22+HG28</f>
        <v/>
      </c>
      <c r="HH30" s="37">
        <f>HH19+HH22+HH28</f>
        <v/>
      </c>
      <c r="HI30" s="37">
        <f>HI19+HI22+HI28</f>
        <v/>
      </c>
      <c r="HJ30" s="37">
        <f>HJ19+HJ22+HJ28</f>
        <v/>
      </c>
      <c r="HK30" s="37">
        <f>HK19+HK22+HK28</f>
        <v/>
      </c>
      <c r="HL30" s="37">
        <f>HL19+HL22+HL28</f>
        <v/>
      </c>
      <c r="HM30" s="37">
        <f>HM19+HM22+HM28</f>
        <v/>
      </c>
      <c r="HN30" s="37">
        <f>HN19+HN22+HN28</f>
        <v/>
      </c>
      <c r="HO30" s="37">
        <f>HO19+HO22+HO28</f>
        <v/>
      </c>
      <c r="HP30" s="37">
        <f>HP19+HP22+HP28</f>
        <v/>
      </c>
      <c r="HQ30" s="37">
        <f>HQ19+HQ22+HQ28</f>
        <v/>
      </c>
      <c r="HR30" s="37">
        <f>HR19+HR22+HR28</f>
        <v/>
      </c>
      <c r="HS30" s="37">
        <f>HS19+HS22+HS28</f>
        <v/>
      </c>
      <c r="HT30" s="37">
        <f>HT19+HT22+HT28</f>
        <v/>
      </c>
      <c r="HU30" s="37">
        <f>HU19+HU22+HU28</f>
        <v/>
      </c>
      <c r="HV30" s="37">
        <f>HV19+HV22+HV28</f>
        <v/>
      </c>
      <c r="HW30" s="37">
        <f>HW19+HW22+HW28</f>
        <v/>
      </c>
      <c r="HX30" s="37">
        <f>HX19+HX22+HX28</f>
        <v/>
      </c>
      <c r="HY30" s="37">
        <f>HY19+HY22+HY28</f>
        <v/>
      </c>
      <c r="HZ30" s="37">
        <f>HZ19+HZ22+HZ28</f>
        <v/>
      </c>
      <c r="IA30" s="37">
        <f>IA19+IA22+IA28</f>
        <v/>
      </c>
      <c r="IB30" s="37">
        <f>IB19+IB22+IB28</f>
        <v/>
      </c>
      <c r="IC30" s="37">
        <f>IC19+IC22+IC28</f>
        <v/>
      </c>
      <c r="ID30" s="37">
        <f>ID19+ID22+ID28</f>
        <v/>
      </c>
      <c r="IE30" s="37">
        <f>IE19+IE22+IE28</f>
        <v/>
      </c>
      <c r="IF30" s="37">
        <f>IF19+IF22+IF28</f>
        <v/>
      </c>
      <c r="IG30" s="37">
        <f>IG19+IG22+IG28</f>
        <v/>
      </c>
      <c r="IH30" s="37">
        <f>IH19+IH22+IH28</f>
        <v/>
      </c>
      <c r="II30" s="37">
        <f>II19+II22+II28</f>
        <v/>
      </c>
      <c r="IJ30" s="37">
        <f>IJ19+IJ22+IJ28</f>
        <v/>
      </c>
      <c r="IK30" s="37">
        <f>IK19+IK22+IK28</f>
        <v/>
      </c>
      <c r="IL30" s="37">
        <f>IL19+IL22+IL28</f>
        <v/>
      </c>
      <c r="IM30" s="37">
        <f>IM19+IM22+IM28</f>
        <v/>
      </c>
      <c r="IN30" s="37">
        <f>IN19+IN22+IN28</f>
        <v/>
      </c>
      <c r="IO30" s="37">
        <f>IO19+IO22+IO28</f>
        <v/>
      </c>
      <c r="IP30" s="37">
        <f>IP19+IP22+IP28</f>
        <v/>
      </c>
      <c r="IQ30" s="37">
        <f>IQ19+IQ22+IQ28</f>
        <v/>
      </c>
      <c r="IR30" s="37">
        <f>IR19+IR22+IR28</f>
        <v/>
      </c>
      <c r="IS30" s="37">
        <f>IS19+IS22+IS28</f>
        <v/>
      </c>
      <c r="IT30" s="37">
        <f>IT19+IT22+IT28</f>
        <v/>
      </c>
      <c r="IU30" s="37">
        <f>IU19+IU22+IU28</f>
        <v/>
      </c>
      <c r="IV30" s="37">
        <f>IV19+IV22+IV28</f>
        <v/>
      </c>
      <c r="IW30" s="37">
        <f>IW19+IW22+IW28</f>
        <v/>
      </c>
      <c r="IX30" s="37">
        <f>IX19+IX22+IX28</f>
        <v/>
      </c>
      <c r="IY30" s="37">
        <f>IY19+IY22+IY28</f>
        <v/>
      </c>
      <c r="IZ30" s="37">
        <f>IZ19+IZ22+IZ28</f>
        <v/>
      </c>
      <c r="JA30" s="37">
        <f>JA19+JA22+JA28</f>
        <v/>
      </c>
      <c r="JB30" s="37">
        <f>JB19+JB22+JB28</f>
        <v/>
      </c>
      <c r="JC30" s="37">
        <f>JC19+JC22+JC28</f>
        <v/>
      </c>
      <c r="JD30" s="37">
        <f>JD19+JD22+JD28</f>
        <v/>
      </c>
      <c r="JE30" s="37">
        <f>JE19+JE22+JE28</f>
        <v/>
      </c>
      <c r="JF30" s="37">
        <f>JF19+JF22+JF28</f>
        <v/>
      </c>
      <c r="JG30" s="37">
        <f>JG19+JG22+JG28</f>
        <v/>
      </c>
      <c r="JH30" s="37">
        <f>JH19+JH22+JH28</f>
        <v/>
      </c>
      <c r="JI30" s="37">
        <f>JI19+JI22+JI28</f>
        <v/>
      </c>
      <c r="JJ30" s="37">
        <f>JJ19+JJ22+JJ28</f>
        <v/>
      </c>
      <c r="JK30" s="37">
        <f>JK19+JK22+JK28</f>
        <v/>
      </c>
      <c r="JL30" s="37">
        <f>JL19+JL22+JL28</f>
        <v/>
      </c>
      <c r="JM30" s="37">
        <f>JM19+JM22+JM28</f>
        <v/>
      </c>
      <c r="JN30" s="37">
        <f>JN19+JN22+JN28</f>
        <v/>
      </c>
      <c r="JO30" s="37">
        <f>JO19+JO22+JO28</f>
        <v/>
      </c>
      <c r="JP30" s="37">
        <f>JP19+JP22+JP28</f>
        <v/>
      </c>
      <c r="JQ30" s="37">
        <f>JQ19+JQ22+JQ28</f>
        <v/>
      </c>
      <c r="JR30" s="37">
        <f>JR19+JR22+JR28</f>
        <v/>
      </c>
      <c r="JS30" s="37">
        <f>JS19+JS22+JS28</f>
        <v/>
      </c>
      <c r="JT30" s="37">
        <f>JT19+JT22+JT28</f>
        <v/>
      </c>
      <c r="JU30" s="37">
        <f>JU19+JU22+JU28</f>
        <v/>
      </c>
      <c r="JV30" s="37">
        <f>JV19+JV22+JV28</f>
        <v/>
      </c>
      <c r="JW30" s="37">
        <f>JW19+JW22+JW28</f>
        <v/>
      </c>
      <c r="JX30" s="37">
        <f>JX19+JX22+JX28</f>
        <v/>
      </c>
      <c r="JY30" s="37">
        <f>JY19+JY22+JY28</f>
        <v/>
      </c>
      <c r="JZ30" s="37">
        <f>JZ19+JZ22+JZ28</f>
        <v/>
      </c>
      <c r="KA30" s="37">
        <f>KA19+KA22+KA28</f>
        <v/>
      </c>
      <c r="KB30" s="37">
        <f>KB19+KB22+KB28</f>
        <v/>
      </c>
      <c r="KC30" s="37">
        <f>KC19+KC22+KC28</f>
        <v/>
      </c>
      <c r="KD30" s="37">
        <f>KD19+KD22+KD28</f>
        <v/>
      </c>
      <c r="KE30" s="37">
        <f>KE19+KE22+KE28</f>
        <v/>
      </c>
      <c r="KF30" s="37">
        <f>KF19+KF22+KF28</f>
        <v/>
      </c>
      <c r="KG30" s="37">
        <f>KG19+KG22+KG28</f>
        <v/>
      </c>
      <c r="KH30" s="37">
        <f>KH19+KH22+KH28</f>
        <v/>
      </c>
      <c r="KI30" s="37">
        <f>KI19+KI22+KI28</f>
        <v/>
      </c>
      <c r="KJ30" s="37">
        <f>KJ19+KJ22+KJ28</f>
        <v/>
      </c>
      <c r="KK30" s="37">
        <f>KK19+KK22+KK28</f>
        <v/>
      </c>
      <c r="KL30" s="37">
        <f>KL19+KL22+KL28</f>
        <v/>
      </c>
      <c r="KM30" s="37">
        <f>KM19+KM22+KM28</f>
        <v/>
      </c>
      <c r="KN30" s="37">
        <f>KN19+KN22+KN28</f>
        <v/>
      </c>
      <c r="KO30" s="37">
        <f>KO19+KO22+KO28</f>
        <v/>
      </c>
      <c r="KP30" s="37">
        <f>KP19+KP22+KP28</f>
        <v/>
      </c>
      <c r="KQ30" s="37">
        <f>KQ19+KQ22+KQ28</f>
        <v/>
      </c>
      <c r="KR30" s="37">
        <f>KR19+KR22+KR28</f>
        <v/>
      </c>
      <c r="KS30" s="37">
        <f>KS19+KS22+KS28</f>
        <v/>
      </c>
      <c r="KT30" s="37">
        <f>KT19+KT22+KT28</f>
        <v/>
      </c>
      <c r="KU30" s="37">
        <f>KU19+KU22+KU28</f>
        <v/>
      </c>
      <c r="KV30" s="37">
        <f>KV19+KV22+KV28</f>
        <v/>
      </c>
      <c r="KW30" s="37">
        <f>KW19+KW22+KW28</f>
        <v/>
      </c>
      <c r="KX30" s="37">
        <f>KX19+KX22+KX28</f>
        <v/>
      </c>
      <c r="KY30" s="37">
        <f>KY19+KY22+KY28</f>
        <v/>
      </c>
      <c r="KZ30" s="37">
        <f>KZ19+KZ22+KZ28</f>
        <v/>
      </c>
      <c r="LA30" s="37">
        <f>LA19+LA22+LA28</f>
        <v/>
      </c>
      <c r="LB30" s="37">
        <f>LB19+LB22+LB28</f>
        <v/>
      </c>
      <c r="LC30" s="37">
        <f>LC19+LC22+LC28</f>
        <v/>
      </c>
      <c r="LD30" s="37">
        <f>LD19+LD22+LD28</f>
        <v/>
      </c>
      <c r="LE30" s="37">
        <f>LE19+LE22+LE28</f>
        <v/>
      </c>
      <c r="LF30" s="37">
        <f>LF19+LF22+LF28</f>
        <v/>
      </c>
      <c r="LG30" s="37">
        <f>LG19+LG22+LG28</f>
        <v/>
      </c>
      <c r="LH30" s="37">
        <f>LH19+LH22+LH28</f>
        <v/>
      </c>
      <c r="LI30" s="37">
        <f>LI19+LI22+LI28</f>
        <v/>
      </c>
      <c r="LJ30" s="37">
        <f>LJ19+LJ22+LJ28</f>
        <v/>
      </c>
      <c r="LK30" s="37">
        <f>LK19+LK22+LK28</f>
        <v/>
      </c>
      <c r="LL30" s="37">
        <f>LL19+LL22+LL28</f>
        <v/>
      </c>
      <c r="LM30" s="37">
        <f>LM19+LM22+LM28</f>
        <v/>
      </c>
      <c r="LN30" s="37">
        <f>LN19+LN22+LN28</f>
        <v/>
      </c>
      <c r="LO30" s="37">
        <f>LO19+LO22+LO28</f>
        <v/>
      </c>
      <c r="LP30" s="37">
        <f>LP19+LP22+LP28</f>
        <v/>
      </c>
      <c r="LQ30" s="37">
        <f>LQ19+LQ22+LQ28</f>
        <v/>
      </c>
      <c r="LR30" s="37">
        <f>LR19+LR22+LR28</f>
        <v/>
      </c>
      <c r="LS30" s="37">
        <f>LS19+LS22+LS28</f>
        <v/>
      </c>
      <c r="LT30" s="37">
        <f>LT19+LT22+LT28</f>
        <v/>
      </c>
      <c r="LU30" s="37">
        <f>LU19+LU22+LU28</f>
        <v/>
      </c>
      <c r="LV30" s="37">
        <f>LV19+LV22+LV28</f>
        <v/>
      </c>
      <c r="LW30" s="37">
        <f>LW19+LW22+LW28</f>
        <v/>
      </c>
      <c r="LX30" s="37">
        <f>LX19+LX22+LX28</f>
        <v/>
      </c>
      <c r="LY30" s="37">
        <f>LY19+LY22+LY28</f>
        <v/>
      </c>
      <c r="LZ30" s="37">
        <f>LZ19+LZ22+LZ28</f>
        <v/>
      </c>
      <c r="MA30" s="37">
        <f>MA19+MA22+MA28</f>
        <v/>
      </c>
      <c r="MB30" s="37">
        <f>MB19+MB22+MB28</f>
        <v/>
      </c>
      <c r="MC30" s="37">
        <f>MC19+MC22+MC28</f>
        <v/>
      </c>
      <c r="MD30" s="37">
        <f>MD19+MD22+MD28</f>
        <v/>
      </c>
      <c r="ME30" s="37">
        <f>ME19+ME22+ME28</f>
        <v/>
      </c>
      <c r="MF30" s="37">
        <f>MF19+MF22+MF28</f>
        <v/>
      </c>
      <c r="MG30" s="37">
        <f>MG19+MG22+MG28</f>
        <v/>
      </c>
      <c r="MH30" s="37">
        <f>MH19+MH22+MH28</f>
        <v/>
      </c>
      <c r="MI30" s="37">
        <f>MI19+MI22+MI28</f>
        <v/>
      </c>
      <c r="MJ30" s="37">
        <f>MJ19+MJ22+MJ28</f>
        <v/>
      </c>
      <c r="MK30" s="37">
        <f>MK19+MK22+MK28</f>
        <v/>
      </c>
      <c r="ML30" s="37">
        <f>ML19+ML22+ML28</f>
        <v/>
      </c>
      <c r="MM30" s="37">
        <f>MM19+MM22+MM28</f>
        <v/>
      </c>
      <c r="MN30" s="37">
        <f>MN19+MN22+MN28</f>
        <v/>
      </c>
      <c r="MO30" s="37">
        <f>MO19+MO22+MO28</f>
        <v/>
      </c>
      <c r="MP30" s="37">
        <f>MP19+MP22+MP28</f>
        <v/>
      </c>
      <c r="MQ30" s="37">
        <f>MQ19+MQ22+MQ28</f>
        <v/>
      </c>
      <c r="MR30" s="37">
        <f>MR19+MR22+MR28</f>
        <v/>
      </c>
      <c r="MS30" s="37">
        <f>MS19+MS22+MS28</f>
        <v/>
      </c>
      <c r="MT30" s="37">
        <f>MT19+MT22+MT28</f>
        <v/>
      </c>
      <c r="MU30" s="37">
        <f>MU19+MU22+MU28</f>
        <v/>
      </c>
      <c r="MV30" s="37">
        <f>MV19+MV22+MV28</f>
        <v/>
      </c>
      <c r="MW30" s="37">
        <f>MW19+MW22+MW28</f>
        <v/>
      </c>
      <c r="MX30" s="37">
        <f>MX19+MX22+MX28</f>
        <v/>
      </c>
      <c r="MY30" s="37">
        <f>MY19+MY22+MY28</f>
        <v/>
      </c>
      <c r="MZ30" s="37">
        <f>MZ19+MZ22+MZ28</f>
        <v/>
      </c>
      <c r="NA30" s="37">
        <f>NA19+NA22+NA28</f>
        <v/>
      </c>
      <c r="NB30" s="37">
        <f>NB19+NB22+NB28</f>
        <v/>
      </c>
      <c r="NC30" s="37">
        <f>NC19+NC22+NC28</f>
        <v/>
      </c>
      <c r="ND30" s="37">
        <f>ND19+ND22+ND28</f>
        <v/>
      </c>
      <c r="NE30" s="37">
        <f>NE19+NE22+NE28</f>
        <v/>
      </c>
      <c r="NF30" s="37">
        <f>NF19+NF22+NF28</f>
        <v/>
      </c>
      <c r="NG30" s="37">
        <f>NG19+NG22+NG28</f>
        <v/>
      </c>
      <c r="NH30" s="37">
        <f>NH19+NH22+NH28</f>
        <v/>
      </c>
      <c r="NI30" s="37">
        <f>NI19+NI22+NI28</f>
        <v/>
      </c>
      <c r="NJ30" s="37">
        <f>NJ19+NJ22+NJ28</f>
        <v/>
      </c>
      <c r="NK30" s="37">
        <f>NK19+NK22+NK28</f>
        <v/>
      </c>
      <c r="NL30" s="37">
        <f>NL19+NL22+NL28</f>
        <v/>
      </c>
      <c r="NM30" s="37">
        <f>NM19+NM22+NM28</f>
        <v/>
      </c>
      <c r="NN30" s="37">
        <f>NN19+NN22+NN28</f>
        <v/>
      </c>
      <c r="NO30" s="37">
        <f>NO19+NO22+NO28</f>
        <v/>
      </c>
      <c r="NP30" s="37">
        <f>NP19+NP22+NP28</f>
        <v/>
      </c>
      <c r="NQ30" s="37">
        <f>NQ19+NQ22+NQ28</f>
        <v/>
      </c>
      <c r="NR30" s="37">
        <f>NR19+NR22+NR28</f>
        <v/>
      </c>
      <c r="NS30" s="37">
        <f>NS19+NS22+NS28</f>
        <v/>
      </c>
      <c r="NT30" s="37">
        <f>NT19+NT22+NT28</f>
        <v/>
      </c>
      <c r="NU30" s="37">
        <f>NU19+NU22+NU28</f>
        <v/>
      </c>
      <c r="NV30" s="37">
        <f>NV19+NV22+NV28</f>
        <v/>
      </c>
      <c r="NW30" s="37">
        <f>NW19+NW22+NW28</f>
        <v/>
      </c>
      <c r="NX30" s="37">
        <f>NX19+NX22+NX28</f>
        <v/>
      </c>
      <c r="NY30" s="37">
        <f>NY19+NY22+NY28</f>
        <v/>
      </c>
      <c r="NZ30" s="37">
        <f>NZ19+NZ22+NZ28</f>
        <v/>
      </c>
      <c r="OA30" s="37">
        <f>OA19+OA22+OA28</f>
        <v/>
      </c>
      <c r="OB30" s="37">
        <f>OB19+OB22+OB28</f>
        <v/>
      </c>
      <c r="OC30" s="37">
        <f>OC19+OC22+OC28</f>
        <v/>
      </c>
      <c r="OD30" s="37">
        <f>OD19+OD22+OD28</f>
        <v/>
      </c>
      <c r="OE30" s="37">
        <f>OE19+OE22+OE28</f>
        <v/>
      </c>
      <c r="OF30" s="37">
        <f>OF19+OF22+OF28</f>
        <v/>
      </c>
      <c r="OG30" s="37">
        <f>OG19+OG22+OG28</f>
        <v/>
      </c>
      <c r="OH30" s="37">
        <f>OH19+OH22+OH28</f>
        <v/>
      </c>
      <c r="OI30" s="37">
        <f>OI19+OI22+OI28</f>
        <v/>
      </c>
      <c r="OJ30" s="37">
        <f>OJ19+OJ22+OJ28</f>
        <v/>
      </c>
      <c r="OK30" s="37">
        <f>OK19+OK22+OK28</f>
        <v/>
      </c>
      <c r="OL30" s="37">
        <f>OL19+OL22+OL28</f>
        <v/>
      </c>
      <c r="OM30" s="37">
        <f>OM19+OM22+OM28</f>
        <v/>
      </c>
      <c r="ON30" s="37">
        <f>ON19+ON22+ON28</f>
        <v/>
      </c>
      <c r="OO30" s="37">
        <f>OO19+OO22+OO28</f>
        <v/>
      </c>
      <c r="OP30" s="37">
        <f>OP19+OP22+OP28</f>
        <v/>
      </c>
      <c r="OQ30" s="37">
        <f>OQ19+OQ22+OQ28</f>
        <v/>
      </c>
      <c r="OR30" s="37">
        <f>OR19+OR22+OR28</f>
        <v/>
      </c>
      <c r="OS30" s="37">
        <f>OS19+OS22+OS28</f>
        <v/>
      </c>
      <c r="OT30" s="37">
        <f>OT19+OT22+OT28</f>
        <v/>
      </c>
      <c r="OU30" s="37">
        <f>OU19+OU22+OU28</f>
        <v/>
      </c>
      <c r="OV30" s="37">
        <f>OV19+OV22+OV28</f>
        <v/>
      </c>
      <c r="OW30" s="37">
        <f>OW19+OW22+OW28</f>
        <v/>
      </c>
      <c r="OX30" s="37">
        <f>OX19+OX22+OX28</f>
        <v/>
      </c>
      <c r="OY30" s="37">
        <f>OY19+OY22+OY28</f>
        <v/>
      </c>
      <c r="OZ30" s="37">
        <f>OZ19+OZ22+OZ28</f>
        <v/>
      </c>
      <c r="PA30" s="37">
        <f>PA19+PA22+PA28</f>
        <v/>
      </c>
      <c r="PB30" s="37">
        <f>PB19+PB22+PB28</f>
        <v/>
      </c>
      <c r="PC30" s="37">
        <f>PC19+PC22+PC28</f>
        <v/>
      </c>
      <c r="PD30" s="37">
        <f>PD19+PD22+PD28</f>
        <v/>
      </c>
      <c r="PE30" s="37">
        <f>PE19+PE22+PE28</f>
        <v/>
      </c>
      <c r="PF30" s="37">
        <f>PF19+PF22+PF28</f>
        <v/>
      </c>
      <c r="PG30" s="37">
        <f>PG19+PG22+PG28</f>
        <v/>
      </c>
      <c r="PH30" s="37">
        <f>PH19+PH22+PH28</f>
        <v/>
      </c>
      <c r="PI30" s="37">
        <f>PI19+PI22+PI28</f>
        <v/>
      </c>
      <c r="PJ30" s="37">
        <f>PJ19+PJ22+PJ28</f>
        <v/>
      </c>
      <c r="PK30" s="37">
        <f>PK19+PK22+PK28</f>
        <v/>
      </c>
      <c r="PL30" s="37">
        <f>PL19+PL22+PL28</f>
        <v/>
      </c>
      <c r="PM30" s="37">
        <f>PM19+PM22+PM28</f>
        <v/>
      </c>
      <c r="PN30" s="37">
        <f>PN19+PN22+PN28</f>
        <v/>
      </c>
      <c r="PO30" s="37">
        <f>PO19+PO22+PO28</f>
        <v/>
      </c>
      <c r="PP30" s="37">
        <f>PP19+PP22+PP28</f>
        <v/>
      </c>
      <c r="PQ30" s="37">
        <f>PQ19+PQ22+PQ28</f>
        <v/>
      </c>
      <c r="PR30" s="37">
        <f>PR19+PR22+PR28</f>
        <v/>
      </c>
      <c r="PS30" s="37">
        <f>PS19+PS22+PS28</f>
        <v/>
      </c>
      <c r="PT30" s="37">
        <f>PT19+PT22+PT28</f>
        <v/>
      </c>
      <c r="PU30" s="37">
        <f>PU19+PU22+PU28</f>
        <v/>
      </c>
      <c r="PV30" s="37">
        <f>PV19+PV22+PV28</f>
        <v/>
      </c>
      <c r="PW30" s="37">
        <f>PW19+PW22+PW28</f>
        <v/>
      </c>
      <c r="PX30" s="37">
        <f>PX19+PX22+PX28</f>
        <v/>
      </c>
      <c r="PY30" s="37">
        <f>PY19+PY22+PY28</f>
        <v/>
      </c>
      <c r="PZ30" s="37">
        <f>PZ19+PZ22+PZ28</f>
        <v/>
      </c>
      <c r="QA30" s="37">
        <f>QA19+QA22+QA28</f>
        <v/>
      </c>
      <c r="QB30" s="37">
        <f>QB19+QB22+QB28</f>
        <v/>
      </c>
      <c r="QC30" s="37">
        <f>QC19+QC22+QC28</f>
        <v/>
      </c>
      <c r="QD30" s="37">
        <f>QD19+QD22+QD28</f>
        <v/>
      </c>
      <c r="QE30" s="37">
        <f>QE19+QE22+QE28</f>
        <v/>
      </c>
      <c r="QF30" s="37">
        <f>QF19+QF22+QF28</f>
        <v/>
      </c>
      <c r="QG30" s="37">
        <f>QG19+QG22+QG28</f>
        <v/>
      </c>
      <c r="QH30" s="37">
        <f>QH19+QH22+QH28</f>
        <v/>
      </c>
      <c r="QI30" s="37">
        <f>QI19+QI22+QI28</f>
        <v/>
      </c>
      <c r="QJ30" s="37">
        <f>QJ19+QJ22+QJ28</f>
        <v/>
      </c>
      <c r="QK30" s="37">
        <f>QK19+QK22+QK28</f>
        <v/>
      </c>
      <c r="QL30" s="37">
        <f>QL19+QL22+QL28</f>
        <v/>
      </c>
      <c r="QM30" s="37">
        <f>QM19+QM22+QM28</f>
        <v/>
      </c>
      <c r="QN30" s="37">
        <f>QN19+QN22+QN28</f>
        <v/>
      </c>
      <c r="QO30" s="37">
        <f>QO19+QO22+QO28</f>
        <v/>
      </c>
      <c r="QP30" s="37">
        <f>QP19+QP22+QP28</f>
        <v/>
      </c>
      <c r="QQ30" s="37">
        <f>QQ19+QQ22+QQ28</f>
        <v/>
      </c>
      <c r="QR30" s="37">
        <f>QR19+QR22+QR28</f>
        <v/>
      </c>
      <c r="QS30" s="37">
        <f>QS19+QS22+QS28</f>
        <v/>
      </c>
      <c r="QT30" s="37">
        <f>QT19+QT22+QT28</f>
        <v/>
      </c>
      <c r="QU30" s="37">
        <f>QU19+QU22+QU28</f>
        <v/>
      </c>
      <c r="QV30" s="37">
        <f>QV19+QV22+QV28</f>
        <v/>
      </c>
      <c r="QW30" s="37">
        <f>QW19+QW22+QW28</f>
        <v/>
      </c>
      <c r="QX30" s="37">
        <f>QX19+QX22+QX28</f>
        <v/>
      </c>
      <c r="QY30" s="37">
        <f>QY19+QY22+QY28</f>
        <v/>
      </c>
      <c r="QZ30" s="37">
        <f>QZ19+QZ22+QZ28</f>
        <v/>
      </c>
      <c r="RA30" s="37">
        <f>RA19+RA22+RA28</f>
        <v/>
      </c>
      <c r="RB30" s="37">
        <f>RB19+RB22+RB28</f>
        <v/>
      </c>
      <c r="RC30" s="37">
        <f>RC19+RC22+RC28</f>
        <v/>
      </c>
      <c r="RD30" s="37">
        <f>RD19+RD22+RD28</f>
        <v/>
      </c>
      <c r="RE30" s="37">
        <f>RE19+RE22+RE28</f>
        <v/>
      </c>
      <c r="RF30" s="37">
        <f>RF19+RF22+RF28</f>
        <v/>
      </c>
      <c r="RG30" s="37">
        <f>RG19+RG22+RG28</f>
        <v/>
      </c>
      <c r="RH30" s="37">
        <f>RH19+RH22+RH28</f>
        <v/>
      </c>
      <c r="RI30" s="37">
        <f>RI19+RI22+RI28</f>
        <v/>
      </c>
      <c r="RJ30" s="37">
        <f>RJ19+RJ22+RJ28</f>
        <v/>
      </c>
      <c r="RK30" s="37">
        <f>RK19+RK22+RK28</f>
        <v/>
      </c>
      <c r="RL30" s="37">
        <f>RL19+RL22+RL28</f>
        <v/>
      </c>
      <c r="RM30" s="37">
        <f>RM19+RM22+RM28</f>
        <v/>
      </c>
      <c r="RN30" s="37">
        <f>RN19+RN22+RN28</f>
        <v/>
      </c>
      <c r="RO30" s="37">
        <f>RO19+RO22+RO28</f>
        <v/>
      </c>
      <c r="RP30" s="37">
        <f>RP19+RP22+RP28</f>
        <v/>
      </c>
      <c r="RQ30" s="37">
        <f>RQ19+RQ22+RQ28</f>
        <v/>
      </c>
      <c r="RR30" s="37">
        <f>RR19+RR22+RR28</f>
        <v/>
      </c>
      <c r="RS30" s="37">
        <f>RS19+RS22+RS28</f>
        <v/>
      </c>
      <c r="RT30" s="37">
        <f>RT19+RT22+RT28</f>
        <v/>
      </c>
      <c r="RU30" s="37">
        <f>RU19+RU22+RU28</f>
        <v/>
      </c>
      <c r="RV30" s="37">
        <f>RV19+RV22+RV28</f>
        <v/>
      </c>
      <c r="RW30" s="37">
        <f>RW19+RW22+RW28</f>
        <v/>
      </c>
    </row>
    <row r="31" hidden="1" outlineLevel="1" ht="13.05" customHeight="1">
      <c r="E31" s="21" t="inlineStr">
        <is>
          <t>Opening Cash</t>
        </is>
      </c>
      <c r="F31" s="29" t="n"/>
      <c r="G31" s="29" t="inlineStr">
        <is>
          <t>kEUR</t>
        </is>
      </c>
      <c r="H31" s="29" t="n"/>
      <c r="I31" s="29" t="n"/>
      <c r="J31" s="32" t="n">
        <v>-163828074.1825624</v>
      </c>
      <c r="K31" s="29" t="n"/>
      <c r="L31" s="33">
        <f>Assumptions!$B$4</f>
        <v/>
      </c>
      <c r="M31" s="33">
        <f>L32</f>
        <v/>
      </c>
      <c r="N31" s="33">
        <f>M32</f>
        <v/>
      </c>
      <c r="O31" s="33">
        <f>N32</f>
        <v/>
      </c>
      <c r="P31" s="33">
        <f>O32</f>
        <v/>
      </c>
      <c r="Q31" s="33">
        <f>P32</f>
        <v/>
      </c>
      <c r="R31" s="33">
        <f>Q32</f>
        <v/>
      </c>
      <c r="S31" s="33">
        <f>R32</f>
        <v/>
      </c>
      <c r="T31" s="33">
        <f>S32</f>
        <v/>
      </c>
      <c r="U31" s="33">
        <f>T32</f>
        <v/>
      </c>
      <c r="V31" s="33">
        <f>U32</f>
        <v/>
      </c>
      <c r="W31" s="33">
        <f>V32</f>
        <v/>
      </c>
      <c r="X31" s="33">
        <f>W32</f>
        <v/>
      </c>
      <c r="Y31" s="33">
        <f>X32</f>
        <v/>
      </c>
      <c r="Z31" s="33">
        <f>Y32</f>
        <v/>
      </c>
      <c r="AA31" s="33">
        <f>Z32</f>
        <v/>
      </c>
      <c r="AB31" s="33">
        <f>AA32</f>
        <v/>
      </c>
      <c r="AC31" s="33">
        <f>AB32</f>
        <v/>
      </c>
      <c r="AD31" s="33">
        <f>AC32</f>
        <v/>
      </c>
      <c r="AE31" s="33">
        <f>AD32</f>
        <v/>
      </c>
      <c r="AF31" s="33">
        <f>AE32</f>
        <v/>
      </c>
      <c r="AG31" s="33">
        <f>AF32</f>
        <v/>
      </c>
      <c r="AH31" s="33">
        <f>AG32</f>
        <v/>
      </c>
      <c r="AI31" s="33">
        <f>AH32</f>
        <v/>
      </c>
      <c r="AJ31" s="33">
        <f>AI32</f>
        <v/>
      </c>
      <c r="AK31" s="33">
        <f>AJ32</f>
        <v/>
      </c>
      <c r="AL31" s="33">
        <f>AK32</f>
        <v/>
      </c>
      <c r="AM31" s="33">
        <f>AL32</f>
        <v/>
      </c>
      <c r="AN31" s="33">
        <f>AM32</f>
        <v/>
      </c>
      <c r="AO31" s="33">
        <f>AN32</f>
        <v/>
      </c>
      <c r="AP31" s="33">
        <f>AO32</f>
        <v/>
      </c>
      <c r="AQ31" s="33">
        <f>AP32</f>
        <v/>
      </c>
      <c r="AR31" s="33">
        <f>AQ32</f>
        <v/>
      </c>
      <c r="AS31" s="33">
        <f>AR32</f>
        <v/>
      </c>
      <c r="AT31" s="33">
        <f>AS32</f>
        <v/>
      </c>
      <c r="AU31" s="33">
        <f>AT32</f>
        <v/>
      </c>
      <c r="AV31" s="33">
        <f>AU32</f>
        <v/>
      </c>
      <c r="AW31" s="33">
        <f>AV32</f>
        <v/>
      </c>
      <c r="AX31" s="33">
        <f>AW32</f>
        <v/>
      </c>
      <c r="AY31" s="33">
        <f>AX32</f>
        <v/>
      </c>
      <c r="AZ31" s="33">
        <f>AY32</f>
        <v/>
      </c>
      <c r="BA31" s="33">
        <f>AZ32</f>
        <v/>
      </c>
      <c r="BB31" s="33">
        <f>BA32</f>
        <v/>
      </c>
      <c r="BC31" s="33">
        <f>BB32</f>
        <v/>
      </c>
      <c r="BD31" s="33">
        <f>BC32</f>
        <v/>
      </c>
      <c r="BE31" s="33">
        <f>BD32</f>
        <v/>
      </c>
      <c r="BF31" s="33">
        <f>BE32</f>
        <v/>
      </c>
      <c r="BG31" s="33">
        <f>BF32</f>
        <v/>
      </c>
      <c r="BH31" s="33">
        <f>BG32</f>
        <v/>
      </c>
      <c r="BI31" s="33">
        <f>BH32</f>
        <v/>
      </c>
      <c r="BJ31" s="33">
        <f>BI32</f>
        <v/>
      </c>
      <c r="BK31" s="33">
        <f>BJ32</f>
        <v/>
      </c>
      <c r="BL31" s="33">
        <f>BK32</f>
        <v/>
      </c>
      <c r="BM31" s="33">
        <f>BL32</f>
        <v/>
      </c>
      <c r="BN31" s="33">
        <f>BM32</f>
        <v/>
      </c>
      <c r="BO31" s="33">
        <f>BN32</f>
        <v/>
      </c>
      <c r="BP31" s="33">
        <f>BO32</f>
        <v/>
      </c>
      <c r="BQ31" s="33">
        <f>BP32</f>
        <v/>
      </c>
      <c r="BR31" s="33">
        <f>BQ32</f>
        <v/>
      </c>
      <c r="BS31" s="33">
        <f>BR32</f>
        <v/>
      </c>
      <c r="BT31" s="33">
        <f>BS32</f>
        <v/>
      </c>
      <c r="BU31" s="33">
        <f>BT32</f>
        <v/>
      </c>
      <c r="BV31" s="33">
        <f>BU32</f>
        <v/>
      </c>
      <c r="BW31" s="33">
        <f>BV32</f>
        <v/>
      </c>
      <c r="BX31" s="33">
        <f>BW32</f>
        <v/>
      </c>
      <c r="BY31" s="33">
        <f>BX32</f>
        <v/>
      </c>
      <c r="BZ31" s="33">
        <f>BY32</f>
        <v/>
      </c>
      <c r="CA31" s="33">
        <f>BZ32</f>
        <v/>
      </c>
      <c r="CB31" s="33">
        <f>CA32</f>
        <v/>
      </c>
      <c r="CC31" s="33">
        <f>CB32</f>
        <v/>
      </c>
      <c r="CD31" s="33">
        <f>CC32</f>
        <v/>
      </c>
      <c r="CE31" s="33">
        <f>CD32</f>
        <v/>
      </c>
      <c r="CF31" s="33">
        <f>CE32</f>
        <v/>
      </c>
      <c r="CG31" s="33">
        <f>CF32</f>
        <v/>
      </c>
      <c r="CH31" s="33">
        <f>CG32</f>
        <v/>
      </c>
      <c r="CI31" s="33">
        <f>CH32</f>
        <v/>
      </c>
      <c r="CJ31" s="33">
        <f>CI32</f>
        <v/>
      </c>
      <c r="CK31" s="33">
        <f>CJ32</f>
        <v/>
      </c>
      <c r="CL31" s="33">
        <f>CK32</f>
        <v/>
      </c>
      <c r="CM31" s="33">
        <f>CL32</f>
        <v/>
      </c>
      <c r="CN31" s="33">
        <f>CM32</f>
        <v/>
      </c>
      <c r="CO31" s="33">
        <f>CN32</f>
        <v/>
      </c>
      <c r="CP31" s="33">
        <f>CO32</f>
        <v/>
      </c>
      <c r="CQ31" s="33">
        <f>CP32</f>
        <v/>
      </c>
      <c r="CR31" s="33">
        <f>CQ32</f>
        <v/>
      </c>
      <c r="CS31" s="33">
        <f>CR32</f>
        <v/>
      </c>
      <c r="CT31" s="33">
        <f>CS32</f>
        <v/>
      </c>
      <c r="CU31" s="33">
        <f>CT32</f>
        <v/>
      </c>
      <c r="CV31" s="33">
        <f>CU32</f>
        <v/>
      </c>
      <c r="CW31" s="33">
        <f>CV32</f>
        <v/>
      </c>
      <c r="CX31" s="33">
        <f>CW32</f>
        <v/>
      </c>
      <c r="CY31" s="33">
        <f>CX32</f>
        <v/>
      </c>
      <c r="CZ31" s="33">
        <f>CY32</f>
        <v/>
      </c>
      <c r="DA31" s="33">
        <f>CZ32</f>
        <v/>
      </c>
      <c r="DB31" s="33">
        <f>DA32</f>
        <v/>
      </c>
      <c r="DC31" s="33">
        <f>DB32</f>
        <v/>
      </c>
      <c r="DD31" s="33">
        <f>DC32</f>
        <v/>
      </c>
      <c r="DE31" s="33">
        <f>DD32</f>
        <v/>
      </c>
      <c r="DF31" s="33">
        <f>DE32</f>
        <v/>
      </c>
      <c r="DG31" s="33">
        <f>DF32</f>
        <v/>
      </c>
      <c r="DH31" s="33">
        <f>DG32</f>
        <v/>
      </c>
      <c r="DI31" s="33">
        <f>DH32</f>
        <v/>
      </c>
      <c r="DJ31" s="33">
        <f>DI32</f>
        <v/>
      </c>
      <c r="DK31" s="33">
        <f>DJ32</f>
        <v/>
      </c>
      <c r="DL31" s="33">
        <f>DK32</f>
        <v/>
      </c>
      <c r="DM31" s="33">
        <f>DL32</f>
        <v/>
      </c>
      <c r="DN31" s="33">
        <f>DM32</f>
        <v/>
      </c>
      <c r="DO31" s="33">
        <f>DN32</f>
        <v/>
      </c>
      <c r="DP31" s="33">
        <f>DO32</f>
        <v/>
      </c>
      <c r="DQ31" s="33">
        <f>DP32</f>
        <v/>
      </c>
      <c r="DR31" s="33">
        <f>DQ32</f>
        <v/>
      </c>
      <c r="DS31" s="33">
        <f>DR32</f>
        <v/>
      </c>
      <c r="DT31" s="33">
        <f>DS32</f>
        <v/>
      </c>
      <c r="DU31" s="33">
        <f>DT32</f>
        <v/>
      </c>
      <c r="DV31" s="33">
        <f>DU32</f>
        <v/>
      </c>
      <c r="DW31" s="33">
        <f>DV32</f>
        <v/>
      </c>
      <c r="DX31" s="33">
        <f>DW32</f>
        <v/>
      </c>
      <c r="DY31" s="33">
        <f>DX32</f>
        <v/>
      </c>
      <c r="DZ31" s="33">
        <f>DY32</f>
        <v/>
      </c>
      <c r="EA31" s="33">
        <f>DZ32</f>
        <v/>
      </c>
      <c r="EB31" s="33">
        <f>EA32</f>
        <v/>
      </c>
      <c r="EC31" s="33">
        <f>EB32</f>
        <v/>
      </c>
      <c r="ED31" s="33">
        <f>EC32</f>
        <v/>
      </c>
      <c r="EE31" s="33">
        <f>ED32</f>
        <v/>
      </c>
      <c r="EF31" s="33">
        <f>EE32</f>
        <v/>
      </c>
      <c r="EG31" s="33">
        <f>EF32</f>
        <v/>
      </c>
      <c r="EH31" s="33">
        <f>EG32</f>
        <v/>
      </c>
      <c r="EI31" s="33">
        <f>EH32</f>
        <v/>
      </c>
      <c r="EJ31" s="33">
        <f>EI32</f>
        <v/>
      </c>
      <c r="EK31" s="33">
        <f>EJ32</f>
        <v/>
      </c>
      <c r="EL31" s="33">
        <f>EK32</f>
        <v/>
      </c>
      <c r="EM31" s="33">
        <f>EL32</f>
        <v/>
      </c>
      <c r="EN31" s="33">
        <f>EM32</f>
        <v/>
      </c>
      <c r="EO31" s="33">
        <f>EN32</f>
        <v/>
      </c>
      <c r="EP31" s="33">
        <f>EO32</f>
        <v/>
      </c>
      <c r="EQ31" s="33">
        <f>EP32</f>
        <v/>
      </c>
      <c r="ER31" s="33">
        <f>EQ32</f>
        <v/>
      </c>
      <c r="ES31" s="33">
        <f>ER32</f>
        <v/>
      </c>
      <c r="ET31" s="33">
        <f>ES32</f>
        <v/>
      </c>
      <c r="EU31" s="33">
        <f>ET32</f>
        <v/>
      </c>
      <c r="EV31" s="33">
        <f>EU32</f>
        <v/>
      </c>
      <c r="EW31" s="33">
        <f>EV32</f>
        <v/>
      </c>
      <c r="EX31" s="33">
        <f>EW32</f>
        <v/>
      </c>
      <c r="EY31" s="33">
        <f>EX32</f>
        <v/>
      </c>
      <c r="EZ31" s="33">
        <f>EY32</f>
        <v/>
      </c>
      <c r="FA31" s="33">
        <f>EZ32</f>
        <v/>
      </c>
      <c r="FB31" s="33">
        <f>FA32</f>
        <v/>
      </c>
      <c r="FC31" s="33">
        <f>FB32</f>
        <v/>
      </c>
      <c r="FD31" s="33">
        <f>FC32</f>
        <v/>
      </c>
      <c r="FE31" s="33">
        <f>FD32</f>
        <v/>
      </c>
      <c r="FF31" s="33">
        <f>FE32</f>
        <v/>
      </c>
      <c r="FG31" s="33">
        <f>FF32</f>
        <v/>
      </c>
      <c r="FH31" s="33">
        <f>FG32</f>
        <v/>
      </c>
      <c r="FI31" s="33">
        <f>FH32</f>
        <v/>
      </c>
      <c r="FJ31" s="33">
        <f>FI32</f>
        <v/>
      </c>
      <c r="FK31" s="33">
        <f>FJ32</f>
        <v/>
      </c>
      <c r="FL31" s="33">
        <f>FK32</f>
        <v/>
      </c>
      <c r="FM31" s="33">
        <f>FL32</f>
        <v/>
      </c>
      <c r="FN31" s="33">
        <f>FM32</f>
        <v/>
      </c>
      <c r="FO31" s="33">
        <f>FN32</f>
        <v/>
      </c>
      <c r="FP31" s="33">
        <f>FO32</f>
        <v/>
      </c>
      <c r="FQ31" s="33">
        <f>FP32</f>
        <v/>
      </c>
      <c r="FR31" s="33">
        <f>FQ32</f>
        <v/>
      </c>
      <c r="FS31" s="33">
        <f>FR32</f>
        <v/>
      </c>
      <c r="FT31" s="33">
        <f>FS32</f>
        <v/>
      </c>
      <c r="FU31" s="33">
        <f>FT32</f>
        <v/>
      </c>
      <c r="FV31" s="33">
        <f>FU32</f>
        <v/>
      </c>
      <c r="FW31" s="33">
        <f>FV32</f>
        <v/>
      </c>
      <c r="FX31" s="33">
        <f>FW32</f>
        <v/>
      </c>
      <c r="FY31" s="33">
        <f>FX32</f>
        <v/>
      </c>
      <c r="FZ31" s="33">
        <f>FY32</f>
        <v/>
      </c>
      <c r="GA31" s="33">
        <f>FZ32</f>
        <v/>
      </c>
      <c r="GB31" s="33">
        <f>GA32</f>
        <v/>
      </c>
      <c r="GC31" s="33">
        <f>GB32</f>
        <v/>
      </c>
      <c r="GD31" s="33">
        <f>GC32</f>
        <v/>
      </c>
      <c r="GE31" s="33">
        <f>GD32</f>
        <v/>
      </c>
      <c r="GF31" s="33">
        <f>GE32</f>
        <v/>
      </c>
      <c r="GG31" s="33">
        <f>GF32</f>
        <v/>
      </c>
      <c r="GH31" s="33">
        <f>GG32</f>
        <v/>
      </c>
      <c r="GI31" s="33">
        <f>GH32</f>
        <v/>
      </c>
      <c r="GJ31" s="33">
        <f>GI32</f>
        <v/>
      </c>
      <c r="GK31" s="33">
        <f>GJ32</f>
        <v/>
      </c>
      <c r="GL31" s="33">
        <f>GK32</f>
        <v/>
      </c>
      <c r="GM31" s="33">
        <f>GL32</f>
        <v/>
      </c>
      <c r="GN31" s="33">
        <f>GM32</f>
        <v/>
      </c>
      <c r="GO31" s="33">
        <f>GN32</f>
        <v/>
      </c>
      <c r="GP31" s="33">
        <f>GO32</f>
        <v/>
      </c>
      <c r="GQ31" s="33">
        <f>GP32</f>
        <v/>
      </c>
      <c r="GR31" s="33">
        <f>GQ32</f>
        <v/>
      </c>
      <c r="GS31" s="33">
        <f>GR32</f>
        <v/>
      </c>
      <c r="GT31" s="33">
        <f>GS32</f>
        <v/>
      </c>
      <c r="GU31" s="33">
        <f>GT32</f>
        <v/>
      </c>
      <c r="GV31" s="33">
        <f>GU32</f>
        <v/>
      </c>
      <c r="GW31" s="33">
        <f>GV32</f>
        <v/>
      </c>
      <c r="GX31" s="33">
        <f>GW32</f>
        <v/>
      </c>
      <c r="GY31" s="33">
        <f>GX32</f>
        <v/>
      </c>
      <c r="GZ31" s="33">
        <f>GY32</f>
        <v/>
      </c>
      <c r="HA31" s="33">
        <f>GZ32</f>
        <v/>
      </c>
      <c r="HB31" s="33">
        <f>HA32</f>
        <v/>
      </c>
      <c r="HC31" s="33">
        <f>HB32</f>
        <v/>
      </c>
      <c r="HD31" s="33">
        <f>HC32</f>
        <v/>
      </c>
      <c r="HE31" s="33">
        <f>HD32</f>
        <v/>
      </c>
      <c r="HF31" s="33">
        <f>HE32</f>
        <v/>
      </c>
      <c r="HG31" s="33">
        <f>HF32</f>
        <v/>
      </c>
      <c r="HH31" s="33">
        <f>HG32</f>
        <v/>
      </c>
      <c r="HI31" s="33">
        <f>HH32</f>
        <v/>
      </c>
      <c r="HJ31" s="33">
        <f>HI32</f>
        <v/>
      </c>
      <c r="HK31" s="33">
        <f>HJ32</f>
        <v/>
      </c>
      <c r="HL31" s="33">
        <f>HK32</f>
        <v/>
      </c>
      <c r="HM31" s="33">
        <f>HL32</f>
        <v/>
      </c>
      <c r="HN31" s="33">
        <f>HM32</f>
        <v/>
      </c>
      <c r="HO31" s="33">
        <f>HN32</f>
        <v/>
      </c>
      <c r="HP31" s="33">
        <f>HO32</f>
        <v/>
      </c>
      <c r="HQ31" s="33">
        <f>HP32</f>
        <v/>
      </c>
      <c r="HR31" s="33">
        <f>HQ32</f>
        <v/>
      </c>
      <c r="HS31" s="33">
        <f>HR32</f>
        <v/>
      </c>
      <c r="HT31" s="33">
        <f>HS32</f>
        <v/>
      </c>
      <c r="HU31" s="33">
        <f>HT32</f>
        <v/>
      </c>
      <c r="HV31" s="33">
        <f>HU32</f>
        <v/>
      </c>
      <c r="HW31" s="33">
        <f>HV32</f>
        <v/>
      </c>
      <c r="HX31" s="33">
        <f>HW32</f>
        <v/>
      </c>
      <c r="HY31" s="33">
        <f>HX32</f>
        <v/>
      </c>
      <c r="HZ31" s="33">
        <f>HY32</f>
        <v/>
      </c>
      <c r="IA31" s="33">
        <f>HZ32</f>
        <v/>
      </c>
      <c r="IB31" s="33">
        <f>IA32</f>
        <v/>
      </c>
      <c r="IC31" s="33">
        <f>IB32</f>
        <v/>
      </c>
      <c r="ID31" s="33">
        <f>IC32</f>
        <v/>
      </c>
      <c r="IE31" s="33">
        <f>ID32</f>
        <v/>
      </c>
      <c r="IF31" s="33">
        <f>IE32</f>
        <v/>
      </c>
      <c r="IG31" s="33">
        <f>IF32</f>
        <v/>
      </c>
      <c r="IH31" s="33">
        <f>IG32</f>
        <v/>
      </c>
      <c r="II31" s="33">
        <f>IH32</f>
        <v/>
      </c>
      <c r="IJ31" s="33">
        <f>II32</f>
        <v/>
      </c>
      <c r="IK31" s="33">
        <f>IJ32</f>
        <v/>
      </c>
      <c r="IL31" s="33">
        <f>IK32</f>
        <v/>
      </c>
      <c r="IM31" s="33">
        <f>IL32</f>
        <v/>
      </c>
      <c r="IN31" s="33">
        <f>IM32</f>
        <v/>
      </c>
      <c r="IO31" s="33">
        <f>IN32</f>
        <v/>
      </c>
      <c r="IP31" s="33">
        <f>IO32</f>
        <v/>
      </c>
      <c r="IQ31" s="33">
        <f>IP32</f>
        <v/>
      </c>
      <c r="IR31" s="33">
        <f>IQ32</f>
        <v/>
      </c>
      <c r="IS31" s="33">
        <f>IR32</f>
        <v/>
      </c>
      <c r="IT31" s="33">
        <f>IS32</f>
        <v/>
      </c>
      <c r="IU31" s="33">
        <f>IT32</f>
        <v/>
      </c>
      <c r="IV31" s="33">
        <f>IU32</f>
        <v/>
      </c>
      <c r="IW31" s="33">
        <f>IV32</f>
        <v/>
      </c>
      <c r="IX31" s="33">
        <f>IW32</f>
        <v/>
      </c>
      <c r="IY31" s="33">
        <f>IX32</f>
        <v/>
      </c>
      <c r="IZ31" s="33">
        <f>IY32</f>
        <v/>
      </c>
      <c r="JA31" s="33">
        <f>IZ32</f>
        <v/>
      </c>
      <c r="JB31" s="33">
        <f>JA32</f>
        <v/>
      </c>
      <c r="JC31" s="33">
        <f>JB32</f>
        <v/>
      </c>
      <c r="JD31" s="33">
        <f>JC32</f>
        <v/>
      </c>
      <c r="JE31" s="33">
        <f>JD32</f>
        <v/>
      </c>
      <c r="JF31" s="33">
        <f>JE32</f>
        <v/>
      </c>
      <c r="JG31" s="33">
        <f>JF32</f>
        <v/>
      </c>
      <c r="JH31" s="33">
        <f>JG32</f>
        <v/>
      </c>
      <c r="JI31" s="33">
        <f>JH32</f>
        <v/>
      </c>
      <c r="JJ31" s="33">
        <f>JI32</f>
        <v/>
      </c>
      <c r="JK31" s="33">
        <f>JJ32</f>
        <v/>
      </c>
      <c r="JL31" s="33">
        <f>JK32</f>
        <v/>
      </c>
      <c r="JM31" s="33">
        <f>JL32</f>
        <v/>
      </c>
      <c r="JN31" s="33">
        <f>JM32</f>
        <v/>
      </c>
      <c r="JO31" s="33">
        <f>JN32</f>
        <v/>
      </c>
      <c r="JP31" s="33">
        <f>JO32</f>
        <v/>
      </c>
      <c r="JQ31" s="33">
        <f>JP32</f>
        <v/>
      </c>
      <c r="JR31" s="33">
        <f>JQ32</f>
        <v/>
      </c>
      <c r="JS31" s="33">
        <f>JR32</f>
        <v/>
      </c>
      <c r="JT31" s="33">
        <f>JS32</f>
        <v/>
      </c>
      <c r="JU31" s="33">
        <f>JT32</f>
        <v/>
      </c>
      <c r="JV31" s="33">
        <f>JU32</f>
        <v/>
      </c>
      <c r="JW31" s="33">
        <f>JV32</f>
        <v/>
      </c>
      <c r="JX31" s="33">
        <f>JW32</f>
        <v/>
      </c>
      <c r="JY31" s="33">
        <f>JX32</f>
        <v/>
      </c>
      <c r="JZ31" s="33">
        <f>JY32</f>
        <v/>
      </c>
      <c r="KA31" s="33">
        <f>JZ32</f>
        <v/>
      </c>
      <c r="KB31" s="33">
        <f>KA32</f>
        <v/>
      </c>
      <c r="KC31" s="33">
        <f>KB32</f>
        <v/>
      </c>
      <c r="KD31" s="33">
        <f>KC32</f>
        <v/>
      </c>
      <c r="KE31" s="33">
        <f>KD32</f>
        <v/>
      </c>
      <c r="KF31" s="33">
        <f>KE32</f>
        <v/>
      </c>
      <c r="KG31" s="33">
        <f>KF32</f>
        <v/>
      </c>
      <c r="KH31" s="33">
        <f>KG32</f>
        <v/>
      </c>
      <c r="KI31" s="33">
        <f>KH32</f>
        <v/>
      </c>
      <c r="KJ31" s="33">
        <f>KI32</f>
        <v/>
      </c>
      <c r="KK31" s="33">
        <f>KJ32</f>
        <v/>
      </c>
      <c r="KL31" s="33">
        <f>KK32</f>
        <v/>
      </c>
      <c r="KM31" s="33">
        <f>KL32</f>
        <v/>
      </c>
      <c r="KN31" s="33">
        <f>KM32</f>
        <v/>
      </c>
      <c r="KO31" s="33">
        <f>KN32</f>
        <v/>
      </c>
      <c r="KP31" s="33">
        <f>KO32</f>
        <v/>
      </c>
      <c r="KQ31" s="33">
        <f>KP32</f>
        <v/>
      </c>
      <c r="KR31" s="33">
        <f>KQ32</f>
        <v/>
      </c>
      <c r="KS31" s="33">
        <f>KR32</f>
        <v/>
      </c>
      <c r="KT31" s="33">
        <f>KS32</f>
        <v/>
      </c>
      <c r="KU31" s="33">
        <f>KT32</f>
        <v/>
      </c>
      <c r="KV31" s="33">
        <f>KU32</f>
        <v/>
      </c>
      <c r="KW31" s="33">
        <f>KV32</f>
        <v/>
      </c>
      <c r="KX31" s="33">
        <f>KW32</f>
        <v/>
      </c>
      <c r="KY31" s="33">
        <f>KX32</f>
        <v/>
      </c>
      <c r="KZ31" s="33">
        <f>KY32</f>
        <v/>
      </c>
      <c r="LA31" s="33">
        <f>KZ32</f>
        <v/>
      </c>
      <c r="LB31" s="33">
        <f>LA32</f>
        <v/>
      </c>
      <c r="LC31" s="33">
        <f>LB32</f>
        <v/>
      </c>
      <c r="LD31" s="33">
        <f>LC32</f>
        <v/>
      </c>
      <c r="LE31" s="33">
        <f>LD32</f>
        <v/>
      </c>
      <c r="LF31" s="33">
        <f>LE32</f>
        <v/>
      </c>
      <c r="LG31" s="33">
        <f>LF32</f>
        <v/>
      </c>
      <c r="LH31" s="33">
        <f>LG32</f>
        <v/>
      </c>
      <c r="LI31" s="33">
        <f>LH32</f>
        <v/>
      </c>
      <c r="LJ31" s="33">
        <f>LI32</f>
        <v/>
      </c>
      <c r="LK31" s="33">
        <f>LJ32</f>
        <v/>
      </c>
      <c r="LL31" s="33">
        <f>LK32</f>
        <v/>
      </c>
      <c r="LM31" s="33">
        <f>LL32</f>
        <v/>
      </c>
      <c r="LN31" s="33">
        <f>LM32</f>
        <v/>
      </c>
      <c r="LO31" s="33">
        <f>LN32</f>
        <v/>
      </c>
      <c r="LP31" s="33">
        <f>LO32</f>
        <v/>
      </c>
      <c r="LQ31" s="33">
        <f>LP32</f>
        <v/>
      </c>
      <c r="LR31" s="33">
        <f>LQ32</f>
        <v/>
      </c>
      <c r="LS31" s="33">
        <f>LR32</f>
        <v/>
      </c>
      <c r="LT31" s="33">
        <f>LS32</f>
        <v/>
      </c>
      <c r="LU31" s="33">
        <f>LT32</f>
        <v/>
      </c>
      <c r="LV31" s="33">
        <f>LU32</f>
        <v/>
      </c>
      <c r="LW31" s="33">
        <f>LV32</f>
        <v/>
      </c>
      <c r="LX31" s="33">
        <f>LW32</f>
        <v/>
      </c>
      <c r="LY31" s="33">
        <f>LX32</f>
        <v/>
      </c>
      <c r="LZ31" s="33">
        <f>LY32</f>
        <v/>
      </c>
      <c r="MA31" s="33">
        <f>LZ32</f>
        <v/>
      </c>
      <c r="MB31" s="33">
        <f>MA32</f>
        <v/>
      </c>
      <c r="MC31" s="33">
        <f>MB32</f>
        <v/>
      </c>
      <c r="MD31" s="33">
        <f>MC32</f>
        <v/>
      </c>
      <c r="ME31" s="33">
        <f>MD32</f>
        <v/>
      </c>
      <c r="MF31" s="33">
        <f>ME32</f>
        <v/>
      </c>
      <c r="MG31" s="33">
        <f>MF32</f>
        <v/>
      </c>
      <c r="MH31" s="33">
        <f>MG32</f>
        <v/>
      </c>
      <c r="MI31" s="33">
        <f>MH32</f>
        <v/>
      </c>
      <c r="MJ31" s="33">
        <f>MI32</f>
        <v/>
      </c>
      <c r="MK31" s="33">
        <f>MJ32</f>
        <v/>
      </c>
      <c r="ML31" s="33">
        <f>MK32</f>
        <v/>
      </c>
      <c r="MM31" s="33">
        <f>ML32</f>
        <v/>
      </c>
      <c r="MN31" s="33">
        <f>MM32</f>
        <v/>
      </c>
      <c r="MO31" s="33">
        <f>MN32</f>
        <v/>
      </c>
      <c r="MP31" s="33">
        <f>MO32</f>
        <v/>
      </c>
      <c r="MQ31" s="33">
        <f>MP32</f>
        <v/>
      </c>
      <c r="MR31" s="33">
        <f>MQ32</f>
        <v/>
      </c>
      <c r="MS31" s="33">
        <f>MR32</f>
        <v/>
      </c>
      <c r="MT31" s="33">
        <f>MS32</f>
        <v/>
      </c>
      <c r="MU31" s="33">
        <f>MT32</f>
        <v/>
      </c>
      <c r="MV31" s="33">
        <f>MU32</f>
        <v/>
      </c>
      <c r="MW31" s="33">
        <f>MV32</f>
        <v/>
      </c>
      <c r="MX31" s="33">
        <f>MW32</f>
        <v/>
      </c>
      <c r="MY31" s="33">
        <f>MX32</f>
        <v/>
      </c>
      <c r="MZ31" s="33">
        <f>MY32</f>
        <v/>
      </c>
      <c r="NA31" s="33">
        <f>MZ32</f>
        <v/>
      </c>
      <c r="NB31" s="33">
        <f>NA32</f>
        <v/>
      </c>
      <c r="NC31" s="33">
        <f>NB32</f>
        <v/>
      </c>
      <c r="ND31" s="33">
        <f>NC32</f>
        <v/>
      </c>
      <c r="NE31" s="33">
        <f>ND32</f>
        <v/>
      </c>
      <c r="NF31" s="33">
        <f>NE32</f>
        <v/>
      </c>
      <c r="NG31" s="33">
        <f>NF32</f>
        <v/>
      </c>
      <c r="NH31" s="33">
        <f>NG32</f>
        <v/>
      </c>
      <c r="NI31" s="33">
        <f>NH32</f>
        <v/>
      </c>
      <c r="NJ31" s="33">
        <f>NI32</f>
        <v/>
      </c>
      <c r="NK31" s="33">
        <f>NJ32</f>
        <v/>
      </c>
      <c r="NL31" s="33">
        <f>NK32</f>
        <v/>
      </c>
      <c r="NM31" s="33">
        <f>NL32</f>
        <v/>
      </c>
      <c r="NN31" s="33">
        <f>NM32</f>
        <v/>
      </c>
      <c r="NO31" s="33">
        <f>NN32</f>
        <v/>
      </c>
      <c r="NP31" s="33">
        <f>NO32</f>
        <v/>
      </c>
      <c r="NQ31" s="33">
        <f>NP32</f>
        <v/>
      </c>
      <c r="NR31" s="33">
        <f>NQ32</f>
        <v/>
      </c>
      <c r="NS31" s="33">
        <f>NR32</f>
        <v/>
      </c>
      <c r="NT31" s="33">
        <f>NS32</f>
        <v/>
      </c>
      <c r="NU31" s="33">
        <f>NT32</f>
        <v/>
      </c>
      <c r="NV31" s="33">
        <f>NU32</f>
        <v/>
      </c>
      <c r="NW31" s="33">
        <f>NV32</f>
        <v/>
      </c>
      <c r="NX31" s="33">
        <f>NW32</f>
        <v/>
      </c>
      <c r="NY31" s="33">
        <f>NX32</f>
        <v/>
      </c>
      <c r="NZ31" s="33">
        <f>NY32</f>
        <v/>
      </c>
      <c r="OA31" s="33">
        <f>NZ32</f>
        <v/>
      </c>
      <c r="OB31" s="33">
        <f>OA32</f>
        <v/>
      </c>
      <c r="OC31" s="33">
        <f>OB32</f>
        <v/>
      </c>
      <c r="OD31" s="33">
        <f>OC32</f>
        <v/>
      </c>
      <c r="OE31" s="33">
        <f>OD32</f>
        <v/>
      </c>
      <c r="OF31" s="33">
        <f>OE32</f>
        <v/>
      </c>
      <c r="OG31" s="33">
        <f>OF32</f>
        <v/>
      </c>
      <c r="OH31" s="33">
        <f>OG32</f>
        <v/>
      </c>
      <c r="OI31" s="33">
        <f>OH32</f>
        <v/>
      </c>
      <c r="OJ31" s="33">
        <f>OI32</f>
        <v/>
      </c>
      <c r="OK31" s="33">
        <f>OJ32</f>
        <v/>
      </c>
      <c r="OL31" s="33">
        <f>OK32</f>
        <v/>
      </c>
      <c r="OM31" s="33">
        <f>OL32</f>
        <v/>
      </c>
      <c r="ON31" s="33">
        <f>OM32</f>
        <v/>
      </c>
      <c r="OO31" s="33">
        <f>ON32</f>
        <v/>
      </c>
      <c r="OP31" s="33">
        <f>OO32</f>
        <v/>
      </c>
      <c r="OQ31" s="33">
        <f>OP32</f>
        <v/>
      </c>
      <c r="OR31" s="33">
        <f>OQ32</f>
        <v/>
      </c>
      <c r="OS31" s="33">
        <f>OR32</f>
        <v/>
      </c>
      <c r="OT31" s="33">
        <f>OS32</f>
        <v/>
      </c>
      <c r="OU31" s="33">
        <f>OT32</f>
        <v/>
      </c>
      <c r="OV31" s="33">
        <f>OU32</f>
        <v/>
      </c>
      <c r="OW31" s="33">
        <f>OV32</f>
        <v/>
      </c>
      <c r="OX31" s="33">
        <f>OW32</f>
        <v/>
      </c>
      <c r="OY31" s="33">
        <f>OX32</f>
        <v/>
      </c>
      <c r="OZ31" s="33">
        <f>OY32</f>
        <v/>
      </c>
      <c r="PA31" s="33">
        <f>OZ32</f>
        <v/>
      </c>
      <c r="PB31" s="33">
        <f>PA32</f>
        <v/>
      </c>
      <c r="PC31" s="33">
        <f>PB32</f>
        <v/>
      </c>
      <c r="PD31" s="33">
        <f>PC32</f>
        <v/>
      </c>
      <c r="PE31" s="33">
        <f>PD32</f>
        <v/>
      </c>
      <c r="PF31" s="33">
        <f>PE32</f>
        <v/>
      </c>
      <c r="PG31" s="33">
        <f>PF32</f>
        <v/>
      </c>
      <c r="PH31" s="33">
        <f>PG32</f>
        <v/>
      </c>
      <c r="PI31" s="33">
        <f>PH32</f>
        <v/>
      </c>
      <c r="PJ31" s="33">
        <f>PI32</f>
        <v/>
      </c>
      <c r="PK31" s="33">
        <f>PJ32</f>
        <v/>
      </c>
      <c r="PL31" s="33">
        <f>PK32</f>
        <v/>
      </c>
      <c r="PM31" s="33">
        <f>PL32</f>
        <v/>
      </c>
      <c r="PN31" s="33">
        <f>PM32</f>
        <v/>
      </c>
      <c r="PO31" s="33">
        <f>PN32</f>
        <v/>
      </c>
      <c r="PP31" s="33">
        <f>PO32</f>
        <v/>
      </c>
      <c r="PQ31" s="33">
        <f>PP32</f>
        <v/>
      </c>
      <c r="PR31" s="33">
        <f>PQ32</f>
        <v/>
      </c>
      <c r="PS31" s="33">
        <f>PR32</f>
        <v/>
      </c>
      <c r="PT31" s="33">
        <f>PS32</f>
        <v/>
      </c>
      <c r="PU31" s="33">
        <f>PT32</f>
        <v/>
      </c>
      <c r="PV31" s="33">
        <f>PU32</f>
        <v/>
      </c>
      <c r="PW31" s="33">
        <f>PV32</f>
        <v/>
      </c>
      <c r="PX31" s="33">
        <f>PW32</f>
        <v/>
      </c>
      <c r="PY31" s="33">
        <f>PX32</f>
        <v/>
      </c>
      <c r="PZ31" s="33">
        <f>PY32</f>
        <v/>
      </c>
      <c r="QA31" s="33">
        <f>PZ32</f>
        <v/>
      </c>
      <c r="QB31" s="33">
        <f>QA32</f>
        <v/>
      </c>
      <c r="QC31" s="33">
        <f>QB32</f>
        <v/>
      </c>
      <c r="QD31" s="33">
        <f>QC32</f>
        <v/>
      </c>
      <c r="QE31" s="33">
        <f>QD32</f>
        <v/>
      </c>
      <c r="QF31" s="33">
        <f>QE32</f>
        <v/>
      </c>
      <c r="QG31" s="33">
        <f>QF32</f>
        <v/>
      </c>
      <c r="QH31" s="33">
        <f>QG32</f>
        <v/>
      </c>
      <c r="QI31" s="33">
        <f>QH32</f>
        <v/>
      </c>
      <c r="QJ31" s="33">
        <f>QI32</f>
        <v/>
      </c>
      <c r="QK31" s="33">
        <f>QJ32</f>
        <v/>
      </c>
      <c r="QL31" s="33">
        <f>QK32</f>
        <v/>
      </c>
      <c r="QM31" s="33">
        <f>QL32</f>
        <v/>
      </c>
      <c r="QN31" s="33">
        <f>QM32</f>
        <v/>
      </c>
      <c r="QO31" s="33">
        <f>QN32</f>
        <v/>
      </c>
      <c r="QP31" s="33">
        <f>QO32</f>
        <v/>
      </c>
      <c r="QQ31" s="33">
        <f>QP32</f>
        <v/>
      </c>
      <c r="QR31" s="33">
        <f>QQ32</f>
        <v/>
      </c>
      <c r="QS31" s="33">
        <f>QR32</f>
        <v/>
      </c>
      <c r="QT31" s="33">
        <f>QS32</f>
        <v/>
      </c>
      <c r="QU31" s="33">
        <f>QT32</f>
        <v/>
      </c>
      <c r="QV31" s="33">
        <f>QU32</f>
        <v/>
      </c>
      <c r="QW31" s="33">
        <f>QV32</f>
        <v/>
      </c>
      <c r="QX31" s="33">
        <f>QW32</f>
        <v/>
      </c>
      <c r="QY31" s="33">
        <f>QX32</f>
        <v/>
      </c>
      <c r="QZ31" s="33">
        <f>QY32</f>
        <v/>
      </c>
      <c r="RA31" s="33">
        <f>QZ32</f>
        <v/>
      </c>
      <c r="RB31" s="33">
        <f>RA32</f>
        <v/>
      </c>
      <c r="RC31" s="33">
        <f>RB32</f>
        <v/>
      </c>
      <c r="RD31" s="33">
        <f>RC32</f>
        <v/>
      </c>
      <c r="RE31" s="33">
        <f>RD32</f>
        <v/>
      </c>
      <c r="RF31" s="33">
        <f>RE32</f>
        <v/>
      </c>
      <c r="RG31" s="33">
        <f>RF32</f>
        <v/>
      </c>
      <c r="RH31" s="33">
        <f>RG32</f>
        <v/>
      </c>
      <c r="RI31" s="33">
        <f>RH32</f>
        <v/>
      </c>
      <c r="RJ31" s="33">
        <f>RI32</f>
        <v/>
      </c>
      <c r="RK31" s="33">
        <f>RJ32</f>
        <v/>
      </c>
      <c r="RL31" s="33">
        <f>RK32</f>
        <v/>
      </c>
      <c r="RM31" s="33">
        <f>RL32</f>
        <v/>
      </c>
      <c r="RN31" s="33">
        <f>RM32</f>
        <v/>
      </c>
      <c r="RO31" s="33">
        <f>RN32</f>
        <v/>
      </c>
      <c r="RP31" s="33">
        <f>RO32</f>
        <v/>
      </c>
      <c r="RQ31" s="33">
        <f>RP32</f>
        <v/>
      </c>
      <c r="RR31" s="33">
        <f>RQ32</f>
        <v/>
      </c>
      <c r="RS31" s="33">
        <f>RR32</f>
        <v/>
      </c>
      <c r="RT31" s="33">
        <f>RS32</f>
        <v/>
      </c>
      <c r="RU31" s="33">
        <f>RT32</f>
        <v/>
      </c>
      <c r="RV31" s="33">
        <f>RU32</f>
        <v/>
      </c>
      <c r="RW31" s="33">
        <f>RV32</f>
        <v/>
      </c>
    </row>
    <row r="32" ht="13.05" customHeight="1">
      <c r="E32" s="40" t="inlineStr">
        <is>
          <t>Closing Cash</t>
        </is>
      </c>
      <c r="F32" s="41" t="n"/>
      <c r="G32" s="41" t="inlineStr">
        <is>
          <t>kEUR</t>
        </is>
      </c>
      <c r="H32" s="41" t="n"/>
      <c r="I32" s="41" t="n"/>
      <c r="J32" s="42" t="n">
        <v>-164056808.5204501</v>
      </c>
      <c r="K32" s="41" t="n"/>
      <c r="L32" s="43">
        <f>Assumptions!$B$4+L30</f>
        <v/>
      </c>
      <c r="M32" s="43">
        <f>L32+M30</f>
        <v/>
      </c>
      <c r="N32" s="43">
        <f>M32+N30</f>
        <v/>
      </c>
      <c r="O32" s="43">
        <f>N32+O30</f>
        <v/>
      </c>
      <c r="P32" s="43">
        <f>O32+P30</f>
        <v/>
      </c>
      <c r="Q32" s="43">
        <f>P32+Q30</f>
        <v/>
      </c>
      <c r="R32" s="43">
        <f>Q32+R30</f>
        <v/>
      </c>
      <c r="S32" s="43">
        <f>R32+S30</f>
        <v/>
      </c>
      <c r="T32" s="43">
        <f>S32+T30</f>
        <v/>
      </c>
      <c r="U32" s="43">
        <f>T32+U30</f>
        <v/>
      </c>
      <c r="V32" s="43">
        <f>U32+V30</f>
        <v/>
      </c>
      <c r="W32" s="43">
        <f>V32+W30</f>
        <v/>
      </c>
      <c r="X32" s="43">
        <f>W32+X30</f>
        <v/>
      </c>
      <c r="Y32" s="43">
        <f>X32+Y30</f>
        <v/>
      </c>
      <c r="Z32" s="43">
        <f>Y32+Z30</f>
        <v/>
      </c>
      <c r="AA32" s="43">
        <f>Z32+AA30</f>
        <v/>
      </c>
      <c r="AB32" s="43">
        <f>AA32+AB30</f>
        <v/>
      </c>
      <c r="AC32" s="43">
        <f>AB32+AC30</f>
        <v/>
      </c>
      <c r="AD32" s="43">
        <f>AC32+AD30</f>
        <v/>
      </c>
      <c r="AE32" s="43">
        <f>AD32+AE30</f>
        <v/>
      </c>
      <c r="AF32" s="43">
        <f>AE32+AF30</f>
        <v/>
      </c>
      <c r="AG32" s="43">
        <f>AF32+AG30</f>
        <v/>
      </c>
      <c r="AH32" s="43">
        <f>AG32+AH30</f>
        <v/>
      </c>
      <c r="AI32" s="43">
        <f>AH32+AI30</f>
        <v/>
      </c>
      <c r="AJ32" s="43">
        <f>AI32+AJ30</f>
        <v/>
      </c>
      <c r="AK32" s="43">
        <f>AJ32+AK30</f>
        <v/>
      </c>
      <c r="AL32" s="43">
        <f>AK32+AL30</f>
        <v/>
      </c>
      <c r="AM32" s="43">
        <f>AL32+AM30</f>
        <v/>
      </c>
      <c r="AN32" s="43">
        <f>AM32+AN30</f>
        <v/>
      </c>
      <c r="AO32" s="43">
        <f>AN32+AO30</f>
        <v/>
      </c>
      <c r="AP32" s="43">
        <f>AO32+AP30</f>
        <v/>
      </c>
      <c r="AQ32" s="43">
        <f>AP32+AQ30</f>
        <v/>
      </c>
      <c r="AR32" s="43">
        <f>AQ32+AR30</f>
        <v/>
      </c>
      <c r="AS32" s="43">
        <f>AR32+AS30</f>
        <v/>
      </c>
      <c r="AT32" s="43">
        <f>AS32+AT30</f>
        <v/>
      </c>
      <c r="AU32" s="43">
        <f>AT32+AU30</f>
        <v/>
      </c>
      <c r="AV32" s="43">
        <f>AU32+AV30</f>
        <v/>
      </c>
      <c r="AW32" s="43">
        <f>AV32+AW30</f>
        <v/>
      </c>
      <c r="AX32" s="43">
        <f>AW32+AX30</f>
        <v/>
      </c>
      <c r="AY32" s="43">
        <f>AX32+AY30</f>
        <v/>
      </c>
      <c r="AZ32" s="43">
        <f>AY32+AZ30</f>
        <v/>
      </c>
      <c r="BA32" s="43">
        <f>AZ32+BA30</f>
        <v/>
      </c>
      <c r="BB32" s="43">
        <f>BA32+BB30</f>
        <v/>
      </c>
      <c r="BC32" s="43">
        <f>BB32+BC30</f>
        <v/>
      </c>
      <c r="BD32" s="43">
        <f>BC32+BD30</f>
        <v/>
      </c>
      <c r="BE32" s="43">
        <f>BD32+BE30</f>
        <v/>
      </c>
      <c r="BF32" s="43">
        <f>BE32+BF30</f>
        <v/>
      </c>
      <c r="BG32" s="43">
        <f>BF32+BG30</f>
        <v/>
      </c>
      <c r="BH32" s="43">
        <f>BG32+BH30</f>
        <v/>
      </c>
      <c r="BI32" s="43">
        <f>BH32+BI30</f>
        <v/>
      </c>
      <c r="BJ32" s="43">
        <f>BI32+BJ30</f>
        <v/>
      </c>
      <c r="BK32" s="43">
        <f>BJ32+BK30</f>
        <v/>
      </c>
      <c r="BL32" s="43">
        <f>BK32+BL30</f>
        <v/>
      </c>
      <c r="BM32" s="43">
        <f>BL32+BM30</f>
        <v/>
      </c>
      <c r="BN32" s="43">
        <f>BM32+BN30</f>
        <v/>
      </c>
      <c r="BO32" s="43">
        <f>BN32+BO30</f>
        <v/>
      </c>
      <c r="BP32" s="43">
        <f>BO32+BP30</f>
        <v/>
      </c>
      <c r="BQ32" s="43">
        <f>BP32+BQ30</f>
        <v/>
      </c>
      <c r="BR32" s="43">
        <f>BQ32+BR30</f>
        <v/>
      </c>
      <c r="BS32" s="43">
        <f>BR32+BS30</f>
        <v/>
      </c>
      <c r="BT32" s="43">
        <f>BS32+BT30</f>
        <v/>
      </c>
      <c r="BU32" s="43">
        <f>BT32+BU30</f>
        <v/>
      </c>
      <c r="BV32" s="43">
        <f>BU32+BV30</f>
        <v/>
      </c>
      <c r="BW32" s="43">
        <f>BV32+BW30</f>
        <v/>
      </c>
      <c r="BX32" s="43">
        <f>BW32+BX30</f>
        <v/>
      </c>
      <c r="BY32" s="43">
        <f>BX32+BY30</f>
        <v/>
      </c>
      <c r="BZ32" s="43">
        <f>BY32+BZ30</f>
        <v/>
      </c>
      <c r="CA32" s="43">
        <f>BZ32+CA30</f>
        <v/>
      </c>
      <c r="CB32" s="43">
        <f>CA32+CB30</f>
        <v/>
      </c>
      <c r="CC32" s="43">
        <f>CB32+CC30</f>
        <v/>
      </c>
      <c r="CD32" s="43">
        <f>CC32+CD30</f>
        <v/>
      </c>
      <c r="CE32" s="43">
        <f>CD32+CE30</f>
        <v/>
      </c>
      <c r="CF32" s="43">
        <f>CE32+CF30</f>
        <v/>
      </c>
      <c r="CG32" s="43">
        <f>CF32+CG30</f>
        <v/>
      </c>
      <c r="CH32" s="43">
        <f>CG32+CH30</f>
        <v/>
      </c>
      <c r="CI32" s="43">
        <f>CH32+CI30</f>
        <v/>
      </c>
      <c r="CJ32" s="43">
        <f>CI32+CJ30</f>
        <v/>
      </c>
      <c r="CK32" s="43">
        <f>CJ32+CK30</f>
        <v/>
      </c>
      <c r="CL32" s="43">
        <f>CK32+CL30</f>
        <v/>
      </c>
      <c r="CM32" s="43">
        <f>CL32+CM30</f>
        <v/>
      </c>
      <c r="CN32" s="43">
        <f>CM32+CN30</f>
        <v/>
      </c>
      <c r="CO32" s="43">
        <f>CN32+CO30</f>
        <v/>
      </c>
      <c r="CP32" s="43">
        <f>CO32+CP30</f>
        <v/>
      </c>
      <c r="CQ32" s="43">
        <f>CP32+CQ30</f>
        <v/>
      </c>
      <c r="CR32" s="43">
        <f>CQ32+CR30</f>
        <v/>
      </c>
      <c r="CS32" s="43">
        <f>CR32+CS30</f>
        <v/>
      </c>
      <c r="CT32" s="43">
        <f>CS32+CT30</f>
        <v/>
      </c>
      <c r="CU32" s="43">
        <f>CT32+CU30</f>
        <v/>
      </c>
      <c r="CV32" s="43">
        <f>CU32+CV30</f>
        <v/>
      </c>
      <c r="CW32" s="43">
        <f>CV32+CW30</f>
        <v/>
      </c>
      <c r="CX32" s="43">
        <f>CW32+CX30</f>
        <v/>
      </c>
      <c r="CY32" s="43">
        <f>CX32+CY30</f>
        <v/>
      </c>
      <c r="CZ32" s="43">
        <f>CY32+CZ30</f>
        <v/>
      </c>
      <c r="DA32" s="43">
        <f>CZ32+DA30</f>
        <v/>
      </c>
      <c r="DB32" s="43">
        <f>DA32+DB30</f>
        <v/>
      </c>
      <c r="DC32" s="43">
        <f>DB32+DC30</f>
        <v/>
      </c>
      <c r="DD32" s="43">
        <f>DC32+DD30</f>
        <v/>
      </c>
      <c r="DE32" s="43">
        <f>DD32+DE30</f>
        <v/>
      </c>
      <c r="DF32" s="43">
        <f>DE32+DF30</f>
        <v/>
      </c>
      <c r="DG32" s="43">
        <f>DF32+DG30</f>
        <v/>
      </c>
      <c r="DH32" s="43">
        <f>DG32+DH30</f>
        <v/>
      </c>
      <c r="DI32" s="43">
        <f>DH32+DI30</f>
        <v/>
      </c>
      <c r="DJ32" s="43">
        <f>DI32+DJ30</f>
        <v/>
      </c>
      <c r="DK32" s="43">
        <f>DJ32+DK30</f>
        <v/>
      </c>
      <c r="DL32" s="43">
        <f>DK32+DL30</f>
        <v/>
      </c>
      <c r="DM32" s="43">
        <f>DL32+DM30</f>
        <v/>
      </c>
      <c r="DN32" s="43">
        <f>DM32+DN30</f>
        <v/>
      </c>
      <c r="DO32" s="43">
        <f>DN32+DO30</f>
        <v/>
      </c>
      <c r="DP32" s="43">
        <f>DO32+DP30</f>
        <v/>
      </c>
      <c r="DQ32" s="43">
        <f>DP32+DQ30</f>
        <v/>
      </c>
      <c r="DR32" s="43">
        <f>DQ32+DR30</f>
        <v/>
      </c>
      <c r="DS32" s="43">
        <f>DR32+DS30</f>
        <v/>
      </c>
      <c r="DT32" s="43">
        <f>DS32+DT30</f>
        <v/>
      </c>
      <c r="DU32" s="43">
        <f>DT32+DU30</f>
        <v/>
      </c>
      <c r="DV32" s="43">
        <f>DU32+DV30</f>
        <v/>
      </c>
      <c r="DW32" s="43">
        <f>DV32+DW30</f>
        <v/>
      </c>
      <c r="DX32" s="43">
        <f>DW32+DX30</f>
        <v/>
      </c>
      <c r="DY32" s="43">
        <f>DX32+DY30</f>
        <v/>
      </c>
      <c r="DZ32" s="43">
        <f>DY32+DZ30</f>
        <v/>
      </c>
      <c r="EA32" s="43">
        <f>DZ32+EA30</f>
        <v/>
      </c>
      <c r="EB32" s="43">
        <f>EA32+EB30</f>
        <v/>
      </c>
      <c r="EC32" s="43">
        <f>EB32+EC30</f>
        <v/>
      </c>
      <c r="ED32" s="43">
        <f>EC32+ED30</f>
        <v/>
      </c>
      <c r="EE32" s="43">
        <f>ED32+EE30</f>
        <v/>
      </c>
      <c r="EF32" s="43">
        <f>EE32+EF30</f>
        <v/>
      </c>
      <c r="EG32" s="43">
        <f>EF32+EG30</f>
        <v/>
      </c>
      <c r="EH32" s="43">
        <f>EG32+EH30</f>
        <v/>
      </c>
      <c r="EI32" s="43">
        <f>EH32+EI30</f>
        <v/>
      </c>
      <c r="EJ32" s="43">
        <f>EI32+EJ30</f>
        <v/>
      </c>
      <c r="EK32" s="43">
        <f>EJ32+EK30</f>
        <v/>
      </c>
      <c r="EL32" s="43">
        <f>EK32+EL30</f>
        <v/>
      </c>
      <c r="EM32" s="43">
        <f>EL32+EM30</f>
        <v/>
      </c>
      <c r="EN32" s="43">
        <f>EM32+EN30</f>
        <v/>
      </c>
      <c r="EO32" s="43">
        <f>EN32+EO30</f>
        <v/>
      </c>
      <c r="EP32" s="43">
        <f>EO32+EP30</f>
        <v/>
      </c>
      <c r="EQ32" s="43">
        <f>EP32+EQ30</f>
        <v/>
      </c>
      <c r="ER32" s="43">
        <f>EQ32+ER30</f>
        <v/>
      </c>
      <c r="ES32" s="43">
        <f>ER32+ES30</f>
        <v/>
      </c>
      <c r="ET32" s="43">
        <f>ES32+ET30</f>
        <v/>
      </c>
      <c r="EU32" s="43">
        <f>ET32+EU30</f>
        <v/>
      </c>
      <c r="EV32" s="43">
        <f>EU32+EV30</f>
        <v/>
      </c>
      <c r="EW32" s="43">
        <f>EV32+EW30</f>
        <v/>
      </c>
      <c r="EX32" s="43">
        <f>EW32+EX30</f>
        <v/>
      </c>
      <c r="EY32" s="43">
        <f>EX32+EY30</f>
        <v/>
      </c>
      <c r="EZ32" s="43">
        <f>EY32+EZ30</f>
        <v/>
      </c>
      <c r="FA32" s="43">
        <f>EZ32+FA30</f>
        <v/>
      </c>
      <c r="FB32" s="43">
        <f>FA32+FB30</f>
        <v/>
      </c>
      <c r="FC32" s="43">
        <f>FB32+FC30</f>
        <v/>
      </c>
      <c r="FD32" s="43">
        <f>FC32+FD30</f>
        <v/>
      </c>
      <c r="FE32" s="43">
        <f>FD32+FE30</f>
        <v/>
      </c>
      <c r="FF32" s="43">
        <f>FE32+FF30</f>
        <v/>
      </c>
      <c r="FG32" s="43">
        <f>FF32+FG30</f>
        <v/>
      </c>
      <c r="FH32" s="43">
        <f>FG32+FH30</f>
        <v/>
      </c>
      <c r="FI32" s="43">
        <f>FH32+FI30</f>
        <v/>
      </c>
      <c r="FJ32" s="43">
        <f>FI32+FJ30</f>
        <v/>
      </c>
      <c r="FK32" s="43">
        <f>FJ32+FK30</f>
        <v/>
      </c>
      <c r="FL32" s="43">
        <f>FK32+FL30</f>
        <v/>
      </c>
      <c r="FM32" s="43">
        <f>FL32+FM30</f>
        <v/>
      </c>
      <c r="FN32" s="43">
        <f>FM32+FN30</f>
        <v/>
      </c>
      <c r="FO32" s="43">
        <f>FN32+FO30</f>
        <v/>
      </c>
      <c r="FP32" s="43">
        <f>FO32+FP30</f>
        <v/>
      </c>
      <c r="FQ32" s="43">
        <f>FP32+FQ30</f>
        <v/>
      </c>
      <c r="FR32" s="43">
        <f>FQ32+FR30</f>
        <v/>
      </c>
      <c r="FS32" s="43">
        <f>FR32+FS30</f>
        <v/>
      </c>
      <c r="FT32" s="43">
        <f>FS32+FT30</f>
        <v/>
      </c>
      <c r="FU32" s="43">
        <f>FT32+FU30</f>
        <v/>
      </c>
      <c r="FV32" s="43">
        <f>FU32+FV30</f>
        <v/>
      </c>
      <c r="FW32" s="43">
        <f>FV32+FW30</f>
        <v/>
      </c>
      <c r="FX32" s="43">
        <f>FW32+FX30</f>
        <v/>
      </c>
      <c r="FY32" s="43">
        <f>FX32+FY30</f>
        <v/>
      </c>
      <c r="FZ32" s="43">
        <f>FY32+FZ30</f>
        <v/>
      </c>
      <c r="GA32" s="43">
        <f>FZ32+GA30</f>
        <v/>
      </c>
      <c r="GB32" s="43">
        <f>GA32+GB30</f>
        <v/>
      </c>
      <c r="GC32" s="43">
        <f>GB32+GC30</f>
        <v/>
      </c>
      <c r="GD32" s="43">
        <f>GC32+GD30</f>
        <v/>
      </c>
      <c r="GE32" s="43">
        <f>GD32+GE30</f>
        <v/>
      </c>
      <c r="GF32" s="43">
        <f>GE32+GF30</f>
        <v/>
      </c>
      <c r="GG32" s="43">
        <f>GF32+GG30</f>
        <v/>
      </c>
      <c r="GH32" s="43">
        <f>GG32+GH30</f>
        <v/>
      </c>
      <c r="GI32" s="43">
        <f>GH32+GI30</f>
        <v/>
      </c>
      <c r="GJ32" s="43">
        <f>GI32+GJ30</f>
        <v/>
      </c>
      <c r="GK32" s="43">
        <f>GJ32+GK30</f>
        <v/>
      </c>
      <c r="GL32" s="43">
        <f>GK32+GL30</f>
        <v/>
      </c>
      <c r="GM32" s="43">
        <f>GL32+GM30</f>
        <v/>
      </c>
      <c r="GN32" s="43">
        <f>GM32+GN30</f>
        <v/>
      </c>
      <c r="GO32" s="43">
        <f>GN32+GO30</f>
        <v/>
      </c>
      <c r="GP32" s="43">
        <f>GO32+GP30</f>
        <v/>
      </c>
      <c r="GQ32" s="43">
        <f>GP32+GQ30</f>
        <v/>
      </c>
      <c r="GR32" s="43">
        <f>GQ32+GR30</f>
        <v/>
      </c>
      <c r="GS32" s="43">
        <f>GR32+GS30</f>
        <v/>
      </c>
      <c r="GT32" s="43">
        <f>GS32+GT30</f>
        <v/>
      </c>
      <c r="GU32" s="43">
        <f>GT32+GU30</f>
        <v/>
      </c>
      <c r="GV32" s="43">
        <f>GU32+GV30</f>
        <v/>
      </c>
      <c r="GW32" s="43">
        <f>GV32+GW30</f>
        <v/>
      </c>
      <c r="GX32" s="43">
        <f>GW32+GX30</f>
        <v/>
      </c>
      <c r="GY32" s="43">
        <f>GX32+GY30</f>
        <v/>
      </c>
      <c r="GZ32" s="43">
        <f>GY32+GZ30</f>
        <v/>
      </c>
      <c r="HA32" s="43">
        <f>GZ32+HA30</f>
        <v/>
      </c>
      <c r="HB32" s="43">
        <f>HA32+HB30</f>
        <v/>
      </c>
      <c r="HC32" s="43">
        <f>HB32+HC30</f>
        <v/>
      </c>
      <c r="HD32" s="43">
        <f>HC32+HD30</f>
        <v/>
      </c>
      <c r="HE32" s="43">
        <f>HD32+HE30</f>
        <v/>
      </c>
      <c r="HF32" s="43">
        <f>HE32+HF30</f>
        <v/>
      </c>
      <c r="HG32" s="43">
        <f>HF32+HG30</f>
        <v/>
      </c>
      <c r="HH32" s="43">
        <f>HG32+HH30</f>
        <v/>
      </c>
      <c r="HI32" s="43">
        <f>HH32+HI30</f>
        <v/>
      </c>
      <c r="HJ32" s="43">
        <f>HI32+HJ30</f>
        <v/>
      </c>
      <c r="HK32" s="43">
        <f>HJ32+HK30</f>
        <v/>
      </c>
      <c r="HL32" s="43">
        <f>HK32+HL30</f>
        <v/>
      </c>
      <c r="HM32" s="43">
        <f>HL32+HM30</f>
        <v/>
      </c>
      <c r="HN32" s="43">
        <f>HM32+HN30</f>
        <v/>
      </c>
      <c r="HO32" s="43">
        <f>HN32+HO30</f>
        <v/>
      </c>
      <c r="HP32" s="43">
        <f>HO32+HP30</f>
        <v/>
      </c>
      <c r="HQ32" s="43">
        <f>HP32+HQ30</f>
        <v/>
      </c>
      <c r="HR32" s="43">
        <f>HQ32+HR30</f>
        <v/>
      </c>
      <c r="HS32" s="43">
        <f>HR32+HS30</f>
        <v/>
      </c>
      <c r="HT32" s="43">
        <f>HS32+HT30</f>
        <v/>
      </c>
      <c r="HU32" s="43">
        <f>HT32+HU30</f>
        <v/>
      </c>
      <c r="HV32" s="43">
        <f>HU32+HV30</f>
        <v/>
      </c>
      <c r="HW32" s="43">
        <f>HV32+HW30</f>
        <v/>
      </c>
      <c r="HX32" s="43">
        <f>HW32+HX30</f>
        <v/>
      </c>
      <c r="HY32" s="43">
        <f>HX32+HY30</f>
        <v/>
      </c>
      <c r="HZ32" s="43">
        <f>HY32+HZ30</f>
        <v/>
      </c>
      <c r="IA32" s="43">
        <f>HZ32+IA30</f>
        <v/>
      </c>
      <c r="IB32" s="43">
        <f>IA32+IB30</f>
        <v/>
      </c>
      <c r="IC32" s="43">
        <f>IB32+IC30</f>
        <v/>
      </c>
      <c r="ID32" s="43">
        <f>IC32+ID30</f>
        <v/>
      </c>
      <c r="IE32" s="43">
        <f>ID32+IE30</f>
        <v/>
      </c>
      <c r="IF32" s="43">
        <f>IE32+IF30</f>
        <v/>
      </c>
      <c r="IG32" s="43">
        <f>IF32+IG30</f>
        <v/>
      </c>
      <c r="IH32" s="43">
        <f>IG32+IH30</f>
        <v/>
      </c>
      <c r="II32" s="43">
        <f>IH32+II30</f>
        <v/>
      </c>
      <c r="IJ32" s="43">
        <f>II32+IJ30</f>
        <v/>
      </c>
      <c r="IK32" s="43">
        <f>IJ32+IK30</f>
        <v/>
      </c>
      <c r="IL32" s="43">
        <f>IK32+IL30</f>
        <v/>
      </c>
      <c r="IM32" s="43">
        <f>IL32+IM30</f>
        <v/>
      </c>
      <c r="IN32" s="43">
        <f>IM32+IN30</f>
        <v/>
      </c>
      <c r="IO32" s="43">
        <f>IN32+IO30</f>
        <v/>
      </c>
      <c r="IP32" s="43">
        <f>IO32+IP30</f>
        <v/>
      </c>
      <c r="IQ32" s="43">
        <f>IP32+IQ30</f>
        <v/>
      </c>
      <c r="IR32" s="43">
        <f>IQ32+IR30</f>
        <v/>
      </c>
      <c r="IS32" s="43">
        <f>IR32+IS30</f>
        <v/>
      </c>
      <c r="IT32" s="43">
        <f>IS32+IT30</f>
        <v/>
      </c>
      <c r="IU32" s="43">
        <f>IT32+IU30</f>
        <v/>
      </c>
      <c r="IV32" s="43">
        <f>IU32+IV30</f>
        <v/>
      </c>
      <c r="IW32" s="43">
        <f>IV32+IW30</f>
        <v/>
      </c>
      <c r="IX32" s="43">
        <f>IW32+IX30</f>
        <v/>
      </c>
      <c r="IY32" s="43">
        <f>IX32+IY30</f>
        <v/>
      </c>
      <c r="IZ32" s="43">
        <f>IY32+IZ30</f>
        <v/>
      </c>
      <c r="JA32" s="43">
        <f>IZ32+JA30</f>
        <v/>
      </c>
      <c r="JB32" s="43">
        <f>JA32+JB30</f>
        <v/>
      </c>
      <c r="JC32" s="43">
        <f>JB32+JC30</f>
        <v/>
      </c>
      <c r="JD32" s="43">
        <f>JC32+JD30</f>
        <v/>
      </c>
      <c r="JE32" s="43">
        <f>JD32+JE30</f>
        <v/>
      </c>
      <c r="JF32" s="43">
        <f>JE32+JF30</f>
        <v/>
      </c>
      <c r="JG32" s="43">
        <f>JF32+JG30</f>
        <v/>
      </c>
      <c r="JH32" s="43">
        <f>JG32+JH30</f>
        <v/>
      </c>
      <c r="JI32" s="43">
        <f>JH32+JI30</f>
        <v/>
      </c>
      <c r="JJ32" s="43">
        <f>JI32+JJ30</f>
        <v/>
      </c>
      <c r="JK32" s="43">
        <f>JJ32+JK30</f>
        <v/>
      </c>
      <c r="JL32" s="43">
        <f>JK32+JL30</f>
        <v/>
      </c>
      <c r="JM32" s="43">
        <f>JL32+JM30</f>
        <v/>
      </c>
      <c r="JN32" s="43">
        <f>JM32+JN30</f>
        <v/>
      </c>
      <c r="JO32" s="43">
        <f>JN32+JO30</f>
        <v/>
      </c>
      <c r="JP32" s="43">
        <f>JO32+JP30</f>
        <v/>
      </c>
      <c r="JQ32" s="43">
        <f>JP32+JQ30</f>
        <v/>
      </c>
      <c r="JR32" s="43">
        <f>JQ32+JR30</f>
        <v/>
      </c>
      <c r="JS32" s="43">
        <f>JR32+JS30</f>
        <v/>
      </c>
      <c r="JT32" s="43">
        <f>JS32+JT30</f>
        <v/>
      </c>
      <c r="JU32" s="43">
        <f>JT32+JU30</f>
        <v/>
      </c>
      <c r="JV32" s="43">
        <f>JU32+JV30</f>
        <v/>
      </c>
      <c r="JW32" s="43">
        <f>JV32+JW30</f>
        <v/>
      </c>
      <c r="JX32" s="43">
        <f>JW32+JX30</f>
        <v/>
      </c>
      <c r="JY32" s="43">
        <f>JX32+JY30</f>
        <v/>
      </c>
      <c r="JZ32" s="43">
        <f>JY32+JZ30</f>
        <v/>
      </c>
      <c r="KA32" s="43">
        <f>JZ32+KA30</f>
        <v/>
      </c>
      <c r="KB32" s="43">
        <f>KA32+KB30</f>
        <v/>
      </c>
      <c r="KC32" s="43">
        <f>KB32+KC30</f>
        <v/>
      </c>
      <c r="KD32" s="43">
        <f>KC32+KD30</f>
        <v/>
      </c>
      <c r="KE32" s="43">
        <f>KD32+KE30</f>
        <v/>
      </c>
      <c r="KF32" s="43">
        <f>KE32+KF30</f>
        <v/>
      </c>
      <c r="KG32" s="43">
        <f>KF32+KG30</f>
        <v/>
      </c>
      <c r="KH32" s="43">
        <f>KG32+KH30</f>
        <v/>
      </c>
      <c r="KI32" s="43">
        <f>KH32+KI30</f>
        <v/>
      </c>
      <c r="KJ32" s="43">
        <f>KI32+KJ30</f>
        <v/>
      </c>
      <c r="KK32" s="43">
        <f>KJ32+KK30</f>
        <v/>
      </c>
      <c r="KL32" s="43">
        <f>KK32+KL30</f>
        <v/>
      </c>
      <c r="KM32" s="43">
        <f>KL32+KM30</f>
        <v/>
      </c>
      <c r="KN32" s="43">
        <f>KM32+KN30</f>
        <v/>
      </c>
      <c r="KO32" s="43">
        <f>KN32+KO30</f>
        <v/>
      </c>
      <c r="KP32" s="43">
        <f>KO32+KP30</f>
        <v/>
      </c>
      <c r="KQ32" s="43">
        <f>KP32+KQ30</f>
        <v/>
      </c>
      <c r="KR32" s="43">
        <f>KQ32+KR30</f>
        <v/>
      </c>
      <c r="KS32" s="43">
        <f>KR32+KS30</f>
        <v/>
      </c>
      <c r="KT32" s="43">
        <f>KS32+KT30</f>
        <v/>
      </c>
      <c r="KU32" s="43">
        <f>KT32+KU30</f>
        <v/>
      </c>
      <c r="KV32" s="43">
        <f>KU32+KV30</f>
        <v/>
      </c>
      <c r="KW32" s="43">
        <f>KV32+KW30</f>
        <v/>
      </c>
      <c r="KX32" s="43">
        <f>KW32+KX30</f>
        <v/>
      </c>
      <c r="KY32" s="43">
        <f>KX32+KY30</f>
        <v/>
      </c>
      <c r="KZ32" s="43">
        <f>KY32+KZ30</f>
        <v/>
      </c>
      <c r="LA32" s="43">
        <f>KZ32+LA30</f>
        <v/>
      </c>
      <c r="LB32" s="43">
        <f>LA32+LB30</f>
        <v/>
      </c>
      <c r="LC32" s="43">
        <f>LB32+LC30</f>
        <v/>
      </c>
      <c r="LD32" s="43">
        <f>LC32+LD30</f>
        <v/>
      </c>
      <c r="LE32" s="43">
        <f>LD32+LE30</f>
        <v/>
      </c>
      <c r="LF32" s="43">
        <f>LE32+LF30</f>
        <v/>
      </c>
      <c r="LG32" s="43">
        <f>LF32+LG30</f>
        <v/>
      </c>
      <c r="LH32" s="43">
        <f>LG32+LH30</f>
        <v/>
      </c>
      <c r="LI32" s="43">
        <f>LH32+LI30</f>
        <v/>
      </c>
      <c r="LJ32" s="43">
        <f>LI32+LJ30</f>
        <v/>
      </c>
      <c r="LK32" s="43">
        <f>LJ32+LK30</f>
        <v/>
      </c>
      <c r="LL32" s="43">
        <f>LK32+LL30</f>
        <v/>
      </c>
      <c r="LM32" s="43">
        <f>LL32+LM30</f>
        <v/>
      </c>
      <c r="LN32" s="43">
        <f>LM32+LN30</f>
        <v/>
      </c>
      <c r="LO32" s="43">
        <f>LN32+LO30</f>
        <v/>
      </c>
      <c r="LP32" s="43">
        <f>LO32+LP30</f>
        <v/>
      </c>
      <c r="LQ32" s="43">
        <f>LP32+LQ30</f>
        <v/>
      </c>
      <c r="LR32" s="43">
        <f>LQ32+LR30</f>
        <v/>
      </c>
      <c r="LS32" s="43">
        <f>LR32+LS30</f>
        <v/>
      </c>
      <c r="LT32" s="43">
        <f>LS32+LT30</f>
        <v/>
      </c>
      <c r="LU32" s="43">
        <f>LT32+LU30</f>
        <v/>
      </c>
      <c r="LV32" s="43">
        <f>LU32+LV30</f>
        <v/>
      </c>
      <c r="LW32" s="43">
        <f>LV32+LW30</f>
        <v/>
      </c>
      <c r="LX32" s="43">
        <f>LW32+LX30</f>
        <v/>
      </c>
      <c r="LY32" s="43">
        <f>LX32+LY30</f>
        <v/>
      </c>
      <c r="LZ32" s="43">
        <f>LY32+LZ30</f>
        <v/>
      </c>
      <c r="MA32" s="43">
        <f>LZ32+MA30</f>
        <v/>
      </c>
      <c r="MB32" s="43">
        <f>MA32+MB30</f>
        <v/>
      </c>
      <c r="MC32" s="43">
        <f>MB32+MC30</f>
        <v/>
      </c>
      <c r="MD32" s="43">
        <f>MC32+MD30</f>
        <v/>
      </c>
      <c r="ME32" s="43">
        <f>MD32+ME30</f>
        <v/>
      </c>
      <c r="MF32" s="43">
        <f>ME32+MF30</f>
        <v/>
      </c>
      <c r="MG32" s="43">
        <f>MF32+MG30</f>
        <v/>
      </c>
      <c r="MH32" s="43">
        <f>MG32+MH30</f>
        <v/>
      </c>
      <c r="MI32" s="43">
        <f>MH32+MI30</f>
        <v/>
      </c>
      <c r="MJ32" s="43">
        <f>MI32+MJ30</f>
        <v/>
      </c>
      <c r="MK32" s="43">
        <f>MJ32+MK30</f>
        <v/>
      </c>
      <c r="ML32" s="43">
        <f>MK32+ML30</f>
        <v/>
      </c>
      <c r="MM32" s="43">
        <f>ML32+MM30</f>
        <v/>
      </c>
      <c r="MN32" s="43">
        <f>MM32+MN30</f>
        <v/>
      </c>
      <c r="MO32" s="43">
        <f>MN32+MO30</f>
        <v/>
      </c>
      <c r="MP32" s="43">
        <f>MO32+MP30</f>
        <v/>
      </c>
      <c r="MQ32" s="43">
        <f>MP32+MQ30</f>
        <v/>
      </c>
      <c r="MR32" s="43">
        <f>MQ32+MR30</f>
        <v/>
      </c>
      <c r="MS32" s="43">
        <f>MR32+MS30</f>
        <v/>
      </c>
      <c r="MT32" s="43">
        <f>MS32+MT30</f>
        <v/>
      </c>
      <c r="MU32" s="43">
        <f>MT32+MU30</f>
        <v/>
      </c>
      <c r="MV32" s="43">
        <f>MU32+MV30</f>
        <v/>
      </c>
      <c r="MW32" s="43">
        <f>MV32+MW30</f>
        <v/>
      </c>
      <c r="MX32" s="43">
        <f>MW32+MX30</f>
        <v/>
      </c>
      <c r="MY32" s="43">
        <f>MX32+MY30</f>
        <v/>
      </c>
      <c r="MZ32" s="43">
        <f>MY32+MZ30</f>
        <v/>
      </c>
      <c r="NA32" s="43">
        <f>MZ32+NA30</f>
        <v/>
      </c>
      <c r="NB32" s="43">
        <f>NA32+NB30</f>
        <v/>
      </c>
      <c r="NC32" s="43">
        <f>NB32+NC30</f>
        <v/>
      </c>
      <c r="ND32" s="43">
        <f>NC32+ND30</f>
        <v/>
      </c>
      <c r="NE32" s="43">
        <f>ND32+NE30</f>
        <v/>
      </c>
      <c r="NF32" s="43">
        <f>NE32+NF30</f>
        <v/>
      </c>
      <c r="NG32" s="43">
        <f>NF32+NG30</f>
        <v/>
      </c>
      <c r="NH32" s="43">
        <f>NG32+NH30</f>
        <v/>
      </c>
      <c r="NI32" s="43">
        <f>NH32+NI30</f>
        <v/>
      </c>
      <c r="NJ32" s="43">
        <f>NI32+NJ30</f>
        <v/>
      </c>
      <c r="NK32" s="43">
        <f>NJ32+NK30</f>
        <v/>
      </c>
      <c r="NL32" s="43">
        <f>NK32+NL30</f>
        <v/>
      </c>
      <c r="NM32" s="43">
        <f>NL32+NM30</f>
        <v/>
      </c>
      <c r="NN32" s="43">
        <f>NM32+NN30</f>
        <v/>
      </c>
      <c r="NO32" s="43">
        <f>NN32+NO30</f>
        <v/>
      </c>
      <c r="NP32" s="43">
        <f>NO32+NP30</f>
        <v/>
      </c>
      <c r="NQ32" s="43">
        <f>NP32+NQ30</f>
        <v/>
      </c>
      <c r="NR32" s="43">
        <f>NQ32+NR30</f>
        <v/>
      </c>
      <c r="NS32" s="43">
        <f>NR32+NS30</f>
        <v/>
      </c>
      <c r="NT32" s="43">
        <f>NS32+NT30</f>
        <v/>
      </c>
      <c r="NU32" s="43">
        <f>NT32+NU30</f>
        <v/>
      </c>
      <c r="NV32" s="43">
        <f>NU32+NV30</f>
        <v/>
      </c>
      <c r="NW32" s="43">
        <f>NV32+NW30</f>
        <v/>
      </c>
      <c r="NX32" s="43">
        <f>NW32+NX30</f>
        <v/>
      </c>
      <c r="NY32" s="43">
        <f>NX32+NY30</f>
        <v/>
      </c>
      <c r="NZ32" s="43">
        <f>NY32+NZ30</f>
        <v/>
      </c>
      <c r="OA32" s="43">
        <f>NZ32+OA30</f>
        <v/>
      </c>
      <c r="OB32" s="43">
        <f>OA32+OB30</f>
        <v/>
      </c>
      <c r="OC32" s="43">
        <f>OB32+OC30</f>
        <v/>
      </c>
      <c r="OD32" s="43">
        <f>OC32+OD30</f>
        <v/>
      </c>
      <c r="OE32" s="43">
        <f>OD32+OE30</f>
        <v/>
      </c>
      <c r="OF32" s="43">
        <f>OE32+OF30</f>
        <v/>
      </c>
      <c r="OG32" s="43">
        <f>OF32+OG30</f>
        <v/>
      </c>
      <c r="OH32" s="43">
        <f>OG32+OH30</f>
        <v/>
      </c>
      <c r="OI32" s="43">
        <f>OH32+OI30</f>
        <v/>
      </c>
      <c r="OJ32" s="43">
        <f>OI32+OJ30</f>
        <v/>
      </c>
      <c r="OK32" s="43">
        <f>OJ32+OK30</f>
        <v/>
      </c>
      <c r="OL32" s="43">
        <f>OK32+OL30</f>
        <v/>
      </c>
      <c r="OM32" s="43">
        <f>OL32+OM30</f>
        <v/>
      </c>
      <c r="ON32" s="43">
        <f>OM32+ON30</f>
        <v/>
      </c>
      <c r="OO32" s="43">
        <f>ON32+OO30</f>
        <v/>
      </c>
      <c r="OP32" s="43">
        <f>OO32+OP30</f>
        <v/>
      </c>
      <c r="OQ32" s="43">
        <f>OP32+OQ30</f>
        <v/>
      </c>
      <c r="OR32" s="43">
        <f>OQ32+OR30</f>
        <v/>
      </c>
      <c r="OS32" s="43">
        <f>OR32+OS30</f>
        <v/>
      </c>
      <c r="OT32" s="43">
        <f>OS32+OT30</f>
        <v/>
      </c>
      <c r="OU32" s="43">
        <f>OT32+OU30</f>
        <v/>
      </c>
      <c r="OV32" s="43">
        <f>OU32+OV30</f>
        <v/>
      </c>
      <c r="OW32" s="43">
        <f>OV32+OW30</f>
        <v/>
      </c>
      <c r="OX32" s="43">
        <f>OW32+OX30</f>
        <v/>
      </c>
      <c r="OY32" s="43">
        <f>OX32+OY30</f>
        <v/>
      </c>
      <c r="OZ32" s="43">
        <f>OY32+OZ30</f>
        <v/>
      </c>
      <c r="PA32" s="43">
        <f>OZ32+PA30</f>
        <v/>
      </c>
      <c r="PB32" s="43">
        <f>PA32+PB30</f>
        <v/>
      </c>
      <c r="PC32" s="43">
        <f>PB32+PC30</f>
        <v/>
      </c>
      <c r="PD32" s="43">
        <f>PC32+PD30</f>
        <v/>
      </c>
      <c r="PE32" s="43">
        <f>PD32+PE30</f>
        <v/>
      </c>
      <c r="PF32" s="43">
        <f>PE32+PF30</f>
        <v/>
      </c>
      <c r="PG32" s="43">
        <f>PF32+PG30</f>
        <v/>
      </c>
      <c r="PH32" s="43">
        <f>PG32+PH30</f>
        <v/>
      </c>
      <c r="PI32" s="43">
        <f>PH32+PI30</f>
        <v/>
      </c>
      <c r="PJ32" s="43">
        <f>PI32+PJ30</f>
        <v/>
      </c>
      <c r="PK32" s="43">
        <f>PJ32+PK30</f>
        <v/>
      </c>
      <c r="PL32" s="43">
        <f>PK32+PL30</f>
        <v/>
      </c>
      <c r="PM32" s="43">
        <f>PL32+PM30</f>
        <v/>
      </c>
      <c r="PN32" s="43">
        <f>PM32+PN30</f>
        <v/>
      </c>
      <c r="PO32" s="43">
        <f>PN32+PO30</f>
        <v/>
      </c>
      <c r="PP32" s="43">
        <f>PO32+PP30</f>
        <v/>
      </c>
      <c r="PQ32" s="43">
        <f>PP32+PQ30</f>
        <v/>
      </c>
      <c r="PR32" s="43">
        <f>PQ32+PR30</f>
        <v/>
      </c>
      <c r="PS32" s="43">
        <f>PR32+PS30</f>
        <v/>
      </c>
      <c r="PT32" s="43">
        <f>PS32+PT30</f>
        <v/>
      </c>
      <c r="PU32" s="43">
        <f>PT32+PU30</f>
        <v/>
      </c>
      <c r="PV32" s="43">
        <f>PU32+PV30</f>
        <v/>
      </c>
      <c r="PW32" s="43">
        <f>PV32+PW30</f>
        <v/>
      </c>
      <c r="PX32" s="43">
        <f>PW32+PX30</f>
        <v/>
      </c>
      <c r="PY32" s="43">
        <f>PX32+PY30</f>
        <v/>
      </c>
      <c r="PZ32" s="43">
        <f>PY32+PZ30</f>
        <v/>
      </c>
      <c r="QA32" s="43">
        <f>PZ32+QA30</f>
        <v/>
      </c>
      <c r="QB32" s="43">
        <f>QA32+QB30</f>
        <v/>
      </c>
      <c r="QC32" s="43">
        <f>QB32+QC30</f>
        <v/>
      </c>
      <c r="QD32" s="43">
        <f>QC32+QD30</f>
        <v/>
      </c>
      <c r="QE32" s="43">
        <f>QD32+QE30</f>
        <v/>
      </c>
      <c r="QF32" s="43">
        <f>QE32+QF30</f>
        <v/>
      </c>
      <c r="QG32" s="43">
        <f>QF32+QG30</f>
        <v/>
      </c>
      <c r="QH32" s="43">
        <f>QG32+QH30</f>
        <v/>
      </c>
      <c r="QI32" s="43">
        <f>QH32+QI30</f>
        <v/>
      </c>
      <c r="QJ32" s="43">
        <f>QI32+QJ30</f>
        <v/>
      </c>
      <c r="QK32" s="43">
        <f>QJ32+QK30</f>
        <v/>
      </c>
      <c r="QL32" s="43">
        <f>QK32+QL30</f>
        <v/>
      </c>
      <c r="QM32" s="43">
        <f>QL32+QM30</f>
        <v/>
      </c>
      <c r="QN32" s="43">
        <f>QM32+QN30</f>
        <v/>
      </c>
      <c r="QO32" s="43">
        <f>QN32+QO30</f>
        <v/>
      </c>
      <c r="QP32" s="43">
        <f>QO32+QP30</f>
        <v/>
      </c>
      <c r="QQ32" s="43">
        <f>QP32+QQ30</f>
        <v/>
      </c>
      <c r="QR32" s="43">
        <f>QQ32+QR30</f>
        <v/>
      </c>
      <c r="QS32" s="43">
        <f>QR32+QS30</f>
        <v/>
      </c>
      <c r="QT32" s="43">
        <f>QS32+QT30</f>
        <v/>
      </c>
      <c r="QU32" s="43">
        <f>QT32+QU30</f>
        <v/>
      </c>
      <c r="QV32" s="43">
        <f>QU32+QV30</f>
        <v/>
      </c>
      <c r="QW32" s="43">
        <f>QV32+QW30</f>
        <v/>
      </c>
      <c r="QX32" s="43">
        <f>QW32+QX30</f>
        <v/>
      </c>
      <c r="QY32" s="43">
        <f>QX32+QY30</f>
        <v/>
      </c>
      <c r="QZ32" s="43">
        <f>QY32+QZ30</f>
        <v/>
      </c>
      <c r="RA32" s="43">
        <f>QZ32+RA30</f>
        <v/>
      </c>
      <c r="RB32" s="43">
        <f>RA32+RB30</f>
        <v/>
      </c>
      <c r="RC32" s="43">
        <f>RB32+RC30</f>
        <v/>
      </c>
      <c r="RD32" s="43">
        <f>RC32+RD30</f>
        <v/>
      </c>
      <c r="RE32" s="43">
        <f>RD32+RE30</f>
        <v/>
      </c>
      <c r="RF32" s="43">
        <f>RE32+RF30</f>
        <v/>
      </c>
      <c r="RG32" s="43">
        <f>RF32+RG30</f>
        <v/>
      </c>
      <c r="RH32" s="43">
        <f>RG32+RH30</f>
        <v/>
      </c>
      <c r="RI32" s="43">
        <f>RH32+RI30</f>
        <v/>
      </c>
      <c r="RJ32" s="43">
        <f>RI32+RJ30</f>
        <v/>
      </c>
      <c r="RK32" s="43">
        <f>RJ32+RK30</f>
        <v/>
      </c>
      <c r="RL32" s="43">
        <f>RK32+RL30</f>
        <v/>
      </c>
      <c r="RM32" s="43">
        <f>RL32+RM30</f>
        <v/>
      </c>
      <c r="RN32" s="43">
        <f>RM32+RN30</f>
        <v/>
      </c>
      <c r="RO32" s="43">
        <f>RN32+RO30</f>
        <v/>
      </c>
      <c r="RP32" s="43">
        <f>RO32+RP30</f>
        <v/>
      </c>
      <c r="RQ32" s="43">
        <f>RP32+RQ30</f>
        <v/>
      </c>
      <c r="RR32" s="43">
        <f>RQ32+RR30</f>
        <v/>
      </c>
      <c r="RS32" s="43">
        <f>RR32+RS30</f>
        <v/>
      </c>
      <c r="RT32" s="43">
        <f>RS32+RT30</f>
        <v/>
      </c>
      <c r="RU32" s="43">
        <f>RT32+RU30</f>
        <v/>
      </c>
      <c r="RV32" s="43">
        <f>RU32+RV30</f>
        <v/>
      </c>
      <c r="RW32" s="43">
        <f>RV32+RW30</f>
        <v/>
      </c>
    </row>
    <row r="33" ht="13.05" customHeight="1">
      <c r="E33" s="39" t="inlineStr">
        <is>
          <t>Balance Sheet</t>
        </is>
      </c>
      <c r="F33" s="39" t="n"/>
      <c r="G33" s="39" t="n"/>
    </row>
    <row r="34" ht="13.05" customHeight="1">
      <c r="E34" s="21" t="inlineStr">
        <is>
          <t>Fixed Assets — Gross</t>
        </is>
      </c>
      <c r="F34" s="29" t="n"/>
      <c r="G34" s="29" t="inlineStr">
        <is>
          <t>kEUR</t>
        </is>
      </c>
      <c r="H34" s="29" t="n"/>
      <c r="I34" s="29" t="n"/>
      <c r="J34" s="32" t="n">
        <v>487143612</v>
      </c>
      <c r="K34" s="29" t="n"/>
      <c r="L34" s="33">
        <f>0+'Costs'!L33</f>
        <v/>
      </c>
      <c r="M34" s="33">
        <f>L34+'Costs'!M33</f>
        <v/>
      </c>
      <c r="N34" s="33">
        <f>M34+'Costs'!N33</f>
        <v/>
      </c>
      <c r="O34" s="33">
        <f>N34+'Costs'!O33</f>
        <v/>
      </c>
      <c r="P34" s="33">
        <f>O34+'Costs'!P33</f>
        <v/>
      </c>
      <c r="Q34" s="33">
        <f>P34+'Costs'!Q33</f>
        <v/>
      </c>
      <c r="R34" s="33">
        <f>Q34+'Costs'!R33</f>
        <v/>
      </c>
      <c r="S34" s="33">
        <f>R34+'Costs'!S33</f>
        <v/>
      </c>
      <c r="T34" s="33">
        <f>S34+'Costs'!T33</f>
        <v/>
      </c>
      <c r="U34" s="33">
        <f>T34+'Costs'!U33</f>
        <v/>
      </c>
      <c r="V34" s="33">
        <f>U34+'Costs'!V33</f>
        <v/>
      </c>
      <c r="W34" s="33">
        <f>V34+'Costs'!W33</f>
        <v/>
      </c>
      <c r="X34" s="33">
        <f>W34+'Costs'!X33</f>
        <v/>
      </c>
      <c r="Y34" s="33">
        <f>X34+'Costs'!Y33</f>
        <v/>
      </c>
      <c r="Z34" s="33">
        <f>Y34+'Costs'!Z33</f>
        <v/>
      </c>
      <c r="AA34" s="33">
        <f>Z34+'Costs'!AA33</f>
        <v/>
      </c>
      <c r="AB34" s="33">
        <f>AA34+'Costs'!AB33</f>
        <v/>
      </c>
      <c r="AC34" s="33">
        <f>AB34+'Costs'!AC33</f>
        <v/>
      </c>
      <c r="AD34" s="33">
        <f>AC34+'Costs'!AD33</f>
        <v/>
      </c>
      <c r="AE34" s="33">
        <f>AD34+'Costs'!AE33</f>
        <v/>
      </c>
      <c r="AF34" s="33">
        <f>AE34+'Costs'!AF33</f>
        <v/>
      </c>
      <c r="AG34" s="33">
        <f>AF34+'Costs'!AG33</f>
        <v/>
      </c>
      <c r="AH34" s="33">
        <f>AG34+'Costs'!AH33</f>
        <v/>
      </c>
      <c r="AI34" s="33">
        <f>AH34+'Costs'!AI33</f>
        <v/>
      </c>
      <c r="AJ34" s="33">
        <f>AI34+'Costs'!AJ33</f>
        <v/>
      </c>
      <c r="AK34" s="33">
        <f>AJ34+'Costs'!AK33</f>
        <v/>
      </c>
      <c r="AL34" s="33">
        <f>AK34+'Costs'!AL33</f>
        <v/>
      </c>
      <c r="AM34" s="33">
        <f>AL34+'Costs'!AM33</f>
        <v/>
      </c>
      <c r="AN34" s="33">
        <f>AM34+'Costs'!AN33</f>
        <v/>
      </c>
      <c r="AO34" s="33">
        <f>AN34+'Costs'!AO33</f>
        <v/>
      </c>
      <c r="AP34" s="33">
        <f>AO34+'Costs'!AP33</f>
        <v/>
      </c>
      <c r="AQ34" s="33">
        <f>AP34+'Costs'!AQ33</f>
        <v/>
      </c>
      <c r="AR34" s="33">
        <f>AQ34+'Costs'!AR33</f>
        <v/>
      </c>
      <c r="AS34" s="33">
        <f>AR34+'Costs'!AS33</f>
        <v/>
      </c>
      <c r="AT34" s="33">
        <f>AS34+'Costs'!AT33</f>
        <v/>
      </c>
      <c r="AU34" s="33">
        <f>AT34+'Costs'!AU33</f>
        <v/>
      </c>
      <c r="AV34" s="33">
        <f>AU34+'Costs'!AV33</f>
        <v/>
      </c>
      <c r="AW34" s="33">
        <f>AV34+'Costs'!AW33</f>
        <v/>
      </c>
      <c r="AX34" s="33">
        <f>AW34+'Costs'!AX33</f>
        <v/>
      </c>
      <c r="AY34" s="33">
        <f>AX34+'Costs'!AY33</f>
        <v/>
      </c>
      <c r="AZ34" s="33">
        <f>AY34+'Costs'!AZ33</f>
        <v/>
      </c>
      <c r="BA34" s="33">
        <f>AZ34+'Costs'!BA33</f>
        <v/>
      </c>
      <c r="BB34" s="33">
        <f>BA34+'Costs'!BB33</f>
        <v/>
      </c>
      <c r="BC34" s="33">
        <f>BB34+'Costs'!BC33</f>
        <v/>
      </c>
      <c r="BD34" s="33">
        <f>BC34+'Costs'!BD33</f>
        <v/>
      </c>
      <c r="BE34" s="33">
        <f>BD34+'Costs'!BE33</f>
        <v/>
      </c>
      <c r="BF34" s="33">
        <f>BE34+'Costs'!BF33</f>
        <v/>
      </c>
      <c r="BG34" s="33">
        <f>BF34+'Costs'!BG33</f>
        <v/>
      </c>
      <c r="BH34" s="33">
        <f>BG34+'Costs'!BH33</f>
        <v/>
      </c>
      <c r="BI34" s="33">
        <f>BH34+'Costs'!BI33</f>
        <v/>
      </c>
      <c r="BJ34" s="33">
        <f>BI34+'Costs'!BJ33</f>
        <v/>
      </c>
      <c r="BK34" s="33">
        <f>BJ34+'Costs'!BK33</f>
        <v/>
      </c>
      <c r="BL34" s="33">
        <f>BK34+'Costs'!BL33</f>
        <v/>
      </c>
      <c r="BM34" s="33">
        <f>BL34+'Costs'!BM33</f>
        <v/>
      </c>
      <c r="BN34" s="33">
        <f>BM34+'Costs'!BN33</f>
        <v/>
      </c>
      <c r="BO34" s="33">
        <f>BN34+'Costs'!BO33</f>
        <v/>
      </c>
      <c r="BP34" s="33">
        <f>BO34+'Costs'!BP33</f>
        <v/>
      </c>
      <c r="BQ34" s="33">
        <f>BP34+'Costs'!BQ33</f>
        <v/>
      </c>
      <c r="BR34" s="33">
        <f>BQ34+'Costs'!BR33</f>
        <v/>
      </c>
      <c r="BS34" s="33">
        <f>BR34+'Costs'!BS33</f>
        <v/>
      </c>
      <c r="BT34" s="33">
        <f>BS34+'Costs'!BT33</f>
        <v/>
      </c>
      <c r="BU34" s="33">
        <f>BT34+'Costs'!BU33</f>
        <v/>
      </c>
      <c r="BV34" s="33">
        <f>BU34+'Costs'!BV33</f>
        <v/>
      </c>
      <c r="BW34" s="33">
        <f>BV34+'Costs'!BW33</f>
        <v/>
      </c>
      <c r="BX34" s="33">
        <f>BW34+'Costs'!BX33</f>
        <v/>
      </c>
      <c r="BY34" s="33">
        <f>BX34+'Costs'!BY33</f>
        <v/>
      </c>
      <c r="BZ34" s="33">
        <f>BY34+'Costs'!BZ33</f>
        <v/>
      </c>
      <c r="CA34" s="33">
        <f>BZ34+'Costs'!CA33</f>
        <v/>
      </c>
      <c r="CB34" s="33">
        <f>CA34+'Costs'!CB33</f>
        <v/>
      </c>
      <c r="CC34" s="33">
        <f>CB34+'Costs'!CC33</f>
        <v/>
      </c>
      <c r="CD34" s="33">
        <f>CC34+'Costs'!CD33</f>
        <v/>
      </c>
      <c r="CE34" s="33">
        <f>CD34+'Costs'!CE33</f>
        <v/>
      </c>
      <c r="CF34" s="33">
        <f>CE34+'Costs'!CF33</f>
        <v/>
      </c>
      <c r="CG34" s="33">
        <f>CF34+'Costs'!CG33</f>
        <v/>
      </c>
      <c r="CH34" s="33">
        <f>CG34+'Costs'!CH33</f>
        <v/>
      </c>
      <c r="CI34" s="33">
        <f>CH34+'Costs'!CI33</f>
        <v/>
      </c>
      <c r="CJ34" s="33">
        <f>CI34+'Costs'!CJ33</f>
        <v/>
      </c>
      <c r="CK34" s="33">
        <f>CJ34+'Costs'!CK33</f>
        <v/>
      </c>
      <c r="CL34" s="33">
        <f>CK34+'Costs'!CL33</f>
        <v/>
      </c>
      <c r="CM34" s="33">
        <f>CL34+'Costs'!CM33</f>
        <v/>
      </c>
      <c r="CN34" s="33">
        <f>CM34+'Costs'!CN33</f>
        <v/>
      </c>
      <c r="CO34" s="33">
        <f>CN34+'Costs'!CO33</f>
        <v/>
      </c>
      <c r="CP34" s="33">
        <f>CO34+'Costs'!CP33</f>
        <v/>
      </c>
      <c r="CQ34" s="33">
        <f>CP34+'Costs'!CQ33</f>
        <v/>
      </c>
      <c r="CR34" s="33">
        <f>CQ34+'Costs'!CR33</f>
        <v/>
      </c>
      <c r="CS34" s="33">
        <f>CR34+'Costs'!CS33</f>
        <v/>
      </c>
      <c r="CT34" s="33">
        <f>CS34+'Costs'!CT33</f>
        <v/>
      </c>
      <c r="CU34" s="33">
        <f>CT34+'Costs'!CU33</f>
        <v/>
      </c>
      <c r="CV34" s="33">
        <f>CU34+'Costs'!CV33</f>
        <v/>
      </c>
      <c r="CW34" s="33">
        <f>CV34+'Costs'!CW33</f>
        <v/>
      </c>
      <c r="CX34" s="33">
        <f>CW34+'Costs'!CX33</f>
        <v/>
      </c>
      <c r="CY34" s="33">
        <f>CX34+'Costs'!CY33</f>
        <v/>
      </c>
      <c r="CZ34" s="33">
        <f>CY34+'Costs'!CZ33</f>
        <v/>
      </c>
      <c r="DA34" s="33">
        <f>CZ34+'Costs'!DA33</f>
        <v/>
      </c>
      <c r="DB34" s="33">
        <f>DA34+'Costs'!DB33</f>
        <v/>
      </c>
      <c r="DC34" s="33">
        <f>DB34+'Costs'!DC33</f>
        <v/>
      </c>
      <c r="DD34" s="33">
        <f>DC34+'Costs'!DD33</f>
        <v/>
      </c>
      <c r="DE34" s="33">
        <f>DD34+'Costs'!DE33</f>
        <v/>
      </c>
      <c r="DF34" s="33">
        <f>DE34+'Costs'!DF33</f>
        <v/>
      </c>
      <c r="DG34" s="33">
        <f>DF34+'Costs'!DG33</f>
        <v/>
      </c>
      <c r="DH34" s="33">
        <f>DG34+'Costs'!DH33</f>
        <v/>
      </c>
      <c r="DI34" s="33">
        <f>DH34+'Costs'!DI33</f>
        <v/>
      </c>
      <c r="DJ34" s="33">
        <f>DI34+'Costs'!DJ33</f>
        <v/>
      </c>
      <c r="DK34" s="33">
        <f>DJ34+'Costs'!DK33</f>
        <v/>
      </c>
      <c r="DL34" s="33">
        <f>DK34+'Costs'!DL33</f>
        <v/>
      </c>
      <c r="DM34" s="33">
        <f>DL34+'Costs'!DM33</f>
        <v/>
      </c>
      <c r="DN34" s="33">
        <f>DM34+'Costs'!DN33</f>
        <v/>
      </c>
      <c r="DO34" s="33">
        <f>DN34+'Costs'!DO33</f>
        <v/>
      </c>
      <c r="DP34" s="33">
        <f>DO34+'Costs'!DP33</f>
        <v/>
      </c>
      <c r="DQ34" s="33">
        <f>DP34+'Costs'!DQ33</f>
        <v/>
      </c>
      <c r="DR34" s="33">
        <f>DQ34+'Costs'!DR33</f>
        <v/>
      </c>
      <c r="DS34" s="33">
        <f>DR34+'Costs'!DS33</f>
        <v/>
      </c>
      <c r="DT34" s="33">
        <f>DS34+'Costs'!DT33</f>
        <v/>
      </c>
      <c r="DU34" s="33">
        <f>DT34+'Costs'!DU33</f>
        <v/>
      </c>
      <c r="DV34" s="33">
        <f>DU34+'Costs'!DV33</f>
        <v/>
      </c>
      <c r="DW34" s="33">
        <f>DV34+'Costs'!DW33</f>
        <v/>
      </c>
      <c r="DX34" s="33">
        <f>DW34+'Costs'!DX33</f>
        <v/>
      </c>
      <c r="DY34" s="33">
        <f>DX34+'Costs'!DY33</f>
        <v/>
      </c>
      <c r="DZ34" s="33">
        <f>DY34+'Costs'!DZ33</f>
        <v/>
      </c>
      <c r="EA34" s="33">
        <f>DZ34+'Costs'!EA33</f>
        <v/>
      </c>
      <c r="EB34" s="33">
        <f>EA34+'Costs'!EB33</f>
        <v/>
      </c>
      <c r="EC34" s="33">
        <f>EB34+'Costs'!EC33</f>
        <v/>
      </c>
      <c r="ED34" s="33">
        <f>EC34+'Costs'!ED33</f>
        <v/>
      </c>
      <c r="EE34" s="33">
        <f>ED34+'Costs'!EE33</f>
        <v/>
      </c>
      <c r="EF34" s="33">
        <f>EE34+'Costs'!EF33</f>
        <v/>
      </c>
      <c r="EG34" s="33">
        <f>EF34+'Costs'!EG33</f>
        <v/>
      </c>
      <c r="EH34" s="33">
        <f>EG34+'Costs'!EH33</f>
        <v/>
      </c>
      <c r="EI34" s="33">
        <f>EH34+'Costs'!EI33</f>
        <v/>
      </c>
      <c r="EJ34" s="33">
        <f>EI34+'Costs'!EJ33</f>
        <v/>
      </c>
      <c r="EK34" s="33">
        <f>EJ34+'Costs'!EK33</f>
        <v/>
      </c>
      <c r="EL34" s="33">
        <f>EK34+'Costs'!EL33</f>
        <v/>
      </c>
      <c r="EM34" s="33">
        <f>EL34+'Costs'!EM33</f>
        <v/>
      </c>
      <c r="EN34" s="33">
        <f>EM34+'Costs'!EN33</f>
        <v/>
      </c>
      <c r="EO34" s="33">
        <f>EN34+'Costs'!EO33</f>
        <v/>
      </c>
      <c r="EP34" s="33">
        <f>EO34+'Costs'!EP33</f>
        <v/>
      </c>
      <c r="EQ34" s="33">
        <f>EP34+'Costs'!EQ33</f>
        <v/>
      </c>
      <c r="ER34" s="33">
        <f>EQ34+'Costs'!ER33</f>
        <v/>
      </c>
      <c r="ES34" s="33">
        <f>ER34+'Costs'!ES33</f>
        <v/>
      </c>
      <c r="ET34" s="33">
        <f>ES34+'Costs'!ET33</f>
        <v/>
      </c>
      <c r="EU34" s="33">
        <f>ET34+'Costs'!EU33</f>
        <v/>
      </c>
      <c r="EV34" s="33">
        <f>EU34+'Costs'!EV33</f>
        <v/>
      </c>
      <c r="EW34" s="33">
        <f>EV34+'Costs'!EW33</f>
        <v/>
      </c>
      <c r="EX34" s="33">
        <f>EW34+'Costs'!EX33</f>
        <v/>
      </c>
      <c r="EY34" s="33">
        <f>EX34+'Costs'!EY33</f>
        <v/>
      </c>
      <c r="EZ34" s="33">
        <f>EY34+'Costs'!EZ33</f>
        <v/>
      </c>
      <c r="FA34" s="33">
        <f>EZ34+'Costs'!FA33</f>
        <v/>
      </c>
      <c r="FB34" s="33">
        <f>FA34+'Costs'!FB33</f>
        <v/>
      </c>
      <c r="FC34" s="33">
        <f>FB34+'Costs'!FC33</f>
        <v/>
      </c>
      <c r="FD34" s="33">
        <f>FC34+'Costs'!FD33</f>
        <v/>
      </c>
      <c r="FE34" s="33">
        <f>FD34+'Costs'!FE33</f>
        <v/>
      </c>
      <c r="FF34" s="33">
        <f>FE34+'Costs'!FF33</f>
        <v/>
      </c>
      <c r="FG34" s="33">
        <f>FF34+'Costs'!FG33</f>
        <v/>
      </c>
      <c r="FH34" s="33">
        <f>FG34+'Costs'!FH33</f>
        <v/>
      </c>
      <c r="FI34" s="33">
        <f>FH34+'Costs'!FI33</f>
        <v/>
      </c>
      <c r="FJ34" s="33">
        <f>FI34+'Costs'!FJ33</f>
        <v/>
      </c>
      <c r="FK34" s="33">
        <f>FJ34+'Costs'!FK33</f>
        <v/>
      </c>
      <c r="FL34" s="33">
        <f>FK34+'Costs'!FL33</f>
        <v/>
      </c>
      <c r="FM34" s="33">
        <f>FL34+'Costs'!FM33</f>
        <v/>
      </c>
      <c r="FN34" s="33">
        <f>FM34+'Costs'!FN33</f>
        <v/>
      </c>
      <c r="FO34" s="33">
        <f>FN34+'Costs'!FO33</f>
        <v/>
      </c>
      <c r="FP34" s="33">
        <f>FO34+'Costs'!FP33</f>
        <v/>
      </c>
      <c r="FQ34" s="33">
        <f>FP34+'Costs'!FQ33</f>
        <v/>
      </c>
      <c r="FR34" s="33">
        <f>FQ34+'Costs'!FR33</f>
        <v/>
      </c>
      <c r="FS34" s="33">
        <f>FR34+'Costs'!FS33</f>
        <v/>
      </c>
      <c r="FT34" s="33">
        <f>FS34+'Costs'!FT33</f>
        <v/>
      </c>
      <c r="FU34" s="33">
        <f>FT34+'Costs'!FU33</f>
        <v/>
      </c>
      <c r="FV34" s="33">
        <f>FU34+'Costs'!FV33</f>
        <v/>
      </c>
      <c r="FW34" s="33">
        <f>FV34+'Costs'!FW33</f>
        <v/>
      </c>
      <c r="FX34" s="33">
        <f>FW34+'Costs'!FX33</f>
        <v/>
      </c>
      <c r="FY34" s="33">
        <f>FX34+'Costs'!FY33</f>
        <v/>
      </c>
      <c r="FZ34" s="33">
        <f>FY34+'Costs'!FZ33</f>
        <v/>
      </c>
      <c r="GA34" s="33">
        <f>FZ34+'Costs'!GA33</f>
        <v/>
      </c>
      <c r="GB34" s="33">
        <f>GA34+'Costs'!GB33</f>
        <v/>
      </c>
      <c r="GC34" s="33">
        <f>GB34+'Costs'!GC33</f>
        <v/>
      </c>
      <c r="GD34" s="33">
        <f>GC34+'Costs'!GD33</f>
        <v/>
      </c>
      <c r="GE34" s="33">
        <f>GD34+'Costs'!GE33</f>
        <v/>
      </c>
      <c r="GF34" s="33">
        <f>GE34+'Costs'!GF33</f>
        <v/>
      </c>
      <c r="GG34" s="33">
        <f>GF34+'Costs'!GG33</f>
        <v/>
      </c>
      <c r="GH34" s="33">
        <f>GG34+'Costs'!GH33</f>
        <v/>
      </c>
      <c r="GI34" s="33">
        <f>GH34+'Costs'!GI33</f>
        <v/>
      </c>
      <c r="GJ34" s="33">
        <f>GI34+'Costs'!GJ33</f>
        <v/>
      </c>
      <c r="GK34" s="33">
        <f>GJ34+'Costs'!GK33</f>
        <v/>
      </c>
      <c r="GL34" s="33">
        <f>GK34+'Costs'!GL33</f>
        <v/>
      </c>
      <c r="GM34" s="33">
        <f>GL34+'Costs'!GM33</f>
        <v/>
      </c>
      <c r="GN34" s="33">
        <f>GM34+'Costs'!GN33</f>
        <v/>
      </c>
      <c r="GO34" s="33">
        <f>GN34+'Costs'!GO33</f>
        <v/>
      </c>
      <c r="GP34" s="33">
        <f>GO34+'Costs'!GP33</f>
        <v/>
      </c>
      <c r="GQ34" s="33">
        <f>GP34+'Costs'!GQ33</f>
        <v/>
      </c>
      <c r="GR34" s="33">
        <f>GQ34+'Costs'!GR33</f>
        <v/>
      </c>
      <c r="GS34" s="33">
        <f>GR34+'Costs'!GS33</f>
        <v/>
      </c>
      <c r="GT34" s="33">
        <f>GS34+'Costs'!GT33</f>
        <v/>
      </c>
      <c r="GU34" s="33">
        <f>GT34+'Costs'!GU33</f>
        <v/>
      </c>
      <c r="GV34" s="33">
        <f>GU34+'Costs'!GV33</f>
        <v/>
      </c>
      <c r="GW34" s="33">
        <f>GV34+'Costs'!GW33</f>
        <v/>
      </c>
      <c r="GX34" s="33">
        <f>GW34+'Costs'!GX33</f>
        <v/>
      </c>
      <c r="GY34" s="33">
        <f>GX34+'Costs'!GY33</f>
        <v/>
      </c>
      <c r="GZ34" s="33">
        <f>GY34+'Costs'!GZ33</f>
        <v/>
      </c>
      <c r="HA34" s="33">
        <f>GZ34+'Costs'!HA33</f>
        <v/>
      </c>
      <c r="HB34" s="33">
        <f>HA34+'Costs'!HB33</f>
        <v/>
      </c>
      <c r="HC34" s="33">
        <f>HB34+'Costs'!HC33</f>
        <v/>
      </c>
      <c r="HD34" s="33">
        <f>HC34+'Costs'!HD33</f>
        <v/>
      </c>
      <c r="HE34" s="33">
        <f>HD34+'Costs'!HE33</f>
        <v/>
      </c>
      <c r="HF34" s="33">
        <f>HE34+'Costs'!HF33</f>
        <v/>
      </c>
      <c r="HG34" s="33">
        <f>HF34+'Costs'!HG33</f>
        <v/>
      </c>
      <c r="HH34" s="33">
        <f>HG34+'Costs'!HH33</f>
        <v/>
      </c>
      <c r="HI34" s="33">
        <f>HH34+'Costs'!HI33</f>
        <v/>
      </c>
      <c r="HJ34" s="33">
        <f>HI34+'Costs'!HJ33</f>
        <v/>
      </c>
      <c r="HK34" s="33">
        <f>HJ34+'Costs'!HK33</f>
        <v/>
      </c>
      <c r="HL34" s="33">
        <f>HK34+'Costs'!HL33</f>
        <v/>
      </c>
      <c r="HM34" s="33">
        <f>HL34+'Costs'!HM33</f>
        <v/>
      </c>
      <c r="HN34" s="33">
        <f>HM34+'Costs'!HN33</f>
        <v/>
      </c>
      <c r="HO34" s="33">
        <f>HN34+'Costs'!HO33</f>
        <v/>
      </c>
      <c r="HP34" s="33">
        <f>HO34+'Costs'!HP33</f>
        <v/>
      </c>
      <c r="HQ34" s="33">
        <f>HP34+'Costs'!HQ33</f>
        <v/>
      </c>
      <c r="HR34" s="33">
        <f>HQ34+'Costs'!HR33</f>
        <v/>
      </c>
      <c r="HS34" s="33">
        <f>HR34+'Costs'!HS33</f>
        <v/>
      </c>
      <c r="HT34" s="33">
        <f>HS34+'Costs'!HT33</f>
        <v/>
      </c>
      <c r="HU34" s="33">
        <f>HT34+'Costs'!HU33</f>
        <v/>
      </c>
      <c r="HV34" s="33">
        <f>HU34+'Costs'!HV33</f>
        <v/>
      </c>
      <c r="HW34" s="33">
        <f>HV34+'Costs'!HW33</f>
        <v/>
      </c>
      <c r="HX34" s="33">
        <f>HW34+'Costs'!HX33</f>
        <v/>
      </c>
      <c r="HY34" s="33">
        <f>HX34+'Costs'!HY33</f>
        <v/>
      </c>
      <c r="HZ34" s="33">
        <f>HY34+'Costs'!HZ33</f>
        <v/>
      </c>
      <c r="IA34" s="33">
        <f>HZ34+'Costs'!IA33</f>
        <v/>
      </c>
      <c r="IB34" s="33">
        <f>IA34+'Costs'!IB33</f>
        <v/>
      </c>
      <c r="IC34" s="33">
        <f>IB34+'Costs'!IC33</f>
        <v/>
      </c>
      <c r="ID34" s="33">
        <f>IC34+'Costs'!ID33</f>
        <v/>
      </c>
      <c r="IE34" s="33">
        <f>ID34+'Costs'!IE33</f>
        <v/>
      </c>
      <c r="IF34" s="33">
        <f>IE34+'Costs'!IF33</f>
        <v/>
      </c>
      <c r="IG34" s="33">
        <f>IF34+'Costs'!IG33</f>
        <v/>
      </c>
      <c r="IH34" s="33">
        <f>IG34+'Costs'!IH33</f>
        <v/>
      </c>
      <c r="II34" s="33">
        <f>IH34+'Costs'!II33</f>
        <v/>
      </c>
      <c r="IJ34" s="33">
        <f>II34+'Costs'!IJ33</f>
        <v/>
      </c>
      <c r="IK34" s="33">
        <f>IJ34+'Costs'!IK33</f>
        <v/>
      </c>
      <c r="IL34" s="33">
        <f>IK34+'Costs'!IL33</f>
        <v/>
      </c>
      <c r="IM34" s="33">
        <f>IL34+'Costs'!IM33</f>
        <v/>
      </c>
      <c r="IN34" s="33">
        <f>IM34+'Costs'!IN33</f>
        <v/>
      </c>
      <c r="IO34" s="33">
        <f>IN34+'Costs'!IO33</f>
        <v/>
      </c>
      <c r="IP34" s="33">
        <f>IO34+'Costs'!IP33</f>
        <v/>
      </c>
      <c r="IQ34" s="33">
        <f>IP34+'Costs'!IQ33</f>
        <v/>
      </c>
      <c r="IR34" s="33">
        <f>IQ34+'Costs'!IR33</f>
        <v/>
      </c>
      <c r="IS34" s="33">
        <f>IR34+'Costs'!IS33</f>
        <v/>
      </c>
      <c r="IT34" s="33">
        <f>IS34+'Costs'!IT33</f>
        <v/>
      </c>
      <c r="IU34" s="33">
        <f>IT34+'Costs'!IU33</f>
        <v/>
      </c>
      <c r="IV34" s="33">
        <f>IU34+'Costs'!IV33</f>
        <v/>
      </c>
      <c r="IW34" s="33">
        <f>IV34+'Costs'!IW33</f>
        <v/>
      </c>
      <c r="IX34" s="33">
        <f>IW34+'Costs'!IX33</f>
        <v/>
      </c>
      <c r="IY34" s="33">
        <f>IX34+'Costs'!IY33</f>
        <v/>
      </c>
      <c r="IZ34" s="33">
        <f>IY34+'Costs'!IZ33</f>
        <v/>
      </c>
      <c r="JA34" s="33">
        <f>IZ34+'Costs'!JA33</f>
        <v/>
      </c>
      <c r="JB34" s="33">
        <f>JA34+'Costs'!JB33</f>
        <v/>
      </c>
      <c r="JC34" s="33">
        <f>JB34+'Costs'!JC33</f>
        <v/>
      </c>
      <c r="JD34" s="33">
        <f>JC34+'Costs'!JD33</f>
        <v/>
      </c>
      <c r="JE34" s="33">
        <f>JD34+'Costs'!JE33</f>
        <v/>
      </c>
      <c r="JF34" s="33">
        <f>JE34+'Costs'!JF33</f>
        <v/>
      </c>
      <c r="JG34" s="33">
        <f>JF34+'Costs'!JG33</f>
        <v/>
      </c>
      <c r="JH34" s="33">
        <f>JG34+'Costs'!JH33</f>
        <v/>
      </c>
      <c r="JI34" s="33">
        <f>JH34+'Costs'!JI33</f>
        <v/>
      </c>
      <c r="JJ34" s="33">
        <f>JI34+'Costs'!JJ33</f>
        <v/>
      </c>
      <c r="JK34" s="33">
        <f>JJ34+'Costs'!JK33</f>
        <v/>
      </c>
      <c r="JL34" s="33">
        <f>JK34+'Costs'!JL33</f>
        <v/>
      </c>
      <c r="JM34" s="33">
        <f>JL34+'Costs'!JM33</f>
        <v/>
      </c>
      <c r="JN34" s="33">
        <f>JM34+'Costs'!JN33</f>
        <v/>
      </c>
      <c r="JO34" s="33">
        <f>JN34+'Costs'!JO33</f>
        <v/>
      </c>
      <c r="JP34" s="33">
        <f>JO34+'Costs'!JP33</f>
        <v/>
      </c>
      <c r="JQ34" s="33">
        <f>JP34+'Costs'!JQ33</f>
        <v/>
      </c>
      <c r="JR34" s="33">
        <f>JQ34+'Costs'!JR33</f>
        <v/>
      </c>
      <c r="JS34" s="33">
        <f>JR34+'Costs'!JS33</f>
        <v/>
      </c>
      <c r="JT34" s="33">
        <f>JS34+'Costs'!JT33</f>
        <v/>
      </c>
      <c r="JU34" s="33">
        <f>JT34+'Costs'!JU33</f>
        <v/>
      </c>
      <c r="JV34" s="33">
        <f>JU34+'Costs'!JV33</f>
        <v/>
      </c>
      <c r="JW34" s="33">
        <f>JV34+'Costs'!JW33</f>
        <v/>
      </c>
      <c r="JX34" s="33">
        <f>JW34+'Costs'!JX33</f>
        <v/>
      </c>
      <c r="JY34" s="33">
        <f>JX34+'Costs'!JY33</f>
        <v/>
      </c>
      <c r="JZ34" s="33">
        <f>JY34+'Costs'!JZ33</f>
        <v/>
      </c>
      <c r="KA34" s="33">
        <f>JZ34+'Costs'!KA33</f>
        <v/>
      </c>
      <c r="KB34" s="33">
        <f>KA34+'Costs'!KB33</f>
        <v/>
      </c>
      <c r="KC34" s="33">
        <f>KB34+'Costs'!KC33</f>
        <v/>
      </c>
      <c r="KD34" s="33">
        <f>KC34+'Costs'!KD33</f>
        <v/>
      </c>
      <c r="KE34" s="33">
        <f>KD34+'Costs'!KE33</f>
        <v/>
      </c>
      <c r="KF34" s="33">
        <f>KE34+'Costs'!KF33</f>
        <v/>
      </c>
      <c r="KG34" s="33">
        <f>KF34+'Costs'!KG33</f>
        <v/>
      </c>
      <c r="KH34" s="33">
        <f>KG34+'Costs'!KH33</f>
        <v/>
      </c>
      <c r="KI34" s="33">
        <f>KH34+'Costs'!KI33</f>
        <v/>
      </c>
      <c r="KJ34" s="33">
        <f>KI34+'Costs'!KJ33</f>
        <v/>
      </c>
      <c r="KK34" s="33">
        <f>KJ34+'Costs'!KK33</f>
        <v/>
      </c>
      <c r="KL34" s="33">
        <f>KK34+'Costs'!KL33</f>
        <v/>
      </c>
      <c r="KM34" s="33">
        <f>KL34+'Costs'!KM33</f>
        <v/>
      </c>
      <c r="KN34" s="33">
        <f>KM34+'Costs'!KN33</f>
        <v/>
      </c>
      <c r="KO34" s="33">
        <f>KN34+'Costs'!KO33</f>
        <v/>
      </c>
      <c r="KP34" s="33">
        <f>KO34+'Costs'!KP33</f>
        <v/>
      </c>
      <c r="KQ34" s="33">
        <f>KP34+'Costs'!KQ33</f>
        <v/>
      </c>
      <c r="KR34" s="33">
        <f>KQ34+'Costs'!KR33</f>
        <v/>
      </c>
      <c r="KS34" s="33">
        <f>KR34+'Costs'!KS33</f>
        <v/>
      </c>
      <c r="KT34" s="33">
        <f>KS34+'Costs'!KT33</f>
        <v/>
      </c>
      <c r="KU34" s="33">
        <f>KT34+'Costs'!KU33</f>
        <v/>
      </c>
      <c r="KV34" s="33">
        <f>KU34+'Costs'!KV33</f>
        <v/>
      </c>
      <c r="KW34" s="33">
        <f>KV34+'Costs'!KW33</f>
        <v/>
      </c>
      <c r="KX34" s="33">
        <f>KW34+'Costs'!KX33</f>
        <v/>
      </c>
      <c r="KY34" s="33">
        <f>KX34+'Costs'!KY33</f>
        <v/>
      </c>
      <c r="KZ34" s="33">
        <f>KY34+'Costs'!KZ33</f>
        <v/>
      </c>
      <c r="LA34" s="33">
        <f>KZ34+'Costs'!LA33</f>
        <v/>
      </c>
      <c r="LB34" s="33">
        <f>LA34+'Costs'!LB33</f>
        <v/>
      </c>
      <c r="LC34" s="33">
        <f>LB34+'Costs'!LC33</f>
        <v/>
      </c>
      <c r="LD34" s="33">
        <f>LC34+'Costs'!LD33</f>
        <v/>
      </c>
      <c r="LE34" s="33">
        <f>LD34+'Costs'!LE33</f>
        <v/>
      </c>
      <c r="LF34" s="33">
        <f>LE34+'Costs'!LF33</f>
        <v/>
      </c>
      <c r="LG34" s="33">
        <f>LF34+'Costs'!LG33</f>
        <v/>
      </c>
      <c r="LH34" s="33">
        <f>LG34+'Costs'!LH33</f>
        <v/>
      </c>
      <c r="LI34" s="33">
        <f>LH34+'Costs'!LI33</f>
        <v/>
      </c>
      <c r="LJ34" s="33">
        <f>LI34+'Costs'!LJ33</f>
        <v/>
      </c>
      <c r="LK34" s="33">
        <f>LJ34+'Costs'!LK33</f>
        <v/>
      </c>
      <c r="LL34" s="33">
        <f>LK34+'Costs'!LL33</f>
        <v/>
      </c>
      <c r="LM34" s="33">
        <f>LL34+'Costs'!LM33</f>
        <v/>
      </c>
      <c r="LN34" s="33">
        <f>LM34+'Costs'!LN33</f>
        <v/>
      </c>
      <c r="LO34" s="33">
        <f>LN34+'Costs'!LO33</f>
        <v/>
      </c>
      <c r="LP34" s="33">
        <f>LO34+'Costs'!LP33</f>
        <v/>
      </c>
      <c r="LQ34" s="33">
        <f>LP34+'Costs'!LQ33</f>
        <v/>
      </c>
      <c r="LR34" s="33">
        <f>LQ34+'Costs'!LR33</f>
        <v/>
      </c>
      <c r="LS34" s="33">
        <f>LR34+'Costs'!LS33</f>
        <v/>
      </c>
      <c r="LT34" s="33">
        <f>LS34+'Costs'!LT33</f>
        <v/>
      </c>
      <c r="LU34" s="33">
        <f>LT34+'Costs'!LU33</f>
        <v/>
      </c>
      <c r="LV34" s="33">
        <f>LU34+'Costs'!LV33</f>
        <v/>
      </c>
      <c r="LW34" s="33">
        <f>LV34+'Costs'!LW33</f>
        <v/>
      </c>
      <c r="LX34" s="33">
        <f>LW34+'Costs'!LX33</f>
        <v/>
      </c>
      <c r="LY34" s="33">
        <f>LX34+'Costs'!LY33</f>
        <v/>
      </c>
      <c r="LZ34" s="33">
        <f>LY34+'Costs'!LZ33</f>
        <v/>
      </c>
      <c r="MA34" s="33">
        <f>LZ34+'Costs'!MA33</f>
        <v/>
      </c>
      <c r="MB34" s="33">
        <f>MA34+'Costs'!MB33</f>
        <v/>
      </c>
      <c r="MC34" s="33">
        <f>MB34+'Costs'!MC33</f>
        <v/>
      </c>
      <c r="MD34" s="33">
        <f>MC34+'Costs'!MD33</f>
        <v/>
      </c>
      <c r="ME34" s="33">
        <f>MD34+'Costs'!ME33</f>
        <v/>
      </c>
      <c r="MF34" s="33">
        <f>ME34+'Costs'!MF33</f>
        <v/>
      </c>
      <c r="MG34" s="33">
        <f>MF34+'Costs'!MG33</f>
        <v/>
      </c>
      <c r="MH34" s="33">
        <f>MG34+'Costs'!MH33</f>
        <v/>
      </c>
      <c r="MI34" s="33">
        <f>MH34+'Costs'!MI33</f>
        <v/>
      </c>
      <c r="MJ34" s="33">
        <f>MI34+'Costs'!MJ33</f>
        <v/>
      </c>
      <c r="MK34" s="33">
        <f>MJ34+'Costs'!MK33</f>
        <v/>
      </c>
      <c r="ML34" s="33">
        <f>MK34+'Costs'!ML33</f>
        <v/>
      </c>
      <c r="MM34" s="33">
        <f>ML34+'Costs'!MM33</f>
        <v/>
      </c>
      <c r="MN34" s="33">
        <f>MM34+'Costs'!MN33</f>
        <v/>
      </c>
      <c r="MO34" s="33">
        <f>MN34+'Costs'!MO33</f>
        <v/>
      </c>
      <c r="MP34" s="33">
        <f>MO34+'Costs'!MP33</f>
        <v/>
      </c>
      <c r="MQ34" s="33">
        <f>MP34+'Costs'!MQ33</f>
        <v/>
      </c>
      <c r="MR34" s="33">
        <f>MQ34+'Costs'!MR33</f>
        <v/>
      </c>
      <c r="MS34" s="33">
        <f>MR34+'Costs'!MS33</f>
        <v/>
      </c>
      <c r="MT34" s="33">
        <f>MS34+'Costs'!MT33</f>
        <v/>
      </c>
      <c r="MU34" s="33">
        <f>MT34+'Costs'!MU33</f>
        <v/>
      </c>
      <c r="MV34" s="33">
        <f>MU34+'Costs'!MV33</f>
        <v/>
      </c>
      <c r="MW34" s="33">
        <f>MV34+'Costs'!MW33</f>
        <v/>
      </c>
      <c r="MX34" s="33">
        <f>MW34+'Costs'!MX33</f>
        <v/>
      </c>
      <c r="MY34" s="33">
        <f>MX34+'Costs'!MY33</f>
        <v/>
      </c>
      <c r="MZ34" s="33">
        <f>MY34+'Costs'!MZ33</f>
        <v/>
      </c>
      <c r="NA34" s="33">
        <f>MZ34+'Costs'!NA33</f>
        <v/>
      </c>
      <c r="NB34" s="33">
        <f>NA34+'Costs'!NB33</f>
        <v/>
      </c>
      <c r="NC34" s="33">
        <f>NB34+'Costs'!NC33</f>
        <v/>
      </c>
      <c r="ND34" s="33">
        <f>NC34+'Costs'!ND33</f>
        <v/>
      </c>
      <c r="NE34" s="33">
        <f>ND34+'Costs'!NE33</f>
        <v/>
      </c>
      <c r="NF34" s="33">
        <f>NE34+'Costs'!NF33</f>
        <v/>
      </c>
      <c r="NG34" s="33">
        <f>NF34+'Costs'!NG33</f>
        <v/>
      </c>
      <c r="NH34" s="33">
        <f>NG34+'Costs'!NH33</f>
        <v/>
      </c>
      <c r="NI34" s="33">
        <f>NH34+'Costs'!NI33</f>
        <v/>
      </c>
      <c r="NJ34" s="33">
        <f>NI34+'Costs'!NJ33</f>
        <v/>
      </c>
      <c r="NK34" s="33">
        <f>NJ34+'Costs'!NK33</f>
        <v/>
      </c>
      <c r="NL34" s="33">
        <f>NK34+'Costs'!NL33</f>
        <v/>
      </c>
      <c r="NM34" s="33">
        <f>NL34+'Costs'!NM33</f>
        <v/>
      </c>
      <c r="NN34" s="33">
        <f>NM34+'Costs'!NN33</f>
        <v/>
      </c>
      <c r="NO34" s="33">
        <f>NN34+'Costs'!NO33</f>
        <v/>
      </c>
      <c r="NP34" s="33">
        <f>NO34+'Costs'!NP33</f>
        <v/>
      </c>
      <c r="NQ34" s="33">
        <f>NP34+'Costs'!NQ33</f>
        <v/>
      </c>
      <c r="NR34" s="33">
        <f>NQ34+'Costs'!NR33</f>
        <v/>
      </c>
      <c r="NS34" s="33">
        <f>NR34+'Costs'!NS33</f>
        <v/>
      </c>
      <c r="NT34" s="33">
        <f>NS34+'Costs'!NT33</f>
        <v/>
      </c>
      <c r="NU34" s="33">
        <f>NT34+'Costs'!NU33</f>
        <v/>
      </c>
      <c r="NV34" s="33">
        <f>NU34+'Costs'!NV33</f>
        <v/>
      </c>
      <c r="NW34" s="33">
        <f>NV34+'Costs'!NW33</f>
        <v/>
      </c>
      <c r="NX34" s="33">
        <f>NW34+'Costs'!NX33</f>
        <v/>
      </c>
      <c r="NY34" s="33">
        <f>NX34+'Costs'!NY33</f>
        <v/>
      </c>
      <c r="NZ34" s="33">
        <f>NY34+'Costs'!NZ33</f>
        <v/>
      </c>
      <c r="OA34" s="33">
        <f>NZ34+'Costs'!OA33</f>
        <v/>
      </c>
      <c r="OB34" s="33">
        <f>OA34+'Costs'!OB33</f>
        <v/>
      </c>
      <c r="OC34" s="33">
        <f>OB34+'Costs'!OC33</f>
        <v/>
      </c>
      <c r="OD34" s="33">
        <f>OC34+'Costs'!OD33</f>
        <v/>
      </c>
      <c r="OE34" s="33">
        <f>OD34+'Costs'!OE33</f>
        <v/>
      </c>
      <c r="OF34" s="33">
        <f>OE34+'Costs'!OF33</f>
        <v/>
      </c>
      <c r="OG34" s="33">
        <f>OF34+'Costs'!OG33</f>
        <v/>
      </c>
      <c r="OH34" s="33">
        <f>OG34+'Costs'!OH33</f>
        <v/>
      </c>
      <c r="OI34" s="33">
        <f>OH34+'Costs'!OI33</f>
        <v/>
      </c>
      <c r="OJ34" s="33">
        <f>OI34+'Costs'!OJ33</f>
        <v/>
      </c>
      <c r="OK34" s="33">
        <f>OJ34+'Costs'!OK33</f>
        <v/>
      </c>
      <c r="OL34" s="33">
        <f>OK34+'Costs'!OL33</f>
        <v/>
      </c>
      <c r="OM34" s="33">
        <f>OL34+'Costs'!OM33</f>
        <v/>
      </c>
      <c r="ON34" s="33">
        <f>OM34+'Costs'!ON33</f>
        <v/>
      </c>
      <c r="OO34" s="33">
        <f>ON34+'Costs'!OO33</f>
        <v/>
      </c>
      <c r="OP34" s="33">
        <f>OO34+'Costs'!OP33</f>
        <v/>
      </c>
      <c r="OQ34" s="33">
        <f>OP34+'Costs'!OQ33</f>
        <v/>
      </c>
      <c r="OR34" s="33">
        <f>OQ34+'Costs'!OR33</f>
        <v/>
      </c>
      <c r="OS34" s="33">
        <f>OR34+'Costs'!OS33</f>
        <v/>
      </c>
      <c r="OT34" s="33">
        <f>OS34+'Costs'!OT33</f>
        <v/>
      </c>
      <c r="OU34" s="33">
        <f>OT34+'Costs'!OU33</f>
        <v/>
      </c>
      <c r="OV34" s="33">
        <f>OU34+'Costs'!OV33</f>
        <v/>
      </c>
      <c r="OW34" s="33">
        <f>OV34+'Costs'!OW33</f>
        <v/>
      </c>
      <c r="OX34" s="33">
        <f>OW34+'Costs'!OX33</f>
        <v/>
      </c>
      <c r="OY34" s="33">
        <f>OX34+'Costs'!OY33</f>
        <v/>
      </c>
      <c r="OZ34" s="33">
        <f>OY34+'Costs'!OZ33</f>
        <v/>
      </c>
      <c r="PA34" s="33">
        <f>OZ34+'Costs'!PA33</f>
        <v/>
      </c>
      <c r="PB34" s="33">
        <f>PA34+'Costs'!PB33</f>
        <v/>
      </c>
      <c r="PC34" s="33">
        <f>PB34+'Costs'!PC33</f>
        <v/>
      </c>
      <c r="PD34" s="33">
        <f>PC34+'Costs'!PD33</f>
        <v/>
      </c>
      <c r="PE34" s="33">
        <f>PD34+'Costs'!PE33</f>
        <v/>
      </c>
      <c r="PF34" s="33">
        <f>PE34+'Costs'!PF33</f>
        <v/>
      </c>
      <c r="PG34" s="33">
        <f>PF34+'Costs'!PG33</f>
        <v/>
      </c>
      <c r="PH34" s="33">
        <f>PG34+'Costs'!PH33</f>
        <v/>
      </c>
      <c r="PI34" s="33">
        <f>PH34+'Costs'!PI33</f>
        <v/>
      </c>
      <c r="PJ34" s="33">
        <f>PI34+'Costs'!PJ33</f>
        <v/>
      </c>
      <c r="PK34" s="33">
        <f>PJ34+'Costs'!PK33</f>
        <v/>
      </c>
      <c r="PL34" s="33">
        <f>PK34+'Costs'!PL33</f>
        <v/>
      </c>
      <c r="PM34" s="33">
        <f>PL34+'Costs'!PM33</f>
        <v/>
      </c>
      <c r="PN34" s="33">
        <f>PM34+'Costs'!PN33</f>
        <v/>
      </c>
      <c r="PO34" s="33">
        <f>PN34+'Costs'!PO33</f>
        <v/>
      </c>
      <c r="PP34" s="33">
        <f>PO34+'Costs'!PP33</f>
        <v/>
      </c>
      <c r="PQ34" s="33">
        <f>PP34+'Costs'!PQ33</f>
        <v/>
      </c>
      <c r="PR34" s="33">
        <f>PQ34+'Costs'!PR33</f>
        <v/>
      </c>
      <c r="PS34" s="33">
        <f>PR34+'Costs'!PS33</f>
        <v/>
      </c>
      <c r="PT34" s="33">
        <f>PS34+'Costs'!PT33</f>
        <v/>
      </c>
      <c r="PU34" s="33">
        <f>PT34+'Costs'!PU33</f>
        <v/>
      </c>
      <c r="PV34" s="33">
        <f>PU34+'Costs'!PV33</f>
        <v/>
      </c>
      <c r="PW34" s="33">
        <f>PV34+'Costs'!PW33</f>
        <v/>
      </c>
      <c r="PX34" s="33">
        <f>PW34+'Costs'!PX33</f>
        <v/>
      </c>
      <c r="PY34" s="33">
        <f>PX34+'Costs'!PY33</f>
        <v/>
      </c>
      <c r="PZ34" s="33">
        <f>PY34+'Costs'!PZ33</f>
        <v/>
      </c>
      <c r="QA34" s="33">
        <f>PZ34+'Costs'!QA33</f>
        <v/>
      </c>
      <c r="QB34" s="33">
        <f>QA34+'Costs'!QB33</f>
        <v/>
      </c>
      <c r="QC34" s="33">
        <f>QB34+'Costs'!QC33</f>
        <v/>
      </c>
      <c r="QD34" s="33">
        <f>QC34+'Costs'!QD33</f>
        <v/>
      </c>
      <c r="QE34" s="33">
        <f>QD34+'Costs'!QE33</f>
        <v/>
      </c>
      <c r="QF34" s="33">
        <f>QE34+'Costs'!QF33</f>
        <v/>
      </c>
      <c r="QG34" s="33">
        <f>QF34+'Costs'!QG33</f>
        <v/>
      </c>
      <c r="QH34" s="33">
        <f>QG34+'Costs'!QH33</f>
        <v/>
      </c>
      <c r="QI34" s="33">
        <f>QH34+'Costs'!QI33</f>
        <v/>
      </c>
      <c r="QJ34" s="33">
        <f>QI34+'Costs'!QJ33</f>
        <v/>
      </c>
      <c r="QK34" s="33">
        <f>QJ34+'Costs'!QK33</f>
        <v/>
      </c>
      <c r="QL34" s="33">
        <f>QK34+'Costs'!QL33</f>
        <v/>
      </c>
      <c r="QM34" s="33">
        <f>QL34+'Costs'!QM33</f>
        <v/>
      </c>
      <c r="QN34" s="33">
        <f>QM34+'Costs'!QN33</f>
        <v/>
      </c>
      <c r="QO34" s="33">
        <f>QN34+'Costs'!QO33</f>
        <v/>
      </c>
      <c r="QP34" s="33">
        <f>QO34+'Costs'!QP33</f>
        <v/>
      </c>
      <c r="QQ34" s="33">
        <f>QP34+'Costs'!QQ33</f>
        <v/>
      </c>
      <c r="QR34" s="33">
        <f>QQ34+'Costs'!QR33</f>
        <v/>
      </c>
      <c r="QS34" s="33">
        <f>QR34+'Costs'!QS33</f>
        <v/>
      </c>
      <c r="QT34" s="33">
        <f>QS34+'Costs'!QT33</f>
        <v/>
      </c>
      <c r="QU34" s="33">
        <f>QT34+'Costs'!QU33</f>
        <v/>
      </c>
      <c r="QV34" s="33">
        <f>QU34+'Costs'!QV33</f>
        <v/>
      </c>
      <c r="QW34" s="33">
        <f>QV34+'Costs'!QW33</f>
        <v/>
      </c>
      <c r="QX34" s="33">
        <f>QW34+'Costs'!QX33</f>
        <v/>
      </c>
      <c r="QY34" s="33">
        <f>QX34+'Costs'!QY33</f>
        <v/>
      </c>
      <c r="QZ34" s="33">
        <f>QY34+'Costs'!QZ33</f>
        <v/>
      </c>
      <c r="RA34" s="33">
        <f>QZ34+'Costs'!RA33</f>
        <v/>
      </c>
      <c r="RB34" s="33">
        <f>RA34+'Costs'!RB33</f>
        <v/>
      </c>
      <c r="RC34" s="33">
        <f>RB34+'Costs'!RC33</f>
        <v/>
      </c>
      <c r="RD34" s="33">
        <f>RC34+'Costs'!RD33</f>
        <v/>
      </c>
      <c r="RE34" s="33">
        <f>RD34+'Costs'!RE33</f>
        <v/>
      </c>
      <c r="RF34" s="33">
        <f>RE34+'Costs'!RF33</f>
        <v/>
      </c>
      <c r="RG34" s="33">
        <f>RF34+'Costs'!RG33</f>
        <v/>
      </c>
      <c r="RH34" s="33">
        <f>RG34+'Costs'!RH33</f>
        <v/>
      </c>
      <c r="RI34" s="33">
        <f>RH34+'Costs'!RI33</f>
        <v/>
      </c>
      <c r="RJ34" s="33">
        <f>RI34+'Costs'!RJ33</f>
        <v/>
      </c>
      <c r="RK34" s="33">
        <f>RJ34+'Costs'!RK33</f>
        <v/>
      </c>
      <c r="RL34" s="33">
        <f>RK34+'Costs'!RL33</f>
        <v/>
      </c>
      <c r="RM34" s="33">
        <f>RL34+'Costs'!RM33</f>
        <v/>
      </c>
      <c r="RN34" s="33">
        <f>RM34+'Costs'!RN33</f>
        <v/>
      </c>
      <c r="RO34" s="33">
        <f>RN34+'Costs'!RO33</f>
        <v/>
      </c>
      <c r="RP34" s="33">
        <f>RO34+'Costs'!RP33</f>
        <v/>
      </c>
      <c r="RQ34" s="33">
        <f>RP34+'Costs'!RQ33</f>
        <v/>
      </c>
      <c r="RR34" s="33">
        <f>RQ34+'Costs'!RR33</f>
        <v/>
      </c>
      <c r="RS34" s="33">
        <f>RR34+'Costs'!RS33</f>
        <v/>
      </c>
      <c r="RT34" s="33">
        <f>RS34+'Costs'!RT33</f>
        <v/>
      </c>
      <c r="RU34" s="33">
        <f>RT34+'Costs'!RU33</f>
        <v/>
      </c>
      <c r="RV34" s="33">
        <f>RU34+'Costs'!RV33</f>
        <v/>
      </c>
      <c r="RW34" s="33">
        <f>RV34+'Costs'!RW33</f>
        <v/>
      </c>
    </row>
    <row r="35" hidden="1" outlineLevel="1" ht="13.05" customHeight="1">
      <c r="E35" s="21" t="inlineStr">
        <is>
          <t>Accumulated Depreciation</t>
        </is>
      </c>
      <c r="F35" s="29" t="n"/>
      <c r="G35" s="29" t="inlineStr">
        <is>
          <t>kEUR</t>
        </is>
      </c>
      <c r="H35" s="29" t="n"/>
      <c r="I35" s="29" t="n"/>
      <c r="J35" s="32" t="n">
        <v>-205029002.7325872</v>
      </c>
      <c r="K35" s="29" t="n"/>
      <c r="L35" s="33">
        <f>0-L9</f>
        <v/>
      </c>
      <c r="M35" s="33">
        <f>L35-M9</f>
        <v/>
      </c>
      <c r="N35" s="33">
        <f>M35-N9</f>
        <v/>
      </c>
      <c r="O35" s="33">
        <f>N35-O9</f>
        <v/>
      </c>
      <c r="P35" s="33">
        <f>O35-P9</f>
        <v/>
      </c>
      <c r="Q35" s="33">
        <f>P35-Q9</f>
        <v/>
      </c>
      <c r="R35" s="33">
        <f>Q35-R9</f>
        <v/>
      </c>
      <c r="S35" s="33">
        <f>R35-S9</f>
        <v/>
      </c>
      <c r="T35" s="33">
        <f>S35-T9</f>
        <v/>
      </c>
      <c r="U35" s="33">
        <f>T35-U9</f>
        <v/>
      </c>
      <c r="V35" s="33">
        <f>U35-V9</f>
        <v/>
      </c>
      <c r="W35" s="33">
        <f>V35-W9</f>
        <v/>
      </c>
      <c r="X35" s="33">
        <f>W35-X9</f>
        <v/>
      </c>
      <c r="Y35" s="33">
        <f>X35-Y9</f>
        <v/>
      </c>
      <c r="Z35" s="33">
        <f>Y35-Z9</f>
        <v/>
      </c>
      <c r="AA35" s="33">
        <f>Z35-AA9</f>
        <v/>
      </c>
      <c r="AB35" s="33">
        <f>AA35-AB9</f>
        <v/>
      </c>
      <c r="AC35" s="33">
        <f>AB35-AC9</f>
        <v/>
      </c>
      <c r="AD35" s="33">
        <f>AC35-AD9</f>
        <v/>
      </c>
      <c r="AE35" s="33">
        <f>AD35-AE9</f>
        <v/>
      </c>
      <c r="AF35" s="33">
        <f>AE35-AF9</f>
        <v/>
      </c>
      <c r="AG35" s="33">
        <f>AF35-AG9</f>
        <v/>
      </c>
      <c r="AH35" s="33">
        <f>AG35-AH9</f>
        <v/>
      </c>
      <c r="AI35" s="33">
        <f>AH35-AI9</f>
        <v/>
      </c>
      <c r="AJ35" s="33">
        <f>AI35-AJ9</f>
        <v/>
      </c>
      <c r="AK35" s="33">
        <f>AJ35-AK9</f>
        <v/>
      </c>
      <c r="AL35" s="33">
        <f>AK35-AL9</f>
        <v/>
      </c>
      <c r="AM35" s="33">
        <f>AL35-AM9</f>
        <v/>
      </c>
      <c r="AN35" s="33">
        <f>AM35-AN9</f>
        <v/>
      </c>
      <c r="AO35" s="33">
        <f>AN35-AO9</f>
        <v/>
      </c>
      <c r="AP35" s="33">
        <f>AO35-AP9</f>
        <v/>
      </c>
      <c r="AQ35" s="33">
        <f>AP35-AQ9</f>
        <v/>
      </c>
      <c r="AR35" s="33">
        <f>AQ35-AR9</f>
        <v/>
      </c>
      <c r="AS35" s="33">
        <f>AR35-AS9</f>
        <v/>
      </c>
      <c r="AT35" s="33">
        <f>AS35-AT9</f>
        <v/>
      </c>
      <c r="AU35" s="33">
        <f>AT35-AU9</f>
        <v/>
      </c>
      <c r="AV35" s="33">
        <f>AU35-AV9</f>
        <v/>
      </c>
      <c r="AW35" s="33">
        <f>AV35-AW9</f>
        <v/>
      </c>
      <c r="AX35" s="33">
        <f>AW35-AX9</f>
        <v/>
      </c>
      <c r="AY35" s="33">
        <f>AX35-AY9</f>
        <v/>
      </c>
      <c r="AZ35" s="33">
        <f>AY35-AZ9</f>
        <v/>
      </c>
      <c r="BA35" s="33">
        <f>AZ35-BA9</f>
        <v/>
      </c>
      <c r="BB35" s="33">
        <f>BA35-BB9</f>
        <v/>
      </c>
      <c r="BC35" s="33">
        <f>BB35-BC9</f>
        <v/>
      </c>
      <c r="BD35" s="33">
        <f>BC35-BD9</f>
        <v/>
      </c>
      <c r="BE35" s="33">
        <f>BD35-BE9</f>
        <v/>
      </c>
      <c r="BF35" s="33">
        <f>BE35-BF9</f>
        <v/>
      </c>
      <c r="BG35" s="33">
        <f>BF35-BG9</f>
        <v/>
      </c>
      <c r="BH35" s="33">
        <f>BG35-BH9</f>
        <v/>
      </c>
      <c r="BI35" s="33">
        <f>BH35-BI9</f>
        <v/>
      </c>
      <c r="BJ35" s="33">
        <f>BI35-BJ9</f>
        <v/>
      </c>
      <c r="BK35" s="33">
        <f>BJ35-BK9</f>
        <v/>
      </c>
      <c r="BL35" s="33">
        <f>BK35-BL9</f>
        <v/>
      </c>
      <c r="BM35" s="33">
        <f>BL35-BM9</f>
        <v/>
      </c>
      <c r="BN35" s="33">
        <f>BM35-BN9</f>
        <v/>
      </c>
      <c r="BO35" s="33">
        <f>BN35-BO9</f>
        <v/>
      </c>
      <c r="BP35" s="33">
        <f>BO35-BP9</f>
        <v/>
      </c>
      <c r="BQ35" s="33">
        <f>BP35-BQ9</f>
        <v/>
      </c>
      <c r="BR35" s="33">
        <f>BQ35-BR9</f>
        <v/>
      </c>
      <c r="BS35" s="33">
        <f>BR35-BS9</f>
        <v/>
      </c>
      <c r="BT35" s="33">
        <f>BS35-BT9</f>
        <v/>
      </c>
      <c r="BU35" s="33">
        <f>BT35-BU9</f>
        <v/>
      </c>
      <c r="BV35" s="33">
        <f>BU35-BV9</f>
        <v/>
      </c>
      <c r="BW35" s="33">
        <f>BV35-BW9</f>
        <v/>
      </c>
      <c r="BX35" s="33">
        <f>BW35-BX9</f>
        <v/>
      </c>
      <c r="BY35" s="33">
        <f>BX35-BY9</f>
        <v/>
      </c>
      <c r="BZ35" s="33">
        <f>BY35-BZ9</f>
        <v/>
      </c>
      <c r="CA35" s="33">
        <f>BZ35-CA9</f>
        <v/>
      </c>
      <c r="CB35" s="33">
        <f>CA35-CB9</f>
        <v/>
      </c>
      <c r="CC35" s="33">
        <f>CB35-CC9</f>
        <v/>
      </c>
      <c r="CD35" s="33">
        <f>CC35-CD9</f>
        <v/>
      </c>
      <c r="CE35" s="33">
        <f>CD35-CE9</f>
        <v/>
      </c>
      <c r="CF35" s="33">
        <f>CE35-CF9</f>
        <v/>
      </c>
      <c r="CG35" s="33">
        <f>CF35-CG9</f>
        <v/>
      </c>
      <c r="CH35" s="33">
        <f>CG35-CH9</f>
        <v/>
      </c>
      <c r="CI35" s="33">
        <f>CH35-CI9</f>
        <v/>
      </c>
      <c r="CJ35" s="33">
        <f>CI35-CJ9</f>
        <v/>
      </c>
      <c r="CK35" s="33">
        <f>CJ35-CK9</f>
        <v/>
      </c>
      <c r="CL35" s="33">
        <f>CK35-CL9</f>
        <v/>
      </c>
      <c r="CM35" s="33">
        <f>CL35-CM9</f>
        <v/>
      </c>
      <c r="CN35" s="33">
        <f>CM35-CN9</f>
        <v/>
      </c>
      <c r="CO35" s="33">
        <f>CN35-CO9</f>
        <v/>
      </c>
      <c r="CP35" s="33">
        <f>CO35-CP9</f>
        <v/>
      </c>
      <c r="CQ35" s="33">
        <f>CP35-CQ9</f>
        <v/>
      </c>
      <c r="CR35" s="33">
        <f>CQ35-CR9</f>
        <v/>
      </c>
      <c r="CS35" s="33">
        <f>CR35-CS9</f>
        <v/>
      </c>
      <c r="CT35" s="33">
        <f>CS35-CT9</f>
        <v/>
      </c>
      <c r="CU35" s="33">
        <f>CT35-CU9</f>
        <v/>
      </c>
      <c r="CV35" s="33">
        <f>CU35-CV9</f>
        <v/>
      </c>
      <c r="CW35" s="33">
        <f>CV35-CW9</f>
        <v/>
      </c>
      <c r="CX35" s="33">
        <f>CW35-CX9</f>
        <v/>
      </c>
      <c r="CY35" s="33">
        <f>CX35-CY9</f>
        <v/>
      </c>
      <c r="CZ35" s="33">
        <f>CY35-CZ9</f>
        <v/>
      </c>
      <c r="DA35" s="33">
        <f>CZ35-DA9</f>
        <v/>
      </c>
      <c r="DB35" s="33">
        <f>DA35-DB9</f>
        <v/>
      </c>
      <c r="DC35" s="33">
        <f>DB35-DC9</f>
        <v/>
      </c>
      <c r="DD35" s="33">
        <f>DC35-DD9</f>
        <v/>
      </c>
      <c r="DE35" s="33">
        <f>DD35-DE9</f>
        <v/>
      </c>
      <c r="DF35" s="33">
        <f>DE35-DF9</f>
        <v/>
      </c>
      <c r="DG35" s="33">
        <f>DF35-DG9</f>
        <v/>
      </c>
      <c r="DH35" s="33">
        <f>DG35-DH9</f>
        <v/>
      </c>
      <c r="DI35" s="33">
        <f>DH35-DI9</f>
        <v/>
      </c>
      <c r="DJ35" s="33">
        <f>DI35-DJ9</f>
        <v/>
      </c>
      <c r="DK35" s="33">
        <f>DJ35-DK9</f>
        <v/>
      </c>
      <c r="DL35" s="33">
        <f>DK35-DL9</f>
        <v/>
      </c>
      <c r="DM35" s="33">
        <f>DL35-DM9</f>
        <v/>
      </c>
      <c r="DN35" s="33">
        <f>DM35-DN9</f>
        <v/>
      </c>
      <c r="DO35" s="33">
        <f>DN35-DO9</f>
        <v/>
      </c>
      <c r="DP35" s="33">
        <f>DO35-DP9</f>
        <v/>
      </c>
      <c r="DQ35" s="33">
        <f>DP35-DQ9</f>
        <v/>
      </c>
      <c r="DR35" s="33">
        <f>DQ35-DR9</f>
        <v/>
      </c>
      <c r="DS35" s="33">
        <f>DR35-DS9</f>
        <v/>
      </c>
      <c r="DT35" s="33">
        <f>DS35-DT9</f>
        <v/>
      </c>
      <c r="DU35" s="33">
        <f>DT35-DU9</f>
        <v/>
      </c>
      <c r="DV35" s="33">
        <f>DU35-DV9</f>
        <v/>
      </c>
      <c r="DW35" s="33">
        <f>DV35-DW9</f>
        <v/>
      </c>
      <c r="DX35" s="33">
        <f>DW35-DX9</f>
        <v/>
      </c>
      <c r="DY35" s="33">
        <f>DX35-DY9</f>
        <v/>
      </c>
      <c r="DZ35" s="33">
        <f>DY35-DZ9</f>
        <v/>
      </c>
      <c r="EA35" s="33">
        <f>DZ35-EA9</f>
        <v/>
      </c>
      <c r="EB35" s="33">
        <f>EA35-EB9</f>
        <v/>
      </c>
      <c r="EC35" s="33">
        <f>EB35-EC9</f>
        <v/>
      </c>
      <c r="ED35" s="33">
        <f>EC35-ED9</f>
        <v/>
      </c>
      <c r="EE35" s="33">
        <f>ED35-EE9</f>
        <v/>
      </c>
      <c r="EF35" s="33">
        <f>EE35-EF9</f>
        <v/>
      </c>
      <c r="EG35" s="33">
        <f>EF35-EG9</f>
        <v/>
      </c>
      <c r="EH35" s="33">
        <f>EG35-EH9</f>
        <v/>
      </c>
      <c r="EI35" s="33">
        <f>EH35-EI9</f>
        <v/>
      </c>
      <c r="EJ35" s="33">
        <f>EI35-EJ9</f>
        <v/>
      </c>
      <c r="EK35" s="33">
        <f>EJ35-EK9</f>
        <v/>
      </c>
      <c r="EL35" s="33">
        <f>EK35-EL9</f>
        <v/>
      </c>
      <c r="EM35" s="33">
        <f>EL35-EM9</f>
        <v/>
      </c>
      <c r="EN35" s="33">
        <f>EM35-EN9</f>
        <v/>
      </c>
      <c r="EO35" s="33">
        <f>EN35-EO9</f>
        <v/>
      </c>
      <c r="EP35" s="33">
        <f>EO35-EP9</f>
        <v/>
      </c>
      <c r="EQ35" s="33">
        <f>EP35-EQ9</f>
        <v/>
      </c>
      <c r="ER35" s="33">
        <f>EQ35-ER9</f>
        <v/>
      </c>
      <c r="ES35" s="33">
        <f>ER35-ES9</f>
        <v/>
      </c>
      <c r="ET35" s="33">
        <f>ES35-ET9</f>
        <v/>
      </c>
      <c r="EU35" s="33">
        <f>ET35-EU9</f>
        <v/>
      </c>
      <c r="EV35" s="33">
        <f>EU35-EV9</f>
        <v/>
      </c>
      <c r="EW35" s="33">
        <f>EV35-EW9</f>
        <v/>
      </c>
      <c r="EX35" s="33">
        <f>EW35-EX9</f>
        <v/>
      </c>
      <c r="EY35" s="33">
        <f>EX35-EY9</f>
        <v/>
      </c>
      <c r="EZ35" s="33">
        <f>EY35-EZ9</f>
        <v/>
      </c>
      <c r="FA35" s="33">
        <f>EZ35-FA9</f>
        <v/>
      </c>
      <c r="FB35" s="33">
        <f>FA35-FB9</f>
        <v/>
      </c>
      <c r="FC35" s="33">
        <f>FB35-FC9</f>
        <v/>
      </c>
      <c r="FD35" s="33">
        <f>FC35-FD9</f>
        <v/>
      </c>
      <c r="FE35" s="33">
        <f>FD35-FE9</f>
        <v/>
      </c>
      <c r="FF35" s="33">
        <f>FE35-FF9</f>
        <v/>
      </c>
      <c r="FG35" s="33">
        <f>FF35-FG9</f>
        <v/>
      </c>
      <c r="FH35" s="33">
        <f>FG35-FH9</f>
        <v/>
      </c>
      <c r="FI35" s="33">
        <f>FH35-FI9</f>
        <v/>
      </c>
      <c r="FJ35" s="33">
        <f>FI35-FJ9</f>
        <v/>
      </c>
      <c r="FK35" s="33">
        <f>FJ35-FK9</f>
        <v/>
      </c>
      <c r="FL35" s="33">
        <f>FK35-FL9</f>
        <v/>
      </c>
      <c r="FM35" s="33">
        <f>FL35-FM9</f>
        <v/>
      </c>
      <c r="FN35" s="33">
        <f>FM35-FN9</f>
        <v/>
      </c>
      <c r="FO35" s="33">
        <f>FN35-FO9</f>
        <v/>
      </c>
      <c r="FP35" s="33">
        <f>FO35-FP9</f>
        <v/>
      </c>
      <c r="FQ35" s="33">
        <f>FP35-FQ9</f>
        <v/>
      </c>
      <c r="FR35" s="33">
        <f>FQ35-FR9</f>
        <v/>
      </c>
      <c r="FS35" s="33">
        <f>FR35-FS9</f>
        <v/>
      </c>
      <c r="FT35" s="33">
        <f>FS35-FT9</f>
        <v/>
      </c>
      <c r="FU35" s="33">
        <f>FT35-FU9</f>
        <v/>
      </c>
      <c r="FV35" s="33">
        <f>FU35-FV9</f>
        <v/>
      </c>
      <c r="FW35" s="33">
        <f>FV35-FW9</f>
        <v/>
      </c>
      <c r="FX35" s="33">
        <f>FW35-FX9</f>
        <v/>
      </c>
      <c r="FY35" s="33">
        <f>FX35-FY9</f>
        <v/>
      </c>
      <c r="FZ35" s="33">
        <f>FY35-FZ9</f>
        <v/>
      </c>
      <c r="GA35" s="33">
        <f>FZ35-GA9</f>
        <v/>
      </c>
      <c r="GB35" s="33">
        <f>GA35-GB9</f>
        <v/>
      </c>
      <c r="GC35" s="33">
        <f>GB35-GC9</f>
        <v/>
      </c>
      <c r="GD35" s="33">
        <f>GC35-GD9</f>
        <v/>
      </c>
      <c r="GE35" s="33">
        <f>GD35-GE9</f>
        <v/>
      </c>
      <c r="GF35" s="33">
        <f>GE35-GF9</f>
        <v/>
      </c>
      <c r="GG35" s="33">
        <f>GF35-GG9</f>
        <v/>
      </c>
      <c r="GH35" s="33">
        <f>GG35-GH9</f>
        <v/>
      </c>
      <c r="GI35" s="33">
        <f>GH35-GI9</f>
        <v/>
      </c>
      <c r="GJ35" s="33">
        <f>GI35-GJ9</f>
        <v/>
      </c>
      <c r="GK35" s="33">
        <f>GJ35-GK9</f>
        <v/>
      </c>
      <c r="GL35" s="33">
        <f>GK35-GL9</f>
        <v/>
      </c>
      <c r="GM35" s="33">
        <f>GL35-GM9</f>
        <v/>
      </c>
      <c r="GN35" s="33">
        <f>GM35-GN9</f>
        <v/>
      </c>
      <c r="GO35" s="33">
        <f>GN35-GO9</f>
        <v/>
      </c>
      <c r="GP35" s="33">
        <f>GO35-GP9</f>
        <v/>
      </c>
      <c r="GQ35" s="33">
        <f>GP35-GQ9</f>
        <v/>
      </c>
      <c r="GR35" s="33">
        <f>GQ35-GR9</f>
        <v/>
      </c>
      <c r="GS35" s="33">
        <f>GR35-GS9</f>
        <v/>
      </c>
      <c r="GT35" s="33">
        <f>GS35-GT9</f>
        <v/>
      </c>
      <c r="GU35" s="33">
        <f>GT35-GU9</f>
        <v/>
      </c>
      <c r="GV35" s="33">
        <f>GU35-GV9</f>
        <v/>
      </c>
      <c r="GW35" s="33">
        <f>GV35-GW9</f>
        <v/>
      </c>
      <c r="GX35" s="33">
        <f>GW35-GX9</f>
        <v/>
      </c>
      <c r="GY35" s="33">
        <f>GX35-GY9</f>
        <v/>
      </c>
      <c r="GZ35" s="33">
        <f>GY35-GZ9</f>
        <v/>
      </c>
      <c r="HA35" s="33">
        <f>GZ35-HA9</f>
        <v/>
      </c>
      <c r="HB35" s="33">
        <f>HA35-HB9</f>
        <v/>
      </c>
      <c r="HC35" s="33">
        <f>HB35-HC9</f>
        <v/>
      </c>
      <c r="HD35" s="33">
        <f>HC35-HD9</f>
        <v/>
      </c>
      <c r="HE35" s="33">
        <f>HD35-HE9</f>
        <v/>
      </c>
      <c r="HF35" s="33">
        <f>HE35-HF9</f>
        <v/>
      </c>
      <c r="HG35" s="33">
        <f>HF35-HG9</f>
        <v/>
      </c>
      <c r="HH35" s="33">
        <f>HG35-HH9</f>
        <v/>
      </c>
      <c r="HI35" s="33">
        <f>HH35-HI9</f>
        <v/>
      </c>
      <c r="HJ35" s="33">
        <f>HI35-HJ9</f>
        <v/>
      </c>
      <c r="HK35" s="33">
        <f>HJ35-HK9</f>
        <v/>
      </c>
      <c r="HL35" s="33">
        <f>HK35-HL9</f>
        <v/>
      </c>
      <c r="HM35" s="33">
        <f>HL35-HM9</f>
        <v/>
      </c>
      <c r="HN35" s="33">
        <f>HM35-HN9</f>
        <v/>
      </c>
      <c r="HO35" s="33">
        <f>HN35-HO9</f>
        <v/>
      </c>
      <c r="HP35" s="33">
        <f>HO35-HP9</f>
        <v/>
      </c>
      <c r="HQ35" s="33">
        <f>HP35-HQ9</f>
        <v/>
      </c>
      <c r="HR35" s="33">
        <f>HQ35-HR9</f>
        <v/>
      </c>
      <c r="HS35" s="33">
        <f>HR35-HS9</f>
        <v/>
      </c>
      <c r="HT35" s="33">
        <f>HS35-HT9</f>
        <v/>
      </c>
      <c r="HU35" s="33">
        <f>HT35-HU9</f>
        <v/>
      </c>
      <c r="HV35" s="33">
        <f>HU35-HV9</f>
        <v/>
      </c>
      <c r="HW35" s="33">
        <f>HV35-HW9</f>
        <v/>
      </c>
      <c r="HX35" s="33">
        <f>HW35-HX9</f>
        <v/>
      </c>
      <c r="HY35" s="33">
        <f>HX35-HY9</f>
        <v/>
      </c>
      <c r="HZ35" s="33">
        <f>HY35-HZ9</f>
        <v/>
      </c>
      <c r="IA35" s="33">
        <f>HZ35-IA9</f>
        <v/>
      </c>
      <c r="IB35" s="33">
        <f>IA35-IB9</f>
        <v/>
      </c>
      <c r="IC35" s="33">
        <f>IB35-IC9</f>
        <v/>
      </c>
      <c r="ID35" s="33">
        <f>IC35-ID9</f>
        <v/>
      </c>
      <c r="IE35" s="33">
        <f>ID35-IE9</f>
        <v/>
      </c>
      <c r="IF35" s="33">
        <f>IE35-IF9</f>
        <v/>
      </c>
      <c r="IG35" s="33">
        <f>IF35-IG9</f>
        <v/>
      </c>
      <c r="IH35" s="33">
        <f>IG35-IH9</f>
        <v/>
      </c>
      <c r="II35" s="33">
        <f>IH35-II9</f>
        <v/>
      </c>
      <c r="IJ35" s="33">
        <f>II35-IJ9</f>
        <v/>
      </c>
      <c r="IK35" s="33">
        <f>IJ35-IK9</f>
        <v/>
      </c>
      <c r="IL35" s="33">
        <f>IK35-IL9</f>
        <v/>
      </c>
      <c r="IM35" s="33">
        <f>IL35-IM9</f>
        <v/>
      </c>
      <c r="IN35" s="33">
        <f>IM35-IN9</f>
        <v/>
      </c>
      <c r="IO35" s="33">
        <f>IN35-IO9</f>
        <v/>
      </c>
      <c r="IP35" s="33">
        <f>IO35-IP9</f>
        <v/>
      </c>
      <c r="IQ35" s="33">
        <f>IP35-IQ9</f>
        <v/>
      </c>
      <c r="IR35" s="33">
        <f>IQ35-IR9</f>
        <v/>
      </c>
      <c r="IS35" s="33">
        <f>IR35-IS9</f>
        <v/>
      </c>
      <c r="IT35" s="33">
        <f>IS35-IT9</f>
        <v/>
      </c>
      <c r="IU35" s="33">
        <f>IT35-IU9</f>
        <v/>
      </c>
      <c r="IV35" s="33">
        <f>IU35-IV9</f>
        <v/>
      </c>
      <c r="IW35" s="33">
        <f>IV35-IW9</f>
        <v/>
      </c>
      <c r="IX35" s="33">
        <f>IW35-IX9</f>
        <v/>
      </c>
      <c r="IY35" s="33">
        <f>IX35-IY9</f>
        <v/>
      </c>
      <c r="IZ35" s="33">
        <f>IY35-IZ9</f>
        <v/>
      </c>
      <c r="JA35" s="33">
        <f>IZ35-JA9</f>
        <v/>
      </c>
      <c r="JB35" s="33">
        <f>JA35-JB9</f>
        <v/>
      </c>
      <c r="JC35" s="33">
        <f>JB35-JC9</f>
        <v/>
      </c>
      <c r="JD35" s="33">
        <f>JC35-JD9</f>
        <v/>
      </c>
      <c r="JE35" s="33">
        <f>JD35-JE9</f>
        <v/>
      </c>
      <c r="JF35" s="33">
        <f>JE35-JF9</f>
        <v/>
      </c>
      <c r="JG35" s="33">
        <f>JF35-JG9</f>
        <v/>
      </c>
      <c r="JH35" s="33">
        <f>JG35-JH9</f>
        <v/>
      </c>
      <c r="JI35" s="33">
        <f>JH35-JI9</f>
        <v/>
      </c>
      <c r="JJ35" s="33">
        <f>JI35-JJ9</f>
        <v/>
      </c>
      <c r="JK35" s="33">
        <f>JJ35-JK9</f>
        <v/>
      </c>
      <c r="JL35" s="33">
        <f>JK35-JL9</f>
        <v/>
      </c>
      <c r="JM35" s="33">
        <f>JL35-JM9</f>
        <v/>
      </c>
      <c r="JN35" s="33">
        <f>JM35-JN9</f>
        <v/>
      </c>
      <c r="JO35" s="33">
        <f>JN35-JO9</f>
        <v/>
      </c>
      <c r="JP35" s="33">
        <f>JO35-JP9</f>
        <v/>
      </c>
      <c r="JQ35" s="33">
        <f>JP35-JQ9</f>
        <v/>
      </c>
      <c r="JR35" s="33">
        <f>JQ35-JR9</f>
        <v/>
      </c>
      <c r="JS35" s="33">
        <f>JR35-JS9</f>
        <v/>
      </c>
      <c r="JT35" s="33">
        <f>JS35-JT9</f>
        <v/>
      </c>
      <c r="JU35" s="33">
        <f>JT35-JU9</f>
        <v/>
      </c>
      <c r="JV35" s="33">
        <f>JU35-JV9</f>
        <v/>
      </c>
      <c r="JW35" s="33">
        <f>JV35-JW9</f>
        <v/>
      </c>
      <c r="JX35" s="33">
        <f>JW35-JX9</f>
        <v/>
      </c>
      <c r="JY35" s="33">
        <f>JX35-JY9</f>
        <v/>
      </c>
      <c r="JZ35" s="33">
        <f>JY35-JZ9</f>
        <v/>
      </c>
      <c r="KA35" s="33">
        <f>JZ35-KA9</f>
        <v/>
      </c>
      <c r="KB35" s="33">
        <f>KA35-KB9</f>
        <v/>
      </c>
      <c r="KC35" s="33">
        <f>KB35-KC9</f>
        <v/>
      </c>
      <c r="KD35" s="33">
        <f>KC35-KD9</f>
        <v/>
      </c>
      <c r="KE35" s="33">
        <f>KD35-KE9</f>
        <v/>
      </c>
      <c r="KF35" s="33">
        <f>KE35-KF9</f>
        <v/>
      </c>
      <c r="KG35" s="33">
        <f>KF35-KG9</f>
        <v/>
      </c>
      <c r="KH35" s="33">
        <f>KG35-KH9</f>
        <v/>
      </c>
      <c r="KI35" s="33">
        <f>KH35-KI9</f>
        <v/>
      </c>
      <c r="KJ35" s="33">
        <f>KI35-KJ9</f>
        <v/>
      </c>
      <c r="KK35" s="33">
        <f>KJ35-KK9</f>
        <v/>
      </c>
      <c r="KL35" s="33">
        <f>KK35-KL9</f>
        <v/>
      </c>
      <c r="KM35" s="33">
        <f>KL35-KM9</f>
        <v/>
      </c>
      <c r="KN35" s="33">
        <f>KM35-KN9</f>
        <v/>
      </c>
      <c r="KO35" s="33">
        <f>KN35-KO9</f>
        <v/>
      </c>
      <c r="KP35" s="33">
        <f>KO35-KP9</f>
        <v/>
      </c>
      <c r="KQ35" s="33">
        <f>KP35-KQ9</f>
        <v/>
      </c>
      <c r="KR35" s="33">
        <f>KQ35-KR9</f>
        <v/>
      </c>
      <c r="KS35" s="33">
        <f>KR35-KS9</f>
        <v/>
      </c>
      <c r="KT35" s="33">
        <f>KS35-KT9</f>
        <v/>
      </c>
      <c r="KU35" s="33">
        <f>KT35-KU9</f>
        <v/>
      </c>
      <c r="KV35" s="33">
        <f>KU35-KV9</f>
        <v/>
      </c>
      <c r="KW35" s="33">
        <f>KV35-KW9</f>
        <v/>
      </c>
      <c r="KX35" s="33">
        <f>KW35-KX9</f>
        <v/>
      </c>
      <c r="KY35" s="33">
        <f>KX35-KY9</f>
        <v/>
      </c>
      <c r="KZ35" s="33">
        <f>KY35-KZ9</f>
        <v/>
      </c>
      <c r="LA35" s="33">
        <f>KZ35-LA9</f>
        <v/>
      </c>
      <c r="LB35" s="33">
        <f>LA35-LB9</f>
        <v/>
      </c>
      <c r="LC35" s="33">
        <f>LB35-LC9</f>
        <v/>
      </c>
      <c r="LD35" s="33">
        <f>LC35-LD9</f>
        <v/>
      </c>
      <c r="LE35" s="33">
        <f>LD35-LE9</f>
        <v/>
      </c>
      <c r="LF35" s="33">
        <f>LE35-LF9</f>
        <v/>
      </c>
      <c r="LG35" s="33">
        <f>LF35-LG9</f>
        <v/>
      </c>
      <c r="LH35" s="33">
        <f>LG35-LH9</f>
        <v/>
      </c>
      <c r="LI35" s="33">
        <f>LH35-LI9</f>
        <v/>
      </c>
      <c r="LJ35" s="33">
        <f>LI35-LJ9</f>
        <v/>
      </c>
      <c r="LK35" s="33">
        <f>LJ35-LK9</f>
        <v/>
      </c>
      <c r="LL35" s="33">
        <f>LK35-LL9</f>
        <v/>
      </c>
      <c r="LM35" s="33">
        <f>LL35-LM9</f>
        <v/>
      </c>
      <c r="LN35" s="33">
        <f>LM35-LN9</f>
        <v/>
      </c>
      <c r="LO35" s="33">
        <f>LN35-LO9</f>
        <v/>
      </c>
      <c r="LP35" s="33">
        <f>LO35-LP9</f>
        <v/>
      </c>
      <c r="LQ35" s="33">
        <f>LP35-LQ9</f>
        <v/>
      </c>
      <c r="LR35" s="33">
        <f>LQ35-LR9</f>
        <v/>
      </c>
      <c r="LS35" s="33">
        <f>LR35-LS9</f>
        <v/>
      </c>
      <c r="LT35" s="33">
        <f>LS35-LT9</f>
        <v/>
      </c>
      <c r="LU35" s="33">
        <f>LT35-LU9</f>
        <v/>
      </c>
      <c r="LV35" s="33">
        <f>LU35-LV9</f>
        <v/>
      </c>
      <c r="LW35" s="33">
        <f>LV35-LW9</f>
        <v/>
      </c>
      <c r="LX35" s="33">
        <f>LW35-LX9</f>
        <v/>
      </c>
      <c r="LY35" s="33">
        <f>LX35-LY9</f>
        <v/>
      </c>
      <c r="LZ35" s="33">
        <f>LY35-LZ9</f>
        <v/>
      </c>
      <c r="MA35" s="33">
        <f>LZ35-MA9</f>
        <v/>
      </c>
      <c r="MB35" s="33">
        <f>MA35-MB9</f>
        <v/>
      </c>
      <c r="MC35" s="33">
        <f>MB35-MC9</f>
        <v/>
      </c>
      <c r="MD35" s="33">
        <f>MC35-MD9</f>
        <v/>
      </c>
      <c r="ME35" s="33">
        <f>MD35-ME9</f>
        <v/>
      </c>
      <c r="MF35" s="33">
        <f>ME35-MF9</f>
        <v/>
      </c>
      <c r="MG35" s="33">
        <f>MF35-MG9</f>
        <v/>
      </c>
      <c r="MH35" s="33">
        <f>MG35-MH9</f>
        <v/>
      </c>
      <c r="MI35" s="33">
        <f>MH35-MI9</f>
        <v/>
      </c>
      <c r="MJ35" s="33">
        <f>MI35-MJ9</f>
        <v/>
      </c>
      <c r="MK35" s="33">
        <f>MJ35-MK9</f>
        <v/>
      </c>
      <c r="ML35" s="33">
        <f>MK35-ML9</f>
        <v/>
      </c>
      <c r="MM35" s="33">
        <f>ML35-MM9</f>
        <v/>
      </c>
      <c r="MN35" s="33">
        <f>MM35-MN9</f>
        <v/>
      </c>
      <c r="MO35" s="33">
        <f>MN35-MO9</f>
        <v/>
      </c>
      <c r="MP35" s="33">
        <f>MO35-MP9</f>
        <v/>
      </c>
      <c r="MQ35" s="33">
        <f>MP35-MQ9</f>
        <v/>
      </c>
      <c r="MR35" s="33">
        <f>MQ35-MR9</f>
        <v/>
      </c>
      <c r="MS35" s="33">
        <f>MR35-MS9</f>
        <v/>
      </c>
      <c r="MT35" s="33">
        <f>MS35-MT9</f>
        <v/>
      </c>
      <c r="MU35" s="33">
        <f>MT35-MU9</f>
        <v/>
      </c>
      <c r="MV35" s="33">
        <f>MU35-MV9</f>
        <v/>
      </c>
      <c r="MW35" s="33">
        <f>MV35-MW9</f>
        <v/>
      </c>
      <c r="MX35" s="33">
        <f>MW35-MX9</f>
        <v/>
      </c>
      <c r="MY35" s="33">
        <f>MX35-MY9</f>
        <v/>
      </c>
      <c r="MZ35" s="33">
        <f>MY35-MZ9</f>
        <v/>
      </c>
      <c r="NA35" s="33">
        <f>MZ35-NA9</f>
        <v/>
      </c>
      <c r="NB35" s="33">
        <f>NA35-NB9</f>
        <v/>
      </c>
      <c r="NC35" s="33">
        <f>NB35-NC9</f>
        <v/>
      </c>
      <c r="ND35" s="33">
        <f>NC35-ND9</f>
        <v/>
      </c>
      <c r="NE35" s="33">
        <f>ND35-NE9</f>
        <v/>
      </c>
      <c r="NF35" s="33">
        <f>NE35-NF9</f>
        <v/>
      </c>
      <c r="NG35" s="33">
        <f>NF35-NG9</f>
        <v/>
      </c>
      <c r="NH35" s="33">
        <f>NG35-NH9</f>
        <v/>
      </c>
      <c r="NI35" s="33">
        <f>NH35-NI9</f>
        <v/>
      </c>
      <c r="NJ35" s="33">
        <f>NI35-NJ9</f>
        <v/>
      </c>
      <c r="NK35" s="33">
        <f>NJ35-NK9</f>
        <v/>
      </c>
      <c r="NL35" s="33">
        <f>NK35-NL9</f>
        <v/>
      </c>
      <c r="NM35" s="33">
        <f>NL35-NM9</f>
        <v/>
      </c>
      <c r="NN35" s="33">
        <f>NM35-NN9</f>
        <v/>
      </c>
      <c r="NO35" s="33">
        <f>NN35-NO9</f>
        <v/>
      </c>
      <c r="NP35" s="33">
        <f>NO35-NP9</f>
        <v/>
      </c>
      <c r="NQ35" s="33">
        <f>NP35-NQ9</f>
        <v/>
      </c>
      <c r="NR35" s="33">
        <f>NQ35-NR9</f>
        <v/>
      </c>
      <c r="NS35" s="33">
        <f>NR35-NS9</f>
        <v/>
      </c>
      <c r="NT35" s="33">
        <f>NS35-NT9</f>
        <v/>
      </c>
      <c r="NU35" s="33">
        <f>NT35-NU9</f>
        <v/>
      </c>
      <c r="NV35" s="33">
        <f>NU35-NV9</f>
        <v/>
      </c>
      <c r="NW35" s="33">
        <f>NV35-NW9</f>
        <v/>
      </c>
      <c r="NX35" s="33">
        <f>NW35-NX9</f>
        <v/>
      </c>
      <c r="NY35" s="33">
        <f>NX35-NY9</f>
        <v/>
      </c>
      <c r="NZ35" s="33">
        <f>NY35-NZ9</f>
        <v/>
      </c>
      <c r="OA35" s="33">
        <f>NZ35-OA9</f>
        <v/>
      </c>
      <c r="OB35" s="33">
        <f>OA35-OB9</f>
        <v/>
      </c>
      <c r="OC35" s="33">
        <f>OB35-OC9</f>
        <v/>
      </c>
      <c r="OD35" s="33">
        <f>OC35-OD9</f>
        <v/>
      </c>
      <c r="OE35" s="33">
        <f>OD35-OE9</f>
        <v/>
      </c>
      <c r="OF35" s="33">
        <f>OE35-OF9</f>
        <v/>
      </c>
      <c r="OG35" s="33">
        <f>OF35-OG9</f>
        <v/>
      </c>
      <c r="OH35" s="33">
        <f>OG35-OH9</f>
        <v/>
      </c>
      <c r="OI35" s="33">
        <f>OH35-OI9</f>
        <v/>
      </c>
      <c r="OJ35" s="33">
        <f>OI35-OJ9</f>
        <v/>
      </c>
      <c r="OK35" s="33">
        <f>OJ35-OK9</f>
        <v/>
      </c>
      <c r="OL35" s="33">
        <f>OK35-OL9</f>
        <v/>
      </c>
      <c r="OM35" s="33">
        <f>OL35-OM9</f>
        <v/>
      </c>
      <c r="ON35" s="33">
        <f>OM35-ON9</f>
        <v/>
      </c>
      <c r="OO35" s="33">
        <f>ON35-OO9</f>
        <v/>
      </c>
      <c r="OP35" s="33">
        <f>OO35-OP9</f>
        <v/>
      </c>
      <c r="OQ35" s="33">
        <f>OP35-OQ9</f>
        <v/>
      </c>
      <c r="OR35" s="33">
        <f>OQ35-OR9</f>
        <v/>
      </c>
      <c r="OS35" s="33">
        <f>OR35-OS9</f>
        <v/>
      </c>
      <c r="OT35" s="33">
        <f>OS35-OT9</f>
        <v/>
      </c>
      <c r="OU35" s="33">
        <f>OT35-OU9</f>
        <v/>
      </c>
      <c r="OV35" s="33">
        <f>OU35-OV9</f>
        <v/>
      </c>
      <c r="OW35" s="33">
        <f>OV35-OW9</f>
        <v/>
      </c>
      <c r="OX35" s="33">
        <f>OW35-OX9</f>
        <v/>
      </c>
      <c r="OY35" s="33">
        <f>OX35-OY9</f>
        <v/>
      </c>
      <c r="OZ35" s="33">
        <f>OY35-OZ9</f>
        <v/>
      </c>
      <c r="PA35" s="33">
        <f>OZ35-PA9</f>
        <v/>
      </c>
      <c r="PB35" s="33">
        <f>PA35-PB9</f>
        <v/>
      </c>
      <c r="PC35" s="33">
        <f>PB35-PC9</f>
        <v/>
      </c>
      <c r="PD35" s="33">
        <f>PC35-PD9</f>
        <v/>
      </c>
      <c r="PE35" s="33">
        <f>PD35-PE9</f>
        <v/>
      </c>
      <c r="PF35" s="33">
        <f>PE35-PF9</f>
        <v/>
      </c>
      <c r="PG35" s="33">
        <f>PF35-PG9</f>
        <v/>
      </c>
      <c r="PH35" s="33">
        <f>PG35-PH9</f>
        <v/>
      </c>
      <c r="PI35" s="33">
        <f>PH35-PI9</f>
        <v/>
      </c>
      <c r="PJ35" s="33">
        <f>PI35-PJ9</f>
        <v/>
      </c>
      <c r="PK35" s="33">
        <f>PJ35-PK9</f>
        <v/>
      </c>
      <c r="PL35" s="33">
        <f>PK35-PL9</f>
        <v/>
      </c>
      <c r="PM35" s="33">
        <f>PL35-PM9</f>
        <v/>
      </c>
      <c r="PN35" s="33">
        <f>PM35-PN9</f>
        <v/>
      </c>
      <c r="PO35" s="33">
        <f>PN35-PO9</f>
        <v/>
      </c>
      <c r="PP35" s="33">
        <f>PO35-PP9</f>
        <v/>
      </c>
      <c r="PQ35" s="33">
        <f>PP35-PQ9</f>
        <v/>
      </c>
      <c r="PR35" s="33">
        <f>PQ35-PR9</f>
        <v/>
      </c>
      <c r="PS35" s="33">
        <f>PR35-PS9</f>
        <v/>
      </c>
      <c r="PT35" s="33">
        <f>PS35-PT9</f>
        <v/>
      </c>
      <c r="PU35" s="33">
        <f>PT35-PU9</f>
        <v/>
      </c>
      <c r="PV35" s="33">
        <f>PU35-PV9</f>
        <v/>
      </c>
      <c r="PW35" s="33">
        <f>PV35-PW9</f>
        <v/>
      </c>
      <c r="PX35" s="33">
        <f>PW35-PX9</f>
        <v/>
      </c>
      <c r="PY35" s="33">
        <f>PX35-PY9</f>
        <v/>
      </c>
      <c r="PZ35" s="33">
        <f>PY35-PZ9</f>
        <v/>
      </c>
      <c r="QA35" s="33">
        <f>PZ35-QA9</f>
        <v/>
      </c>
      <c r="QB35" s="33">
        <f>QA35-QB9</f>
        <v/>
      </c>
      <c r="QC35" s="33">
        <f>QB35-QC9</f>
        <v/>
      </c>
      <c r="QD35" s="33">
        <f>QC35-QD9</f>
        <v/>
      </c>
      <c r="QE35" s="33">
        <f>QD35-QE9</f>
        <v/>
      </c>
      <c r="QF35" s="33">
        <f>QE35-QF9</f>
        <v/>
      </c>
      <c r="QG35" s="33">
        <f>QF35-QG9</f>
        <v/>
      </c>
      <c r="QH35" s="33">
        <f>QG35-QH9</f>
        <v/>
      </c>
      <c r="QI35" s="33">
        <f>QH35-QI9</f>
        <v/>
      </c>
      <c r="QJ35" s="33">
        <f>QI35-QJ9</f>
        <v/>
      </c>
      <c r="QK35" s="33">
        <f>QJ35-QK9</f>
        <v/>
      </c>
      <c r="QL35" s="33">
        <f>QK35-QL9</f>
        <v/>
      </c>
      <c r="QM35" s="33">
        <f>QL35-QM9</f>
        <v/>
      </c>
      <c r="QN35" s="33">
        <f>QM35-QN9</f>
        <v/>
      </c>
      <c r="QO35" s="33">
        <f>QN35-QO9</f>
        <v/>
      </c>
      <c r="QP35" s="33">
        <f>QO35-QP9</f>
        <v/>
      </c>
      <c r="QQ35" s="33">
        <f>QP35-QQ9</f>
        <v/>
      </c>
      <c r="QR35" s="33">
        <f>QQ35-QR9</f>
        <v/>
      </c>
      <c r="QS35" s="33">
        <f>QR35-QS9</f>
        <v/>
      </c>
      <c r="QT35" s="33">
        <f>QS35-QT9</f>
        <v/>
      </c>
      <c r="QU35" s="33">
        <f>QT35-QU9</f>
        <v/>
      </c>
      <c r="QV35" s="33">
        <f>QU35-QV9</f>
        <v/>
      </c>
      <c r="QW35" s="33">
        <f>QV35-QW9</f>
        <v/>
      </c>
      <c r="QX35" s="33">
        <f>QW35-QX9</f>
        <v/>
      </c>
      <c r="QY35" s="33">
        <f>QX35-QY9</f>
        <v/>
      </c>
      <c r="QZ35" s="33">
        <f>QY35-QZ9</f>
        <v/>
      </c>
      <c r="RA35" s="33">
        <f>QZ35-RA9</f>
        <v/>
      </c>
      <c r="RB35" s="33">
        <f>RA35-RB9</f>
        <v/>
      </c>
      <c r="RC35" s="33">
        <f>RB35-RC9</f>
        <v/>
      </c>
      <c r="RD35" s="33">
        <f>RC35-RD9</f>
        <v/>
      </c>
      <c r="RE35" s="33">
        <f>RD35-RE9</f>
        <v/>
      </c>
      <c r="RF35" s="33">
        <f>RE35-RF9</f>
        <v/>
      </c>
      <c r="RG35" s="33">
        <f>RF35-RG9</f>
        <v/>
      </c>
      <c r="RH35" s="33">
        <f>RG35-RH9</f>
        <v/>
      </c>
      <c r="RI35" s="33">
        <f>RH35-RI9</f>
        <v/>
      </c>
      <c r="RJ35" s="33">
        <f>RI35-RJ9</f>
        <v/>
      </c>
      <c r="RK35" s="33">
        <f>RJ35-RK9</f>
        <v/>
      </c>
      <c r="RL35" s="33">
        <f>RK35-RL9</f>
        <v/>
      </c>
      <c r="RM35" s="33">
        <f>RL35-RM9</f>
        <v/>
      </c>
      <c r="RN35" s="33">
        <f>RM35-RN9</f>
        <v/>
      </c>
      <c r="RO35" s="33">
        <f>RN35-RO9</f>
        <v/>
      </c>
      <c r="RP35" s="33">
        <f>RO35-RP9</f>
        <v/>
      </c>
      <c r="RQ35" s="33">
        <f>RP35-RQ9</f>
        <v/>
      </c>
      <c r="RR35" s="33">
        <f>RQ35-RR9</f>
        <v/>
      </c>
      <c r="RS35" s="33">
        <f>RR35-RS9</f>
        <v/>
      </c>
      <c r="RT35" s="33">
        <f>RS35-RT9</f>
        <v/>
      </c>
      <c r="RU35" s="33">
        <f>RT35-RU9</f>
        <v/>
      </c>
      <c r="RV35" s="33">
        <f>RU35-RV9</f>
        <v/>
      </c>
      <c r="RW35" s="33">
        <f>RV35-RW9</f>
        <v/>
      </c>
    </row>
    <row r="36" hidden="1" outlineLevel="1" ht="13.05" customHeight="1">
      <c r="E36" s="21" t="inlineStr">
        <is>
          <t>Fixed Assets — Net</t>
        </is>
      </c>
      <c r="F36" s="29" t="n"/>
      <c r="G36" s="29" t="inlineStr">
        <is>
          <t>kEUR</t>
        </is>
      </c>
      <c r="H36" s="29" t="n"/>
      <c r="I36" s="29" t="n"/>
      <c r="J36" s="32" t="n">
        <v>282114609.2674127</v>
      </c>
      <c r="K36" s="29" t="n"/>
      <c r="L36" s="33">
        <f>L34+L35</f>
        <v/>
      </c>
      <c r="M36" s="33">
        <f>M34+M35</f>
        <v/>
      </c>
      <c r="N36" s="33">
        <f>N34+N35</f>
        <v/>
      </c>
      <c r="O36" s="33">
        <f>O34+O35</f>
        <v/>
      </c>
      <c r="P36" s="33">
        <f>P34+P35</f>
        <v/>
      </c>
      <c r="Q36" s="33">
        <f>Q34+Q35</f>
        <v/>
      </c>
      <c r="R36" s="33">
        <f>R34+R35</f>
        <v/>
      </c>
      <c r="S36" s="33">
        <f>S34+S35</f>
        <v/>
      </c>
      <c r="T36" s="33">
        <f>T34+T35</f>
        <v/>
      </c>
      <c r="U36" s="33">
        <f>U34+U35</f>
        <v/>
      </c>
      <c r="V36" s="33">
        <f>V34+V35</f>
        <v/>
      </c>
      <c r="W36" s="33">
        <f>W34+W35</f>
        <v/>
      </c>
      <c r="X36" s="33">
        <f>X34+X35</f>
        <v/>
      </c>
      <c r="Y36" s="33">
        <f>Y34+Y35</f>
        <v/>
      </c>
      <c r="Z36" s="33">
        <f>Z34+Z35</f>
        <v/>
      </c>
      <c r="AA36" s="33">
        <f>AA34+AA35</f>
        <v/>
      </c>
      <c r="AB36" s="33">
        <f>AB34+AB35</f>
        <v/>
      </c>
      <c r="AC36" s="33">
        <f>AC34+AC35</f>
        <v/>
      </c>
      <c r="AD36" s="33">
        <f>AD34+AD35</f>
        <v/>
      </c>
      <c r="AE36" s="33">
        <f>AE34+AE35</f>
        <v/>
      </c>
      <c r="AF36" s="33">
        <f>AF34+AF35</f>
        <v/>
      </c>
      <c r="AG36" s="33">
        <f>AG34+AG35</f>
        <v/>
      </c>
      <c r="AH36" s="33">
        <f>AH34+AH35</f>
        <v/>
      </c>
      <c r="AI36" s="33">
        <f>AI34+AI35</f>
        <v/>
      </c>
      <c r="AJ36" s="33">
        <f>AJ34+AJ35</f>
        <v/>
      </c>
      <c r="AK36" s="33">
        <f>AK34+AK35</f>
        <v/>
      </c>
      <c r="AL36" s="33">
        <f>AL34+AL35</f>
        <v/>
      </c>
      <c r="AM36" s="33">
        <f>AM34+AM35</f>
        <v/>
      </c>
      <c r="AN36" s="33">
        <f>AN34+AN35</f>
        <v/>
      </c>
      <c r="AO36" s="33">
        <f>AO34+AO35</f>
        <v/>
      </c>
      <c r="AP36" s="33">
        <f>AP34+AP35</f>
        <v/>
      </c>
      <c r="AQ36" s="33">
        <f>AQ34+AQ35</f>
        <v/>
      </c>
      <c r="AR36" s="33">
        <f>AR34+AR35</f>
        <v/>
      </c>
      <c r="AS36" s="33">
        <f>AS34+AS35</f>
        <v/>
      </c>
      <c r="AT36" s="33">
        <f>AT34+AT35</f>
        <v/>
      </c>
      <c r="AU36" s="33">
        <f>AU34+AU35</f>
        <v/>
      </c>
      <c r="AV36" s="33">
        <f>AV34+AV35</f>
        <v/>
      </c>
      <c r="AW36" s="33">
        <f>AW34+AW35</f>
        <v/>
      </c>
      <c r="AX36" s="33">
        <f>AX34+AX35</f>
        <v/>
      </c>
      <c r="AY36" s="33">
        <f>AY34+AY35</f>
        <v/>
      </c>
      <c r="AZ36" s="33">
        <f>AZ34+AZ35</f>
        <v/>
      </c>
      <c r="BA36" s="33">
        <f>BA34+BA35</f>
        <v/>
      </c>
      <c r="BB36" s="33">
        <f>BB34+BB35</f>
        <v/>
      </c>
      <c r="BC36" s="33">
        <f>BC34+BC35</f>
        <v/>
      </c>
      <c r="BD36" s="33">
        <f>BD34+BD35</f>
        <v/>
      </c>
      <c r="BE36" s="33">
        <f>BE34+BE35</f>
        <v/>
      </c>
      <c r="BF36" s="33">
        <f>BF34+BF35</f>
        <v/>
      </c>
      <c r="BG36" s="33">
        <f>BG34+BG35</f>
        <v/>
      </c>
      <c r="BH36" s="33">
        <f>BH34+BH35</f>
        <v/>
      </c>
      <c r="BI36" s="33">
        <f>BI34+BI35</f>
        <v/>
      </c>
      <c r="BJ36" s="33">
        <f>BJ34+BJ35</f>
        <v/>
      </c>
      <c r="BK36" s="33">
        <f>BK34+BK35</f>
        <v/>
      </c>
      <c r="BL36" s="33">
        <f>BL34+BL35</f>
        <v/>
      </c>
      <c r="BM36" s="33">
        <f>BM34+BM35</f>
        <v/>
      </c>
      <c r="BN36" s="33">
        <f>BN34+BN35</f>
        <v/>
      </c>
      <c r="BO36" s="33">
        <f>BO34+BO35</f>
        <v/>
      </c>
      <c r="BP36" s="33">
        <f>BP34+BP35</f>
        <v/>
      </c>
      <c r="BQ36" s="33">
        <f>BQ34+BQ35</f>
        <v/>
      </c>
      <c r="BR36" s="33">
        <f>BR34+BR35</f>
        <v/>
      </c>
      <c r="BS36" s="33">
        <f>BS34+BS35</f>
        <v/>
      </c>
      <c r="BT36" s="33">
        <f>BT34+BT35</f>
        <v/>
      </c>
      <c r="BU36" s="33">
        <f>BU34+BU35</f>
        <v/>
      </c>
      <c r="BV36" s="33">
        <f>BV34+BV35</f>
        <v/>
      </c>
      <c r="BW36" s="33">
        <f>BW34+BW35</f>
        <v/>
      </c>
      <c r="BX36" s="33">
        <f>BX34+BX35</f>
        <v/>
      </c>
      <c r="BY36" s="33">
        <f>BY34+BY35</f>
        <v/>
      </c>
      <c r="BZ36" s="33">
        <f>BZ34+BZ35</f>
        <v/>
      </c>
      <c r="CA36" s="33">
        <f>CA34+CA35</f>
        <v/>
      </c>
      <c r="CB36" s="33">
        <f>CB34+CB35</f>
        <v/>
      </c>
      <c r="CC36" s="33">
        <f>CC34+CC35</f>
        <v/>
      </c>
      <c r="CD36" s="33">
        <f>CD34+CD35</f>
        <v/>
      </c>
      <c r="CE36" s="33">
        <f>CE34+CE35</f>
        <v/>
      </c>
      <c r="CF36" s="33">
        <f>CF34+CF35</f>
        <v/>
      </c>
      <c r="CG36" s="33">
        <f>CG34+CG35</f>
        <v/>
      </c>
      <c r="CH36" s="33">
        <f>CH34+CH35</f>
        <v/>
      </c>
      <c r="CI36" s="33">
        <f>CI34+CI35</f>
        <v/>
      </c>
      <c r="CJ36" s="33">
        <f>CJ34+CJ35</f>
        <v/>
      </c>
      <c r="CK36" s="33">
        <f>CK34+CK35</f>
        <v/>
      </c>
      <c r="CL36" s="33">
        <f>CL34+CL35</f>
        <v/>
      </c>
      <c r="CM36" s="33">
        <f>CM34+CM35</f>
        <v/>
      </c>
      <c r="CN36" s="33">
        <f>CN34+CN35</f>
        <v/>
      </c>
      <c r="CO36" s="33">
        <f>CO34+CO35</f>
        <v/>
      </c>
      <c r="CP36" s="33">
        <f>CP34+CP35</f>
        <v/>
      </c>
      <c r="CQ36" s="33">
        <f>CQ34+CQ35</f>
        <v/>
      </c>
      <c r="CR36" s="33">
        <f>CR34+CR35</f>
        <v/>
      </c>
      <c r="CS36" s="33">
        <f>CS34+CS35</f>
        <v/>
      </c>
      <c r="CT36" s="33">
        <f>CT34+CT35</f>
        <v/>
      </c>
      <c r="CU36" s="33">
        <f>CU34+CU35</f>
        <v/>
      </c>
      <c r="CV36" s="33">
        <f>CV34+CV35</f>
        <v/>
      </c>
      <c r="CW36" s="33">
        <f>CW34+CW35</f>
        <v/>
      </c>
      <c r="CX36" s="33">
        <f>CX34+CX35</f>
        <v/>
      </c>
      <c r="CY36" s="33">
        <f>CY34+CY35</f>
        <v/>
      </c>
      <c r="CZ36" s="33">
        <f>CZ34+CZ35</f>
        <v/>
      </c>
      <c r="DA36" s="33">
        <f>DA34+DA35</f>
        <v/>
      </c>
      <c r="DB36" s="33">
        <f>DB34+DB35</f>
        <v/>
      </c>
      <c r="DC36" s="33">
        <f>DC34+DC35</f>
        <v/>
      </c>
      <c r="DD36" s="33">
        <f>DD34+DD35</f>
        <v/>
      </c>
      <c r="DE36" s="33">
        <f>DE34+DE35</f>
        <v/>
      </c>
      <c r="DF36" s="33">
        <f>DF34+DF35</f>
        <v/>
      </c>
      <c r="DG36" s="33">
        <f>DG34+DG35</f>
        <v/>
      </c>
      <c r="DH36" s="33">
        <f>DH34+DH35</f>
        <v/>
      </c>
      <c r="DI36" s="33">
        <f>DI34+DI35</f>
        <v/>
      </c>
      <c r="DJ36" s="33">
        <f>DJ34+DJ35</f>
        <v/>
      </c>
      <c r="DK36" s="33">
        <f>DK34+DK35</f>
        <v/>
      </c>
      <c r="DL36" s="33">
        <f>DL34+DL35</f>
        <v/>
      </c>
      <c r="DM36" s="33">
        <f>DM34+DM35</f>
        <v/>
      </c>
      <c r="DN36" s="33">
        <f>DN34+DN35</f>
        <v/>
      </c>
      <c r="DO36" s="33">
        <f>DO34+DO35</f>
        <v/>
      </c>
      <c r="DP36" s="33">
        <f>DP34+DP35</f>
        <v/>
      </c>
      <c r="DQ36" s="33">
        <f>DQ34+DQ35</f>
        <v/>
      </c>
      <c r="DR36" s="33">
        <f>DR34+DR35</f>
        <v/>
      </c>
      <c r="DS36" s="33">
        <f>DS34+DS35</f>
        <v/>
      </c>
      <c r="DT36" s="33">
        <f>DT34+DT35</f>
        <v/>
      </c>
      <c r="DU36" s="33">
        <f>DU34+DU35</f>
        <v/>
      </c>
      <c r="DV36" s="33">
        <f>DV34+DV35</f>
        <v/>
      </c>
      <c r="DW36" s="33">
        <f>DW34+DW35</f>
        <v/>
      </c>
      <c r="DX36" s="33">
        <f>DX34+DX35</f>
        <v/>
      </c>
      <c r="DY36" s="33">
        <f>DY34+DY35</f>
        <v/>
      </c>
      <c r="DZ36" s="33">
        <f>DZ34+DZ35</f>
        <v/>
      </c>
      <c r="EA36" s="33">
        <f>EA34+EA35</f>
        <v/>
      </c>
      <c r="EB36" s="33">
        <f>EB34+EB35</f>
        <v/>
      </c>
      <c r="EC36" s="33">
        <f>EC34+EC35</f>
        <v/>
      </c>
      <c r="ED36" s="33">
        <f>ED34+ED35</f>
        <v/>
      </c>
      <c r="EE36" s="33">
        <f>EE34+EE35</f>
        <v/>
      </c>
      <c r="EF36" s="33">
        <f>EF34+EF35</f>
        <v/>
      </c>
      <c r="EG36" s="33">
        <f>EG34+EG35</f>
        <v/>
      </c>
      <c r="EH36" s="33">
        <f>EH34+EH35</f>
        <v/>
      </c>
      <c r="EI36" s="33">
        <f>EI34+EI35</f>
        <v/>
      </c>
      <c r="EJ36" s="33">
        <f>EJ34+EJ35</f>
        <v/>
      </c>
      <c r="EK36" s="33">
        <f>EK34+EK35</f>
        <v/>
      </c>
      <c r="EL36" s="33">
        <f>EL34+EL35</f>
        <v/>
      </c>
      <c r="EM36" s="33">
        <f>EM34+EM35</f>
        <v/>
      </c>
      <c r="EN36" s="33">
        <f>EN34+EN35</f>
        <v/>
      </c>
      <c r="EO36" s="33">
        <f>EO34+EO35</f>
        <v/>
      </c>
      <c r="EP36" s="33">
        <f>EP34+EP35</f>
        <v/>
      </c>
      <c r="EQ36" s="33">
        <f>EQ34+EQ35</f>
        <v/>
      </c>
      <c r="ER36" s="33">
        <f>ER34+ER35</f>
        <v/>
      </c>
      <c r="ES36" s="33">
        <f>ES34+ES35</f>
        <v/>
      </c>
      <c r="ET36" s="33">
        <f>ET34+ET35</f>
        <v/>
      </c>
      <c r="EU36" s="33">
        <f>EU34+EU35</f>
        <v/>
      </c>
      <c r="EV36" s="33">
        <f>EV34+EV35</f>
        <v/>
      </c>
      <c r="EW36" s="33">
        <f>EW34+EW35</f>
        <v/>
      </c>
      <c r="EX36" s="33">
        <f>EX34+EX35</f>
        <v/>
      </c>
      <c r="EY36" s="33">
        <f>EY34+EY35</f>
        <v/>
      </c>
      <c r="EZ36" s="33">
        <f>EZ34+EZ35</f>
        <v/>
      </c>
      <c r="FA36" s="33">
        <f>FA34+FA35</f>
        <v/>
      </c>
      <c r="FB36" s="33">
        <f>FB34+FB35</f>
        <v/>
      </c>
      <c r="FC36" s="33">
        <f>FC34+FC35</f>
        <v/>
      </c>
      <c r="FD36" s="33">
        <f>FD34+FD35</f>
        <v/>
      </c>
      <c r="FE36" s="33">
        <f>FE34+FE35</f>
        <v/>
      </c>
      <c r="FF36" s="33">
        <f>FF34+FF35</f>
        <v/>
      </c>
      <c r="FG36" s="33">
        <f>FG34+FG35</f>
        <v/>
      </c>
      <c r="FH36" s="33">
        <f>FH34+FH35</f>
        <v/>
      </c>
      <c r="FI36" s="33">
        <f>FI34+FI35</f>
        <v/>
      </c>
      <c r="FJ36" s="33">
        <f>FJ34+FJ35</f>
        <v/>
      </c>
      <c r="FK36" s="33">
        <f>FK34+FK35</f>
        <v/>
      </c>
      <c r="FL36" s="33">
        <f>FL34+FL35</f>
        <v/>
      </c>
      <c r="FM36" s="33">
        <f>FM34+FM35</f>
        <v/>
      </c>
      <c r="FN36" s="33">
        <f>FN34+FN35</f>
        <v/>
      </c>
      <c r="FO36" s="33">
        <f>FO34+FO35</f>
        <v/>
      </c>
      <c r="FP36" s="33">
        <f>FP34+FP35</f>
        <v/>
      </c>
      <c r="FQ36" s="33">
        <f>FQ34+FQ35</f>
        <v/>
      </c>
      <c r="FR36" s="33">
        <f>FR34+FR35</f>
        <v/>
      </c>
      <c r="FS36" s="33">
        <f>FS34+FS35</f>
        <v/>
      </c>
      <c r="FT36" s="33">
        <f>FT34+FT35</f>
        <v/>
      </c>
      <c r="FU36" s="33">
        <f>FU34+FU35</f>
        <v/>
      </c>
      <c r="FV36" s="33">
        <f>FV34+FV35</f>
        <v/>
      </c>
      <c r="FW36" s="33">
        <f>FW34+FW35</f>
        <v/>
      </c>
      <c r="FX36" s="33">
        <f>FX34+FX35</f>
        <v/>
      </c>
      <c r="FY36" s="33">
        <f>FY34+FY35</f>
        <v/>
      </c>
      <c r="FZ36" s="33">
        <f>FZ34+FZ35</f>
        <v/>
      </c>
      <c r="GA36" s="33">
        <f>GA34+GA35</f>
        <v/>
      </c>
      <c r="GB36" s="33">
        <f>GB34+GB35</f>
        <v/>
      </c>
      <c r="GC36" s="33">
        <f>GC34+GC35</f>
        <v/>
      </c>
      <c r="GD36" s="33">
        <f>GD34+GD35</f>
        <v/>
      </c>
      <c r="GE36" s="33">
        <f>GE34+GE35</f>
        <v/>
      </c>
      <c r="GF36" s="33">
        <f>GF34+GF35</f>
        <v/>
      </c>
      <c r="GG36" s="33">
        <f>GG34+GG35</f>
        <v/>
      </c>
      <c r="GH36" s="33">
        <f>GH34+GH35</f>
        <v/>
      </c>
      <c r="GI36" s="33">
        <f>GI34+GI35</f>
        <v/>
      </c>
      <c r="GJ36" s="33">
        <f>GJ34+GJ35</f>
        <v/>
      </c>
      <c r="GK36" s="33">
        <f>GK34+GK35</f>
        <v/>
      </c>
      <c r="GL36" s="33">
        <f>GL34+GL35</f>
        <v/>
      </c>
      <c r="GM36" s="33">
        <f>GM34+GM35</f>
        <v/>
      </c>
      <c r="GN36" s="33">
        <f>GN34+GN35</f>
        <v/>
      </c>
      <c r="GO36" s="33">
        <f>GO34+GO35</f>
        <v/>
      </c>
      <c r="GP36" s="33">
        <f>GP34+GP35</f>
        <v/>
      </c>
      <c r="GQ36" s="33">
        <f>GQ34+GQ35</f>
        <v/>
      </c>
      <c r="GR36" s="33">
        <f>GR34+GR35</f>
        <v/>
      </c>
      <c r="GS36" s="33">
        <f>GS34+GS35</f>
        <v/>
      </c>
      <c r="GT36" s="33">
        <f>GT34+GT35</f>
        <v/>
      </c>
      <c r="GU36" s="33">
        <f>GU34+GU35</f>
        <v/>
      </c>
      <c r="GV36" s="33">
        <f>GV34+GV35</f>
        <v/>
      </c>
      <c r="GW36" s="33">
        <f>GW34+GW35</f>
        <v/>
      </c>
      <c r="GX36" s="33">
        <f>GX34+GX35</f>
        <v/>
      </c>
      <c r="GY36" s="33">
        <f>GY34+GY35</f>
        <v/>
      </c>
      <c r="GZ36" s="33">
        <f>GZ34+GZ35</f>
        <v/>
      </c>
      <c r="HA36" s="33">
        <f>HA34+HA35</f>
        <v/>
      </c>
      <c r="HB36" s="33">
        <f>HB34+HB35</f>
        <v/>
      </c>
      <c r="HC36" s="33">
        <f>HC34+HC35</f>
        <v/>
      </c>
      <c r="HD36" s="33">
        <f>HD34+HD35</f>
        <v/>
      </c>
      <c r="HE36" s="33">
        <f>HE34+HE35</f>
        <v/>
      </c>
      <c r="HF36" s="33">
        <f>HF34+HF35</f>
        <v/>
      </c>
      <c r="HG36" s="33">
        <f>HG34+HG35</f>
        <v/>
      </c>
      <c r="HH36" s="33">
        <f>HH34+HH35</f>
        <v/>
      </c>
      <c r="HI36" s="33">
        <f>HI34+HI35</f>
        <v/>
      </c>
      <c r="HJ36" s="33">
        <f>HJ34+HJ35</f>
        <v/>
      </c>
      <c r="HK36" s="33">
        <f>HK34+HK35</f>
        <v/>
      </c>
      <c r="HL36" s="33">
        <f>HL34+HL35</f>
        <v/>
      </c>
      <c r="HM36" s="33">
        <f>HM34+HM35</f>
        <v/>
      </c>
      <c r="HN36" s="33">
        <f>HN34+HN35</f>
        <v/>
      </c>
      <c r="HO36" s="33">
        <f>HO34+HO35</f>
        <v/>
      </c>
      <c r="HP36" s="33">
        <f>HP34+HP35</f>
        <v/>
      </c>
      <c r="HQ36" s="33">
        <f>HQ34+HQ35</f>
        <v/>
      </c>
      <c r="HR36" s="33">
        <f>HR34+HR35</f>
        <v/>
      </c>
      <c r="HS36" s="33">
        <f>HS34+HS35</f>
        <v/>
      </c>
      <c r="HT36" s="33">
        <f>HT34+HT35</f>
        <v/>
      </c>
      <c r="HU36" s="33">
        <f>HU34+HU35</f>
        <v/>
      </c>
      <c r="HV36" s="33">
        <f>HV34+HV35</f>
        <v/>
      </c>
      <c r="HW36" s="33">
        <f>HW34+HW35</f>
        <v/>
      </c>
      <c r="HX36" s="33">
        <f>HX34+HX35</f>
        <v/>
      </c>
      <c r="HY36" s="33">
        <f>HY34+HY35</f>
        <v/>
      </c>
      <c r="HZ36" s="33">
        <f>HZ34+HZ35</f>
        <v/>
      </c>
      <c r="IA36" s="33">
        <f>IA34+IA35</f>
        <v/>
      </c>
      <c r="IB36" s="33">
        <f>IB34+IB35</f>
        <v/>
      </c>
      <c r="IC36" s="33">
        <f>IC34+IC35</f>
        <v/>
      </c>
      <c r="ID36" s="33">
        <f>ID34+ID35</f>
        <v/>
      </c>
      <c r="IE36" s="33">
        <f>IE34+IE35</f>
        <v/>
      </c>
      <c r="IF36" s="33">
        <f>IF34+IF35</f>
        <v/>
      </c>
      <c r="IG36" s="33">
        <f>IG34+IG35</f>
        <v/>
      </c>
      <c r="IH36" s="33">
        <f>IH34+IH35</f>
        <v/>
      </c>
      <c r="II36" s="33">
        <f>II34+II35</f>
        <v/>
      </c>
      <c r="IJ36" s="33">
        <f>IJ34+IJ35</f>
        <v/>
      </c>
      <c r="IK36" s="33">
        <f>IK34+IK35</f>
        <v/>
      </c>
      <c r="IL36" s="33">
        <f>IL34+IL35</f>
        <v/>
      </c>
      <c r="IM36" s="33">
        <f>IM34+IM35</f>
        <v/>
      </c>
      <c r="IN36" s="33">
        <f>IN34+IN35</f>
        <v/>
      </c>
      <c r="IO36" s="33">
        <f>IO34+IO35</f>
        <v/>
      </c>
      <c r="IP36" s="33">
        <f>IP34+IP35</f>
        <v/>
      </c>
      <c r="IQ36" s="33">
        <f>IQ34+IQ35</f>
        <v/>
      </c>
      <c r="IR36" s="33">
        <f>IR34+IR35</f>
        <v/>
      </c>
      <c r="IS36" s="33">
        <f>IS34+IS35</f>
        <v/>
      </c>
      <c r="IT36" s="33">
        <f>IT34+IT35</f>
        <v/>
      </c>
      <c r="IU36" s="33">
        <f>IU34+IU35</f>
        <v/>
      </c>
      <c r="IV36" s="33">
        <f>IV34+IV35</f>
        <v/>
      </c>
      <c r="IW36" s="33">
        <f>IW34+IW35</f>
        <v/>
      </c>
      <c r="IX36" s="33">
        <f>IX34+IX35</f>
        <v/>
      </c>
      <c r="IY36" s="33">
        <f>IY34+IY35</f>
        <v/>
      </c>
      <c r="IZ36" s="33">
        <f>IZ34+IZ35</f>
        <v/>
      </c>
      <c r="JA36" s="33">
        <f>JA34+JA35</f>
        <v/>
      </c>
      <c r="JB36" s="33">
        <f>JB34+JB35</f>
        <v/>
      </c>
      <c r="JC36" s="33">
        <f>JC34+JC35</f>
        <v/>
      </c>
      <c r="JD36" s="33">
        <f>JD34+JD35</f>
        <v/>
      </c>
      <c r="JE36" s="33">
        <f>JE34+JE35</f>
        <v/>
      </c>
      <c r="JF36" s="33">
        <f>JF34+JF35</f>
        <v/>
      </c>
      <c r="JG36" s="33">
        <f>JG34+JG35</f>
        <v/>
      </c>
      <c r="JH36" s="33">
        <f>JH34+JH35</f>
        <v/>
      </c>
      <c r="JI36" s="33">
        <f>JI34+JI35</f>
        <v/>
      </c>
      <c r="JJ36" s="33">
        <f>JJ34+JJ35</f>
        <v/>
      </c>
      <c r="JK36" s="33">
        <f>JK34+JK35</f>
        <v/>
      </c>
      <c r="JL36" s="33">
        <f>JL34+JL35</f>
        <v/>
      </c>
      <c r="JM36" s="33">
        <f>JM34+JM35</f>
        <v/>
      </c>
      <c r="JN36" s="33">
        <f>JN34+JN35</f>
        <v/>
      </c>
      <c r="JO36" s="33">
        <f>JO34+JO35</f>
        <v/>
      </c>
      <c r="JP36" s="33">
        <f>JP34+JP35</f>
        <v/>
      </c>
      <c r="JQ36" s="33">
        <f>JQ34+JQ35</f>
        <v/>
      </c>
      <c r="JR36" s="33">
        <f>JR34+JR35</f>
        <v/>
      </c>
      <c r="JS36" s="33">
        <f>JS34+JS35</f>
        <v/>
      </c>
      <c r="JT36" s="33">
        <f>JT34+JT35</f>
        <v/>
      </c>
      <c r="JU36" s="33">
        <f>JU34+JU35</f>
        <v/>
      </c>
      <c r="JV36" s="33">
        <f>JV34+JV35</f>
        <v/>
      </c>
      <c r="JW36" s="33">
        <f>JW34+JW35</f>
        <v/>
      </c>
      <c r="JX36" s="33">
        <f>JX34+JX35</f>
        <v/>
      </c>
      <c r="JY36" s="33">
        <f>JY34+JY35</f>
        <v/>
      </c>
      <c r="JZ36" s="33">
        <f>JZ34+JZ35</f>
        <v/>
      </c>
      <c r="KA36" s="33">
        <f>KA34+KA35</f>
        <v/>
      </c>
      <c r="KB36" s="33">
        <f>KB34+KB35</f>
        <v/>
      </c>
      <c r="KC36" s="33">
        <f>KC34+KC35</f>
        <v/>
      </c>
      <c r="KD36" s="33">
        <f>KD34+KD35</f>
        <v/>
      </c>
      <c r="KE36" s="33">
        <f>KE34+KE35</f>
        <v/>
      </c>
      <c r="KF36" s="33">
        <f>KF34+KF35</f>
        <v/>
      </c>
      <c r="KG36" s="33">
        <f>KG34+KG35</f>
        <v/>
      </c>
      <c r="KH36" s="33">
        <f>KH34+KH35</f>
        <v/>
      </c>
      <c r="KI36" s="33">
        <f>KI34+KI35</f>
        <v/>
      </c>
      <c r="KJ36" s="33">
        <f>KJ34+KJ35</f>
        <v/>
      </c>
      <c r="KK36" s="33">
        <f>KK34+KK35</f>
        <v/>
      </c>
      <c r="KL36" s="33">
        <f>KL34+KL35</f>
        <v/>
      </c>
      <c r="KM36" s="33">
        <f>KM34+KM35</f>
        <v/>
      </c>
      <c r="KN36" s="33">
        <f>KN34+KN35</f>
        <v/>
      </c>
      <c r="KO36" s="33">
        <f>KO34+KO35</f>
        <v/>
      </c>
      <c r="KP36" s="33">
        <f>KP34+KP35</f>
        <v/>
      </c>
      <c r="KQ36" s="33">
        <f>KQ34+KQ35</f>
        <v/>
      </c>
      <c r="KR36" s="33">
        <f>KR34+KR35</f>
        <v/>
      </c>
      <c r="KS36" s="33">
        <f>KS34+KS35</f>
        <v/>
      </c>
      <c r="KT36" s="33">
        <f>KT34+KT35</f>
        <v/>
      </c>
      <c r="KU36" s="33">
        <f>KU34+KU35</f>
        <v/>
      </c>
      <c r="KV36" s="33">
        <f>KV34+KV35</f>
        <v/>
      </c>
      <c r="KW36" s="33">
        <f>KW34+KW35</f>
        <v/>
      </c>
      <c r="KX36" s="33">
        <f>KX34+KX35</f>
        <v/>
      </c>
      <c r="KY36" s="33">
        <f>KY34+KY35</f>
        <v/>
      </c>
      <c r="KZ36" s="33">
        <f>KZ34+KZ35</f>
        <v/>
      </c>
      <c r="LA36" s="33">
        <f>LA34+LA35</f>
        <v/>
      </c>
      <c r="LB36" s="33">
        <f>LB34+LB35</f>
        <v/>
      </c>
      <c r="LC36" s="33">
        <f>LC34+LC35</f>
        <v/>
      </c>
      <c r="LD36" s="33">
        <f>LD34+LD35</f>
        <v/>
      </c>
      <c r="LE36" s="33">
        <f>LE34+LE35</f>
        <v/>
      </c>
      <c r="LF36" s="33">
        <f>LF34+LF35</f>
        <v/>
      </c>
      <c r="LG36" s="33">
        <f>LG34+LG35</f>
        <v/>
      </c>
      <c r="LH36" s="33">
        <f>LH34+LH35</f>
        <v/>
      </c>
      <c r="LI36" s="33">
        <f>LI34+LI35</f>
        <v/>
      </c>
      <c r="LJ36" s="33">
        <f>LJ34+LJ35</f>
        <v/>
      </c>
      <c r="LK36" s="33">
        <f>LK34+LK35</f>
        <v/>
      </c>
      <c r="LL36" s="33">
        <f>LL34+LL35</f>
        <v/>
      </c>
      <c r="LM36" s="33">
        <f>LM34+LM35</f>
        <v/>
      </c>
      <c r="LN36" s="33">
        <f>LN34+LN35</f>
        <v/>
      </c>
      <c r="LO36" s="33">
        <f>LO34+LO35</f>
        <v/>
      </c>
      <c r="LP36" s="33">
        <f>LP34+LP35</f>
        <v/>
      </c>
      <c r="LQ36" s="33">
        <f>LQ34+LQ35</f>
        <v/>
      </c>
      <c r="LR36" s="33">
        <f>LR34+LR35</f>
        <v/>
      </c>
      <c r="LS36" s="33">
        <f>LS34+LS35</f>
        <v/>
      </c>
      <c r="LT36" s="33">
        <f>LT34+LT35</f>
        <v/>
      </c>
      <c r="LU36" s="33">
        <f>LU34+LU35</f>
        <v/>
      </c>
      <c r="LV36" s="33">
        <f>LV34+LV35</f>
        <v/>
      </c>
      <c r="LW36" s="33">
        <f>LW34+LW35</f>
        <v/>
      </c>
      <c r="LX36" s="33">
        <f>LX34+LX35</f>
        <v/>
      </c>
      <c r="LY36" s="33">
        <f>LY34+LY35</f>
        <v/>
      </c>
      <c r="LZ36" s="33">
        <f>LZ34+LZ35</f>
        <v/>
      </c>
      <c r="MA36" s="33">
        <f>MA34+MA35</f>
        <v/>
      </c>
      <c r="MB36" s="33">
        <f>MB34+MB35</f>
        <v/>
      </c>
      <c r="MC36" s="33">
        <f>MC34+MC35</f>
        <v/>
      </c>
      <c r="MD36" s="33">
        <f>MD34+MD35</f>
        <v/>
      </c>
      <c r="ME36" s="33">
        <f>ME34+ME35</f>
        <v/>
      </c>
      <c r="MF36" s="33">
        <f>MF34+MF35</f>
        <v/>
      </c>
      <c r="MG36" s="33">
        <f>MG34+MG35</f>
        <v/>
      </c>
      <c r="MH36" s="33">
        <f>MH34+MH35</f>
        <v/>
      </c>
      <c r="MI36" s="33">
        <f>MI34+MI35</f>
        <v/>
      </c>
      <c r="MJ36" s="33">
        <f>MJ34+MJ35</f>
        <v/>
      </c>
      <c r="MK36" s="33">
        <f>MK34+MK35</f>
        <v/>
      </c>
      <c r="ML36" s="33">
        <f>ML34+ML35</f>
        <v/>
      </c>
      <c r="MM36" s="33">
        <f>MM34+MM35</f>
        <v/>
      </c>
      <c r="MN36" s="33">
        <f>MN34+MN35</f>
        <v/>
      </c>
      <c r="MO36" s="33">
        <f>MO34+MO35</f>
        <v/>
      </c>
      <c r="MP36" s="33">
        <f>MP34+MP35</f>
        <v/>
      </c>
      <c r="MQ36" s="33">
        <f>MQ34+MQ35</f>
        <v/>
      </c>
      <c r="MR36" s="33">
        <f>MR34+MR35</f>
        <v/>
      </c>
      <c r="MS36" s="33">
        <f>MS34+MS35</f>
        <v/>
      </c>
      <c r="MT36" s="33">
        <f>MT34+MT35</f>
        <v/>
      </c>
      <c r="MU36" s="33">
        <f>MU34+MU35</f>
        <v/>
      </c>
      <c r="MV36" s="33">
        <f>MV34+MV35</f>
        <v/>
      </c>
      <c r="MW36" s="33">
        <f>MW34+MW35</f>
        <v/>
      </c>
      <c r="MX36" s="33">
        <f>MX34+MX35</f>
        <v/>
      </c>
      <c r="MY36" s="33">
        <f>MY34+MY35</f>
        <v/>
      </c>
      <c r="MZ36" s="33">
        <f>MZ34+MZ35</f>
        <v/>
      </c>
      <c r="NA36" s="33">
        <f>NA34+NA35</f>
        <v/>
      </c>
      <c r="NB36" s="33">
        <f>NB34+NB35</f>
        <v/>
      </c>
      <c r="NC36" s="33">
        <f>NC34+NC35</f>
        <v/>
      </c>
      <c r="ND36" s="33">
        <f>ND34+ND35</f>
        <v/>
      </c>
      <c r="NE36" s="33">
        <f>NE34+NE35</f>
        <v/>
      </c>
      <c r="NF36" s="33">
        <f>NF34+NF35</f>
        <v/>
      </c>
      <c r="NG36" s="33">
        <f>NG34+NG35</f>
        <v/>
      </c>
      <c r="NH36" s="33">
        <f>NH34+NH35</f>
        <v/>
      </c>
      <c r="NI36" s="33">
        <f>NI34+NI35</f>
        <v/>
      </c>
      <c r="NJ36" s="33">
        <f>NJ34+NJ35</f>
        <v/>
      </c>
      <c r="NK36" s="33">
        <f>NK34+NK35</f>
        <v/>
      </c>
      <c r="NL36" s="33">
        <f>NL34+NL35</f>
        <v/>
      </c>
      <c r="NM36" s="33">
        <f>NM34+NM35</f>
        <v/>
      </c>
      <c r="NN36" s="33">
        <f>NN34+NN35</f>
        <v/>
      </c>
      <c r="NO36" s="33">
        <f>NO34+NO35</f>
        <v/>
      </c>
      <c r="NP36" s="33">
        <f>NP34+NP35</f>
        <v/>
      </c>
      <c r="NQ36" s="33">
        <f>NQ34+NQ35</f>
        <v/>
      </c>
      <c r="NR36" s="33">
        <f>NR34+NR35</f>
        <v/>
      </c>
      <c r="NS36" s="33">
        <f>NS34+NS35</f>
        <v/>
      </c>
      <c r="NT36" s="33">
        <f>NT34+NT35</f>
        <v/>
      </c>
      <c r="NU36" s="33">
        <f>NU34+NU35</f>
        <v/>
      </c>
      <c r="NV36" s="33">
        <f>NV34+NV35</f>
        <v/>
      </c>
      <c r="NW36" s="33">
        <f>NW34+NW35</f>
        <v/>
      </c>
      <c r="NX36" s="33">
        <f>NX34+NX35</f>
        <v/>
      </c>
      <c r="NY36" s="33">
        <f>NY34+NY35</f>
        <v/>
      </c>
      <c r="NZ36" s="33">
        <f>NZ34+NZ35</f>
        <v/>
      </c>
      <c r="OA36" s="33">
        <f>OA34+OA35</f>
        <v/>
      </c>
      <c r="OB36" s="33">
        <f>OB34+OB35</f>
        <v/>
      </c>
      <c r="OC36" s="33">
        <f>OC34+OC35</f>
        <v/>
      </c>
      <c r="OD36" s="33">
        <f>OD34+OD35</f>
        <v/>
      </c>
      <c r="OE36" s="33">
        <f>OE34+OE35</f>
        <v/>
      </c>
      <c r="OF36" s="33">
        <f>OF34+OF35</f>
        <v/>
      </c>
      <c r="OG36" s="33">
        <f>OG34+OG35</f>
        <v/>
      </c>
      <c r="OH36" s="33">
        <f>OH34+OH35</f>
        <v/>
      </c>
      <c r="OI36" s="33">
        <f>OI34+OI35</f>
        <v/>
      </c>
      <c r="OJ36" s="33">
        <f>OJ34+OJ35</f>
        <v/>
      </c>
      <c r="OK36" s="33">
        <f>OK34+OK35</f>
        <v/>
      </c>
      <c r="OL36" s="33">
        <f>OL34+OL35</f>
        <v/>
      </c>
      <c r="OM36" s="33">
        <f>OM34+OM35</f>
        <v/>
      </c>
      <c r="ON36" s="33">
        <f>ON34+ON35</f>
        <v/>
      </c>
      <c r="OO36" s="33">
        <f>OO34+OO35</f>
        <v/>
      </c>
      <c r="OP36" s="33">
        <f>OP34+OP35</f>
        <v/>
      </c>
      <c r="OQ36" s="33">
        <f>OQ34+OQ35</f>
        <v/>
      </c>
      <c r="OR36" s="33">
        <f>OR34+OR35</f>
        <v/>
      </c>
      <c r="OS36" s="33">
        <f>OS34+OS35</f>
        <v/>
      </c>
      <c r="OT36" s="33">
        <f>OT34+OT35</f>
        <v/>
      </c>
      <c r="OU36" s="33">
        <f>OU34+OU35</f>
        <v/>
      </c>
      <c r="OV36" s="33">
        <f>OV34+OV35</f>
        <v/>
      </c>
      <c r="OW36" s="33">
        <f>OW34+OW35</f>
        <v/>
      </c>
      <c r="OX36" s="33">
        <f>OX34+OX35</f>
        <v/>
      </c>
      <c r="OY36" s="33">
        <f>OY34+OY35</f>
        <v/>
      </c>
      <c r="OZ36" s="33">
        <f>OZ34+OZ35</f>
        <v/>
      </c>
      <c r="PA36" s="33">
        <f>PA34+PA35</f>
        <v/>
      </c>
      <c r="PB36" s="33">
        <f>PB34+PB35</f>
        <v/>
      </c>
      <c r="PC36" s="33">
        <f>PC34+PC35</f>
        <v/>
      </c>
      <c r="PD36" s="33">
        <f>PD34+PD35</f>
        <v/>
      </c>
      <c r="PE36" s="33">
        <f>PE34+PE35</f>
        <v/>
      </c>
      <c r="PF36" s="33">
        <f>PF34+PF35</f>
        <v/>
      </c>
      <c r="PG36" s="33">
        <f>PG34+PG35</f>
        <v/>
      </c>
      <c r="PH36" s="33">
        <f>PH34+PH35</f>
        <v/>
      </c>
      <c r="PI36" s="33">
        <f>PI34+PI35</f>
        <v/>
      </c>
      <c r="PJ36" s="33">
        <f>PJ34+PJ35</f>
        <v/>
      </c>
      <c r="PK36" s="33">
        <f>PK34+PK35</f>
        <v/>
      </c>
      <c r="PL36" s="33">
        <f>PL34+PL35</f>
        <v/>
      </c>
      <c r="PM36" s="33">
        <f>PM34+PM35</f>
        <v/>
      </c>
      <c r="PN36" s="33">
        <f>PN34+PN35</f>
        <v/>
      </c>
      <c r="PO36" s="33">
        <f>PO34+PO35</f>
        <v/>
      </c>
      <c r="PP36" s="33">
        <f>PP34+PP35</f>
        <v/>
      </c>
      <c r="PQ36" s="33">
        <f>PQ34+PQ35</f>
        <v/>
      </c>
      <c r="PR36" s="33">
        <f>PR34+PR35</f>
        <v/>
      </c>
      <c r="PS36" s="33">
        <f>PS34+PS35</f>
        <v/>
      </c>
      <c r="PT36" s="33">
        <f>PT34+PT35</f>
        <v/>
      </c>
      <c r="PU36" s="33">
        <f>PU34+PU35</f>
        <v/>
      </c>
      <c r="PV36" s="33">
        <f>PV34+PV35</f>
        <v/>
      </c>
      <c r="PW36" s="33">
        <f>PW34+PW35</f>
        <v/>
      </c>
      <c r="PX36" s="33">
        <f>PX34+PX35</f>
        <v/>
      </c>
      <c r="PY36" s="33">
        <f>PY34+PY35</f>
        <v/>
      </c>
      <c r="PZ36" s="33">
        <f>PZ34+PZ35</f>
        <v/>
      </c>
      <c r="QA36" s="33">
        <f>QA34+QA35</f>
        <v/>
      </c>
      <c r="QB36" s="33">
        <f>QB34+QB35</f>
        <v/>
      </c>
      <c r="QC36" s="33">
        <f>QC34+QC35</f>
        <v/>
      </c>
      <c r="QD36" s="33">
        <f>QD34+QD35</f>
        <v/>
      </c>
      <c r="QE36" s="33">
        <f>QE34+QE35</f>
        <v/>
      </c>
      <c r="QF36" s="33">
        <f>QF34+QF35</f>
        <v/>
      </c>
      <c r="QG36" s="33">
        <f>QG34+QG35</f>
        <v/>
      </c>
      <c r="QH36" s="33">
        <f>QH34+QH35</f>
        <v/>
      </c>
      <c r="QI36" s="33">
        <f>QI34+QI35</f>
        <v/>
      </c>
      <c r="QJ36" s="33">
        <f>QJ34+QJ35</f>
        <v/>
      </c>
      <c r="QK36" s="33">
        <f>QK34+QK35</f>
        <v/>
      </c>
      <c r="QL36" s="33">
        <f>QL34+QL35</f>
        <v/>
      </c>
      <c r="QM36" s="33">
        <f>QM34+QM35</f>
        <v/>
      </c>
      <c r="QN36" s="33">
        <f>QN34+QN35</f>
        <v/>
      </c>
      <c r="QO36" s="33">
        <f>QO34+QO35</f>
        <v/>
      </c>
      <c r="QP36" s="33">
        <f>QP34+QP35</f>
        <v/>
      </c>
      <c r="QQ36" s="33">
        <f>QQ34+QQ35</f>
        <v/>
      </c>
      <c r="QR36" s="33">
        <f>QR34+QR35</f>
        <v/>
      </c>
      <c r="QS36" s="33">
        <f>QS34+QS35</f>
        <v/>
      </c>
      <c r="QT36" s="33">
        <f>QT34+QT35</f>
        <v/>
      </c>
      <c r="QU36" s="33">
        <f>QU34+QU35</f>
        <v/>
      </c>
      <c r="QV36" s="33">
        <f>QV34+QV35</f>
        <v/>
      </c>
      <c r="QW36" s="33">
        <f>QW34+QW35</f>
        <v/>
      </c>
      <c r="QX36" s="33">
        <f>QX34+QX35</f>
        <v/>
      </c>
      <c r="QY36" s="33">
        <f>QY34+QY35</f>
        <v/>
      </c>
      <c r="QZ36" s="33">
        <f>QZ34+QZ35</f>
        <v/>
      </c>
      <c r="RA36" s="33">
        <f>RA34+RA35</f>
        <v/>
      </c>
      <c r="RB36" s="33">
        <f>RB34+RB35</f>
        <v/>
      </c>
      <c r="RC36" s="33">
        <f>RC34+RC35</f>
        <v/>
      </c>
      <c r="RD36" s="33">
        <f>RD34+RD35</f>
        <v/>
      </c>
      <c r="RE36" s="33">
        <f>RE34+RE35</f>
        <v/>
      </c>
      <c r="RF36" s="33">
        <f>RF34+RF35</f>
        <v/>
      </c>
      <c r="RG36" s="33">
        <f>RG34+RG35</f>
        <v/>
      </c>
      <c r="RH36" s="33">
        <f>RH34+RH35</f>
        <v/>
      </c>
      <c r="RI36" s="33">
        <f>RI34+RI35</f>
        <v/>
      </c>
      <c r="RJ36" s="33">
        <f>RJ34+RJ35</f>
        <v/>
      </c>
      <c r="RK36" s="33">
        <f>RK34+RK35</f>
        <v/>
      </c>
      <c r="RL36" s="33">
        <f>RL34+RL35</f>
        <v/>
      </c>
      <c r="RM36" s="33">
        <f>RM34+RM35</f>
        <v/>
      </c>
      <c r="RN36" s="33">
        <f>RN34+RN35</f>
        <v/>
      </c>
      <c r="RO36" s="33">
        <f>RO34+RO35</f>
        <v/>
      </c>
      <c r="RP36" s="33">
        <f>RP34+RP35</f>
        <v/>
      </c>
      <c r="RQ36" s="33">
        <f>RQ34+RQ35</f>
        <v/>
      </c>
      <c r="RR36" s="33">
        <f>RR34+RR35</f>
        <v/>
      </c>
      <c r="RS36" s="33">
        <f>RS34+RS35</f>
        <v/>
      </c>
      <c r="RT36" s="33">
        <f>RT34+RT35</f>
        <v/>
      </c>
      <c r="RU36" s="33">
        <f>RU34+RU35</f>
        <v/>
      </c>
      <c r="RV36" s="33">
        <f>RV34+RV35</f>
        <v/>
      </c>
      <c r="RW36" s="33">
        <f>RW34+RW35</f>
        <v/>
      </c>
    </row>
    <row r="37" hidden="1" outlineLevel="1" ht="13.05" customHeight="1">
      <c r="E37" s="21" t="inlineStr">
        <is>
          <t>Cash &amp; Equivalents</t>
        </is>
      </c>
      <c r="F37" s="29" t="n"/>
      <c r="G37" s="29" t="inlineStr">
        <is>
          <t>kEUR</t>
        </is>
      </c>
      <c r="H37" s="29" t="n"/>
      <c r="I37" s="29" t="n"/>
      <c r="J37" s="32" t="n">
        <v>-164056808.5204501</v>
      </c>
      <c r="K37" s="29" t="n"/>
      <c r="L37" s="33" t="n">
        <v>-3050.416666666667</v>
      </c>
      <c r="M37" s="33" t="n">
        <v>-6100.833333333333</v>
      </c>
      <c r="N37" s="33" t="n">
        <v>-9151.25</v>
      </c>
      <c r="O37" s="33" t="n">
        <v>-12201.66666666667</v>
      </c>
      <c r="P37" s="33" t="n">
        <v>-15252.08333333333</v>
      </c>
      <c r="Q37" s="33" t="n">
        <v>-18302.5</v>
      </c>
      <c r="R37" s="33" t="n">
        <v>-21352.91666666667</v>
      </c>
      <c r="S37" s="33" t="n">
        <v>-24403.33333333334</v>
      </c>
      <c r="T37" s="33" t="n">
        <v>-27453.75</v>
      </c>
      <c r="U37" s="33" t="n">
        <v>-30504.16666666667</v>
      </c>
      <c r="V37" s="33" t="n">
        <v>-33554.58333333334</v>
      </c>
      <c r="W37" s="33" t="n">
        <v>-36605</v>
      </c>
      <c r="X37" s="33" t="n">
        <v>-39655.41666666666</v>
      </c>
      <c r="Y37" s="33" t="n">
        <v>-42705.83333333333</v>
      </c>
      <c r="Z37" s="33" t="n">
        <v>-45756.24999999999</v>
      </c>
      <c r="AA37" s="33" t="n">
        <v>-48806.66666666666</v>
      </c>
      <c r="AB37" s="33" t="n">
        <v>-51857.08333333332</v>
      </c>
      <c r="AC37" s="33" t="n">
        <v>-54907.49999999999</v>
      </c>
      <c r="AD37" s="33" t="n">
        <v>-57957.91666666665</v>
      </c>
      <c r="AE37" s="33" t="n">
        <v>-61008.33333333331</v>
      </c>
      <c r="AF37" s="33" t="n">
        <v>-64058.74999999998</v>
      </c>
      <c r="AG37" s="33" t="n">
        <v>-67109.16666666664</v>
      </c>
      <c r="AH37" s="33" t="n">
        <v>-70159.58333333331</v>
      </c>
      <c r="AI37" s="33" t="n">
        <v>-73209.99999999999</v>
      </c>
      <c r="AJ37" s="33" t="n">
        <v>-76260.41666666666</v>
      </c>
      <c r="AK37" s="33" t="n">
        <v>-79310.83333333333</v>
      </c>
      <c r="AL37" s="33" t="n">
        <v>-82361.25</v>
      </c>
      <c r="AM37" s="33" t="n">
        <v>-85411.66666666667</v>
      </c>
      <c r="AN37" s="33" t="n">
        <v>-88462.08333333334</v>
      </c>
      <c r="AO37" s="33" t="n">
        <v>-91512.50000000001</v>
      </c>
      <c r="AP37" s="33" t="n">
        <v>-94562.91666666669</v>
      </c>
      <c r="AQ37" s="33" t="n">
        <v>-97613.33333333336</v>
      </c>
      <c r="AR37" s="33" t="n">
        <v>-100663.75</v>
      </c>
      <c r="AS37" s="33" t="n">
        <v>-103714.1666666667</v>
      </c>
      <c r="AT37" s="33" t="n">
        <v>-106764.5833333334</v>
      </c>
      <c r="AU37" s="33" t="n">
        <v>-109815</v>
      </c>
      <c r="AV37" s="33" t="n">
        <v>-112865.4166666667</v>
      </c>
      <c r="AW37" s="33" t="n">
        <v>-115915.8333333334</v>
      </c>
      <c r="AX37" s="33" t="n">
        <v>-118966.2500000001</v>
      </c>
      <c r="AY37" s="33" t="n">
        <v>-122016.6666666667</v>
      </c>
      <c r="AZ37" s="33" t="n">
        <v>-125067.0833333334</v>
      </c>
      <c r="BA37" s="33" t="n">
        <v>-128117.5000000001</v>
      </c>
      <c r="BB37" s="33" t="n">
        <v>-131167.9166666667</v>
      </c>
      <c r="BC37" s="33" t="n">
        <v>-134218.3333333334</v>
      </c>
      <c r="BD37" s="33" t="n">
        <v>-137268.7500000001</v>
      </c>
      <c r="BE37" s="33" t="n">
        <v>-140319.1666666667</v>
      </c>
      <c r="BF37" s="33" t="n">
        <v>-143369.5833333334</v>
      </c>
      <c r="BG37" s="33" t="n">
        <v>-146420</v>
      </c>
      <c r="BH37" s="33" t="n">
        <v>-158611.3055555556</v>
      </c>
      <c r="BI37" s="33" t="n">
        <v>-171027.4766740741</v>
      </c>
      <c r="BJ37" s="33" t="n">
        <v>-183668.5133555556</v>
      </c>
      <c r="BK37" s="33" t="n">
        <v>-196534.4156</v>
      </c>
      <c r="BL37" s="33" t="n">
        <v>-209625.1834074075</v>
      </c>
      <c r="BM37" s="33" t="n">
        <v>-222940.8167777778</v>
      </c>
      <c r="BN37" s="33" t="n">
        <v>-236481.3157111112</v>
      </c>
      <c r="BO37" s="33" t="n">
        <v>-250246.6802074075</v>
      </c>
      <c r="BP37" s="33" t="n">
        <v>-264236.9102666667</v>
      </c>
      <c r="BQ37" s="33" t="n">
        <v>-278452.005888889</v>
      </c>
      <c r="BR37" s="33" t="n">
        <v>-292891.9670740741</v>
      </c>
      <c r="BS37" s="33" t="n">
        <v>-307556.7938222223</v>
      </c>
      <c r="BT37" s="33" t="n">
        <v>-322446.4861333334</v>
      </c>
      <c r="BU37" s="33" t="n">
        <v>-337561.0440074075</v>
      </c>
      <c r="BV37" s="33" t="n">
        <v>-352900.4674444445</v>
      </c>
      <c r="BW37" s="33" t="n">
        <v>-368464.7564444445</v>
      </c>
      <c r="BX37" s="33" t="n">
        <v>-384253.9110074075</v>
      </c>
      <c r="BY37" s="33" t="n">
        <v>-400267.9311333334</v>
      </c>
      <c r="BZ37" s="33" t="n">
        <v>-416506.8168222223</v>
      </c>
      <c r="CA37" s="33" t="n">
        <v>-432970.5680740742</v>
      </c>
      <c r="CB37" s="33" t="n">
        <v>-449659.184888889</v>
      </c>
      <c r="CC37" s="33" t="n">
        <v>-466572.6672666668</v>
      </c>
      <c r="CD37" s="33" t="n">
        <v>-483711.0152074075</v>
      </c>
      <c r="CE37" s="33" t="n">
        <v>-501074.2287111112</v>
      </c>
      <c r="CF37" s="33" t="n">
        <v>-518662.3077777779</v>
      </c>
      <c r="CG37" s="33" t="n">
        <v>-536475.2524074075</v>
      </c>
      <c r="CH37" s="33" t="n">
        <v>-554513.0626000001</v>
      </c>
      <c r="CI37" s="33" t="n">
        <v>-572775.7383555556</v>
      </c>
      <c r="CJ37" s="33" t="n">
        <v>-591263.2796740741</v>
      </c>
      <c r="CK37" s="33" t="n">
        <v>-609975.6865555557</v>
      </c>
      <c r="CL37" s="33" t="n">
        <v>-628912.9590000001</v>
      </c>
      <c r="CM37" s="33" t="n">
        <v>-648075.0970074076</v>
      </c>
      <c r="CN37" s="33" t="n">
        <v>-667462.100577778</v>
      </c>
      <c r="CO37" s="33" t="n">
        <v>-687073.9697111113</v>
      </c>
      <c r="CP37" s="33" t="n">
        <v>-706910.7044074076</v>
      </c>
      <c r="CQ37" s="33" t="n">
        <v>-720323.4404269761</v>
      </c>
      <c r="CR37" s="33" t="n">
        <v>-710235.2372531294</v>
      </c>
      <c r="CS37" s="33" t="n">
        <v>-700135.26411646</v>
      </c>
      <c r="CT37" s="33" t="n">
        <v>-690023.5002182793</v>
      </c>
      <c r="CU37" s="33" t="n">
        <v>-679899.9247231453</v>
      </c>
      <c r="CV37" s="33" t="n">
        <v>-669764.5167587978</v>
      </c>
      <c r="CW37" s="33" t="n">
        <v>-662437.8687494266</v>
      </c>
      <c r="CX37" s="33" t="n">
        <v>-655072.3625480506</v>
      </c>
      <c r="CY37" s="33" t="n">
        <v>-647667.977171564</v>
      </c>
      <c r="CZ37" s="33" t="n">
        <v>-640224.6915997816</v>
      </c>
      <c r="DA37" s="33" t="n">
        <v>-632742.4847753735</v>
      </c>
      <c r="DB37" s="33" t="n">
        <v>-625221.3356037994</v>
      </c>
      <c r="DC37" s="33" t="n">
        <v>-617661.2229532431</v>
      </c>
      <c r="DD37" s="33" t="n">
        <v>-618867.8860712125</v>
      </c>
      <c r="DE37" s="33" t="n">
        <v>-620035.5433344747</v>
      </c>
      <c r="DF37" s="33" t="n">
        <v>-621164.1734989892</v>
      </c>
      <c r="DG37" s="33" t="n">
        <v>-622253.7552831752</v>
      </c>
      <c r="DH37" s="33" t="n">
        <v>-623304.2673678449</v>
      </c>
      <c r="DI37" s="33" t="n">
        <v>-624315.688396138</v>
      </c>
      <c r="DJ37" s="33" t="n">
        <v>-625287.9969734541</v>
      </c>
      <c r="DK37" s="33" t="n">
        <v>-626221.1716673865</v>
      </c>
      <c r="DL37" s="33" t="n">
        <v>-627115.1910076555</v>
      </c>
      <c r="DM37" s="33" t="n">
        <v>-627970.0334860409</v>
      </c>
      <c r="DN37" s="33" t="n">
        <v>-628785.6775563157</v>
      </c>
      <c r="DO37" s="33" t="n">
        <v>-629562.1016341784</v>
      </c>
      <c r="DP37" s="33" t="n">
        <v>-630128.8676909361</v>
      </c>
      <c r="DQ37" s="33" t="n">
        <v>-630656.3704721866</v>
      </c>
      <c r="DR37" s="33" t="n">
        <v>-631144.5882790015</v>
      </c>
      <c r="DS37" s="33" t="n">
        <v>-631593.4993741082</v>
      </c>
      <c r="DT37" s="33" t="n">
        <v>-632003.0819818218</v>
      </c>
      <c r="DU37" s="33" t="n">
        <v>-632373.3142879781</v>
      </c>
      <c r="DV37" s="33" t="n">
        <v>-632704.1744398649</v>
      </c>
      <c r="DW37" s="33" t="n">
        <v>-632995.6405461541</v>
      </c>
      <c r="DX37" s="33" t="n">
        <v>-633247.6906768335</v>
      </c>
      <c r="DY37" s="33" t="n">
        <v>-633460.3028631384</v>
      </c>
      <c r="DZ37" s="33" t="n">
        <v>-633633.455097483</v>
      </c>
      <c r="EA37" s="33" t="n">
        <v>-633767.1253333921</v>
      </c>
      <c r="EB37" s="33" t="n">
        <v>-632485.9125856924</v>
      </c>
      <c r="EC37" s="33" t="n">
        <v>-631165.1736296628</v>
      </c>
      <c r="ED37" s="33" t="n">
        <v>-629804.8863017466</v>
      </c>
      <c r="EE37" s="33" t="n">
        <v>-628405.0283992216</v>
      </c>
      <c r="EF37" s="33" t="n">
        <v>-626965.5776801314</v>
      </c>
      <c r="EG37" s="33" t="n">
        <v>-625486.5118632158</v>
      </c>
      <c r="EH37" s="33" t="n">
        <v>-623967.8086278414</v>
      </c>
      <c r="EI37" s="33" t="n">
        <v>-622409.4456139321</v>
      </c>
      <c r="EJ37" s="33" t="n">
        <v>-620811.4004218993</v>
      </c>
      <c r="EK37" s="33" t="n">
        <v>-619173.650612572</v>
      </c>
      <c r="EL37" s="33" t="n">
        <v>-617496.1737071271</v>
      </c>
      <c r="EM37" s="33" t="n">
        <v>-615778.9471870193</v>
      </c>
      <c r="EN37" s="33" t="n">
        <v>-616212.489288344</v>
      </c>
      <c r="EO37" s="33" t="n">
        <v>-616606.2366184671</v>
      </c>
      <c r="EP37" s="33" t="n">
        <v>-616960.1665392545</v>
      </c>
      <c r="EQ37" s="33" t="n">
        <v>-617274.2563725683</v>
      </c>
      <c r="ER37" s="33" t="n">
        <v>-617548.4834001963</v>
      </c>
      <c r="ES37" s="33" t="n">
        <v>-617782.8248637808</v>
      </c>
      <c r="ET37" s="33" t="n">
        <v>-617977.2579647477</v>
      </c>
      <c r="EU37" s="33" t="n">
        <v>-618131.7598642359</v>
      </c>
      <c r="EV37" s="33" t="n">
        <v>-618246.3076830255</v>
      </c>
      <c r="EW37" s="33" t="n">
        <v>-618320.8785014669</v>
      </c>
      <c r="EX37" s="33" t="n">
        <v>-618355.4493594092</v>
      </c>
      <c r="EY37" s="33" t="n">
        <v>-618349.9972561285</v>
      </c>
      <c r="EZ37" s="33" t="n">
        <v>-617494.7597145509</v>
      </c>
      <c r="FA37" s="33" t="n">
        <v>-616599.4530882974</v>
      </c>
      <c r="FB37" s="33" t="n">
        <v>-615664.0542544947</v>
      </c>
      <c r="FC37" s="33" t="n">
        <v>-614688.5400494095</v>
      </c>
      <c r="FD37" s="33" t="n">
        <v>-613672.8872683757</v>
      </c>
      <c r="FE37" s="33" t="n">
        <v>-612617.0726657223</v>
      </c>
      <c r="FF37" s="33" t="n">
        <v>-611521.072954701</v>
      </c>
      <c r="FG37" s="33" t="n">
        <v>-610384.8648074133</v>
      </c>
      <c r="FH37" s="33" t="n">
        <v>-609208.4248547381</v>
      </c>
      <c r="FI37" s="33" t="n">
        <v>-607991.7296862587</v>
      </c>
      <c r="FJ37" s="33" t="n">
        <v>-606734.7558501899</v>
      </c>
      <c r="FK37" s="33" t="n">
        <v>-605437.4798533052</v>
      </c>
      <c r="FL37" s="33" t="n">
        <v>-603237.4842664247</v>
      </c>
      <c r="FM37" s="33" t="n">
        <v>-600997.1394076565</v>
      </c>
      <c r="FN37" s="33" t="n">
        <v>-598716.4216590092</v>
      </c>
      <c r="FO37" s="33" t="n">
        <v>-596395.3073607559</v>
      </c>
      <c r="FP37" s="33" t="n">
        <v>-594033.7728113604</v>
      </c>
      <c r="FQ37" s="33" t="n">
        <v>-591631.794267404</v>
      </c>
      <c r="FR37" s="33" t="n">
        <v>-589189.3479435106</v>
      </c>
      <c r="FS37" s="33" t="n">
        <v>-586706.4100122734</v>
      </c>
      <c r="FT37" s="33" t="n">
        <v>-584182.9566041798</v>
      </c>
      <c r="FU37" s="33" t="n">
        <v>-581618.9638075377</v>
      </c>
      <c r="FV37" s="33" t="n">
        <v>-579014.4076684006</v>
      </c>
      <c r="FW37" s="33" t="n">
        <v>-576369.2641904929</v>
      </c>
      <c r="FX37" s="33" t="n">
        <v>-576638.5168195826</v>
      </c>
      <c r="FY37" s="33" t="n">
        <v>-576867.1339900644</v>
      </c>
      <c r="FZ37" s="33" t="n">
        <v>-577055.0915782265</v>
      </c>
      <c r="GA37" s="33" t="n">
        <v>-577202.3654177282</v>
      </c>
      <c r="GB37" s="33" t="n">
        <v>-577308.9312995241</v>
      </c>
      <c r="GC37" s="33" t="n">
        <v>-577374.7649717897</v>
      </c>
      <c r="GD37" s="33" t="n">
        <v>-577399.8421398444</v>
      </c>
      <c r="GE37" s="33" t="n">
        <v>-577384.138466077</v>
      </c>
      <c r="GF37" s="33" t="n">
        <v>-577327.6295698691</v>
      </c>
      <c r="GG37" s="33" t="n">
        <v>-577230.2910275195</v>
      </c>
      <c r="GH37" s="33" t="n">
        <v>-577092.0983721677</v>
      </c>
      <c r="GI37" s="33" t="n">
        <v>-576913.0270937179</v>
      </c>
      <c r="GJ37" s="33" t="n">
        <v>-577045.627016525</v>
      </c>
      <c r="GK37" s="33" t="n">
        <v>-577137.2991660308</v>
      </c>
      <c r="GL37" s="33" t="n">
        <v>-577188.0189019745</v>
      </c>
      <c r="GM37" s="33" t="n">
        <v>-577197.7615405536</v>
      </c>
      <c r="GN37" s="33" t="n">
        <v>-577166.5023543468</v>
      </c>
      <c r="GO37" s="33" t="n">
        <v>-577094.216572237</v>
      </c>
      <c r="GP37" s="33" t="n">
        <v>-576980.8793793339</v>
      </c>
      <c r="GQ37" s="33" t="n">
        <v>-576826.4659168973</v>
      </c>
      <c r="GR37" s="33" t="n">
        <v>-576630.9512822587</v>
      </c>
      <c r="GS37" s="33" t="n">
        <v>-576394.3105287444</v>
      </c>
      <c r="GT37" s="33" t="n">
        <v>-576116.5186655972</v>
      </c>
      <c r="GU37" s="33" t="n">
        <v>-575797.5506578991</v>
      </c>
      <c r="GV37" s="33" t="n">
        <v>-573563.7711630727</v>
      </c>
      <c r="GW37" s="33" t="n">
        <v>-571288.7653210632</v>
      </c>
      <c r="GX37" s="33" t="n">
        <v>-568972.5079640003</v>
      </c>
      <c r="GY37" s="33" t="n">
        <v>-566614.9738795395</v>
      </c>
      <c r="GZ37" s="33" t="n">
        <v>-564216.1378107836</v>
      </c>
      <c r="HA37" s="33" t="n">
        <v>-561775.9744562039</v>
      </c>
      <c r="HB37" s="33" t="n">
        <v>-559294.4584695614</v>
      </c>
      <c r="HC37" s="33" t="n">
        <v>-556771.564459828</v>
      </c>
      <c r="HD37" s="33" t="n">
        <v>-554207.2669911068</v>
      </c>
      <c r="HE37" s="33" t="n">
        <v>-551601.5405825535</v>
      </c>
      <c r="HF37" s="33" t="n">
        <v>-548954.3597082965</v>
      </c>
      <c r="HG37" s="33" t="n">
        <v>-546265.6987973573</v>
      </c>
      <c r="HH37" s="33" t="n">
        <v>-545540.4683758068</v>
      </c>
      <c r="HI37" s="33" t="n">
        <v>-544773.7066399782</v>
      </c>
      <c r="HJ37" s="33" t="n">
        <v>-543965.3878830941</v>
      </c>
      <c r="HK37" s="33" t="n">
        <v>-543115.4863529508</v>
      </c>
      <c r="HL37" s="33" t="n">
        <v>-542223.9762518376</v>
      </c>
      <c r="HM37" s="33" t="n">
        <v>-541290.831736457</v>
      </c>
      <c r="HN37" s="33" t="n">
        <v>-540316.0269178436</v>
      </c>
      <c r="HO37" s="33" t="n">
        <v>-539299.5358612839</v>
      </c>
      <c r="HP37" s="33" t="n">
        <v>-538241.3325862349</v>
      </c>
      <c r="HQ37" s="33" t="n">
        <v>-537141.3910662436</v>
      </c>
      <c r="HR37" s="33" t="n">
        <v>-535999.6852288657</v>
      </c>
      <c r="HS37" s="33" t="n">
        <v>-534816.1889555842</v>
      </c>
      <c r="HT37" s="33" t="n">
        <v>-533804.8569350706</v>
      </c>
      <c r="HU37" s="33" t="n">
        <v>-532751.6821030759</v>
      </c>
      <c r="HV37" s="33" t="n">
        <v>-531656.6382023764</v>
      </c>
      <c r="HW37" s="33" t="n">
        <v>-530519.6989293493</v>
      </c>
      <c r="HX37" s="33" t="n">
        <v>-529340.8379338905</v>
      </c>
      <c r="HY37" s="33" t="n">
        <v>-528120.0288193328</v>
      </c>
      <c r="HZ37" s="33" t="n">
        <v>-526857.2451423635</v>
      </c>
      <c r="IA37" s="33" t="n">
        <v>-525552.4604129418</v>
      </c>
      <c r="IB37" s="33" t="n">
        <v>-524205.6480942164</v>
      </c>
      <c r="IC37" s="33" t="n">
        <v>-522816.7816024429</v>
      </c>
      <c r="ID37" s="33" t="n">
        <v>-521385.8343069009</v>
      </c>
      <c r="IE37" s="33" t="n">
        <v>-519912.7795298105</v>
      </c>
      <c r="IF37" s="33" t="n">
        <v>-517081.4567398014</v>
      </c>
      <c r="IG37" s="33" t="n">
        <v>-514207.9729711746</v>
      </c>
      <c r="IH37" s="33" t="n">
        <v>-511292.3014044733</v>
      </c>
      <c r="II37" s="33" t="n">
        <v>-508334.4151728484</v>
      </c>
      <c r="IJ37" s="33" t="n">
        <v>-505334.2873619742</v>
      </c>
      <c r="IK37" s="33" t="n">
        <v>-502291.891009965</v>
      </c>
      <c r="IL37" s="33" t="n">
        <v>-499207.1991072905</v>
      </c>
      <c r="IM37" s="33" t="n">
        <v>-496080.1845966921</v>
      </c>
      <c r="IN37" s="33" t="n">
        <v>-492910.8203730981</v>
      </c>
      <c r="IO37" s="33" t="n">
        <v>-489699.0792835397</v>
      </c>
      <c r="IP37" s="33" t="n">
        <v>-486444.9341270661</v>
      </c>
      <c r="IQ37" s="33" t="n">
        <v>-483148.3576546594</v>
      </c>
      <c r="IR37" s="33" t="n">
        <v>-481830.0904538915</v>
      </c>
      <c r="IS37" s="33" t="n">
        <v>-480469.3372946151</v>
      </c>
      <c r="IT37" s="33" t="n">
        <v>-479066.0707831021</v>
      </c>
      <c r="IU37" s="33" t="n">
        <v>-477620.2634772168</v>
      </c>
      <c r="IV37" s="33" t="n">
        <v>-476131.8878863306</v>
      </c>
      <c r="IW37" s="33" t="n">
        <v>-474600.9164712363</v>
      </c>
      <c r="IX37" s="33" t="n">
        <v>-473027.3216440622</v>
      </c>
      <c r="IY37" s="33" t="n">
        <v>-471411.075768186</v>
      </c>
      <c r="IZ37" s="33" t="n">
        <v>-469752.1511581487</v>
      </c>
      <c r="JA37" s="33" t="n">
        <v>-468050.5200795686</v>
      </c>
      <c r="JB37" s="33" t="n">
        <v>-466306.1547490545</v>
      </c>
      <c r="JC37" s="33" t="n">
        <v>-464519.027334119</v>
      </c>
      <c r="JD37" s="33" t="n">
        <v>-462601.921666681</v>
      </c>
      <c r="JE37" s="33" t="n">
        <v>-460641.9981022121</v>
      </c>
      <c r="JF37" s="33" t="n">
        <v>-458639.2286604157</v>
      </c>
      <c r="JG37" s="33" t="n">
        <v>-456593.5853115517</v>
      </c>
      <c r="JH37" s="33" t="n">
        <v>-454505.0399763482</v>
      </c>
      <c r="JI37" s="33" t="n">
        <v>-452373.5645259148</v>
      </c>
      <c r="JJ37" s="33" t="n">
        <v>-450199.1307816544</v>
      </c>
      <c r="JK37" s="33" t="n">
        <v>-447981.7105151757</v>
      </c>
      <c r="JL37" s="33" t="n">
        <v>-445721.2754482047</v>
      </c>
      <c r="JM37" s="33" t="n">
        <v>-443417.7972524972</v>
      </c>
      <c r="JN37" s="33" t="n">
        <v>-441071.2475497501</v>
      </c>
      <c r="JO37" s="33" t="n">
        <v>-438681.5979115131</v>
      </c>
      <c r="JP37" s="33" t="n">
        <v>-434736.7350573016</v>
      </c>
      <c r="JQ37" s="33" t="n">
        <v>-430748.715259903</v>
      </c>
      <c r="JR37" s="33" t="n">
        <v>-426717.5099398928</v>
      </c>
      <c r="JS37" s="33" t="n">
        <v>-422643.0904673438</v>
      </c>
      <c r="JT37" s="33" t="n">
        <v>-418525.4281617369</v>
      </c>
      <c r="JU37" s="33" t="n">
        <v>-414364.4942918718</v>
      </c>
      <c r="JV37" s="33" t="n">
        <v>-410160.2600757771</v>
      </c>
      <c r="JW37" s="33" t="n">
        <v>-405912.6966806211</v>
      </c>
      <c r="JX37" s="33" t="n">
        <v>-401621.7752226213</v>
      </c>
      <c r="JY37" s="33" t="n">
        <v>-397287.4667669551</v>
      </c>
      <c r="JZ37" s="33" t="n">
        <v>-392909.7423276688</v>
      </c>
      <c r="KA37" s="33" t="n">
        <v>-388488.5728675879</v>
      </c>
      <c r="KB37" s="33" t="n">
        <v>-386443.9668863539</v>
      </c>
      <c r="KC37" s="33" t="n">
        <v>-384355.8576559507</v>
      </c>
      <c r="KD37" s="33" t="n">
        <v>-382224.215984997</v>
      </c>
      <c r="KE37" s="33" t="n">
        <v>-380049.0126305274</v>
      </c>
      <c r="KF37" s="33" t="n">
        <v>-377830.2182979011</v>
      </c>
      <c r="KG37" s="33" t="n">
        <v>-375567.8036407109</v>
      </c>
      <c r="KH37" s="33" t="n">
        <v>-373261.7392606915</v>
      </c>
      <c r="KI37" s="33" t="n">
        <v>-370911.9957076281</v>
      </c>
      <c r="KJ37" s="33" t="n">
        <v>-368518.5434792645</v>
      </c>
      <c r="KK37" s="33" t="n">
        <v>-366081.3530212108</v>
      </c>
      <c r="KL37" s="33" t="n">
        <v>-363600.3947268518</v>
      </c>
      <c r="KM37" s="33" t="n">
        <v>-361075.6389372545</v>
      </c>
      <c r="KN37" s="33" t="n">
        <v>-358770.2441388287</v>
      </c>
      <c r="KO37" s="33" t="n">
        <v>-356420.9923699749</v>
      </c>
      <c r="KP37" s="33" t="n">
        <v>-354027.8538142514</v>
      </c>
      <c r="KQ37" s="33" t="n">
        <v>-351590.7986025276</v>
      </c>
      <c r="KR37" s="33" t="n">
        <v>-349109.7968128914</v>
      </c>
      <c r="KS37" s="33" t="n">
        <v>-346584.8184705556</v>
      </c>
      <c r="KT37" s="33" t="n">
        <v>-344015.8335477646</v>
      </c>
      <c r="KU37" s="33" t="n">
        <v>-341402.8119637009</v>
      </c>
      <c r="KV37" s="33" t="n">
        <v>-338745.7235843911</v>
      </c>
      <c r="KW37" s="33" t="n">
        <v>-336044.5382226119</v>
      </c>
      <c r="KX37" s="33" t="n">
        <v>-333299.2256377967</v>
      </c>
      <c r="KY37" s="33" t="n">
        <v>-330509.7555359403</v>
      </c>
      <c r="KZ37" s="33" t="n">
        <v>-325721.8073092588</v>
      </c>
      <c r="LA37" s="33" t="n">
        <v>-320889.6408168342</v>
      </c>
      <c r="LB37" s="33" t="n">
        <v>-316013.22560378</v>
      </c>
      <c r="LC37" s="33" t="n">
        <v>-311092.531161393</v>
      </c>
      <c r="LD37" s="33" t="n">
        <v>-306127.526927058</v>
      </c>
      <c r="LE37" s="33" t="n">
        <v>-301118.1822841528</v>
      </c>
      <c r="LF37" s="33" t="n">
        <v>-296064.4665619524</v>
      </c>
      <c r="LG37" s="33" t="n">
        <v>-290966.3490355338</v>
      </c>
      <c r="LH37" s="33" t="n">
        <v>-285823.7989256799</v>
      </c>
      <c r="LI37" s="33" t="n">
        <v>-280636.7853987837</v>
      </c>
      <c r="LJ37" s="33" t="n">
        <v>-275405.2775667521</v>
      </c>
      <c r="LK37" s="33" t="n">
        <v>-270129.2444869098</v>
      </c>
      <c r="LL37" s="33" t="n">
        <v>-267268.7668204942</v>
      </c>
      <c r="LM37" s="33" t="n">
        <v>-264363.7018567842</v>
      </c>
      <c r="LN37" s="33" t="n">
        <v>-261414.0184887783</v>
      </c>
      <c r="LO37" s="33" t="n">
        <v>-258419.6855545054</v>
      </c>
      <c r="LP37" s="33" t="n">
        <v>-255380.6718369286</v>
      </c>
      <c r="LQ37" s="33" t="n">
        <v>-252296.946063847</v>
      </c>
      <c r="LR37" s="33" t="n">
        <v>-249168.4769077989</v>
      </c>
      <c r="LS37" s="33" t="n">
        <v>-245995.2329859638</v>
      </c>
      <c r="LT37" s="33" t="n">
        <v>-242777.1828600646</v>
      </c>
      <c r="LU37" s="33" t="n">
        <v>-239514.2950362697</v>
      </c>
      <c r="LV37" s="33" t="n">
        <v>-236206.5379650947</v>
      </c>
      <c r="LW37" s="33" t="n">
        <v>-237623.8800413044</v>
      </c>
      <c r="LX37" s="33" t="n">
        <v>-237899.0930678824</v>
      </c>
      <c r="LY37" s="33" t="n">
        <v>-238129.3418637269</v>
      </c>
      <c r="LZ37" s="33" t="n">
        <v>-238314.5946557574</v>
      </c>
      <c r="MA37" s="33" t="n">
        <v>-238454.8196147473</v>
      </c>
      <c r="MB37" s="33" t="n">
        <v>-238549.9848552248</v>
      </c>
      <c r="MC37" s="33" t="n">
        <v>-238600.0584353731</v>
      </c>
      <c r="MD37" s="33" t="n">
        <v>-238605.0083569312</v>
      </c>
      <c r="ME37" s="33" t="n">
        <v>-238564.8025650938</v>
      </c>
      <c r="MF37" s="33" t="n">
        <v>-238479.4089484119</v>
      </c>
      <c r="MG37" s="33" t="n">
        <v>-238348.7953386921</v>
      </c>
      <c r="MH37" s="33" t="n">
        <v>-238172.9295108967</v>
      </c>
      <c r="MI37" s="33" t="n">
        <v>-237951.7791830434</v>
      </c>
      <c r="MJ37" s="33" t="n">
        <v>-237902.8484143628</v>
      </c>
      <c r="MK37" s="33" t="n">
        <v>-237808.5684104219</v>
      </c>
      <c r="ML37" s="33" t="n">
        <v>-237668.9067177995</v>
      </c>
      <c r="MM37" s="33" t="n">
        <v>-237483.8308257256</v>
      </c>
      <c r="MN37" s="33" t="n">
        <v>-237253.3081659806</v>
      </c>
      <c r="MO37" s="33" t="n">
        <v>-236977.3061127937</v>
      </c>
      <c r="MP37" s="33" t="n">
        <v>-236655.7919827409</v>
      </c>
      <c r="MQ37" s="33" t="n">
        <v>-236288.7330346438</v>
      </c>
      <c r="MR37" s="33" t="n">
        <v>-235876.0964694665</v>
      </c>
      <c r="MS37" s="33" t="n">
        <v>-235417.8494302146</v>
      </c>
      <c r="MT37" s="33" t="n">
        <v>-234913.9590018316</v>
      </c>
      <c r="MU37" s="33" t="n">
        <v>-234364.3922110971</v>
      </c>
      <c r="MV37" s="33" t="n">
        <v>-233989.7361290135</v>
      </c>
      <c r="MW37" s="33" t="n">
        <v>-233569.3375632337</v>
      </c>
      <c r="MX37" s="33" t="n">
        <v>-233103.1633654274</v>
      </c>
      <c r="MY37" s="33" t="n">
        <v>-232591.180328688</v>
      </c>
      <c r="MZ37" s="33" t="n">
        <v>-232033.3551874287</v>
      </c>
      <c r="NA37" s="33" t="n">
        <v>-231429.6546172795</v>
      </c>
      <c r="NB37" s="33" t="n">
        <v>-230780.0452349826</v>
      </c>
      <c r="NC37" s="33" t="n">
        <v>-230084.4935982889</v>
      </c>
      <c r="ND37" s="33" t="n">
        <v>-229342.9662058535</v>
      </c>
      <c r="NE37" s="33" t="n">
        <v>-228555.4294971313</v>
      </c>
      <c r="NF37" s="33" t="n">
        <v>-227721.8498522723</v>
      </c>
      <c r="NG37" s="33" t="n">
        <v>-226842.193592017</v>
      </c>
      <c r="NH37" s="33" t="n">
        <v>-226140.2329286369</v>
      </c>
      <c r="NI37" s="33" t="n">
        <v>-225392.1281126926</v>
      </c>
      <c r="NJ37" s="33" t="n">
        <v>-224597.8452860651</v>
      </c>
      <c r="NK37" s="33" t="n">
        <v>-223757.3505308047</v>
      </c>
      <c r="NL37" s="33" t="n">
        <v>-222870.6098690256</v>
      </c>
      <c r="NM37" s="33" t="n">
        <v>-221937.5892627994</v>
      </c>
      <c r="NN37" s="33" t="n">
        <v>-220958.2546140495</v>
      </c>
      <c r="NO37" s="33" t="n">
        <v>-219932.5717644446</v>
      </c>
      <c r="NP37" s="33" t="n">
        <v>-218860.5064952921</v>
      </c>
      <c r="NQ37" s="33" t="n">
        <v>-217742.0245274318</v>
      </c>
      <c r="NR37" s="33" t="n">
        <v>-216577.0915211288</v>
      </c>
      <c r="NS37" s="33" t="n">
        <v>-215365.6730759663</v>
      </c>
      <c r="NT37" s="33" t="n">
        <v>-214334.830115653</v>
      </c>
      <c r="NU37" s="33" t="n">
        <v>-213257.4327331726</v>
      </c>
      <c r="NV37" s="33" t="n">
        <v>-212133.4463454193</v>
      </c>
      <c r="NW37" s="33" t="n">
        <v>-210962.8363081754</v>
      </c>
      <c r="NX37" s="33" t="n">
        <v>-209745.5679160034</v>
      </c>
      <c r="NY37" s="33" t="n">
        <v>-208481.6064021379</v>
      </c>
      <c r="NZ37" s="33" t="n">
        <v>-207170.9169383772</v>
      </c>
      <c r="OA37" s="33" t="n">
        <v>-205813.4646349746</v>
      </c>
      <c r="OB37" s="33" t="n">
        <v>-204409.2145405301</v>
      </c>
      <c r="OC37" s="33" t="n">
        <v>-202958.1316418806</v>
      </c>
      <c r="OD37" s="33" t="n">
        <v>-201460.1808639918</v>
      </c>
      <c r="OE37" s="33" t="n">
        <v>-199915.327069848</v>
      </c>
      <c r="OF37" s="33" t="n">
        <v>-198546.9417073613</v>
      </c>
      <c r="OG37" s="33" t="n">
        <v>-197131.582868207</v>
      </c>
      <c r="OH37" s="33" t="n">
        <v>-195669.2152287684</v>
      </c>
      <c r="OI37" s="33" t="n">
        <v>-194159.8034030084</v>
      </c>
      <c r="OJ37" s="33" t="n">
        <v>-192603.3119423595</v>
      </c>
      <c r="OK37" s="33" t="n">
        <v>-188179.0920022845</v>
      </c>
      <c r="OL37" s="33" t="n">
        <v>-183734.7052097017</v>
      </c>
      <c r="OM37" s="33" t="n">
        <v>-179270.1159277929</v>
      </c>
      <c r="ON37" s="33" t="n">
        <v>-174785.2884567609</v>
      </c>
      <c r="OO37" s="33" t="n">
        <v>-170280.1870337237</v>
      </c>
      <c r="OP37" s="33" t="n">
        <v>-165754.7758326024</v>
      </c>
      <c r="OQ37" s="33" t="n">
        <v>-161209.0189640101</v>
      </c>
      <c r="OR37" s="33" t="n">
        <v>-156833.3600976034</v>
      </c>
      <c r="OS37" s="33" t="n">
        <v>-152437.2835945795</v>
      </c>
      <c r="OT37" s="33" t="n">
        <v>-148020.7533749548</v>
      </c>
      <c r="OU37" s="33" t="n">
        <v>-143583.7332949888</v>
      </c>
      <c r="OV37" s="33" t="n">
        <v>-139126.1871470713</v>
      </c>
      <c r="OW37" s="33" t="n">
        <v>-134648.0786596099</v>
      </c>
      <c r="OX37" s="33" t="n">
        <v>-130149.3714969165</v>
      </c>
      <c r="OY37" s="33" t="n">
        <v>-125630.0292590943</v>
      </c>
      <c r="OZ37" s="33" t="n">
        <v>-121090.0154819244</v>
      </c>
      <c r="PA37" s="33" t="n">
        <v>-116529.2936367519</v>
      </c>
      <c r="PB37" s="33" t="n">
        <v>-111947.8271303722</v>
      </c>
      <c r="PC37" s="33" t="n">
        <v>-107345.5793049168</v>
      </c>
      <c r="PD37" s="33" t="n">
        <v>-102911.5430950732</v>
      </c>
      <c r="PE37" s="33" t="n">
        <v>-98456.65205596849</v>
      </c>
      <c r="PF37" s="33" t="n">
        <v>-93980.86933505622</v>
      </c>
      <c r="PG37" s="33" t="n">
        <v>-89484.15801466806</v>
      </c>
      <c r="PH37" s="33" t="n">
        <v>-84966.48111189845</v>
      </c>
      <c r="PI37" s="33" t="n">
        <v>-80427.80157848939</v>
      </c>
      <c r="PJ37" s="33" t="n">
        <v>-75868.08230071496</v>
      </c>
      <c r="PK37" s="33" t="n">
        <v>-71287.28609926558</v>
      </c>
      <c r="PL37" s="33" t="n">
        <v>-66685.37572913218</v>
      </c>
      <c r="PM37" s="33" t="n">
        <v>-62062.31387949006</v>
      </c>
      <c r="PN37" s="33" t="n">
        <v>-57418.0631735826</v>
      </c>
      <c r="PO37" s="33" t="n">
        <v>-52752.58616860477</v>
      </c>
      <c r="PP37" s="33" t="n">
        <v>-48258.59454929106</v>
      </c>
      <c r="PQ37" s="33" t="n">
        <v>-43743.30154668455</v>
      </c>
      <c r="PR37" s="33" t="n">
        <v>-39206.66951913383</v>
      </c>
      <c r="PS37" s="33" t="n">
        <v>-34648.66075847093</v>
      </c>
      <c r="PT37" s="33" t="n">
        <v>-30069.23748989384</v>
      </c>
      <c r="PU37" s="33" t="n">
        <v>-25468.36187184874</v>
      </c>
      <c r="PV37" s="33" t="n">
        <v>-20845.99599591203</v>
      </c>
      <c r="PW37" s="33" t="n">
        <v>-16202.10188667219</v>
      </c>
      <c r="PX37" s="33" t="n">
        <v>-11536.64150161138</v>
      </c>
      <c r="PY37" s="33" t="n">
        <v>-6849.576730986869</v>
      </c>
      <c r="PZ37" s="33" t="n">
        <v>-2140.869397712244</v>
      </c>
      <c r="QA37" s="33" t="n">
        <v>2589.518742761601</v>
      </c>
      <c r="QB37" s="33" t="n">
        <v>7458.895748358477</v>
      </c>
      <c r="QC37" s="33" t="n">
        <v>2246.603025311791</v>
      </c>
      <c r="QD37" s="33" t="n">
        <v>7159.533476887059</v>
      </c>
      <c r="QE37" s="33" t="n">
        <v>12094.29839087227</v>
      </c>
      <c r="QF37" s="33" t="n">
        <v>17050.93635092238</v>
      </c>
      <c r="QG37" s="33" t="n">
        <v>22029.48600887348</v>
      </c>
      <c r="QH37" s="33" t="n">
        <v>27029.98608486329</v>
      </c>
      <c r="QI37" s="33" t="n">
        <v>32052.47536745184</v>
      </c>
      <c r="QJ37" s="33" t="n">
        <v>37096.99271374237</v>
      </c>
      <c r="QK37" s="33" t="n">
        <v>42163.57704950249</v>
      </c>
      <c r="QL37" s="33" t="n">
        <v>47252.26736928547</v>
      </c>
      <c r="QM37" s="33" t="n">
        <v>39809.09135013723</v>
      </c>
      <c r="QN37" s="33" t="n">
        <v>33410.6362474465</v>
      </c>
      <c r="QO37" s="33" t="n">
        <v>-5380.266390549928</v>
      </c>
      <c r="QP37" s="33" t="n">
        <v>-11778.72149324066</v>
      </c>
      <c r="QQ37" s="33" t="n">
        <v>-18177.17659593139</v>
      </c>
      <c r="QR37" s="33" t="n">
        <v>-24575.63169862212</v>
      </c>
      <c r="QS37" s="33" t="n">
        <v>-30974.08680131286</v>
      </c>
      <c r="QT37" s="33" t="n">
        <v>-37372.54190400358</v>
      </c>
      <c r="QU37" s="33" t="n">
        <v>-43770.99700669431</v>
      </c>
      <c r="QV37" s="33" t="n">
        <v>-50169.45210938504</v>
      </c>
      <c r="QW37" s="33" t="n">
        <v>-56567.90721207577</v>
      </c>
      <c r="QX37" s="33" t="n">
        <v>-62966.3623147665</v>
      </c>
      <c r="QY37" s="33" t="n">
        <v>-69364.81741745723</v>
      </c>
      <c r="QZ37" s="33" t="n">
        <v>-75923.23389771524</v>
      </c>
      <c r="RA37" s="33" t="n">
        <v>-82481.65037797324</v>
      </c>
      <c r="RB37" s="33" t="n">
        <v>-89040.06685823125</v>
      </c>
      <c r="RC37" s="33" t="n">
        <v>-95598.48333848926</v>
      </c>
      <c r="RD37" s="33" t="n">
        <v>-102156.8998187473</v>
      </c>
      <c r="RE37" s="33" t="n">
        <v>-108715.3162990053</v>
      </c>
      <c r="RF37" s="33" t="n">
        <v>-115273.7327792633</v>
      </c>
      <c r="RG37" s="33" t="n">
        <v>-121832.1492595213</v>
      </c>
      <c r="RH37" s="33" t="n">
        <v>-128390.5657397793</v>
      </c>
      <c r="RI37" s="33" t="n">
        <v>-134948.9822200373</v>
      </c>
      <c r="RJ37" s="33" t="n">
        <v>-141507.3987002953</v>
      </c>
      <c r="RK37" s="33" t="n">
        <v>-148065.8151805533</v>
      </c>
      <c r="RL37" s="33" t="n">
        <v>-154788.1920728177</v>
      </c>
      <c r="RM37" s="33" t="n">
        <v>-161510.5689650821</v>
      </c>
      <c r="RN37" s="33" t="n">
        <v>-168232.9458573466</v>
      </c>
      <c r="RO37" s="33" t="n">
        <v>-174955.322749611</v>
      </c>
      <c r="RP37" s="33" t="n">
        <v>-181677.6996418755</v>
      </c>
      <c r="RQ37" s="33" t="n">
        <v>-188400.0765341399</v>
      </c>
      <c r="RR37" s="33" t="n">
        <v>-195122.4534264043</v>
      </c>
      <c r="RS37" s="33" t="n">
        <v>-201844.8303186688</v>
      </c>
      <c r="RT37" s="33" t="n">
        <v>-208567.2072109332</v>
      </c>
      <c r="RU37" s="33" t="n">
        <v>-215289.5841031976</v>
      </c>
      <c r="RV37" s="33" t="n">
        <v>-222011.9609954621</v>
      </c>
      <c r="RW37" s="33" t="n">
        <v>-228734.3378877265</v>
      </c>
    </row>
    <row r="38" hidden="1" outlineLevel="1" ht="13.05" customHeight="1">
      <c r="E38" s="34" t="inlineStr">
        <is>
          <t>Total Assets</t>
        </is>
      </c>
      <c r="F38" s="35" t="n"/>
      <c r="G38" s="35" t="inlineStr">
        <is>
          <t>kEUR</t>
        </is>
      </c>
      <c r="H38" s="35" t="n"/>
      <c r="I38" s="35" t="n"/>
      <c r="J38" s="36" t="n">
        <v>118057800.7469626</v>
      </c>
      <c r="K38" s="35" t="n"/>
      <c r="L38" s="37">
        <f>L34+L35+L37</f>
        <v/>
      </c>
      <c r="M38" s="37">
        <f>M34+M35+M37</f>
        <v/>
      </c>
      <c r="N38" s="37">
        <f>N34+N35+N37</f>
        <v/>
      </c>
      <c r="O38" s="37">
        <f>O34+O35+O37</f>
        <v/>
      </c>
      <c r="P38" s="37">
        <f>P34+P35+P37</f>
        <v/>
      </c>
      <c r="Q38" s="37">
        <f>Q34+Q35+Q37</f>
        <v/>
      </c>
      <c r="R38" s="37">
        <f>R34+R35+R37</f>
        <v/>
      </c>
      <c r="S38" s="37">
        <f>S34+S35+S37</f>
        <v/>
      </c>
      <c r="T38" s="37">
        <f>T34+T35+T37</f>
        <v/>
      </c>
      <c r="U38" s="37">
        <f>U34+U35+U37</f>
        <v/>
      </c>
      <c r="V38" s="37">
        <f>V34+V35+V37</f>
        <v/>
      </c>
      <c r="W38" s="37">
        <f>W34+W35+W37</f>
        <v/>
      </c>
      <c r="X38" s="37">
        <f>X34+X35+X37</f>
        <v/>
      </c>
      <c r="Y38" s="37">
        <f>Y34+Y35+Y37</f>
        <v/>
      </c>
      <c r="Z38" s="37">
        <f>Z34+Z35+Z37</f>
        <v/>
      </c>
      <c r="AA38" s="37">
        <f>AA34+AA35+AA37</f>
        <v/>
      </c>
      <c r="AB38" s="37">
        <f>AB34+AB35+AB37</f>
        <v/>
      </c>
      <c r="AC38" s="37">
        <f>AC34+AC35+AC37</f>
        <v/>
      </c>
      <c r="AD38" s="37">
        <f>AD34+AD35+AD37</f>
        <v/>
      </c>
      <c r="AE38" s="37">
        <f>AE34+AE35+AE37</f>
        <v/>
      </c>
      <c r="AF38" s="37">
        <f>AF34+AF35+AF37</f>
        <v/>
      </c>
      <c r="AG38" s="37">
        <f>AG34+AG35+AG37</f>
        <v/>
      </c>
      <c r="AH38" s="37">
        <f>AH34+AH35+AH37</f>
        <v/>
      </c>
      <c r="AI38" s="37">
        <f>AI34+AI35+AI37</f>
        <v/>
      </c>
      <c r="AJ38" s="37">
        <f>AJ34+AJ35+AJ37</f>
        <v/>
      </c>
      <c r="AK38" s="37">
        <f>AK34+AK35+AK37</f>
        <v/>
      </c>
      <c r="AL38" s="37">
        <f>AL34+AL35+AL37</f>
        <v/>
      </c>
      <c r="AM38" s="37">
        <f>AM34+AM35+AM37</f>
        <v/>
      </c>
      <c r="AN38" s="37">
        <f>AN34+AN35+AN37</f>
        <v/>
      </c>
      <c r="AO38" s="37">
        <f>AO34+AO35+AO37</f>
        <v/>
      </c>
      <c r="AP38" s="37">
        <f>AP34+AP35+AP37</f>
        <v/>
      </c>
      <c r="AQ38" s="37">
        <f>AQ34+AQ35+AQ37</f>
        <v/>
      </c>
      <c r="AR38" s="37">
        <f>AR34+AR35+AR37</f>
        <v/>
      </c>
      <c r="AS38" s="37">
        <f>AS34+AS35+AS37</f>
        <v/>
      </c>
      <c r="AT38" s="37">
        <f>AT34+AT35+AT37</f>
        <v/>
      </c>
      <c r="AU38" s="37">
        <f>AU34+AU35+AU37</f>
        <v/>
      </c>
      <c r="AV38" s="37">
        <f>AV34+AV35+AV37</f>
        <v/>
      </c>
      <c r="AW38" s="37">
        <f>AW34+AW35+AW37</f>
        <v/>
      </c>
      <c r="AX38" s="37">
        <f>AX34+AX35+AX37</f>
        <v/>
      </c>
      <c r="AY38" s="37">
        <f>AY34+AY35+AY37</f>
        <v/>
      </c>
      <c r="AZ38" s="37">
        <f>AZ34+AZ35+AZ37</f>
        <v/>
      </c>
      <c r="BA38" s="37">
        <f>BA34+BA35+BA37</f>
        <v/>
      </c>
      <c r="BB38" s="37">
        <f>BB34+BB35+BB37</f>
        <v/>
      </c>
      <c r="BC38" s="37">
        <f>BC34+BC35+BC37</f>
        <v/>
      </c>
      <c r="BD38" s="37">
        <f>BD34+BD35+BD37</f>
        <v/>
      </c>
      <c r="BE38" s="37">
        <f>BE34+BE35+BE37</f>
        <v/>
      </c>
      <c r="BF38" s="37">
        <f>BF34+BF35+BF37</f>
        <v/>
      </c>
      <c r="BG38" s="37">
        <f>BG34+BG35+BG37</f>
        <v/>
      </c>
      <c r="BH38" s="37">
        <f>BH34+BH35+BH37</f>
        <v/>
      </c>
      <c r="BI38" s="37">
        <f>BI34+BI35+BI37</f>
        <v/>
      </c>
      <c r="BJ38" s="37">
        <f>BJ34+BJ35+BJ37</f>
        <v/>
      </c>
      <c r="BK38" s="37">
        <f>BK34+BK35+BK37</f>
        <v/>
      </c>
      <c r="BL38" s="37">
        <f>BL34+BL35+BL37</f>
        <v/>
      </c>
      <c r="BM38" s="37">
        <f>BM34+BM35+BM37</f>
        <v/>
      </c>
      <c r="BN38" s="37">
        <f>BN34+BN35+BN37</f>
        <v/>
      </c>
      <c r="BO38" s="37">
        <f>BO34+BO35+BO37</f>
        <v/>
      </c>
      <c r="BP38" s="37">
        <f>BP34+BP35+BP37</f>
        <v/>
      </c>
      <c r="BQ38" s="37">
        <f>BQ34+BQ35+BQ37</f>
        <v/>
      </c>
      <c r="BR38" s="37">
        <f>BR34+BR35+BR37</f>
        <v/>
      </c>
      <c r="BS38" s="37">
        <f>BS34+BS35+BS37</f>
        <v/>
      </c>
      <c r="BT38" s="37">
        <f>BT34+BT35+BT37</f>
        <v/>
      </c>
      <c r="BU38" s="37">
        <f>BU34+BU35+BU37</f>
        <v/>
      </c>
      <c r="BV38" s="37">
        <f>BV34+BV35+BV37</f>
        <v/>
      </c>
      <c r="BW38" s="37">
        <f>BW34+BW35+BW37</f>
        <v/>
      </c>
      <c r="BX38" s="37">
        <f>BX34+BX35+BX37</f>
        <v/>
      </c>
      <c r="BY38" s="37">
        <f>BY34+BY35+BY37</f>
        <v/>
      </c>
      <c r="BZ38" s="37">
        <f>BZ34+BZ35+BZ37</f>
        <v/>
      </c>
      <c r="CA38" s="37">
        <f>CA34+CA35+CA37</f>
        <v/>
      </c>
      <c r="CB38" s="37">
        <f>CB34+CB35+CB37</f>
        <v/>
      </c>
      <c r="CC38" s="37">
        <f>CC34+CC35+CC37</f>
        <v/>
      </c>
      <c r="CD38" s="37">
        <f>CD34+CD35+CD37</f>
        <v/>
      </c>
      <c r="CE38" s="37">
        <f>CE34+CE35+CE37</f>
        <v/>
      </c>
      <c r="CF38" s="37">
        <f>CF34+CF35+CF37</f>
        <v/>
      </c>
      <c r="CG38" s="37">
        <f>CG34+CG35+CG37</f>
        <v/>
      </c>
      <c r="CH38" s="37">
        <f>CH34+CH35+CH37</f>
        <v/>
      </c>
      <c r="CI38" s="37">
        <f>CI34+CI35+CI37</f>
        <v/>
      </c>
      <c r="CJ38" s="37">
        <f>CJ34+CJ35+CJ37</f>
        <v/>
      </c>
      <c r="CK38" s="37">
        <f>CK34+CK35+CK37</f>
        <v/>
      </c>
      <c r="CL38" s="37">
        <f>CL34+CL35+CL37</f>
        <v/>
      </c>
      <c r="CM38" s="37">
        <f>CM34+CM35+CM37</f>
        <v/>
      </c>
      <c r="CN38" s="37">
        <f>CN34+CN35+CN37</f>
        <v/>
      </c>
      <c r="CO38" s="37">
        <f>CO34+CO35+CO37</f>
        <v/>
      </c>
      <c r="CP38" s="37">
        <f>CP34+CP35+CP37</f>
        <v/>
      </c>
      <c r="CQ38" s="37">
        <f>CQ34+CQ35+CQ37</f>
        <v/>
      </c>
      <c r="CR38" s="37">
        <f>CR34+CR35+CR37</f>
        <v/>
      </c>
      <c r="CS38" s="37">
        <f>CS34+CS35+CS37</f>
        <v/>
      </c>
      <c r="CT38" s="37">
        <f>CT34+CT35+CT37</f>
        <v/>
      </c>
      <c r="CU38" s="37">
        <f>CU34+CU35+CU37</f>
        <v/>
      </c>
      <c r="CV38" s="37">
        <f>CV34+CV35+CV37</f>
        <v/>
      </c>
      <c r="CW38" s="37">
        <f>CW34+CW35+CW37</f>
        <v/>
      </c>
      <c r="CX38" s="37">
        <f>CX34+CX35+CX37</f>
        <v/>
      </c>
      <c r="CY38" s="37">
        <f>CY34+CY35+CY37</f>
        <v/>
      </c>
      <c r="CZ38" s="37">
        <f>CZ34+CZ35+CZ37</f>
        <v/>
      </c>
      <c r="DA38" s="37">
        <f>DA34+DA35+DA37</f>
        <v/>
      </c>
      <c r="DB38" s="37">
        <f>DB34+DB35+DB37</f>
        <v/>
      </c>
      <c r="DC38" s="37">
        <f>DC34+DC35+DC37</f>
        <v/>
      </c>
      <c r="DD38" s="37">
        <f>DD34+DD35+DD37</f>
        <v/>
      </c>
      <c r="DE38" s="37">
        <f>DE34+DE35+DE37</f>
        <v/>
      </c>
      <c r="DF38" s="37">
        <f>DF34+DF35+DF37</f>
        <v/>
      </c>
      <c r="DG38" s="37">
        <f>DG34+DG35+DG37</f>
        <v/>
      </c>
      <c r="DH38" s="37">
        <f>DH34+DH35+DH37</f>
        <v/>
      </c>
      <c r="DI38" s="37">
        <f>DI34+DI35+DI37</f>
        <v/>
      </c>
      <c r="DJ38" s="37">
        <f>DJ34+DJ35+DJ37</f>
        <v/>
      </c>
      <c r="DK38" s="37">
        <f>DK34+DK35+DK37</f>
        <v/>
      </c>
      <c r="DL38" s="37">
        <f>DL34+DL35+DL37</f>
        <v/>
      </c>
      <c r="DM38" s="37">
        <f>DM34+DM35+DM37</f>
        <v/>
      </c>
      <c r="DN38" s="37">
        <f>DN34+DN35+DN37</f>
        <v/>
      </c>
      <c r="DO38" s="37">
        <f>DO34+DO35+DO37</f>
        <v/>
      </c>
      <c r="DP38" s="37">
        <f>DP34+DP35+DP37</f>
        <v/>
      </c>
      <c r="DQ38" s="37">
        <f>DQ34+DQ35+DQ37</f>
        <v/>
      </c>
      <c r="DR38" s="37">
        <f>DR34+DR35+DR37</f>
        <v/>
      </c>
      <c r="DS38" s="37">
        <f>DS34+DS35+DS37</f>
        <v/>
      </c>
      <c r="DT38" s="37">
        <f>DT34+DT35+DT37</f>
        <v/>
      </c>
      <c r="DU38" s="37">
        <f>DU34+DU35+DU37</f>
        <v/>
      </c>
      <c r="DV38" s="37">
        <f>DV34+DV35+DV37</f>
        <v/>
      </c>
      <c r="DW38" s="37">
        <f>DW34+DW35+DW37</f>
        <v/>
      </c>
      <c r="DX38" s="37">
        <f>DX34+DX35+DX37</f>
        <v/>
      </c>
      <c r="DY38" s="37">
        <f>DY34+DY35+DY37</f>
        <v/>
      </c>
      <c r="DZ38" s="37">
        <f>DZ34+DZ35+DZ37</f>
        <v/>
      </c>
      <c r="EA38" s="37">
        <f>EA34+EA35+EA37</f>
        <v/>
      </c>
      <c r="EB38" s="37">
        <f>EB34+EB35+EB37</f>
        <v/>
      </c>
      <c r="EC38" s="37">
        <f>EC34+EC35+EC37</f>
        <v/>
      </c>
      <c r="ED38" s="37">
        <f>ED34+ED35+ED37</f>
        <v/>
      </c>
      <c r="EE38" s="37">
        <f>EE34+EE35+EE37</f>
        <v/>
      </c>
      <c r="EF38" s="37">
        <f>EF34+EF35+EF37</f>
        <v/>
      </c>
      <c r="EG38" s="37">
        <f>EG34+EG35+EG37</f>
        <v/>
      </c>
      <c r="EH38" s="37">
        <f>EH34+EH35+EH37</f>
        <v/>
      </c>
      <c r="EI38" s="37">
        <f>EI34+EI35+EI37</f>
        <v/>
      </c>
      <c r="EJ38" s="37">
        <f>EJ34+EJ35+EJ37</f>
        <v/>
      </c>
      <c r="EK38" s="37">
        <f>EK34+EK35+EK37</f>
        <v/>
      </c>
      <c r="EL38" s="37">
        <f>EL34+EL35+EL37</f>
        <v/>
      </c>
      <c r="EM38" s="37">
        <f>EM34+EM35+EM37</f>
        <v/>
      </c>
      <c r="EN38" s="37">
        <f>EN34+EN35+EN37</f>
        <v/>
      </c>
      <c r="EO38" s="37">
        <f>EO34+EO35+EO37</f>
        <v/>
      </c>
      <c r="EP38" s="37">
        <f>EP34+EP35+EP37</f>
        <v/>
      </c>
      <c r="EQ38" s="37">
        <f>EQ34+EQ35+EQ37</f>
        <v/>
      </c>
      <c r="ER38" s="37">
        <f>ER34+ER35+ER37</f>
        <v/>
      </c>
      <c r="ES38" s="37">
        <f>ES34+ES35+ES37</f>
        <v/>
      </c>
      <c r="ET38" s="37">
        <f>ET34+ET35+ET37</f>
        <v/>
      </c>
      <c r="EU38" s="37">
        <f>EU34+EU35+EU37</f>
        <v/>
      </c>
      <c r="EV38" s="37">
        <f>EV34+EV35+EV37</f>
        <v/>
      </c>
      <c r="EW38" s="37">
        <f>EW34+EW35+EW37</f>
        <v/>
      </c>
      <c r="EX38" s="37">
        <f>EX34+EX35+EX37</f>
        <v/>
      </c>
      <c r="EY38" s="37">
        <f>EY34+EY35+EY37</f>
        <v/>
      </c>
      <c r="EZ38" s="37">
        <f>EZ34+EZ35+EZ37</f>
        <v/>
      </c>
      <c r="FA38" s="37">
        <f>FA34+FA35+FA37</f>
        <v/>
      </c>
      <c r="FB38" s="37">
        <f>FB34+FB35+FB37</f>
        <v/>
      </c>
      <c r="FC38" s="37">
        <f>FC34+FC35+FC37</f>
        <v/>
      </c>
      <c r="FD38" s="37">
        <f>FD34+FD35+FD37</f>
        <v/>
      </c>
      <c r="FE38" s="37">
        <f>FE34+FE35+FE37</f>
        <v/>
      </c>
      <c r="FF38" s="37">
        <f>FF34+FF35+FF37</f>
        <v/>
      </c>
      <c r="FG38" s="37">
        <f>FG34+FG35+FG37</f>
        <v/>
      </c>
      <c r="FH38" s="37">
        <f>FH34+FH35+FH37</f>
        <v/>
      </c>
      <c r="FI38" s="37">
        <f>FI34+FI35+FI37</f>
        <v/>
      </c>
      <c r="FJ38" s="37">
        <f>FJ34+FJ35+FJ37</f>
        <v/>
      </c>
      <c r="FK38" s="37">
        <f>FK34+FK35+FK37</f>
        <v/>
      </c>
      <c r="FL38" s="37">
        <f>FL34+FL35+FL37</f>
        <v/>
      </c>
      <c r="FM38" s="37">
        <f>FM34+FM35+FM37</f>
        <v/>
      </c>
      <c r="FN38" s="37">
        <f>FN34+FN35+FN37</f>
        <v/>
      </c>
      <c r="FO38" s="37">
        <f>FO34+FO35+FO37</f>
        <v/>
      </c>
      <c r="FP38" s="37">
        <f>FP34+FP35+FP37</f>
        <v/>
      </c>
      <c r="FQ38" s="37">
        <f>FQ34+FQ35+FQ37</f>
        <v/>
      </c>
      <c r="FR38" s="37">
        <f>FR34+FR35+FR37</f>
        <v/>
      </c>
      <c r="FS38" s="37">
        <f>FS34+FS35+FS37</f>
        <v/>
      </c>
      <c r="FT38" s="37">
        <f>FT34+FT35+FT37</f>
        <v/>
      </c>
      <c r="FU38" s="37">
        <f>FU34+FU35+FU37</f>
        <v/>
      </c>
      <c r="FV38" s="37">
        <f>FV34+FV35+FV37</f>
        <v/>
      </c>
      <c r="FW38" s="37">
        <f>FW34+FW35+FW37</f>
        <v/>
      </c>
      <c r="FX38" s="37">
        <f>FX34+FX35+FX37</f>
        <v/>
      </c>
      <c r="FY38" s="37">
        <f>FY34+FY35+FY37</f>
        <v/>
      </c>
      <c r="FZ38" s="37">
        <f>FZ34+FZ35+FZ37</f>
        <v/>
      </c>
      <c r="GA38" s="37">
        <f>GA34+GA35+GA37</f>
        <v/>
      </c>
      <c r="GB38" s="37">
        <f>GB34+GB35+GB37</f>
        <v/>
      </c>
      <c r="GC38" s="37">
        <f>GC34+GC35+GC37</f>
        <v/>
      </c>
      <c r="GD38" s="37">
        <f>GD34+GD35+GD37</f>
        <v/>
      </c>
      <c r="GE38" s="37">
        <f>GE34+GE35+GE37</f>
        <v/>
      </c>
      <c r="GF38" s="37">
        <f>GF34+GF35+GF37</f>
        <v/>
      </c>
      <c r="GG38" s="37">
        <f>GG34+GG35+GG37</f>
        <v/>
      </c>
      <c r="GH38" s="37">
        <f>GH34+GH35+GH37</f>
        <v/>
      </c>
      <c r="GI38" s="37">
        <f>GI34+GI35+GI37</f>
        <v/>
      </c>
      <c r="GJ38" s="37">
        <f>GJ34+GJ35+GJ37</f>
        <v/>
      </c>
      <c r="GK38" s="37">
        <f>GK34+GK35+GK37</f>
        <v/>
      </c>
      <c r="GL38" s="37">
        <f>GL34+GL35+GL37</f>
        <v/>
      </c>
      <c r="GM38" s="37">
        <f>GM34+GM35+GM37</f>
        <v/>
      </c>
      <c r="GN38" s="37">
        <f>GN34+GN35+GN37</f>
        <v/>
      </c>
      <c r="GO38" s="37">
        <f>GO34+GO35+GO37</f>
        <v/>
      </c>
      <c r="GP38" s="37">
        <f>GP34+GP35+GP37</f>
        <v/>
      </c>
      <c r="GQ38" s="37">
        <f>GQ34+GQ35+GQ37</f>
        <v/>
      </c>
      <c r="GR38" s="37">
        <f>GR34+GR35+GR37</f>
        <v/>
      </c>
      <c r="GS38" s="37">
        <f>GS34+GS35+GS37</f>
        <v/>
      </c>
      <c r="GT38" s="37">
        <f>GT34+GT35+GT37</f>
        <v/>
      </c>
      <c r="GU38" s="37">
        <f>GU34+GU35+GU37</f>
        <v/>
      </c>
      <c r="GV38" s="37">
        <f>GV34+GV35+GV37</f>
        <v/>
      </c>
      <c r="GW38" s="37">
        <f>GW34+GW35+GW37</f>
        <v/>
      </c>
      <c r="GX38" s="37">
        <f>GX34+GX35+GX37</f>
        <v/>
      </c>
      <c r="GY38" s="37">
        <f>GY34+GY35+GY37</f>
        <v/>
      </c>
      <c r="GZ38" s="37">
        <f>GZ34+GZ35+GZ37</f>
        <v/>
      </c>
      <c r="HA38" s="37">
        <f>HA34+HA35+HA37</f>
        <v/>
      </c>
      <c r="HB38" s="37">
        <f>HB34+HB35+HB37</f>
        <v/>
      </c>
      <c r="HC38" s="37">
        <f>HC34+HC35+HC37</f>
        <v/>
      </c>
      <c r="HD38" s="37">
        <f>HD34+HD35+HD37</f>
        <v/>
      </c>
      <c r="HE38" s="37">
        <f>HE34+HE35+HE37</f>
        <v/>
      </c>
      <c r="HF38" s="37">
        <f>HF34+HF35+HF37</f>
        <v/>
      </c>
      <c r="HG38" s="37">
        <f>HG34+HG35+HG37</f>
        <v/>
      </c>
      <c r="HH38" s="37">
        <f>HH34+HH35+HH37</f>
        <v/>
      </c>
      <c r="HI38" s="37">
        <f>HI34+HI35+HI37</f>
        <v/>
      </c>
      <c r="HJ38" s="37">
        <f>HJ34+HJ35+HJ37</f>
        <v/>
      </c>
      <c r="HK38" s="37">
        <f>HK34+HK35+HK37</f>
        <v/>
      </c>
      <c r="HL38" s="37">
        <f>HL34+HL35+HL37</f>
        <v/>
      </c>
      <c r="HM38" s="37">
        <f>HM34+HM35+HM37</f>
        <v/>
      </c>
      <c r="HN38" s="37">
        <f>HN34+HN35+HN37</f>
        <v/>
      </c>
      <c r="HO38" s="37">
        <f>HO34+HO35+HO37</f>
        <v/>
      </c>
      <c r="HP38" s="37">
        <f>HP34+HP35+HP37</f>
        <v/>
      </c>
      <c r="HQ38" s="37">
        <f>HQ34+HQ35+HQ37</f>
        <v/>
      </c>
      <c r="HR38" s="37">
        <f>HR34+HR35+HR37</f>
        <v/>
      </c>
      <c r="HS38" s="37">
        <f>HS34+HS35+HS37</f>
        <v/>
      </c>
      <c r="HT38" s="37">
        <f>HT34+HT35+HT37</f>
        <v/>
      </c>
      <c r="HU38" s="37">
        <f>HU34+HU35+HU37</f>
        <v/>
      </c>
      <c r="HV38" s="37">
        <f>HV34+HV35+HV37</f>
        <v/>
      </c>
      <c r="HW38" s="37">
        <f>HW34+HW35+HW37</f>
        <v/>
      </c>
      <c r="HX38" s="37">
        <f>HX34+HX35+HX37</f>
        <v/>
      </c>
      <c r="HY38" s="37">
        <f>HY34+HY35+HY37</f>
        <v/>
      </c>
      <c r="HZ38" s="37">
        <f>HZ34+HZ35+HZ37</f>
        <v/>
      </c>
      <c r="IA38" s="37">
        <f>IA34+IA35+IA37</f>
        <v/>
      </c>
      <c r="IB38" s="37">
        <f>IB34+IB35+IB37</f>
        <v/>
      </c>
      <c r="IC38" s="37">
        <f>IC34+IC35+IC37</f>
        <v/>
      </c>
      <c r="ID38" s="37">
        <f>ID34+ID35+ID37</f>
        <v/>
      </c>
      <c r="IE38" s="37">
        <f>IE34+IE35+IE37</f>
        <v/>
      </c>
      <c r="IF38" s="37">
        <f>IF34+IF35+IF37</f>
        <v/>
      </c>
      <c r="IG38" s="37">
        <f>IG34+IG35+IG37</f>
        <v/>
      </c>
      <c r="IH38" s="37">
        <f>IH34+IH35+IH37</f>
        <v/>
      </c>
      <c r="II38" s="37">
        <f>II34+II35+II37</f>
        <v/>
      </c>
      <c r="IJ38" s="37">
        <f>IJ34+IJ35+IJ37</f>
        <v/>
      </c>
      <c r="IK38" s="37">
        <f>IK34+IK35+IK37</f>
        <v/>
      </c>
      <c r="IL38" s="37">
        <f>IL34+IL35+IL37</f>
        <v/>
      </c>
      <c r="IM38" s="37">
        <f>IM34+IM35+IM37</f>
        <v/>
      </c>
      <c r="IN38" s="37">
        <f>IN34+IN35+IN37</f>
        <v/>
      </c>
      <c r="IO38" s="37">
        <f>IO34+IO35+IO37</f>
        <v/>
      </c>
      <c r="IP38" s="37">
        <f>IP34+IP35+IP37</f>
        <v/>
      </c>
      <c r="IQ38" s="37">
        <f>IQ34+IQ35+IQ37</f>
        <v/>
      </c>
      <c r="IR38" s="37">
        <f>IR34+IR35+IR37</f>
        <v/>
      </c>
      <c r="IS38" s="37">
        <f>IS34+IS35+IS37</f>
        <v/>
      </c>
      <c r="IT38" s="37">
        <f>IT34+IT35+IT37</f>
        <v/>
      </c>
      <c r="IU38" s="37">
        <f>IU34+IU35+IU37</f>
        <v/>
      </c>
      <c r="IV38" s="37">
        <f>IV34+IV35+IV37</f>
        <v/>
      </c>
      <c r="IW38" s="37">
        <f>IW34+IW35+IW37</f>
        <v/>
      </c>
      <c r="IX38" s="37">
        <f>IX34+IX35+IX37</f>
        <v/>
      </c>
      <c r="IY38" s="37">
        <f>IY34+IY35+IY37</f>
        <v/>
      </c>
      <c r="IZ38" s="37">
        <f>IZ34+IZ35+IZ37</f>
        <v/>
      </c>
      <c r="JA38" s="37">
        <f>JA34+JA35+JA37</f>
        <v/>
      </c>
      <c r="JB38" s="37">
        <f>JB34+JB35+JB37</f>
        <v/>
      </c>
      <c r="JC38" s="37">
        <f>JC34+JC35+JC37</f>
        <v/>
      </c>
      <c r="JD38" s="37">
        <f>JD34+JD35+JD37</f>
        <v/>
      </c>
      <c r="JE38" s="37">
        <f>JE34+JE35+JE37</f>
        <v/>
      </c>
      <c r="JF38" s="37">
        <f>JF34+JF35+JF37</f>
        <v/>
      </c>
      <c r="JG38" s="37">
        <f>JG34+JG35+JG37</f>
        <v/>
      </c>
      <c r="JH38" s="37">
        <f>JH34+JH35+JH37</f>
        <v/>
      </c>
      <c r="JI38" s="37">
        <f>JI34+JI35+JI37</f>
        <v/>
      </c>
      <c r="JJ38" s="37">
        <f>JJ34+JJ35+JJ37</f>
        <v/>
      </c>
      <c r="JK38" s="37">
        <f>JK34+JK35+JK37</f>
        <v/>
      </c>
      <c r="JL38" s="37">
        <f>JL34+JL35+JL37</f>
        <v/>
      </c>
      <c r="JM38" s="37">
        <f>JM34+JM35+JM37</f>
        <v/>
      </c>
      <c r="JN38" s="37">
        <f>JN34+JN35+JN37</f>
        <v/>
      </c>
      <c r="JO38" s="37">
        <f>JO34+JO35+JO37</f>
        <v/>
      </c>
      <c r="JP38" s="37">
        <f>JP34+JP35+JP37</f>
        <v/>
      </c>
      <c r="JQ38" s="37">
        <f>JQ34+JQ35+JQ37</f>
        <v/>
      </c>
      <c r="JR38" s="37">
        <f>JR34+JR35+JR37</f>
        <v/>
      </c>
      <c r="JS38" s="37">
        <f>JS34+JS35+JS37</f>
        <v/>
      </c>
      <c r="JT38" s="37">
        <f>JT34+JT35+JT37</f>
        <v/>
      </c>
      <c r="JU38" s="37">
        <f>JU34+JU35+JU37</f>
        <v/>
      </c>
      <c r="JV38" s="37">
        <f>JV34+JV35+JV37</f>
        <v/>
      </c>
      <c r="JW38" s="37">
        <f>JW34+JW35+JW37</f>
        <v/>
      </c>
      <c r="JX38" s="37">
        <f>JX34+JX35+JX37</f>
        <v/>
      </c>
      <c r="JY38" s="37">
        <f>JY34+JY35+JY37</f>
        <v/>
      </c>
      <c r="JZ38" s="37">
        <f>JZ34+JZ35+JZ37</f>
        <v/>
      </c>
      <c r="KA38" s="37">
        <f>KA34+KA35+KA37</f>
        <v/>
      </c>
      <c r="KB38" s="37">
        <f>KB34+KB35+KB37</f>
        <v/>
      </c>
      <c r="KC38" s="37">
        <f>KC34+KC35+KC37</f>
        <v/>
      </c>
      <c r="KD38" s="37">
        <f>KD34+KD35+KD37</f>
        <v/>
      </c>
      <c r="KE38" s="37">
        <f>KE34+KE35+KE37</f>
        <v/>
      </c>
      <c r="KF38" s="37">
        <f>KF34+KF35+KF37</f>
        <v/>
      </c>
      <c r="KG38" s="37">
        <f>KG34+KG35+KG37</f>
        <v/>
      </c>
      <c r="KH38" s="37">
        <f>KH34+KH35+KH37</f>
        <v/>
      </c>
      <c r="KI38" s="37">
        <f>KI34+KI35+KI37</f>
        <v/>
      </c>
      <c r="KJ38" s="37">
        <f>KJ34+KJ35+KJ37</f>
        <v/>
      </c>
      <c r="KK38" s="37">
        <f>KK34+KK35+KK37</f>
        <v/>
      </c>
      <c r="KL38" s="37">
        <f>KL34+KL35+KL37</f>
        <v/>
      </c>
      <c r="KM38" s="37">
        <f>KM34+KM35+KM37</f>
        <v/>
      </c>
      <c r="KN38" s="37">
        <f>KN34+KN35+KN37</f>
        <v/>
      </c>
      <c r="KO38" s="37">
        <f>KO34+KO35+KO37</f>
        <v/>
      </c>
      <c r="KP38" s="37">
        <f>KP34+KP35+KP37</f>
        <v/>
      </c>
      <c r="KQ38" s="37">
        <f>KQ34+KQ35+KQ37</f>
        <v/>
      </c>
      <c r="KR38" s="37">
        <f>KR34+KR35+KR37</f>
        <v/>
      </c>
      <c r="KS38" s="37">
        <f>KS34+KS35+KS37</f>
        <v/>
      </c>
      <c r="KT38" s="37">
        <f>KT34+KT35+KT37</f>
        <v/>
      </c>
      <c r="KU38" s="37">
        <f>KU34+KU35+KU37</f>
        <v/>
      </c>
      <c r="KV38" s="37">
        <f>KV34+KV35+KV37</f>
        <v/>
      </c>
      <c r="KW38" s="37">
        <f>KW34+KW35+KW37</f>
        <v/>
      </c>
      <c r="KX38" s="37">
        <f>KX34+KX35+KX37</f>
        <v/>
      </c>
      <c r="KY38" s="37">
        <f>KY34+KY35+KY37</f>
        <v/>
      </c>
      <c r="KZ38" s="37">
        <f>KZ34+KZ35+KZ37</f>
        <v/>
      </c>
      <c r="LA38" s="37">
        <f>LA34+LA35+LA37</f>
        <v/>
      </c>
      <c r="LB38" s="37">
        <f>LB34+LB35+LB37</f>
        <v/>
      </c>
      <c r="LC38" s="37">
        <f>LC34+LC35+LC37</f>
        <v/>
      </c>
      <c r="LD38" s="37">
        <f>LD34+LD35+LD37</f>
        <v/>
      </c>
      <c r="LE38" s="37">
        <f>LE34+LE35+LE37</f>
        <v/>
      </c>
      <c r="LF38" s="37">
        <f>LF34+LF35+LF37</f>
        <v/>
      </c>
      <c r="LG38" s="37">
        <f>LG34+LG35+LG37</f>
        <v/>
      </c>
      <c r="LH38" s="37">
        <f>LH34+LH35+LH37</f>
        <v/>
      </c>
      <c r="LI38" s="37">
        <f>LI34+LI35+LI37</f>
        <v/>
      </c>
      <c r="LJ38" s="37">
        <f>LJ34+LJ35+LJ37</f>
        <v/>
      </c>
      <c r="LK38" s="37">
        <f>LK34+LK35+LK37</f>
        <v/>
      </c>
      <c r="LL38" s="37">
        <f>LL34+LL35+LL37</f>
        <v/>
      </c>
      <c r="LM38" s="37">
        <f>LM34+LM35+LM37</f>
        <v/>
      </c>
      <c r="LN38" s="37">
        <f>LN34+LN35+LN37</f>
        <v/>
      </c>
      <c r="LO38" s="37">
        <f>LO34+LO35+LO37</f>
        <v/>
      </c>
      <c r="LP38" s="37">
        <f>LP34+LP35+LP37</f>
        <v/>
      </c>
      <c r="LQ38" s="37">
        <f>LQ34+LQ35+LQ37</f>
        <v/>
      </c>
      <c r="LR38" s="37">
        <f>LR34+LR35+LR37</f>
        <v/>
      </c>
      <c r="LS38" s="37">
        <f>LS34+LS35+LS37</f>
        <v/>
      </c>
      <c r="LT38" s="37">
        <f>LT34+LT35+LT37</f>
        <v/>
      </c>
      <c r="LU38" s="37">
        <f>LU34+LU35+LU37</f>
        <v/>
      </c>
      <c r="LV38" s="37">
        <f>LV34+LV35+LV37</f>
        <v/>
      </c>
      <c r="LW38" s="37">
        <f>LW34+LW35+LW37</f>
        <v/>
      </c>
      <c r="LX38" s="37">
        <f>LX34+LX35+LX37</f>
        <v/>
      </c>
      <c r="LY38" s="37">
        <f>LY34+LY35+LY37</f>
        <v/>
      </c>
      <c r="LZ38" s="37">
        <f>LZ34+LZ35+LZ37</f>
        <v/>
      </c>
      <c r="MA38" s="37">
        <f>MA34+MA35+MA37</f>
        <v/>
      </c>
      <c r="MB38" s="37">
        <f>MB34+MB35+MB37</f>
        <v/>
      </c>
      <c r="MC38" s="37">
        <f>MC34+MC35+MC37</f>
        <v/>
      </c>
      <c r="MD38" s="37">
        <f>MD34+MD35+MD37</f>
        <v/>
      </c>
      <c r="ME38" s="37">
        <f>ME34+ME35+ME37</f>
        <v/>
      </c>
      <c r="MF38" s="37">
        <f>MF34+MF35+MF37</f>
        <v/>
      </c>
      <c r="MG38" s="37">
        <f>MG34+MG35+MG37</f>
        <v/>
      </c>
      <c r="MH38" s="37">
        <f>MH34+MH35+MH37</f>
        <v/>
      </c>
      <c r="MI38" s="37">
        <f>MI34+MI35+MI37</f>
        <v/>
      </c>
      <c r="MJ38" s="37">
        <f>MJ34+MJ35+MJ37</f>
        <v/>
      </c>
      <c r="MK38" s="37">
        <f>MK34+MK35+MK37</f>
        <v/>
      </c>
      <c r="ML38" s="37">
        <f>ML34+ML35+ML37</f>
        <v/>
      </c>
      <c r="MM38" s="37">
        <f>MM34+MM35+MM37</f>
        <v/>
      </c>
      <c r="MN38" s="37">
        <f>MN34+MN35+MN37</f>
        <v/>
      </c>
      <c r="MO38" s="37">
        <f>MO34+MO35+MO37</f>
        <v/>
      </c>
      <c r="MP38" s="37">
        <f>MP34+MP35+MP37</f>
        <v/>
      </c>
      <c r="MQ38" s="37">
        <f>MQ34+MQ35+MQ37</f>
        <v/>
      </c>
      <c r="MR38" s="37">
        <f>MR34+MR35+MR37</f>
        <v/>
      </c>
      <c r="MS38" s="37">
        <f>MS34+MS35+MS37</f>
        <v/>
      </c>
      <c r="MT38" s="37">
        <f>MT34+MT35+MT37</f>
        <v/>
      </c>
      <c r="MU38" s="37">
        <f>MU34+MU35+MU37</f>
        <v/>
      </c>
      <c r="MV38" s="37">
        <f>MV34+MV35+MV37</f>
        <v/>
      </c>
      <c r="MW38" s="37">
        <f>MW34+MW35+MW37</f>
        <v/>
      </c>
      <c r="MX38" s="37">
        <f>MX34+MX35+MX37</f>
        <v/>
      </c>
      <c r="MY38" s="37">
        <f>MY34+MY35+MY37</f>
        <v/>
      </c>
      <c r="MZ38" s="37">
        <f>MZ34+MZ35+MZ37</f>
        <v/>
      </c>
      <c r="NA38" s="37">
        <f>NA34+NA35+NA37</f>
        <v/>
      </c>
      <c r="NB38" s="37">
        <f>NB34+NB35+NB37</f>
        <v/>
      </c>
      <c r="NC38" s="37">
        <f>NC34+NC35+NC37</f>
        <v/>
      </c>
      <c r="ND38" s="37">
        <f>ND34+ND35+ND37</f>
        <v/>
      </c>
      <c r="NE38" s="37">
        <f>NE34+NE35+NE37</f>
        <v/>
      </c>
      <c r="NF38" s="37">
        <f>NF34+NF35+NF37</f>
        <v/>
      </c>
      <c r="NG38" s="37">
        <f>NG34+NG35+NG37</f>
        <v/>
      </c>
      <c r="NH38" s="37">
        <f>NH34+NH35+NH37</f>
        <v/>
      </c>
      <c r="NI38" s="37">
        <f>NI34+NI35+NI37</f>
        <v/>
      </c>
      <c r="NJ38" s="37">
        <f>NJ34+NJ35+NJ37</f>
        <v/>
      </c>
      <c r="NK38" s="37">
        <f>NK34+NK35+NK37</f>
        <v/>
      </c>
      <c r="NL38" s="37">
        <f>NL34+NL35+NL37</f>
        <v/>
      </c>
      <c r="NM38" s="37">
        <f>NM34+NM35+NM37</f>
        <v/>
      </c>
      <c r="NN38" s="37">
        <f>NN34+NN35+NN37</f>
        <v/>
      </c>
      <c r="NO38" s="37">
        <f>NO34+NO35+NO37</f>
        <v/>
      </c>
      <c r="NP38" s="37">
        <f>NP34+NP35+NP37</f>
        <v/>
      </c>
      <c r="NQ38" s="37">
        <f>NQ34+NQ35+NQ37</f>
        <v/>
      </c>
      <c r="NR38" s="37">
        <f>NR34+NR35+NR37</f>
        <v/>
      </c>
      <c r="NS38" s="37">
        <f>NS34+NS35+NS37</f>
        <v/>
      </c>
      <c r="NT38" s="37">
        <f>NT34+NT35+NT37</f>
        <v/>
      </c>
      <c r="NU38" s="37">
        <f>NU34+NU35+NU37</f>
        <v/>
      </c>
      <c r="NV38" s="37">
        <f>NV34+NV35+NV37</f>
        <v/>
      </c>
      <c r="NW38" s="37">
        <f>NW34+NW35+NW37</f>
        <v/>
      </c>
      <c r="NX38" s="37">
        <f>NX34+NX35+NX37</f>
        <v/>
      </c>
      <c r="NY38" s="37">
        <f>NY34+NY35+NY37</f>
        <v/>
      </c>
      <c r="NZ38" s="37">
        <f>NZ34+NZ35+NZ37</f>
        <v/>
      </c>
      <c r="OA38" s="37">
        <f>OA34+OA35+OA37</f>
        <v/>
      </c>
      <c r="OB38" s="37">
        <f>OB34+OB35+OB37</f>
        <v/>
      </c>
      <c r="OC38" s="37">
        <f>OC34+OC35+OC37</f>
        <v/>
      </c>
      <c r="OD38" s="37">
        <f>OD34+OD35+OD37</f>
        <v/>
      </c>
      <c r="OE38" s="37">
        <f>OE34+OE35+OE37</f>
        <v/>
      </c>
      <c r="OF38" s="37">
        <f>OF34+OF35+OF37</f>
        <v/>
      </c>
      <c r="OG38" s="37">
        <f>OG34+OG35+OG37</f>
        <v/>
      </c>
      <c r="OH38" s="37">
        <f>OH34+OH35+OH37</f>
        <v/>
      </c>
      <c r="OI38" s="37">
        <f>OI34+OI35+OI37</f>
        <v/>
      </c>
      <c r="OJ38" s="37">
        <f>OJ34+OJ35+OJ37</f>
        <v/>
      </c>
      <c r="OK38" s="37">
        <f>OK34+OK35+OK37</f>
        <v/>
      </c>
      <c r="OL38" s="37">
        <f>OL34+OL35+OL37</f>
        <v/>
      </c>
      <c r="OM38" s="37">
        <f>OM34+OM35+OM37</f>
        <v/>
      </c>
      <c r="ON38" s="37">
        <f>ON34+ON35+ON37</f>
        <v/>
      </c>
      <c r="OO38" s="37">
        <f>OO34+OO35+OO37</f>
        <v/>
      </c>
      <c r="OP38" s="37">
        <f>OP34+OP35+OP37</f>
        <v/>
      </c>
      <c r="OQ38" s="37">
        <f>OQ34+OQ35+OQ37</f>
        <v/>
      </c>
      <c r="OR38" s="37">
        <f>OR34+OR35+OR37</f>
        <v/>
      </c>
      <c r="OS38" s="37">
        <f>OS34+OS35+OS37</f>
        <v/>
      </c>
      <c r="OT38" s="37">
        <f>OT34+OT35+OT37</f>
        <v/>
      </c>
      <c r="OU38" s="37">
        <f>OU34+OU35+OU37</f>
        <v/>
      </c>
      <c r="OV38" s="37">
        <f>OV34+OV35+OV37</f>
        <v/>
      </c>
      <c r="OW38" s="37">
        <f>OW34+OW35+OW37</f>
        <v/>
      </c>
      <c r="OX38" s="37">
        <f>OX34+OX35+OX37</f>
        <v/>
      </c>
      <c r="OY38" s="37">
        <f>OY34+OY35+OY37</f>
        <v/>
      </c>
      <c r="OZ38" s="37">
        <f>OZ34+OZ35+OZ37</f>
        <v/>
      </c>
      <c r="PA38" s="37">
        <f>PA34+PA35+PA37</f>
        <v/>
      </c>
      <c r="PB38" s="37">
        <f>PB34+PB35+PB37</f>
        <v/>
      </c>
      <c r="PC38" s="37">
        <f>PC34+PC35+PC37</f>
        <v/>
      </c>
      <c r="PD38" s="37">
        <f>PD34+PD35+PD37</f>
        <v/>
      </c>
      <c r="PE38" s="37">
        <f>PE34+PE35+PE37</f>
        <v/>
      </c>
      <c r="PF38" s="37">
        <f>PF34+PF35+PF37</f>
        <v/>
      </c>
      <c r="PG38" s="37">
        <f>PG34+PG35+PG37</f>
        <v/>
      </c>
      <c r="PH38" s="37">
        <f>PH34+PH35+PH37</f>
        <v/>
      </c>
      <c r="PI38" s="37">
        <f>PI34+PI35+PI37</f>
        <v/>
      </c>
      <c r="PJ38" s="37">
        <f>PJ34+PJ35+PJ37</f>
        <v/>
      </c>
      <c r="PK38" s="37">
        <f>PK34+PK35+PK37</f>
        <v/>
      </c>
      <c r="PL38" s="37">
        <f>PL34+PL35+PL37</f>
        <v/>
      </c>
      <c r="PM38" s="37">
        <f>PM34+PM35+PM37</f>
        <v/>
      </c>
      <c r="PN38" s="37">
        <f>PN34+PN35+PN37</f>
        <v/>
      </c>
      <c r="PO38" s="37">
        <f>PO34+PO35+PO37</f>
        <v/>
      </c>
      <c r="PP38" s="37">
        <f>PP34+PP35+PP37</f>
        <v/>
      </c>
      <c r="PQ38" s="37">
        <f>PQ34+PQ35+PQ37</f>
        <v/>
      </c>
      <c r="PR38" s="37">
        <f>PR34+PR35+PR37</f>
        <v/>
      </c>
      <c r="PS38" s="37">
        <f>PS34+PS35+PS37</f>
        <v/>
      </c>
      <c r="PT38" s="37">
        <f>PT34+PT35+PT37</f>
        <v/>
      </c>
      <c r="PU38" s="37">
        <f>PU34+PU35+PU37</f>
        <v/>
      </c>
      <c r="PV38" s="37">
        <f>PV34+PV35+PV37</f>
        <v/>
      </c>
      <c r="PW38" s="37">
        <f>PW34+PW35+PW37</f>
        <v/>
      </c>
      <c r="PX38" s="37">
        <f>PX34+PX35+PX37</f>
        <v/>
      </c>
      <c r="PY38" s="37">
        <f>PY34+PY35+PY37</f>
        <v/>
      </c>
      <c r="PZ38" s="37">
        <f>PZ34+PZ35+PZ37</f>
        <v/>
      </c>
      <c r="QA38" s="37">
        <f>QA34+QA35+QA37</f>
        <v/>
      </c>
      <c r="QB38" s="37">
        <f>QB34+QB35+QB37</f>
        <v/>
      </c>
      <c r="QC38" s="37">
        <f>QC34+QC35+QC37</f>
        <v/>
      </c>
      <c r="QD38" s="37">
        <f>QD34+QD35+QD37</f>
        <v/>
      </c>
      <c r="QE38" s="37">
        <f>QE34+QE35+QE37</f>
        <v/>
      </c>
      <c r="QF38" s="37">
        <f>QF34+QF35+QF37</f>
        <v/>
      </c>
      <c r="QG38" s="37">
        <f>QG34+QG35+QG37</f>
        <v/>
      </c>
      <c r="QH38" s="37">
        <f>QH34+QH35+QH37</f>
        <v/>
      </c>
      <c r="QI38" s="37">
        <f>QI34+QI35+QI37</f>
        <v/>
      </c>
      <c r="QJ38" s="37">
        <f>QJ34+QJ35+QJ37</f>
        <v/>
      </c>
      <c r="QK38" s="37">
        <f>QK34+QK35+QK37</f>
        <v/>
      </c>
      <c r="QL38" s="37">
        <f>QL34+QL35+QL37</f>
        <v/>
      </c>
      <c r="QM38" s="37">
        <f>QM34+QM35+QM37</f>
        <v/>
      </c>
      <c r="QN38" s="37">
        <f>QN34+QN35+QN37</f>
        <v/>
      </c>
      <c r="QO38" s="37">
        <f>QO34+QO35+QO37</f>
        <v/>
      </c>
      <c r="QP38" s="37">
        <f>QP34+QP35+QP37</f>
        <v/>
      </c>
      <c r="QQ38" s="37">
        <f>QQ34+QQ35+QQ37</f>
        <v/>
      </c>
      <c r="QR38" s="37">
        <f>QR34+QR35+QR37</f>
        <v/>
      </c>
      <c r="QS38" s="37">
        <f>QS34+QS35+QS37</f>
        <v/>
      </c>
      <c r="QT38" s="37">
        <f>QT34+QT35+QT37</f>
        <v/>
      </c>
      <c r="QU38" s="37">
        <f>QU34+QU35+QU37</f>
        <v/>
      </c>
      <c r="QV38" s="37">
        <f>QV34+QV35+QV37</f>
        <v/>
      </c>
      <c r="QW38" s="37">
        <f>QW34+QW35+QW37</f>
        <v/>
      </c>
      <c r="QX38" s="37">
        <f>QX34+QX35+QX37</f>
        <v/>
      </c>
      <c r="QY38" s="37">
        <f>QY34+QY35+QY37</f>
        <v/>
      </c>
      <c r="QZ38" s="37">
        <f>QZ34+QZ35+QZ37</f>
        <v/>
      </c>
      <c r="RA38" s="37">
        <f>RA34+RA35+RA37</f>
        <v/>
      </c>
      <c r="RB38" s="37">
        <f>RB34+RB35+RB37</f>
        <v/>
      </c>
      <c r="RC38" s="37">
        <f>RC34+RC35+RC37</f>
        <v/>
      </c>
      <c r="RD38" s="37">
        <f>RD34+RD35+RD37</f>
        <v/>
      </c>
      <c r="RE38" s="37">
        <f>RE34+RE35+RE37</f>
        <v/>
      </c>
      <c r="RF38" s="37">
        <f>RF34+RF35+RF37</f>
        <v/>
      </c>
      <c r="RG38" s="37">
        <f>RG34+RG35+RG37</f>
        <v/>
      </c>
      <c r="RH38" s="37">
        <f>RH34+RH35+RH37</f>
        <v/>
      </c>
      <c r="RI38" s="37">
        <f>RI34+RI35+RI37</f>
        <v/>
      </c>
      <c r="RJ38" s="37">
        <f>RJ34+RJ35+RJ37</f>
        <v/>
      </c>
      <c r="RK38" s="37">
        <f>RK34+RK35+RK37</f>
        <v/>
      </c>
      <c r="RL38" s="37">
        <f>RL34+RL35+RL37</f>
        <v/>
      </c>
      <c r="RM38" s="37">
        <f>RM34+RM35+RM37</f>
        <v/>
      </c>
      <c r="RN38" s="37">
        <f>RN34+RN35+RN37</f>
        <v/>
      </c>
      <c r="RO38" s="37">
        <f>RO34+RO35+RO37</f>
        <v/>
      </c>
      <c r="RP38" s="37">
        <f>RP34+RP35+RP37</f>
        <v/>
      </c>
      <c r="RQ38" s="37">
        <f>RQ34+RQ35+RQ37</f>
        <v/>
      </c>
      <c r="RR38" s="37">
        <f>RR34+RR35+RR37</f>
        <v/>
      </c>
      <c r="RS38" s="37">
        <f>RS34+RS35+RS37</f>
        <v/>
      </c>
      <c r="RT38" s="37">
        <f>RT34+RT35+RT37</f>
        <v/>
      </c>
      <c r="RU38" s="37">
        <f>RU34+RU35+RU37</f>
        <v/>
      </c>
      <c r="RV38" s="37">
        <f>RV34+RV35+RV37</f>
        <v/>
      </c>
      <c r="RW38" s="37">
        <f>RW34+RW35+RW37</f>
        <v/>
      </c>
    </row>
    <row r="39" ht="5.25" customHeight="1"/>
    <row r="40" hidden="1" outlineLevel="1" ht="13.05" customHeight="1">
      <c r="E40" s="21" t="inlineStr">
        <is>
          <t>Debt Balance</t>
        </is>
      </c>
      <c r="F40" s="29" t="n"/>
      <c r="G40" s="29" t="inlineStr">
        <is>
          <t>kEUR</t>
        </is>
      </c>
      <c r="H40" s="29" t="n"/>
      <c r="I40" s="29" t="n"/>
      <c r="J40" s="32" t="n">
        <v>146389832.0000013</v>
      </c>
      <c r="K40" s="29" t="n"/>
      <c r="L40" s="33" t="n">
        <v>0</v>
      </c>
      <c r="M40" s="33" t="n">
        <v>0</v>
      </c>
      <c r="N40" s="33" t="n">
        <v>0</v>
      </c>
      <c r="O40" s="33" t="n">
        <v>0</v>
      </c>
      <c r="P40" s="33" t="n">
        <v>0</v>
      </c>
      <c r="Q40" s="33" t="n">
        <v>0</v>
      </c>
      <c r="R40" s="33" t="n">
        <v>0</v>
      </c>
      <c r="S40" s="33" t="n">
        <v>0</v>
      </c>
      <c r="T40" s="33" t="n">
        <v>0</v>
      </c>
      <c r="U40" s="33" t="n">
        <v>0</v>
      </c>
      <c r="V40" s="33" t="n">
        <v>0</v>
      </c>
      <c r="W40" s="33" t="n">
        <v>0</v>
      </c>
      <c r="X40" s="33" t="n">
        <v>0</v>
      </c>
      <c r="Y40" s="33" t="n">
        <v>0</v>
      </c>
      <c r="Z40" s="33" t="n">
        <v>0</v>
      </c>
      <c r="AA40" s="33" t="n">
        <v>0</v>
      </c>
      <c r="AB40" s="33" t="n">
        <v>0</v>
      </c>
      <c r="AC40" s="33" t="n">
        <v>0</v>
      </c>
      <c r="AD40" s="33" t="n">
        <v>0</v>
      </c>
      <c r="AE40" s="33" t="n">
        <v>0</v>
      </c>
      <c r="AF40" s="33" t="n">
        <v>0</v>
      </c>
      <c r="AG40" s="33" t="n">
        <v>0</v>
      </c>
      <c r="AH40" s="33" t="n">
        <v>0</v>
      </c>
      <c r="AI40" s="33" t="n">
        <v>0</v>
      </c>
      <c r="AJ40" s="33" t="n">
        <v>0</v>
      </c>
      <c r="AK40" s="33" t="n">
        <v>0</v>
      </c>
      <c r="AL40" s="33" t="n">
        <v>0</v>
      </c>
      <c r="AM40" s="33" t="n">
        <v>0</v>
      </c>
      <c r="AN40" s="33" t="n">
        <v>0</v>
      </c>
      <c r="AO40" s="33" t="n">
        <v>0</v>
      </c>
      <c r="AP40" s="33" t="n">
        <v>0</v>
      </c>
      <c r="AQ40" s="33" t="n">
        <v>0</v>
      </c>
      <c r="AR40" s="33" t="n">
        <v>0</v>
      </c>
      <c r="AS40" s="33" t="n">
        <v>0</v>
      </c>
      <c r="AT40" s="33" t="n">
        <v>0</v>
      </c>
      <c r="AU40" s="33" t="n">
        <v>0</v>
      </c>
      <c r="AV40" s="33" t="n">
        <v>0</v>
      </c>
      <c r="AW40" s="33" t="n">
        <v>0</v>
      </c>
      <c r="AX40" s="33" t="n">
        <v>0</v>
      </c>
      <c r="AY40" s="33" t="n">
        <v>0</v>
      </c>
      <c r="AZ40" s="33" t="n">
        <v>0</v>
      </c>
      <c r="BA40" s="33" t="n">
        <v>0</v>
      </c>
      <c r="BB40" s="33" t="n">
        <v>0</v>
      </c>
      <c r="BC40" s="33" t="n">
        <v>0</v>
      </c>
      <c r="BD40" s="33" t="n">
        <v>0</v>
      </c>
      <c r="BE40" s="33" t="n">
        <v>0</v>
      </c>
      <c r="BF40" s="33" t="n">
        <v>0</v>
      </c>
      <c r="BG40" s="33" t="n">
        <v>0</v>
      </c>
      <c r="BH40" s="33" t="n">
        <v>23505.11111111111</v>
      </c>
      <c r="BI40" s="33" t="n">
        <v>47010.22222222222</v>
      </c>
      <c r="BJ40" s="33" t="n">
        <v>70515.33333333333</v>
      </c>
      <c r="BK40" s="33" t="n">
        <v>94020.44444444444</v>
      </c>
      <c r="BL40" s="33" t="n">
        <v>117525.5555555555</v>
      </c>
      <c r="BM40" s="33" t="n">
        <v>141030.6666666667</v>
      </c>
      <c r="BN40" s="33" t="n">
        <v>164535.7777777778</v>
      </c>
      <c r="BO40" s="33" t="n">
        <v>188040.8888888889</v>
      </c>
      <c r="BP40" s="33" t="n">
        <v>211546</v>
      </c>
      <c r="BQ40" s="33" t="n">
        <v>235051.1111111111</v>
      </c>
      <c r="BR40" s="33" t="n">
        <v>258556.2222222222</v>
      </c>
      <c r="BS40" s="33" t="n">
        <v>282061.3333333334</v>
      </c>
      <c r="BT40" s="33" t="n">
        <v>305566.4444444445</v>
      </c>
      <c r="BU40" s="33" t="n">
        <v>329071.5555555556</v>
      </c>
      <c r="BV40" s="33" t="n">
        <v>352576.6666666667</v>
      </c>
      <c r="BW40" s="33" t="n">
        <v>376081.7777777779</v>
      </c>
      <c r="BX40" s="33" t="n">
        <v>399586.888888889</v>
      </c>
      <c r="BY40" s="33" t="n">
        <v>423092.0000000001</v>
      </c>
      <c r="BZ40" s="33" t="n">
        <v>446597.1111111112</v>
      </c>
      <c r="CA40" s="33" t="n">
        <v>470102.2222222224</v>
      </c>
      <c r="CB40" s="33" t="n">
        <v>493607.3333333335</v>
      </c>
      <c r="CC40" s="33" t="n">
        <v>517112.4444444446</v>
      </c>
      <c r="CD40" s="33" t="n">
        <v>540617.5555555557</v>
      </c>
      <c r="CE40" s="33" t="n">
        <v>564122.6666666669</v>
      </c>
      <c r="CF40" s="33" t="n">
        <v>587627.777777778</v>
      </c>
      <c r="CG40" s="33" t="n">
        <v>611132.8888888891</v>
      </c>
      <c r="CH40" s="33" t="n">
        <v>634638.0000000002</v>
      </c>
      <c r="CI40" s="33" t="n">
        <v>658143.1111111114</v>
      </c>
      <c r="CJ40" s="33" t="n">
        <v>681648.2222222225</v>
      </c>
      <c r="CK40" s="33" t="n">
        <v>705153.3333333336</v>
      </c>
      <c r="CL40" s="33" t="n">
        <v>728658.4444444447</v>
      </c>
      <c r="CM40" s="33" t="n">
        <v>752163.5555555559</v>
      </c>
      <c r="CN40" s="33" t="n">
        <v>775668.666666667</v>
      </c>
      <c r="CO40" s="33" t="n">
        <v>799173.7777777781</v>
      </c>
      <c r="CP40" s="33" t="n">
        <v>822678.8888888892</v>
      </c>
      <c r="CQ40" s="33" t="n">
        <v>846184.0000000003</v>
      </c>
      <c r="CR40" s="33" t="n">
        <v>846184.0000000003</v>
      </c>
      <c r="CS40" s="33" t="n">
        <v>846184.0000000003</v>
      </c>
      <c r="CT40" s="33" t="n">
        <v>846184.0000000003</v>
      </c>
      <c r="CU40" s="33" t="n">
        <v>846184.0000000003</v>
      </c>
      <c r="CV40" s="33" t="n">
        <v>846184.0000000003</v>
      </c>
      <c r="CW40" s="33" t="n">
        <v>843363.3866666671</v>
      </c>
      <c r="CX40" s="33" t="n">
        <v>840542.7733333338</v>
      </c>
      <c r="CY40" s="33" t="n">
        <v>837722.1600000005</v>
      </c>
      <c r="CZ40" s="33" t="n">
        <v>834901.5466666672</v>
      </c>
      <c r="DA40" s="33" t="n">
        <v>832080.9333333339</v>
      </c>
      <c r="DB40" s="33" t="n">
        <v>829260.3200000006</v>
      </c>
      <c r="DC40" s="33" t="n">
        <v>826439.7066666674</v>
      </c>
      <c r="DD40" s="33" t="n">
        <v>823619.0933333341</v>
      </c>
      <c r="DE40" s="33" t="n">
        <v>820798.4800000008</v>
      </c>
      <c r="DF40" s="33" t="n">
        <v>817977.8666666675</v>
      </c>
      <c r="DG40" s="33" t="n">
        <v>815157.2533333342</v>
      </c>
      <c r="DH40" s="33" t="n">
        <v>812336.6400000009</v>
      </c>
      <c r="DI40" s="33" t="n">
        <v>809516.0266666677</v>
      </c>
      <c r="DJ40" s="33" t="n">
        <v>806695.4133333344</v>
      </c>
      <c r="DK40" s="33" t="n">
        <v>803874.8000000011</v>
      </c>
      <c r="DL40" s="33" t="n">
        <v>801054.1866666678</v>
      </c>
      <c r="DM40" s="33" t="n">
        <v>798233.5733333345</v>
      </c>
      <c r="DN40" s="33" t="n">
        <v>795412.9600000012</v>
      </c>
      <c r="DO40" s="33" t="n">
        <v>792592.346666668</v>
      </c>
      <c r="DP40" s="33" t="n">
        <v>789771.7333333347</v>
      </c>
      <c r="DQ40" s="33" t="n">
        <v>786951.1200000014</v>
      </c>
      <c r="DR40" s="33" t="n">
        <v>784130.5066666681</v>
      </c>
      <c r="DS40" s="33" t="n">
        <v>781309.8933333348</v>
      </c>
      <c r="DT40" s="33" t="n">
        <v>778489.2800000015</v>
      </c>
      <c r="DU40" s="33" t="n">
        <v>775668.6666666683</v>
      </c>
      <c r="DV40" s="33" t="n">
        <v>772848.053333335</v>
      </c>
      <c r="DW40" s="33" t="n">
        <v>770027.4400000017</v>
      </c>
      <c r="DX40" s="33" t="n">
        <v>767206.8266666684</v>
      </c>
      <c r="DY40" s="33" t="n">
        <v>764386.2133333351</v>
      </c>
      <c r="DZ40" s="33" t="n">
        <v>761565.6000000018</v>
      </c>
      <c r="EA40" s="33" t="n">
        <v>758744.9866666686</v>
      </c>
      <c r="EB40" s="33" t="n">
        <v>755924.3733333353</v>
      </c>
      <c r="EC40" s="33" t="n">
        <v>753103.760000002</v>
      </c>
      <c r="ED40" s="33" t="n">
        <v>750283.1466666687</v>
      </c>
      <c r="EE40" s="33" t="n">
        <v>747462.5333333354</v>
      </c>
      <c r="EF40" s="33" t="n">
        <v>744641.9200000021</v>
      </c>
      <c r="EG40" s="33" t="n">
        <v>741821.3066666689</v>
      </c>
      <c r="EH40" s="33" t="n">
        <v>739000.6933333356</v>
      </c>
      <c r="EI40" s="33" t="n">
        <v>736180.0800000023</v>
      </c>
      <c r="EJ40" s="33" t="n">
        <v>733359.466666669</v>
      </c>
      <c r="EK40" s="33" t="n">
        <v>730538.8533333357</v>
      </c>
      <c r="EL40" s="33" t="n">
        <v>727718.2400000024</v>
      </c>
      <c r="EM40" s="33" t="n">
        <v>724897.6266666692</v>
      </c>
      <c r="EN40" s="33" t="n">
        <v>722077.0133333359</v>
      </c>
      <c r="EO40" s="33" t="n">
        <v>719256.4000000026</v>
      </c>
      <c r="EP40" s="33" t="n">
        <v>716435.7866666693</v>
      </c>
      <c r="EQ40" s="33" t="n">
        <v>713615.173333336</v>
      </c>
      <c r="ER40" s="33" t="n">
        <v>710794.5600000027</v>
      </c>
      <c r="ES40" s="33" t="n">
        <v>707973.9466666694</v>
      </c>
      <c r="ET40" s="33" t="n">
        <v>705153.3333333362</v>
      </c>
      <c r="EU40" s="33" t="n">
        <v>702332.7200000029</v>
      </c>
      <c r="EV40" s="33" t="n">
        <v>699512.1066666696</v>
      </c>
      <c r="EW40" s="33" t="n">
        <v>696691.4933333363</v>
      </c>
      <c r="EX40" s="33" t="n">
        <v>693870.880000003</v>
      </c>
      <c r="EY40" s="33" t="n">
        <v>691050.2666666697</v>
      </c>
      <c r="EZ40" s="33" t="n">
        <v>688229.6533333365</v>
      </c>
      <c r="FA40" s="33" t="n">
        <v>685409.0400000032</v>
      </c>
      <c r="FB40" s="33" t="n">
        <v>682588.4266666699</v>
      </c>
      <c r="FC40" s="33" t="n">
        <v>679767.8133333366</v>
      </c>
      <c r="FD40" s="33" t="n">
        <v>676947.2000000033</v>
      </c>
      <c r="FE40" s="33" t="n">
        <v>674126.58666667</v>
      </c>
      <c r="FF40" s="33" t="n">
        <v>671305.9733333368</v>
      </c>
      <c r="FG40" s="33" t="n">
        <v>668485.3600000035</v>
      </c>
      <c r="FH40" s="33" t="n">
        <v>665664.7466666702</v>
      </c>
      <c r="FI40" s="33" t="n">
        <v>662844.1333333369</v>
      </c>
      <c r="FJ40" s="33" t="n">
        <v>660023.5200000036</v>
      </c>
      <c r="FK40" s="33" t="n">
        <v>657202.9066666703</v>
      </c>
      <c r="FL40" s="33" t="n">
        <v>654382.2933333371</v>
      </c>
      <c r="FM40" s="33" t="n">
        <v>651561.6800000038</v>
      </c>
      <c r="FN40" s="33" t="n">
        <v>648741.0666666705</v>
      </c>
      <c r="FO40" s="33" t="n">
        <v>645920.4533333372</v>
      </c>
      <c r="FP40" s="33" t="n">
        <v>643099.8400000039</v>
      </c>
      <c r="FQ40" s="33" t="n">
        <v>640279.2266666706</v>
      </c>
      <c r="FR40" s="33" t="n">
        <v>637458.6133333374</v>
      </c>
      <c r="FS40" s="33" t="n">
        <v>634638.0000000041</v>
      </c>
      <c r="FT40" s="33" t="n">
        <v>631817.3866666708</v>
      </c>
      <c r="FU40" s="33" t="n">
        <v>628996.7733333375</v>
      </c>
      <c r="FV40" s="33" t="n">
        <v>626176.1600000042</v>
      </c>
      <c r="FW40" s="33" t="n">
        <v>623355.5466666709</v>
      </c>
      <c r="FX40" s="33" t="n">
        <v>620534.9333333377</v>
      </c>
      <c r="FY40" s="33" t="n">
        <v>617714.3200000044</v>
      </c>
      <c r="FZ40" s="33" t="n">
        <v>614893.7066666711</v>
      </c>
      <c r="GA40" s="33" t="n">
        <v>612073.0933333378</v>
      </c>
      <c r="GB40" s="33" t="n">
        <v>609252.4800000045</v>
      </c>
      <c r="GC40" s="33" t="n">
        <v>606431.8666666712</v>
      </c>
      <c r="GD40" s="33" t="n">
        <v>603611.253333338</v>
      </c>
      <c r="GE40" s="33" t="n">
        <v>600790.6400000047</v>
      </c>
      <c r="GF40" s="33" t="n">
        <v>597970.0266666714</v>
      </c>
      <c r="GG40" s="33" t="n">
        <v>595149.4133333381</v>
      </c>
      <c r="GH40" s="33" t="n">
        <v>592328.8000000048</v>
      </c>
      <c r="GI40" s="33" t="n">
        <v>589508.1866666715</v>
      </c>
      <c r="GJ40" s="33" t="n">
        <v>586687.5733333383</v>
      </c>
      <c r="GK40" s="33" t="n">
        <v>583866.960000005</v>
      </c>
      <c r="GL40" s="33" t="n">
        <v>581046.3466666717</v>
      </c>
      <c r="GM40" s="33" t="n">
        <v>578225.7333333384</v>
      </c>
      <c r="GN40" s="33" t="n">
        <v>575405.1200000051</v>
      </c>
      <c r="GO40" s="33" t="n">
        <v>572584.5066666718</v>
      </c>
      <c r="GP40" s="33" t="n">
        <v>569763.8933333386</v>
      </c>
      <c r="GQ40" s="33" t="n">
        <v>566943.2800000053</v>
      </c>
      <c r="GR40" s="33" t="n">
        <v>564122.666666672</v>
      </c>
      <c r="GS40" s="33" t="n">
        <v>561302.0533333387</v>
      </c>
      <c r="GT40" s="33" t="n">
        <v>558481.4400000054</v>
      </c>
      <c r="GU40" s="33" t="n">
        <v>555660.8266666721</v>
      </c>
      <c r="GV40" s="33" t="n">
        <v>552840.2133333388</v>
      </c>
      <c r="GW40" s="33" t="n">
        <v>550019.6000000056</v>
      </c>
      <c r="GX40" s="33" t="n">
        <v>547198.9866666723</v>
      </c>
      <c r="GY40" s="33" t="n">
        <v>544378.373333339</v>
      </c>
      <c r="GZ40" s="33" t="n">
        <v>541557.7600000057</v>
      </c>
      <c r="HA40" s="33" t="n">
        <v>538737.1466666724</v>
      </c>
      <c r="HB40" s="33" t="n">
        <v>535916.5333333391</v>
      </c>
      <c r="HC40" s="33" t="n">
        <v>533095.9200000059</v>
      </c>
      <c r="HD40" s="33" t="n">
        <v>530275.3066666726</v>
      </c>
      <c r="HE40" s="33" t="n">
        <v>527454.6933333393</v>
      </c>
      <c r="HF40" s="33" t="n">
        <v>524634.080000006</v>
      </c>
      <c r="HG40" s="33" t="n">
        <v>521813.4666666727</v>
      </c>
      <c r="HH40" s="33" t="n">
        <v>518992.8533333393</v>
      </c>
      <c r="HI40" s="33" t="n">
        <v>516172.240000006</v>
      </c>
      <c r="HJ40" s="33" t="n">
        <v>513351.6266666726</v>
      </c>
      <c r="HK40" s="33" t="n">
        <v>510531.0133333393</v>
      </c>
      <c r="HL40" s="33" t="n">
        <v>507710.400000006</v>
      </c>
      <c r="HM40" s="33" t="n">
        <v>504889.7866666726</v>
      </c>
      <c r="HN40" s="33" t="n">
        <v>502069.1733333393</v>
      </c>
      <c r="HO40" s="33" t="n">
        <v>499248.5600000059</v>
      </c>
      <c r="HP40" s="33" t="n">
        <v>496427.9466666726</v>
      </c>
      <c r="HQ40" s="33" t="n">
        <v>493607.3333333393</v>
      </c>
      <c r="HR40" s="33" t="n">
        <v>490786.7200000059</v>
      </c>
      <c r="HS40" s="33" t="n">
        <v>487966.1066666726</v>
      </c>
      <c r="HT40" s="33" t="n">
        <v>485145.4933333392</v>
      </c>
      <c r="HU40" s="33" t="n">
        <v>482324.8800000059</v>
      </c>
      <c r="HV40" s="33" t="n">
        <v>479504.2666666725</v>
      </c>
      <c r="HW40" s="33" t="n">
        <v>476683.6533333392</v>
      </c>
      <c r="HX40" s="33" t="n">
        <v>473863.0400000059</v>
      </c>
      <c r="HY40" s="33" t="n">
        <v>471042.4266666725</v>
      </c>
      <c r="HZ40" s="33" t="n">
        <v>468221.8133333392</v>
      </c>
      <c r="IA40" s="33" t="n">
        <v>465401.2000000058</v>
      </c>
      <c r="IB40" s="33" t="n">
        <v>462580.5866666725</v>
      </c>
      <c r="IC40" s="33" t="n">
        <v>459759.9733333391</v>
      </c>
      <c r="ID40" s="33" t="n">
        <v>456939.3600000058</v>
      </c>
      <c r="IE40" s="33" t="n">
        <v>454118.7466666725</v>
      </c>
      <c r="IF40" s="33" t="n">
        <v>451298.1333333391</v>
      </c>
      <c r="IG40" s="33" t="n">
        <v>448477.5200000058</v>
      </c>
      <c r="IH40" s="33" t="n">
        <v>445656.9066666724</v>
      </c>
      <c r="II40" s="33" t="n">
        <v>442836.2933333391</v>
      </c>
      <c r="IJ40" s="33" t="n">
        <v>440015.6800000058</v>
      </c>
      <c r="IK40" s="33" t="n">
        <v>437195.0666666724</v>
      </c>
      <c r="IL40" s="33" t="n">
        <v>434374.4533333391</v>
      </c>
      <c r="IM40" s="33" t="n">
        <v>431553.8400000057</v>
      </c>
      <c r="IN40" s="33" t="n">
        <v>428733.2266666724</v>
      </c>
      <c r="IO40" s="33" t="n">
        <v>425912.613333339</v>
      </c>
      <c r="IP40" s="33" t="n">
        <v>423092.0000000057</v>
      </c>
      <c r="IQ40" s="33" t="n">
        <v>420271.3866666724</v>
      </c>
      <c r="IR40" s="33" t="n">
        <v>417450.773333339</v>
      </c>
      <c r="IS40" s="33" t="n">
        <v>414630.1600000057</v>
      </c>
      <c r="IT40" s="33" t="n">
        <v>411809.5466666723</v>
      </c>
      <c r="IU40" s="33" t="n">
        <v>408988.933333339</v>
      </c>
      <c r="IV40" s="33" t="n">
        <v>406168.3200000057</v>
      </c>
      <c r="IW40" s="33" t="n">
        <v>403347.7066666723</v>
      </c>
      <c r="IX40" s="33" t="n">
        <v>400527.093333339</v>
      </c>
      <c r="IY40" s="33" t="n">
        <v>397706.4800000056</v>
      </c>
      <c r="IZ40" s="33" t="n">
        <v>394885.8666666723</v>
      </c>
      <c r="JA40" s="33" t="n">
        <v>392065.2533333389</v>
      </c>
      <c r="JB40" s="33" t="n">
        <v>389244.6400000056</v>
      </c>
      <c r="JC40" s="33" t="n">
        <v>386424.0266666723</v>
      </c>
      <c r="JD40" s="33" t="n">
        <v>383603.4133333389</v>
      </c>
      <c r="JE40" s="33" t="n">
        <v>380782.8000000056</v>
      </c>
      <c r="JF40" s="33" t="n">
        <v>377962.1866666722</v>
      </c>
      <c r="JG40" s="33" t="n">
        <v>375141.5733333389</v>
      </c>
      <c r="JH40" s="33" t="n">
        <v>372320.9600000056</v>
      </c>
      <c r="JI40" s="33" t="n">
        <v>369500.3466666722</v>
      </c>
      <c r="JJ40" s="33" t="n">
        <v>366679.7333333389</v>
      </c>
      <c r="JK40" s="33" t="n">
        <v>363859.1200000055</v>
      </c>
      <c r="JL40" s="33" t="n">
        <v>361038.5066666722</v>
      </c>
      <c r="JM40" s="33" t="n">
        <v>358217.8933333388</v>
      </c>
      <c r="JN40" s="33" t="n">
        <v>355397.2800000055</v>
      </c>
      <c r="JO40" s="33" t="n">
        <v>352576.6666666722</v>
      </c>
      <c r="JP40" s="33" t="n">
        <v>349756.0533333388</v>
      </c>
      <c r="JQ40" s="33" t="n">
        <v>346935.4400000055</v>
      </c>
      <c r="JR40" s="33" t="n">
        <v>344114.8266666721</v>
      </c>
      <c r="JS40" s="33" t="n">
        <v>341294.2133333388</v>
      </c>
      <c r="JT40" s="33" t="n">
        <v>338473.6000000054</v>
      </c>
      <c r="JU40" s="33" t="n">
        <v>335652.9866666721</v>
      </c>
      <c r="JV40" s="33" t="n">
        <v>332832.3733333388</v>
      </c>
      <c r="JW40" s="33" t="n">
        <v>330011.7600000054</v>
      </c>
      <c r="JX40" s="33" t="n">
        <v>327191.1466666721</v>
      </c>
      <c r="JY40" s="33" t="n">
        <v>324370.5333333387</v>
      </c>
      <c r="JZ40" s="33" t="n">
        <v>321549.9200000054</v>
      </c>
      <c r="KA40" s="33" t="n">
        <v>318729.3066666721</v>
      </c>
      <c r="KB40" s="33" t="n">
        <v>315908.6933333387</v>
      </c>
      <c r="KC40" s="33" t="n">
        <v>313088.0800000054</v>
      </c>
      <c r="KD40" s="33" t="n">
        <v>310267.466666672</v>
      </c>
      <c r="KE40" s="33" t="n">
        <v>307446.8533333387</v>
      </c>
      <c r="KF40" s="33" t="n">
        <v>304626.2400000053</v>
      </c>
      <c r="KG40" s="33" t="n">
        <v>301805.626666672</v>
      </c>
      <c r="KH40" s="33" t="n">
        <v>298985.0133333387</v>
      </c>
      <c r="KI40" s="33" t="n">
        <v>296164.4000000053</v>
      </c>
      <c r="KJ40" s="33" t="n">
        <v>293343.786666672</v>
      </c>
      <c r="KK40" s="33" t="n">
        <v>290523.1733333386</v>
      </c>
      <c r="KL40" s="33" t="n">
        <v>287702.5600000053</v>
      </c>
      <c r="KM40" s="33" t="n">
        <v>284881.946666672</v>
      </c>
      <c r="KN40" s="33" t="n">
        <v>282061.3333333386</v>
      </c>
      <c r="KO40" s="33" t="n">
        <v>279240.7200000053</v>
      </c>
      <c r="KP40" s="33" t="n">
        <v>276420.1066666719</v>
      </c>
      <c r="KQ40" s="33" t="n">
        <v>273599.4933333386</v>
      </c>
      <c r="KR40" s="33" t="n">
        <v>270778.8800000052</v>
      </c>
      <c r="KS40" s="33" t="n">
        <v>267958.2666666719</v>
      </c>
      <c r="KT40" s="33" t="n">
        <v>265137.6533333386</v>
      </c>
      <c r="KU40" s="33" t="n">
        <v>262317.0400000052</v>
      </c>
      <c r="KV40" s="33" t="n">
        <v>259496.4266666719</v>
      </c>
      <c r="KW40" s="33" t="n">
        <v>256675.8133333385</v>
      </c>
      <c r="KX40" s="33" t="n">
        <v>253855.2000000052</v>
      </c>
      <c r="KY40" s="33" t="n">
        <v>251034.5866666719</v>
      </c>
      <c r="KZ40" s="33" t="n">
        <v>248213.9733333385</v>
      </c>
      <c r="LA40" s="33" t="n">
        <v>245393.3600000052</v>
      </c>
      <c r="LB40" s="33" t="n">
        <v>242572.7466666718</v>
      </c>
      <c r="LC40" s="33" t="n">
        <v>239752.1333333385</v>
      </c>
      <c r="LD40" s="33" t="n">
        <v>236931.5200000051</v>
      </c>
      <c r="LE40" s="33" t="n">
        <v>234110.9066666718</v>
      </c>
      <c r="LF40" s="33" t="n">
        <v>231290.2933333385</v>
      </c>
      <c r="LG40" s="33" t="n">
        <v>228469.6800000051</v>
      </c>
      <c r="LH40" s="33" t="n">
        <v>225649.0666666718</v>
      </c>
      <c r="LI40" s="33" t="n">
        <v>222828.4533333384</v>
      </c>
      <c r="LJ40" s="33" t="n">
        <v>220007.8400000051</v>
      </c>
      <c r="LK40" s="33" t="n">
        <v>217187.2266666717</v>
      </c>
      <c r="LL40" s="33" t="n">
        <v>214366.6133333384</v>
      </c>
      <c r="LM40" s="33" t="n">
        <v>211546.0000000051</v>
      </c>
      <c r="LN40" s="33" t="n">
        <v>208725.3866666717</v>
      </c>
      <c r="LO40" s="33" t="n">
        <v>205904.7733333384</v>
      </c>
      <c r="LP40" s="33" t="n">
        <v>203084.160000005</v>
      </c>
      <c r="LQ40" s="33" t="n">
        <v>200263.5466666717</v>
      </c>
      <c r="LR40" s="33" t="n">
        <v>197442.9333333384</v>
      </c>
      <c r="LS40" s="33" t="n">
        <v>194622.320000005</v>
      </c>
      <c r="LT40" s="33" t="n">
        <v>191801.7066666717</v>
      </c>
      <c r="LU40" s="33" t="n">
        <v>188981.0933333383</v>
      </c>
      <c r="LV40" s="33" t="n">
        <v>186160.480000005</v>
      </c>
      <c r="LW40" s="33" t="n">
        <v>183339.8666666716</v>
      </c>
      <c r="LX40" s="33" t="n">
        <v>180519.2533333383</v>
      </c>
      <c r="LY40" s="33" t="n">
        <v>177698.640000005</v>
      </c>
      <c r="LZ40" s="33" t="n">
        <v>174878.0266666716</v>
      </c>
      <c r="MA40" s="33" t="n">
        <v>172057.4133333383</v>
      </c>
      <c r="MB40" s="33" t="n">
        <v>169236.8000000049</v>
      </c>
      <c r="MC40" s="33" t="n">
        <v>166416.1866666716</v>
      </c>
      <c r="MD40" s="33" t="n">
        <v>163595.5733333383</v>
      </c>
      <c r="ME40" s="33" t="n">
        <v>160774.9600000049</v>
      </c>
      <c r="MF40" s="33" t="n">
        <v>157954.3466666716</v>
      </c>
      <c r="MG40" s="33" t="n">
        <v>155133.7333333382</v>
      </c>
      <c r="MH40" s="33" t="n">
        <v>152313.1200000049</v>
      </c>
      <c r="MI40" s="33" t="n">
        <v>149492.5066666715</v>
      </c>
      <c r="MJ40" s="33" t="n">
        <v>146671.8933333382</v>
      </c>
      <c r="MK40" s="33" t="n">
        <v>143851.2800000049</v>
      </c>
      <c r="ML40" s="33" t="n">
        <v>141030.6666666715</v>
      </c>
      <c r="MM40" s="33" t="n">
        <v>138210.0533333382</v>
      </c>
      <c r="MN40" s="33" t="n">
        <v>135389.4400000048</v>
      </c>
      <c r="MO40" s="33" t="n">
        <v>132568.8266666715</v>
      </c>
      <c r="MP40" s="33" t="n">
        <v>129748.2133333382</v>
      </c>
      <c r="MQ40" s="33" t="n">
        <v>126927.6000000048</v>
      </c>
      <c r="MR40" s="33" t="n">
        <v>124106.9866666715</v>
      </c>
      <c r="MS40" s="33" t="n">
        <v>121286.3733333382</v>
      </c>
      <c r="MT40" s="33" t="n">
        <v>118465.7600000049</v>
      </c>
      <c r="MU40" s="33" t="n">
        <v>115645.1466666715</v>
      </c>
      <c r="MV40" s="33" t="n">
        <v>112824.5333333382</v>
      </c>
      <c r="MW40" s="33" t="n">
        <v>110003.9200000049</v>
      </c>
      <c r="MX40" s="33" t="n">
        <v>107183.3066666715</v>
      </c>
      <c r="MY40" s="33" t="n">
        <v>104362.6933333382</v>
      </c>
      <c r="MZ40" s="33" t="n">
        <v>101542.0800000049</v>
      </c>
      <c r="NA40" s="33" t="n">
        <v>98721.46666667156</v>
      </c>
      <c r="NB40" s="33" t="n">
        <v>95900.85333333824</v>
      </c>
      <c r="NC40" s="33" t="n">
        <v>93080.24000000491</v>
      </c>
      <c r="ND40" s="33" t="n">
        <v>90259.62666667158</v>
      </c>
      <c r="NE40" s="33" t="n">
        <v>87439.01333333825</v>
      </c>
      <c r="NF40" s="33" t="n">
        <v>84618.40000000493</v>
      </c>
      <c r="NG40" s="33" t="n">
        <v>81797.7866666716</v>
      </c>
      <c r="NH40" s="33" t="n">
        <v>78977.17333333827</v>
      </c>
      <c r="NI40" s="33" t="n">
        <v>76156.56000000495</v>
      </c>
      <c r="NJ40" s="33" t="n">
        <v>73335.94666667162</v>
      </c>
      <c r="NK40" s="33" t="n">
        <v>70515.33333333829</v>
      </c>
      <c r="NL40" s="33" t="n">
        <v>67694.72000000496</v>
      </c>
      <c r="NM40" s="33" t="n">
        <v>64874.10666667163</v>
      </c>
      <c r="NN40" s="33" t="n">
        <v>62053.49333333829</v>
      </c>
      <c r="NO40" s="33" t="n">
        <v>59232.88000000496</v>
      </c>
      <c r="NP40" s="33" t="n">
        <v>56412.26666667162</v>
      </c>
      <c r="NQ40" s="33" t="n">
        <v>53591.65333333829</v>
      </c>
      <c r="NR40" s="33" t="n">
        <v>50771.04000000496</v>
      </c>
      <c r="NS40" s="33" t="n">
        <v>47950.42666667162</v>
      </c>
      <c r="NT40" s="33" t="n">
        <v>45129.81333333829</v>
      </c>
      <c r="NU40" s="33" t="n">
        <v>42309.20000000495</v>
      </c>
      <c r="NV40" s="33" t="n">
        <v>39488.58666667162</v>
      </c>
      <c r="NW40" s="33" t="n">
        <v>36667.97333333828</v>
      </c>
      <c r="NX40" s="33" t="n">
        <v>33847.36000000495</v>
      </c>
      <c r="NY40" s="33" t="n">
        <v>31026.74666667161</v>
      </c>
      <c r="NZ40" s="33" t="n">
        <v>28206.13333333828</v>
      </c>
      <c r="OA40" s="33" t="n">
        <v>25385.52000000494</v>
      </c>
      <c r="OB40" s="33" t="n">
        <v>22564.90666667161</v>
      </c>
      <c r="OC40" s="33" t="n">
        <v>19744.29333333828</v>
      </c>
      <c r="OD40" s="33" t="n">
        <v>16923.68000000494</v>
      </c>
      <c r="OE40" s="33" t="n">
        <v>14103.06666667161</v>
      </c>
      <c r="OF40" s="33" t="n">
        <v>11282.45333333828</v>
      </c>
      <c r="OG40" s="33" t="n">
        <v>8461.840000004942</v>
      </c>
      <c r="OH40" s="33" t="n">
        <v>5641.22666667161</v>
      </c>
      <c r="OI40" s="33" t="n">
        <v>2820.613333338276</v>
      </c>
      <c r="OJ40" s="33" t="n">
        <v>4.943103704135865e-09</v>
      </c>
      <c r="OK40" s="33" t="n">
        <v>0</v>
      </c>
      <c r="OL40" s="33" t="n">
        <v>0</v>
      </c>
      <c r="OM40" s="33" t="n">
        <v>0</v>
      </c>
      <c r="ON40" s="33" t="n">
        <v>0</v>
      </c>
      <c r="OO40" s="33" t="n">
        <v>0</v>
      </c>
      <c r="OP40" s="33" t="n">
        <v>0</v>
      </c>
      <c r="OQ40" s="33" t="n">
        <v>0</v>
      </c>
      <c r="OR40" s="33" t="n">
        <v>0</v>
      </c>
      <c r="OS40" s="33" t="n">
        <v>0</v>
      </c>
      <c r="OT40" s="33" t="n">
        <v>0</v>
      </c>
      <c r="OU40" s="33" t="n">
        <v>0</v>
      </c>
      <c r="OV40" s="33" t="n">
        <v>0</v>
      </c>
      <c r="OW40" s="33" t="n">
        <v>0</v>
      </c>
      <c r="OX40" s="33" t="n">
        <v>0</v>
      </c>
      <c r="OY40" s="33" t="n">
        <v>0</v>
      </c>
      <c r="OZ40" s="33" t="n">
        <v>0</v>
      </c>
      <c r="PA40" s="33" t="n">
        <v>0</v>
      </c>
      <c r="PB40" s="33" t="n">
        <v>0</v>
      </c>
      <c r="PC40" s="33" t="n">
        <v>0</v>
      </c>
      <c r="PD40" s="33" t="n">
        <v>0</v>
      </c>
      <c r="PE40" s="33" t="n">
        <v>0</v>
      </c>
      <c r="PF40" s="33" t="n">
        <v>0</v>
      </c>
      <c r="PG40" s="33" t="n">
        <v>0</v>
      </c>
      <c r="PH40" s="33" t="n">
        <v>0</v>
      </c>
      <c r="PI40" s="33" t="n">
        <v>0</v>
      </c>
      <c r="PJ40" s="33" t="n">
        <v>0</v>
      </c>
      <c r="PK40" s="33" t="n">
        <v>0</v>
      </c>
      <c r="PL40" s="33" t="n">
        <v>0</v>
      </c>
      <c r="PM40" s="33" t="n">
        <v>0</v>
      </c>
      <c r="PN40" s="33" t="n">
        <v>0</v>
      </c>
      <c r="PO40" s="33" t="n">
        <v>0</v>
      </c>
      <c r="PP40" s="33" t="n">
        <v>0</v>
      </c>
      <c r="PQ40" s="33" t="n">
        <v>0</v>
      </c>
      <c r="PR40" s="33" t="n">
        <v>0</v>
      </c>
      <c r="PS40" s="33" t="n">
        <v>0</v>
      </c>
      <c r="PT40" s="33" t="n">
        <v>0</v>
      </c>
      <c r="PU40" s="33" t="n">
        <v>0</v>
      </c>
      <c r="PV40" s="33" t="n">
        <v>0</v>
      </c>
      <c r="PW40" s="33" t="n">
        <v>0</v>
      </c>
      <c r="PX40" s="33" t="n">
        <v>0</v>
      </c>
      <c r="PY40" s="33" t="n">
        <v>0</v>
      </c>
      <c r="PZ40" s="33" t="n">
        <v>0</v>
      </c>
      <c r="QA40" s="33" t="n">
        <v>0</v>
      </c>
      <c r="QB40" s="33" t="n">
        <v>0</v>
      </c>
      <c r="QC40" s="33" t="n">
        <v>0</v>
      </c>
      <c r="QD40" s="33" t="n">
        <v>0</v>
      </c>
      <c r="QE40" s="33" t="n">
        <v>0</v>
      </c>
      <c r="QF40" s="33" t="n">
        <v>0</v>
      </c>
      <c r="QG40" s="33" t="n">
        <v>0</v>
      </c>
      <c r="QH40" s="33" t="n">
        <v>0</v>
      </c>
      <c r="QI40" s="33" t="n">
        <v>0</v>
      </c>
      <c r="QJ40" s="33" t="n">
        <v>0</v>
      </c>
      <c r="QK40" s="33" t="n">
        <v>0</v>
      </c>
      <c r="QL40" s="33" t="n">
        <v>0</v>
      </c>
      <c r="QM40" s="33" t="n">
        <v>0</v>
      </c>
      <c r="QN40" s="33" t="n">
        <v>0</v>
      </c>
      <c r="QO40" s="33" t="n">
        <v>0</v>
      </c>
      <c r="QP40" s="33" t="n">
        <v>0</v>
      </c>
      <c r="QQ40" s="33" t="n">
        <v>0</v>
      </c>
      <c r="QR40" s="33" t="n">
        <v>0</v>
      </c>
      <c r="QS40" s="33" t="n">
        <v>0</v>
      </c>
      <c r="QT40" s="33" t="n">
        <v>0</v>
      </c>
      <c r="QU40" s="33" t="n">
        <v>0</v>
      </c>
      <c r="QV40" s="33" t="n">
        <v>0</v>
      </c>
      <c r="QW40" s="33" t="n">
        <v>0</v>
      </c>
      <c r="QX40" s="33" t="n">
        <v>0</v>
      </c>
      <c r="QY40" s="33" t="n">
        <v>0</v>
      </c>
      <c r="QZ40" s="33" t="n">
        <v>0</v>
      </c>
      <c r="RA40" s="33" t="n">
        <v>0</v>
      </c>
      <c r="RB40" s="33" t="n">
        <v>0</v>
      </c>
      <c r="RC40" s="33" t="n">
        <v>0</v>
      </c>
      <c r="RD40" s="33" t="n">
        <v>0</v>
      </c>
      <c r="RE40" s="33" t="n">
        <v>0</v>
      </c>
      <c r="RF40" s="33" t="n">
        <v>0</v>
      </c>
      <c r="RG40" s="33" t="n">
        <v>0</v>
      </c>
      <c r="RH40" s="33" t="n">
        <v>0</v>
      </c>
      <c r="RI40" s="33" t="n">
        <v>0</v>
      </c>
      <c r="RJ40" s="33" t="n">
        <v>0</v>
      </c>
      <c r="RK40" s="33" t="n">
        <v>0</v>
      </c>
      <c r="RL40" s="33" t="n">
        <v>0</v>
      </c>
      <c r="RM40" s="33" t="n">
        <v>0</v>
      </c>
      <c r="RN40" s="33" t="n">
        <v>0</v>
      </c>
      <c r="RO40" s="33" t="n">
        <v>0</v>
      </c>
      <c r="RP40" s="33" t="n">
        <v>0</v>
      </c>
      <c r="RQ40" s="33" t="n">
        <v>0</v>
      </c>
      <c r="RR40" s="33" t="n">
        <v>0</v>
      </c>
      <c r="RS40" s="33" t="n">
        <v>0</v>
      </c>
      <c r="RT40" s="33" t="n">
        <v>0</v>
      </c>
      <c r="RU40" s="33" t="n">
        <v>0</v>
      </c>
      <c r="RV40" s="33" t="n">
        <v>0</v>
      </c>
      <c r="RW40" s="33" t="n">
        <v>0</v>
      </c>
    </row>
    <row r="41" hidden="1" outlineLevel="1" ht="13.05" customHeight="1">
      <c r="E41" s="21" t="inlineStr">
        <is>
          <t>Contributed Equity</t>
        </is>
      </c>
      <c r="F41" s="29" t="n"/>
      <c r="G41" s="29" t="inlineStr">
        <is>
          <t>kEUR</t>
        </is>
      </c>
      <c r="H41" s="29" t="n"/>
      <c r="I41" s="29" t="n"/>
      <c r="J41" s="32" t="n">
        <v>157954560</v>
      </c>
      <c r="K41" s="29" t="n"/>
      <c r="L41" s="33" t="n">
        <v>329072</v>
      </c>
      <c r="M41" s="33" t="n">
        <v>329072</v>
      </c>
      <c r="N41" s="33" t="n">
        <v>329072</v>
      </c>
      <c r="O41" s="33" t="n">
        <v>329072</v>
      </c>
      <c r="P41" s="33" t="n">
        <v>329072</v>
      </c>
      <c r="Q41" s="33" t="n">
        <v>329072</v>
      </c>
      <c r="R41" s="33" t="n">
        <v>329072</v>
      </c>
      <c r="S41" s="33" t="n">
        <v>329072</v>
      </c>
      <c r="T41" s="33" t="n">
        <v>329072</v>
      </c>
      <c r="U41" s="33" t="n">
        <v>329072</v>
      </c>
      <c r="V41" s="33" t="n">
        <v>329072</v>
      </c>
      <c r="W41" s="33" t="n">
        <v>329072</v>
      </c>
      <c r="X41" s="33" t="n">
        <v>329072</v>
      </c>
      <c r="Y41" s="33" t="n">
        <v>329072</v>
      </c>
      <c r="Z41" s="33" t="n">
        <v>329072</v>
      </c>
      <c r="AA41" s="33" t="n">
        <v>329072</v>
      </c>
      <c r="AB41" s="33" t="n">
        <v>329072</v>
      </c>
      <c r="AC41" s="33" t="n">
        <v>329072</v>
      </c>
      <c r="AD41" s="33" t="n">
        <v>329072</v>
      </c>
      <c r="AE41" s="33" t="n">
        <v>329072</v>
      </c>
      <c r="AF41" s="33" t="n">
        <v>329072</v>
      </c>
      <c r="AG41" s="33" t="n">
        <v>329072</v>
      </c>
      <c r="AH41" s="33" t="n">
        <v>329072</v>
      </c>
      <c r="AI41" s="33" t="n">
        <v>329072</v>
      </c>
      <c r="AJ41" s="33" t="n">
        <v>329072</v>
      </c>
      <c r="AK41" s="33" t="n">
        <v>329072</v>
      </c>
      <c r="AL41" s="33" t="n">
        <v>329072</v>
      </c>
      <c r="AM41" s="33" t="n">
        <v>329072</v>
      </c>
      <c r="AN41" s="33" t="n">
        <v>329072</v>
      </c>
      <c r="AO41" s="33" t="n">
        <v>329072</v>
      </c>
      <c r="AP41" s="33" t="n">
        <v>329072</v>
      </c>
      <c r="AQ41" s="33" t="n">
        <v>329072</v>
      </c>
      <c r="AR41" s="33" t="n">
        <v>329072</v>
      </c>
      <c r="AS41" s="33" t="n">
        <v>329072</v>
      </c>
      <c r="AT41" s="33" t="n">
        <v>329072</v>
      </c>
      <c r="AU41" s="33" t="n">
        <v>329072</v>
      </c>
      <c r="AV41" s="33" t="n">
        <v>329072</v>
      </c>
      <c r="AW41" s="33" t="n">
        <v>329072</v>
      </c>
      <c r="AX41" s="33" t="n">
        <v>329072</v>
      </c>
      <c r="AY41" s="33" t="n">
        <v>329072</v>
      </c>
      <c r="AZ41" s="33" t="n">
        <v>329072</v>
      </c>
      <c r="BA41" s="33" t="n">
        <v>329072</v>
      </c>
      <c r="BB41" s="33" t="n">
        <v>329072</v>
      </c>
      <c r="BC41" s="33" t="n">
        <v>329072</v>
      </c>
      <c r="BD41" s="33" t="n">
        <v>329072</v>
      </c>
      <c r="BE41" s="33" t="n">
        <v>329072</v>
      </c>
      <c r="BF41" s="33" t="n">
        <v>329072</v>
      </c>
      <c r="BG41" s="33" t="n">
        <v>329072</v>
      </c>
      <c r="BH41" s="33" t="n">
        <v>329072</v>
      </c>
      <c r="BI41" s="33" t="n">
        <v>329072</v>
      </c>
      <c r="BJ41" s="33" t="n">
        <v>329072</v>
      </c>
      <c r="BK41" s="33" t="n">
        <v>329072</v>
      </c>
      <c r="BL41" s="33" t="n">
        <v>329072</v>
      </c>
      <c r="BM41" s="33" t="n">
        <v>329072</v>
      </c>
      <c r="BN41" s="33" t="n">
        <v>329072</v>
      </c>
      <c r="BO41" s="33" t="n">
        <v>329072</v>
      </c>
      <c r="BP41" s="33" t="n">
        <v>329072</v>
      </c>
      <c r="BQ41" s="33" t="n">
        <v>329072</v>
      </c>
      <c r="BR41" s="33" t="n">
        <v>329072</v>
      </c>
      <c r="BS41" s="33" t="n">
        <v>329072</v>
      </c>
      <c r="BT41" s="33" t="n">
        <v>329072</v>
      </c>
      <c r="BU41" s="33" t="n">
        <v>329072</v>
      </c>
      <c r="BV41" s="33" t="n">
        <v>329072</v>
      </c>
      <c r="BW41" s="33" t="n">
        <v>329072</v>
      </c>
      <c r="BX41" s="33" t="n">
        <v>329072</v>
      </c>
      <c r="BY41" s="33" t="n">
        <v>329072</v>
      </c>
      <c r="BZ41" s="33" t="n">
        <v>329072</v>
      </c>
      <c r="CA41" s="33" t="n">
        <v>329072</v>
      </c>
      <c r="CB41" s="33" t="n">
        <v>329072</v>
      </c>
      <c r="CC41" s="33" t="n">
        <v>329072</v>
      </c>
      <c r="CD41" s="33" t="n">
        <v>329072</v>
      </c>
      <c r="CE41" s="33" t="n">
        <v>329072</v>
      </c>
      <c r="CF41" s="33" t="n">
        <v>329072</v>
      </c>
      <c r="CG41" s="33" t="n">
        <v>329072</v>
      </c>
      <c r="CH41" s="33" t="n">
        <v>329072</v>
      </c>
      <c r="CI41" s="33" t="n">
        <v>329072</v>
      </c>
      <c r="CJ41" s="33" t="n">
        <v>329072</v>
      </c>
      <c r="CK41" s="33" t="n">
        <v>329072</v>
      </c>
      <c r="CL41" s="33" t="n">
        <v>329072</v>
      </c>
      <c r="CM41" s="33" t="n">
        <v>329072</v>
      </c>
      <c r="CN41" s="33" t="n">
        <v>329072</v>
      </c>
      <c r="CO41" s="33" t="n">
        <v>329072</v>
      </c>
      <c r="CP41" s="33" t="n">
        <v>329072</v>
      </c>
      <c r="CQ41" s="33" t="n">
        <v>329072</v>
      </c>
      <c r="CR41" s="33" t="n">
        <v>329072</v>
      </c>
      <c r="CS41" s="33" t="n">
        <v>329072</v>
      </c>
      <c r="CT41" s="33" t="n">
        <v>329072</v>
      </c>
      <c r="CU41" s="33" t="n">
        <v>329072</v>
      </c>
      <c r="CV41" s="33" t="n">
        <v>329072</v>
      </c>
      <c r="CW41" s="33" t="n">
        <v>329072</v>
      </c>
      <c r="CX41" s="33" t="n">
        <v>329072</v>
      </c>
      <c r="CY41" s="33" t="n">
        <v>329072</v>
      </c>
      <c r="CZ41" s="33" t="n">
        <v>329072</v>
      </c>
      <c r="DA41" s="33" t="n">
        <v>329072</v>
      </c>
      <c r="DB41" s="33" t="n">
        <v>329072</v>
      </c>
      <c r="DC41" s="33" t="n">
        <v>329072</v>
      </c>
      <c r="DD41" s="33" t="n">
        <v>329072</v>
      </c>
      <c r="DE41" s="33" t="n">
        <v>329072</v>
      </c>
      <c r="DF41" s="33" t="n">
        <v>329072</v>
      </c>
      <c r="DG41" s="33" t="n">
        <v>329072</v>
      </c>
      <c r="DH41" s="33" t="n">
        <v>329072</v>
      </c>
      <c r="DI41" s="33" t="n">
        <v>329072</v>
      </c>
      <c r="DJ41" s="33" t="n">
        <v>329072</v>
      </c>
      <c r="DK41" s="33" t="n">
        <v>329072</v>
      </c>
      <c r="DL41" s="33" t="n">
        <v>329072</v>
      </c>
      <c r="DM41" s="33" t="n">
        <v>329072</v>
      </c>
      <c r="DN41" s="33" t="n">
        <v>329072</v>
      </c>
      <c r="DO41" s="33" t="n">
        <v>329072</v>
      </c>
      <c r="DP41" s="33" t="n">
        <v>329072</v>
      </c>
      <c r="DQ41" s="33" t="n">
        <v>329072</v>
      </c>
      <c r="DR41" s="33" t="n">
        <v>329072</v>
      </c>
      <c r="DS41" s="33" t="n">
        <v>329072</v>
      </c>
      <c r="DT41" s="33" t="n">
        <v>329072</v>
      </c>
      <c r="DU41" s="33" t="n">
        <v>329072</v>
      </c>
      <c r="DV41" s="33" t="n">
        <v>329072</v>
      </c>
      <c r="DW41" s="33" t="n">
        <v>329072</v>
      </c>
      <c r="DX41" s="33" t="n">
        <v>329072</v>
      </c>
      <c r="DY41" s="33" t="n">
        <v>329072</v>
      </c>
      <c r="DZ41" s="33" t="n">
        <v>329072</v>
      </c>
      <c r="EA41" s="33" t="n">
        <v>329072</v>
      </c>
      <c r="EB41" s="33" t="n">
        <v>329072</v>
      </c>
      <c r="EC41" s="33" t="n">
        <v>329072</v>
      </c>
      <c r="ED41" s="33" t="n">
        <v>329072</v>
      </c>
      <c r="EE41" s="33" t="n">
        <v>329072</v>
      </c>
      <c r="EF41" s="33" t="n">
        <v>329072</v>
      </c>
      <c r="EG41" s="33" t="n">
        <v>329072</v>
      </c>
      <c r="EH41" s="33" t="n">
        <v>329072</v>
      </c>
      <c r="EI41" s="33" t="n">
        <v>329072</v>
      </c>
      <c r="EJ41" s="33" t="n">
        <v>329072</v>
      </c>
      <c r="EK41" s="33" t="n">
        <v>329072</v>
      </c>
      <c r="EL41" s="33" t="n">
        <v>329072</v>
      </c>
      <c r="EM41" s="33" t="n">
        <v>329072</v>
      </c>
      <c r="EN41" s="33" t="n">
        <v>329072</v>
      </c>
      <c r="EO41" s="33" t="n">
        <v>329072</v>
      </c>
      <c r="EP41" s="33" t="n">
        <v>329072</v>
      </c>
      <c r="EQ41" s="33" t="n">
        <v>329072</v>
      </c>
      <c r="ER41" s="33" t="n">
        <v>329072</v>
      </c>
      <c r="ES41" s="33" t="n">
        <v>329072</v>
      </c>
      <c r="ET41" s="33" t="n">
        <v>329072</v>
      </c>
      <c r="EU41" s="33" t="n">
        <v>329072</v>
      </c>
      <c r="EV41" s="33" t="n">
        <v>329072</v>
      </c>
      <c r="EW41" s="33" t="n">
        <v>329072</v>
      </c>
      <c r="EX41" s="33" t="n">
        <v>329072</v>
      </c>
      <c r="EY41" s="33" t="n">
        <v>329072</v>
      </c>
      <c r="EZ41" s="33" t="n">
        <v>329072</v>
      </c>
      <c r="FA41" s="33" t="n">
        <v>329072</v>
      </c>
      <c r="FB41" s="33" t="n">
        <v>329072</v>
      </c>
      <c r="FC41" s="33" t="n">
        <v>329072</v>
      </c>
      <c r="FD41" s="33" t="n">
        <v>329072</v>
      </c>
      <c r="FE41" s="33" t="n">
        <v>329072</v>
      </c>
      <c r="FF41" s="33" t="n">
        <v>329072</v>
      </c>
      <c r="FG41" s="33" t="n">
        <v>329072</v>
      </c>
      <c r="FH41" s="33" t="n">
        <v>329072</v>
      </c>
      <c r="FI41" s="33" t="n">
        <v>329072</v>
      </c>
      <c r="FJ41" s="33" t="n">
        <v>329072</v>
      </c>
      <c r="FK41" s="33" t="n">
        <v>329072</v>
      </c>
      <c r="FL41" s="33" t="n">
        <v>329072</v>
      </c>
      <c r="FM41" s="33" t="n">
        <v>329072</v>
      </c>
      <c r="FN41" s="33" t="n">
        <v>329072</v>
      </c>
      <c r="FO41" s="33" t="n">
        <v>329072</v>
      </c>
      <c r="FP41" s="33" t="n">
        <v>329072</v>
      </c>
      <c r="FQ41" s="33" t="n">
        <v>329072</v>
      </c>
      <c r="FR41" s="33" t="n">
        <v>329072</v>
      </c>
      <c r="FS41" s="33" t="n">
        <v>329072</v>
      </c>
      <c r="FT41" s="33" t="n">
        <v>329072</v>
      </c>
      <c r="FU41" s="33" t="n">
        <v>329072</v>
      </c>
      <c r="FV41" s="33" t="n">
        <v>329072</v>
      </c>
      <c r="FW41" s="33" t="n">
        <v>329072</v>
      </c>
      <c r="FX41" s="33" t="n">
        <v>329072</v>
      </c>
      <c r="FY41" s="33" t="n">
        <v>329072</v>
      </c>
      <c r="FZ41" s="33" t="n">
        <v>329072</v>
      </c>
      <c r="GA41" s="33" t="n">
        <v>329072</v>
      </c>
      <c r="GB41" s="33" t="n">
        <v>329072</v>
      </c>
      <c r="GC41" s="33" t="n">
        <v>329072</v>
      </c>
      <c r="GD41" s="33" t="n">
        <v>329072</v>
      </c>
      <c r="GE41" s="33" t="n">
        <v>329072</v>
      </c>
      <c r="GF41" s="33" t="n">
        <v>329072</v>
      </c>
      <c r="GG41" s="33" t="n">
        <v>329072</v>
      </c>
      <c r="GH41" s="33" t="n">
        <v>329072</v>
      </c>
      <c r="GI41" s="33" t="n">
        <v>329072</v>
      </c>
      <c r="GJ41" s="33" t="n">
        <v>329072</v>
      </c>
      <c r="GK41" s="33" t="n">
        <v>329072</v>
      </c>
      <c r="GL41" s="33" t="n">
        <v>329072</v>
      </c>
      <c r="GM41" s="33" t="n">
        <v>329072</v>
      </c>
      <c r="GN41" s="33" t="n">
        <v>329072</v>
      </c>
      <c r="GO41" s="33" t="n">
        <v>329072</v>
      </c>
      <c r="GP41" s="33" t="n">
        <v>329072</v>
      </c>
      <c r="GQ41" s="33" t="n">
        <v>329072</v>
      </c>
      <c r="GR41" s="33" t="n">
        <v>329072</v>
      </c>
      <c r="GS41" s="33" t="n">
        <v>329072</v>
      </c>
      <c r="GT41" s="33" t="n">
        <v>329072</v>
      </c>
      <c r="GU41" s="33" t="n">
        <v>329072</v>
      </c>
      <c r="GV41" s="33" t="n">
        <v>329072</v>
      </c>
      <c r="GW41" s="33" t="n">
        <v>329072</v>
      </c>
      <c r="GX41" s="33" t="n">
        <v>329072</v>
      </c>
      <c r="GY41" s="33" t="n">
        <v>329072</v>
      </c>
      <c r="GZ41" s="33" t="n">
        <v>329072</v>
      </c>
      <c r="HA41" s="33" t="n">
        <v>329072</v>
      </c>
      <c r="HB41" s="33" t="n">
        <v>329072</v>
      </c>
      <c r="HC41" s="33" t="n">
        <v>329072</v>
      </c>
      <c r="HD41" s="33" t="n">
        <v>329072</v>
      </c>
      <c r="HE41" s="33" t="n">
        <v>329072</v>
      </c>
      <c r="HF41" s="33" t="n">
        <v>329072</v>
      </c>
      <c r="HG41" s="33" t="n">
        <v>329072</v>
      </c>
      <c r="HH41" s="33" t="n">
        <v>329072</v>
      </c>
      <c r="HI41" s="33" t="n">
        <v>329072</v>
      </c>
      <c r="HJ41" s="33" t="n">
        <v>329072</v>
      </c>
      <c r="HK41" s="33" t="n">
        <v>329072</v>
      </c>
      <c r="HL41" s="33" t="n">
        <v>329072</v>
      </c>
      <c r="HM41" s="33" t="n">
        <v>329072</v>
      </c>
      <c r="HN41" s="33" t="n">
        <v>329072</v>
      </c>
      <c r="HO41" s="33" t="n">
        <v>329072</v>
      </c>
      <c r="HP41" s="33" t="n">
        <v>329072</v>
      </c>
      <c r="HQ41" s="33" t="n">
        <v>329072</v>
      </c>
      <c r="HR41" s="33" t="n">
        <v>329072</v>
      </c>
      <c r="HS41" s="33" t="n">
        <v>329072</v>
      </c>
      <c r="HT41" s="33" t="n">
        <v>329072</v>
      </c>
      <c r="HU41" s="33" t="n">
        <v>329072</v>
      </c>
      <c r="HV41" s="33" t="n">
        <v>329072</v>
      </c>
      <c r="HW41" s="33" t="n">
        <v>329072</v>
      </c>
      <c r="HX41" s="33" t="n">
        <v>329072</v>
      </c>
      <c r="HY41" s="33" t="n">
        <v>329072</v>
      </c>
      <c r="HZ41" s="33" t="n">
        <v>329072</v>
      </c>
      <c r="IA41" s="33" t="n">
        <v>329072</v>
      </c>
      <c r="IB41" s="33" t="n">
        <v>329072</v>
      </c>
      <c r="IC41" s="33" t="n">
        <v>329072</v>
      </c>
      <c r="ID41" s="33" t="n">
        <v>329072</v>
      </c>
      <c r="IE41" s="33" t="n">
        <v>329072</v>
      </c>
      <c r="IF41" s="33" t="n">
        <v>329072</v>
      </c>
      <c r="IG41" s="33" t="n">
        <v>329072</v>
      </c>
      <c r="IH41" s="33" t="n">
        <v>329072</v>
      </c>
      <c r="II41" s="33" t="n">
        <v>329072</v>
      </c>
      <c r="IJ41" s="33" t="n">
        <v>329072</v>
      </c>
      <c r="IK41" s="33" t="n">
        <v>329072</v>
      </c>
      <c r="IL41" s="33" t="n">
        <v>329072</v>
      </c>
      <c r="IM41" s="33" t="n">
        <v>329072</v>
      </c>
      <c r="IN41" s="33" t="n">
        <v>329072</v>
      </c>
      <c r="IO41" s="33" t="n">
        <v>329072</v>
      </c>
      <c r="IP41" s="33" t="n">
        <v>329072</v>
      </c>
      <c r="IQ41" s="33" t="n">
        <v>329072</v>
      </c>
      <c r="IR41" s="33" t="n">
        <v>329072</v>
      </c>
      <c r="IS41" s="33" t="n">
        <v>329072</v>
      </c>
      <c r="IT41" s="33" t="n">
        <v>329072</v>
      </c>
      <c r="IU41" s="33" t="n">
        <v>329072</v>
      </c>
      <c r="IV41" s="33" t="n">
        <v>329072</v>
      </c>
      <c r="IW41" s="33" t="n">
        <v>329072</v>
      </c>
      <c r="IX41" s="33" t="n">
        <v>329072</v>
      </c>
      <c r="IY41" s="33" t="n">
        <v>329072</v>
      </c>
      <c r="IZ41" s="33" t="n">
        <v>329072</v>
      </c>
      <c r="JA41" s="33" t="n">
        <v>329072</v>
      </c>
      <c r="JB41" s="33" t="n">
        <v>329072</v>
      </c>
      <c r="JC41" s="33" t="n">
        <v>329072</v>
      </c>
      <c r="JD41" s="33" t="n">
        <v>329072</v>
      </c>
      <c r="JE41" s="33" t="n">
        <v>329072</v>
      </c>
      <c r="JF41" s="33" t="n">
        <v>329072</v>
      </c>
      <c r="JG41" s="33" t="n">
        <v>329072</v>
      </c>
      <c r="JH41" s="33" t="n">
        <v>329072</v>
      </c>
      <c r="JI41" s="33" t="n">
        <v>329072</v>
      </c>
      <c r="JJ41" s="33" t="n">
        <v>329072</v>
      </c>
      <c r="JK41" s="33" t="n">
        <v>329072</v>
      </c>
      <c r="JL41" s="33" t="n">
        <v>329072</v>
      </c>
      <c r="JM41" s="33" t="n">
        <v>329072</v>
      </c>
      <c r="JN41" s="33" t="n">
        <v>329072</v>
      </c>
      <c r="JO41" s="33" t="n">
        <v>329072</v>
      </c>
      <c r="JP41" s="33" t="n">
        <v>329072</v>
      </c>
      <c r="JQ41" s="33" t="n">
        <v>329072</v>
      </c>
      <c r="JR41" s="33" t="n">
        <v>329072</v>
      </c>
      <c r="JS41" s="33" t="n">
        <v>329072</v>
      </c>
      <c r="JT41" s="33" t="n">
        <v>329072</v>
      </c>
      <c r="JU41" s="33" t="n">
        <v>329072</v>
      </c>
      <c r="JV41" s="33" t="n">
        <v>329072</v>
      </c>
      <c r="JW41" s="33" t="n">
        <v>329072</v>
      </c>
      <c r="JX41" s="33" t="n">
        <v>329072</v>
      </c>
      <c r="JY41" s="33" t="n">
        <v>329072</v>
      </c>
      <c r="JZ41" s="33" t="n">
        <v>329072</v>
      </c>
      <c r="KA41" s="33" t="n">
        <v>329072</v>
      </c>
      <c r="KB41" s="33" t="n">
        <v>329072</v>
      </c>
      <c r="KC41" s="33" t="n">
        <v>329072</v>
      </c>
      <c r="KD41" s="33" t="n">
        <v>329072</v>
      </c>
      <c r="KE41" s="33" t="n">
        <v>329072</v>
      </c>
      <c r="KF41" s="33" t="n">
        <v>329072</v>
      </c>
      <c r="KG41" s="33" t="n">
        <v>329072</v>
      </c>
      <c r="KH41" s="33" t="n">
        <v>329072</v>
      </c>
      <c r="KI41" s="33" t="n">
        <v>329072</v>
      </c>
      <c r="KJ41" s="33" t="n">
        <v>329072</v>
      </c>
      <c r="KK41" s="33" t="n">
        <v>329072</v>
      </c>
      <c r="KL41" s="33" t="n">
        <v>329072</v>
      </c>
      <c r="KM41" s="33" t="n">
        <v>329072</v>
      </c>
      <c r="KN41" s="33" t="n">
        <v>329072</v>
      </c>
      <c r="KO41" s="33" t="n">
        <v>329072</v>
      </c>
      <c r="KP41" s="33" t="n">
        <v>329072</v>
      </c>
      <c r="KQ41" s="33" t="n">
        <v>329072</v>
      </c>
      <c r="KR41" s="33" t="n">
        <v>329072</v>
      </c>
      <c r="KS41" s="33" t="n">
        <v>329072</v>
      </c>
      <c r="KT41" s="33" t="n">
        <v>329072</v>
      </c>
      <c r="KU41" s="33" t="n">
        <v>329072</v>
      </c>
      <c r="KV41" s="33" t="n">
        <v>329072</v>
      </c>
      <c r="KW41" s="33" t="n">
        <v>329072</v>
      </c>
      <c r="KX41" s="33" t="n">
        <v>329072</v>
      </c>
      <c r="KY41" s="33" t="n">
        <v>329072</v>
      </c>
      <c r="KZ41" s="33" t="n">
        <v>329072</v>
      </c>
      <c r="LA41" s="33" t="n">
        <v>329072</v>
      </c>
      <c r="LB41" s="33" t="n">
        <v>329072</v>
      </c>
      <c r="LC41" s="33" t="n">
        <v>329072</v>
      </c>
      <c r="LD41" s="33" t="n">
        <v>329072</v>
      </c>
      <c r="LE41" s="33" t="n">
        <v>329072</v>
      </c>
      <c r="LF41" s="33" t="n">
        <v>329072</v>
      </c>
      <c r="LG41" s="33" t="n">
        <v>329072</v>
      </c>
      <c r="LH41" s="33" t="n">
        <v>329072</v>
      </c>
      <c r="LI41" s="33" t="n">
        <v>329072</v>
      </c>
      <c r="LJ41" s="33" t="n">
        <v>329072</v>
      </c>
      <c r="LK41" s="33" t="n">
        <v>329072</v>
      </c>
      <c r="LL41" s="33" t="n">
        <v>329072</v>
      </c>
      <c r="LM41" s="33" t="n">
        <v>329072</v>
      </c>
      <c r="LN41" s="33" t="n">
        <v>329072</v>
      </c>
      <c r="LO41" s="33" t="n">
        <v>329072</v>
      </c>
      <c r="LP41" s="33" t="n">
        <v>329072</v>
      </c>
      <c r="LQ41" s="33" t="n">
        <v>329072</v>
      </c>
      <c r="LR41" s="33" t="n">
        <v>329072</v>
      </c>
      <c r="LS41" s="33" t="n">
        <v>329072</v>
      </c>
      <c r="LT41" s="33" t="n">
        <v>329072</v>
      </c>
      <c r="LU41" s="33" t="n">
        <v>329072</v>
      </c>
      <c r="LV41" s="33" t="n">
        <v>329072</v>
      </c>
      <c r="LW41" s="33" t="n">
        <v>329072</v>
      </c>
      <c r="LX41" s="33" t="n">
        <v>329072</v>
      </c>
      <c r="LY41" s="33" t="n">
        <v>329072</v>
      </c>
      <c r="LZ41" s="33" t="n">
        <v>329072</v>
      </c>
      <c r="MA41" s="33" t="n">
        <v>329072</v>
      </c>
      <c r="MB41" s="33" t="n">
        <v>329072</v>
      </c>
      <c r="MC41" s="33" t="n">
        <v>329072</v>
      </c>
      <c r="MD41" s="33" t="n">
        <v>329072</v>
      </c>
      <c r="ME41" s="33" t="n">
        <v>329072</v>
      </c>
      <c r="MF41" s="33" t="n">
        <v>329072</v>
      </c>
      <c r="MG41" s="33" t="n">
        <v>329072</v>
      </c>
      <c r="MH41" s="33" t="n">
        <v>329072</v>
      </c>
      <c r="MI41" s="33" t="n">
        <v>329072</v>
      </c>
      <c r="MJ41" s="33" t="n">
        <v>329072</v>
      </c>
      <c r="MK41" s="33" t="n">
        <v>329072</v>
      </c>
      <c r="ML41" s="33" t="n">
        <v>329072</v>
      </c>
      <c r="MM41" s="33" t="n">
        <v>329072</v>
      </c>
      <c r="MN41" s="33" t="n">
        <v>329072</v>
      </c>
      <c r="MO41" s="33" t="n">
        <v>329072</v>
      </c>
      <c r="MP41" s="33" t="n">
        <v>329072</v>
      </c>
      <c r="MQ41" s="33" t="n">
        <v>329072</v>
      </c>
      <c r="MR41" s="33" t="n">
        <v>329072</v>
      </c>
      <c r="MS41" s="33" t="n">
        <v>329072</v>
      </c>
      <c r="MT41" s="33" t="n">
        <v>329072</v>
      </c>
      <c r="MU41" s="33" t="n">
        <v>329072</v>
      </c>
      <c r="MV41" s="33" t="n">
        <v>329072</v>
      </c>
      <c r="MW41" s="33" t="n">
        <v>329072</v>
      </c>
      <c r="MX41" s="33" t="n">
        <v>329072</v>
      </c>
      <c r="MY41" s="33" t="n">
        <v>329072</v>
      </c>
      <c r="MZ41" s="33" t="n">
        <v>329072</v>
      </c>
      <c r="NA41" s="33" t="n">
        <v>329072</v>
      </c>
      <c r="NB41" s="33" t="n">
        <v>329072</v>
      </c>
      <c r="NC41" s="33" t="n">
        <v>329072</v>
      </c>
      <c r="ND41" s="33" t="n">
        <v>329072</v>
      </c>
      <c r="NE41" s="33" t="n">
        <v>329072</v>
      </c>
      <c r="NF41" s="33" t="n">
        <v>329072</v>
      </c>
      <c r="NG41" s="33" t="n">
        <v>329072</v>
      </c>
      <c r="NH41" s="33" t="n">
        <v>329072</v>
      </c>
      <c r="NI41" s="33" t="n">
        <v>329072</v>
      </c>
      <c r="NJ41" s="33" t="n">
        <v>329072</v>
      </c>
      <c r="NK41" s="33" t="n">
        <v>329072</v>
      </c>
      <c r="NL41" s="33" t="n">
        <v>329072</v>
      </c>
      <c r="NM41" s="33" t="n">
        <v>329072</v>
      </c>
      <c r="NN41" s="33" t="n">
        <v>329072</v>
      </c>
      <c r="NO41" s="33" t="n">
        <v>329072</v>
      </c>
      <c r="NP41" s="33" t="n">
        <v>329072</v>
      </c>
      <c r="NQ41" s="33" t="n">
        <v>329072</v>
      </c>
      <c r="NR41" s="33" t="n">
        <v>329072</v>
      </c>
      <c r="NS41" s="33" t="n">
        <v>329072</v>
      </c>
      <c r="NT41" s="33" t="n">
        <v>329072</v>
      </c>
      <c r="NU41" s="33" t="n">
        <v>329072</v>
      </c>
      <c r="NV41" s="33" t="n">
        <v>329072</v>
      </c>
      <c r="NW41" s="33" t="n">
        <v>329072</v>
      </c>
      <c r="NX41" s="33" t="n">
        <v>329072</v>
      </c>
      <c r="NY41" s="33" t="n">
        <v>329072</v>
      </c>
      <c r="NZ41" s="33" t="n">
        <v>329072</v>
      </c>
      <c r="OA41" s="33" t="n">
        <v>329072</v>
      </c>
      <c r="OB41" s="33" t="n">
        <v>329072</v>
      </c>
      <c r="OC41" s="33" t="n">
        <v>329072</v>
      </c>
      <c r="OD41" s="33" t="n">
        <v>329072</v>
      </c>
      <c r="OE41" s="33" t="n">
        <v>329072</v>
      </c>
      <c r="OF41" s="33" t="n">
        <v>329072</v>
      </c>
      <c r="OG41" s="33" t="n">
        <v>329072</v>
      </c>
      <c r="OH41" s="33" t="n">
        <v>329072</v>
      </c>
      <c r="OI41" s="33" t="n">
        <v>329072</v>
      </c>
      <c r="OJ41" s="33" t="n">
        <v>329072</v>
      </c>
      <c r="OK41" s="33" t="n">
        <v>329072</v>
      </c>
      <c r="OL41" s="33" t="n">
        <v>329072</v>
      </c>
      <c r="OM41" s="33" t="n">
        <v>329072</v>
      </c>
      <c r="ON41" s="33" t="n">
        <v>329072</v>
      </c>
      <c r="OO41" s="33" t="n">
        <v>329072</v>
      </c>
      <c r="OP41" s="33" t="n">
        <v>329072</v>
      </c>
      <c r="OQ41" s="33" t="n">
        <v>329072</v>
      </c>
      <c r="OR41" s="33" t="n">
        <v>329072</v>
      </c>
      <c r="OS41" s="33" t="n">
        <v>329072</v>
      </c>
      <c r="OT41" s="33" t="n">
        <v>329072</v>
      </c>
      <c r="OU41" s="33" t="n">
        <v>329072</v>
      </c>
      <c r="OV41" s="33" t="n">
        <v>329072</v>
      </c>
      <c r="OW41" s="33" t="n">
        <v>329072</v>
      </c>
      <c r="OX41" s="33" t="n">
        <v>329072</v>
      </c>
      <c r="OY41" s="33" t="n">
        <v>329072</v>
      </c>
      <c r="OZ41" s="33" t="n">
        <v>329072</v>
      </c>
      <c r="PA41" s="33" t="n">
        <v>329072</v>
      </c>
      <c r="PB41" s="33" t="n">
        <v>329072</v>
      </c>
      <c r="PC41" s="33" t="n">
        <v>329072</v>
      </c>
      <c r="PD41" s="33" t="n">
        <v>329072</v>
      </c>
      <c r="PE41" s="33" t="n">
        <v>329072</v>
      </c>
      <c r="PF41" s="33" t="n">
        <v>329072</v>
      </c>
      <c r="PG41" s="33" t="n">
        <v>329072</v>
      </c>
      <c r="PH41" s="33" t="n">
        <v>329072</v>
      </c>
      <c r="PI41" s="33" t="n">
        <v>329072</v>
      </c>
      <c r="PJ41" s="33" t="n">
        <v>329072</v>
      </c>
      <c r="PK41" s="33" t="n">
        <v>329072</v>
      </c>
      <c r="PL41" s="33" t="n">
        <v>329072</v>
      </c>
      <c r="PM41" s="33" t="n">
        <v>329072</v>
      </c>
      <c r="PN41" s="33" t="n">
        <v>329072</v>
      </c>
      <c r="PO41" s="33" t="n">
        <v>329072</v>
      </c>
      <c r="PP41" s="33" t="n">
        <v>329072</v>
      </c>
      <c r="PQ41" s="33" t="n">
        <v>329072</v>
      </c>
      <c r="PR41" s="33" t="n">
        <v>329072</v>
      </c>
      <c r="PS41" s="33" t="n">
        <v>329072</v>
      </c>
      <c r="PT41" s="33" t="n">
        <v>329072</v>
      </c>
      <c r="PU41" s="33" t="n">
        <v>329072</v>
      </c>
      <c r="PV41" s="33" t="n">
        <v>329072</v>
      </c>
      <c r="PW41" s="33" t="n">
        <v>329072</v>
      </c>
      <c r="PX41" s="33" t="n">
        <v>329072</v>
      </c>
      <c r="PY41" s="33" t="n">
        <v>329072</v>
      </c>
      <c r="PZ41" s="33" t="n">
        <v>329072</v>
      </c>
      <c r="QA41" s="33" t="n">
        <v>329072</v>
      </c>
      <c r="QB41" s="33" t="n">
        <v>329072</v>
      </c>
      <c r="QC41" s="33" t="n">
        <v>329072</v>
      </c>
      <c r="QD41" s="33" t="n">
        <v>329072</v>
      </c>
      <c r="QE41" s="33" t="n">
        <v>329072</v>
      </c>
      <c r="QF41" s="33" t="n">
        <v>329072</v>
      </c>
      <c r="QG41" s="33" t="n">
        <v>329072</v>
      </c>
      <c r="QH41" s="33" t="n">
        <v>329072</v>
      </c>
      <c r="QI41" s="33" t="n">
        <v>329072</v>
      </c>
      <c r="QJ41" s="33" t="n">
        <v>329072</v>
      </c>
      <c r="QK41" s="33" t="n">
        <v>329072</v>
      </c>
      <c r="QL41" s="33" t="n">
        <v>329072</v>
      </c>
      <c r="QM41" s="33" t="n">
        <v>329072</v>
      </c>
      <c r="QN41" s="33" t="n">
        <v>329072</v>
      </c>
      <c r="QO41" s="33" t="n">
        <v>329072</v>
      </c>
      <c r="QP41" s="33" t="n">
        <v>329072</v>
      </c>
      <c r="QQ41" s="33" t="n">
        <v>329072</v>
      </c>
      <c r="QR41" s="33" t="n">
        <v>329072</v>
      </c>
      <c r="QS41" s="33" t="n">
        <v>329072</v>
      </c>
      <c r="QT41" s="33" t="n">
        <v>329072</v>
      </c>
      <c r="QU41" s="33" t="n">
        <v>329072</v>
      </c>
      <c r="QV41" s="33" t="n">
        <v>329072</v>
      </c>
      <c r="QW41" s="33" t="n">
        <v>329072</v>
      </c>
      <c r="QX41" s="33" t="n">
        <v>329072</v>
      </c>
      <c r="QY41" s="33" t="n">
        <v>329072</v>
      </c>
      <c r="QZ41" s="33" t="n">
        <v>329072</v>
      </c>
      <c r="RA41" s="33" t="n">
        <v>329072</v>
      </c>
      <c r="RB41" s="33" t="n">
        <v>329072</v>
      </c>
      <c r="RC41" s="33" t="n">
        <v>329072</v>
      </c>
      <c r="RD41" s="33" t="n">
        <v>329072</v>
      </c>
      <c r="RE41" s="33" t="n">
        <v>329072</v>
      </c>
      <c r="RF41" s="33" t="n">
        <v>329072</v>
      </c>
      <c r="RG41" s="33" t="n">
        <v>329072</v>
      </c>
      <c r="RH41" s="33" t="n">
        <v>329072</v>
      </c>
      <c r="RI41" s="33" t="n">
        <v>329072</v>
      </c>
      <c r="RJ41" s="33" t="n">
        <v>329072</v>
      </c>
      <c r="RK41" s="33" t="n">
        <v>329072</v>
      </c>
      <c r="RL41" s="33" t="n">
        <v>329072</v>
      </c>
      <c r="RM41" s="33" t="n">
        <v>329072</v>
      </c>
      <c r="RN41" s="33" t="n">
        <v>329072</v>
      </c>
      <c r="RO41" s="33" t="n">
        <v>329072</v>
      </c>
      <c r="RP41" s="33" t="n">
        <v>329072</v>
      </c>
      <c r="RQ41" s="33" t="n">
        <v>329072</v>
      </c>
      <c r="RR41" s="33" t="n">
        <v>329072</v>
      </c>
      <c r="RS41" s="33" t="n">
        <v>329072</v>
      </c>
      <c r="RT41" s="33" t="n">
        <v>329072</v>
      </c>
      <c r="RU41" s="33" t="n">
        <v>329072</v>
      </c>
      <c r="RV41" s="33" t="n">
        <v>329072</v>
      </c>
      <c r="RW41" s="33" t="n">
        <v>329072</v>
      </c>
    </row>
    <row r="42" hidden="1" outlineLevel="1" ht="13.05" customHeight="1">
      <c r="E42" s="21" t="inlineStr">
        <is>
          <t>Retained Earnings</t>
        </is>
      </c>
      <c r="F42" s="29" t="n"/>
      <c r="G42" s="29" t="inlineStr">
        <is>
          <t>kEUR</t>
        </is>
      </c>
      <c r="H42" s="29" t="n"/>
      <c r="I42" s="29" t="n"/>
      <c r="J42" s="32" t="n">
        <v>186033883.9784976</v>
      </c>
      <c r="K42" s="29" t="n"/>
      <c r="L42" s="33">
        <f>Assumptions!$B$6+L14-L27</f>
        <v/>
      </c>
      <c r="M42" s="33">
        <f>L42+M14-M27</f>
        <v/>
      </c>
      <c r="N42" s="33">
        <f>M42+N14-N27</f>
        <v/>
      </c>
      <c r="O42" s="33">
        <f>N42+O14-O27</f>
        <v/>
      </c>
      <c r="P42" s="33">
        <f>O42+P14-P27</f>
        <v/>
      </c>
      <c r="Q42" s="33">
        <f>P42+Q14-Q27</f>
        <v/>
      </c>
      <c r="R42" s="33">
        <f>Q42+R14-R27</f>
        <v/>
      </c>
      <c r="S42" s="33">
        <f>R42+S14-S27</f>
        <v/>
      </c>
      <c r="T42" s="33">
        <f>S42+T14-T27</f>
        <v/>
      </c>
      <c r="U42" s="33">
        <f>T42+U14-U27</f>
        <v/>
      </c>
      <c r="V42" s="33">
        <f>U42+V14-V27</f>
        <v/>
      </c>
      <c r="W42" s="33">
        <f>V42+W14-W27</f>
        <v/>
      </c>
      <c r="X42" s="33">
        <f>W42+X14-X27</f>
        <v/>
      </c>
      <c r="Y42" s="33">
        <f>X42+Y14-Y27</f>
        <v/>
      </c>
      <c r="Z42" s="33">
        <f>Y42+Z14-Z27</f>
        <v/>
      </c>
      <c r="AA42" s="33">
        <f>Z42+AA14-AA27</f>
        <v/>
      </c>
      <c r="AB42" s="33">
        <f>AA42+AB14-AB27</f>
        <v/>
      </c>
      <c r="AC42" s="33">
        <f>AB42+AC14-AC27</f>
        <v/>
      </c>
      <c r="AD42" s="33">
        <f>AC42+AD14-AD27</f>
        <v/>
      </c>
      <c r="AE42" s="33">
        <f>AD42+AE14-AE27</f>
        <v/>
      </c>
      <c r="AF42" s="33">
        <f>AE42+AF14-AF27</f>
        <v/>
      </c>
      <c r="AG42" s="33">
        <f>AF42+AG14-AG27</f>
        <v/>
      </c>
      <c r="AH42" s="33">
        <f>AG42+AH14-AH27</f>
        <v/>
      </c>
      <c r="AI42" s="33">
        <f>AH42+AI14-AI27</f>
        <v/>
      </c>
      <c r="AJ42" s="33">
        <f>AI42+AJ14-AJ27</f>
        <v/>
      </c>
      <c r="AK42" s="33">
        <f>AJ42+AK14-AK27</f>
        <v/>
      </c>
      <c r="AL42" s="33">
        <f>AK42+AL14-AL27</f>
        <v/>
      </c>
      <c r="AM42" s="33">
        <f>AL42+AM14-AM27</f>
        <v/>
      </c>
      <c r="AN42" s="33">
        <f>AM42+AN14-AN27</f>
        <v/>
      </c>
      <c r="AO42" s="33">
        <f>AN42+AO14-AO27</f>
        <v/>
      </c>
      <c r="AP42" s="33">
        <f>AO42+AP14-AP27</f>
        <v/>
      </c>
      <c r="AQ42" s="33">
        <f>AP42+AQ14-AQ27</f>
        <v/>
      </c>
      <c r="AR42" s="33">
        <f>AQ42+AR14-AR27</f>
        <v/>
      </c>
      <c r="AS42" s="33">
        <f>AR42+AS14-AS27</f>
        <v/>
      </c>
      <c r="AT42" s="33">
        <f>AS42+AT14-AT27</f>
        <v/>
      </c>
      <c r="AU42" s="33">
        <f>AT42+AU14-AU27</f>
        <v/>
      </c>
      <c r="AV42" s="33">
        <f>AU42+AV14-AV27</f>
        <v/>
      </c>
      <c r="AW42" s="33">
        <f>AV42+AW14-AW27</f>
        <v/>
      </c>
      <c r="AX42" s="33">
        <f>AW42+AX14-AX27</f>
        <v/>
      </c>
      <c r="AY42" s="33">
        <f>AX42+AY14-AY27</f>
        <v/>
      </c>
      <c r="AZ42" s="33">
        <f>AY42+AZ14-AZ27</f>
        <v/>
      </c>
      <c r="BA42" s="33">
        <f>AZ42+BA14-BA27</f>
        <v/>
      </c>
      <c r="BB42" s="33">
        <f>BA42+BB14-BB27</f>
        <v/>
      </c>
      <c r="BC42" s="33">
        <f>BB42+BC14-BC27</f>
        <v/>
      </c>
      <c r="BD42" s="33">
        <f>BC42+BD14-BD27</f>
        <v/>
      </c>
      <c r="BE42" s="33">
        <f>BD42+BE14-BE27</f>
        <v/>
      </c>
      <c r="BF42" s="33">
        <f>BE42+BF14-BF27</f>
        <v/>
      </c>
      <c r="BG42" s="33">
        <f>BF42+BG14-BG27</f>
        <v/>
      </c>
      <c r="BH42" s="33">
        <f>BG42+BH14-BH27</f>
        <v/>
      </c>
      <c r="BI42" s="33">
        <f>BH42+BI14-BI27</f>
        <v/>
      </c>
      <c r="BJ42" s="33">
        <f>BI42+BJ14-BJ27</f>
        <v/>
      </c>
      <c r="BK42" s="33">
        <f>BJ42+BK14-BK27</f>
        <v/>
      </c>
      <c r="BL42" s="33">
        <f>BK42+BL14-BL27</f>
        <v/>
      </c>
      <c r="BM42" s="33">
        <f>BL42+BM14-BM27</f>
        <v/>
      </c>
      <c r="BN42" s="33">
        <f>BM42+BN14-BN27</f>
        <v/>
      </c>
      <c r="BO42" s="33">
        <f>BN42+BO14-BO27</f>
        <v/>
      </c>
      <c r="BP42" s="33">
        <f>BO42+BP14-BP27</f>
        <v/>
      </c>
      <c r="BQ42" s="33">
        <f>BP42+BQ14-BQ27</f>
        <v/>
      </c>
      <c r="BR42" s="33">
        <f>BQ42+BR14-BR27</f>
        <v/>
      </c>
      <c r="BS42" s="33">
        <f>BR42+BS14-BS27</f>
        <v/>
      </c>
      <c r="BT42" s="33">
        <f>BS42+BT14-BT27</f>
        <v/>
      </c>
      <c r="BU42" s="33">
        <f>BT42+BU14-BU27</f>
        <v/>
      </c>
      <c r="BV42" s="33">
        <f>BU42+BV14-BV27</f>
        <v/>
      </c>
      <c r="BW42" s="33">
        <f>BV42+BW14-BW27</f>
        <v/>
      </c>
      <c r="BX42" s="33">
        <f>BW42+BX14-BX27</f>
        <v/>
      </c>
      <c r="BY42" s="33">
        <f>BX42+BY14-BY27</f>
        <v/>
      </c>
      <c r="BZ42" s="33">
        <f>BY42+BZ14-BZ27</f>
        <v/>
      </c>
      <c r="CA42" s="33">
        <f>BZ42+CA14-CA27</f>
        <v/>
      </c>
      <c r="CB42" s="33">
        <f>CA42+CB14-CB27</f>
        <v/>
      </c>
      <c r="CC42" s="33">
        <f>CB42+CC14-CC27</f>
        <v/>
      </c>
      <c r="CD42" s="33">
        <f>CC42+CD14-CD27</f>
        <v/>
      </c>
      <c r="CE42" s="33">
        <f>CD42+CE14-CE27</f>
        <v/>
      </c>
      <c r="CF42" s="33">
        <f>CE42+CF14-CF27</f>
        <v/>
      </c>
      <c r="CG42" s="33">
        <f>CF42+CG14-CG27</f>
        <v/>
      </c>
      <c r="CH42" s="33">
        <f>CG42+CH14-CH27</f>
        <v/>
      </c>
      <c r="CI42" s="33">
        <f>CH42+CI14-CI27</f>
        <v/>
      </c>
      <c r="CJ42" s="33">
        <f>CI42+CJ14-CJ27</f>
        <v/>
      </c>
      <c r="CK42" s="33">
        <f>CJ42+CK14-CK27</f>
        <v/>
      </c>
      <c r="CL42" s="33">
        <f>CK42+CL14-CL27</f>
        <v/>
      </c>
      <c r="CM42" s="33">
        <f>CL42+CM14-CM27</f>
        <v/>
      </c>
      <c r="CN42" s="33">
        <f>CM42+CN14-CN27</f>
        <v/>
      </c>
      <c r="CO42" s="33">
        <f>CN42+CO14-CO27</f>
        <v/>
      </c>
      <c r="CP42" s="33">
        <f>CO42+CP14-CP27</f>
        <v/>
      </c>
      <c r="CQ42" s="33">
        <f>CP42+CQ14-CQ27</f>
        <v/>
      </c>
      <c r="CR42" s="33">
        <f>CQ42+CR14-CR27</f>
        <v/>
      </c>
      <c r="CS42" s="33">
        <f>CR42+CS14-CS27</f>
        <v/>
      </c>
      <c r="CT42" s="33">
        <f>CS42+CT14-CT27</f>
        <v/>
      </c>
      <c r="CU42" s="33">
        <f>CT42+CU14-CU27</f>
        <v/>
      </c>
      <c r="CV42" s="33">
        <f>CU42+CV14-CV27</f>
        <v/>
      </c>
      <c r="CW42" s="33">
        <f>CV42+CW14-CW27</f>
        <v/>
      </c>
      <c r="CX42" s="33">
        <f>CW42+CX14-CX27</f>
        <v/>
      </c>
      <c r="CY42" s="33">
        <f>CX42+CY14-CY27</f>
        <v/>
      </c>
      <c r="CZ42" s="33">
        <f>CY42+CZ14-CZ27</f>
        <v/>
      </c>
      <c r="DA42" s="33">
        <f>CZ42+DA14-DA27</f>
        <v/>
      </c>
      <c r="DB42" s="33">
        <f>DA42+DB14-DB27</f>
        <v/>
      </c>
      <c r="DC42" s="33">
        <f>DB42+DC14-DC27</f>
        <v/>
      </c>
      <c r="DD42" s="33">
        <f>DC42+DD14-DD27</f>
        <v/>
      </c>
      <c r="DE42" s="33">
        <f>DD42+DE14-DE27</f>
        <v/>
      </c>
      <c r="DF42" s="33">
        <f>DE42+DF14-DF27</f>
        <v/>
      </c>
      <c r="DG42" s="33">
        <f>DF42+DG14-DG27</f>
        <v/>
      </c>
      <c r="DH42" s="33">
        <f>DG42+DH14-DH27</f>
        <v/>
      </c>
      <c r="DI42" s="33">
        <f>DH42+DI14-DI27</f>
        <v/>
      </c>
      <c r="DJ42" s="33">
        <f>DI42+DJ14-DJ27</f>
        <v/>
      </c>
      <c r="DK42" s="33">
        <f>DJ42+DK14-DK27</f>
        <v/>
      </c>
      <c r="DL42" s="33">
        <f>DK42+DL14-DL27</f>
        <v/>
      </c>
      <c r="DM42" s="33">
        <f>DL42+DM14-DM27</f>
        <v/>
      </c>
      <c r="DN42" s="33">
        <f>DM42+DN14-DN27</f>
        <v/>
      </c>
      <c r="DO42" s="33">
        <f>DN42+DO14-DO27</f>
        <v/>
      </c>
      <c r="DP42" s="33">
        <f>DO42+DP14-DP27</f>
        <v/>
      </c>
      <c r="DQ42" s="33">
        <f>DP42+DQ14-DQ27</f>
        <v/>
      </c>
      <c r="DR42" s="33">
        <f>DQ42+DR14-DR27</f>
        <v/>
      </c>
      <c r="DS42" s="33">
        <f>DR42+DS14-DS27</f>
        <v/>
      </c>
      <c r="DT42" s="33">
        <f>DS42+DT14-DT27</f>
        <v/>
      </c>
      <c r="DU42" s="33">
        <f>DT42+DU14-DU27</f>
        <v/>
      </c>
      <c r="DV42" s="33">
        <f>DU42+DV14-DV27</f>
        <v/>
      </c>
      <c r="DW42" s="33">
        <f>DV42+DW14-DW27</f>
        <v/>
      </c>
      <c r="DX42" s="33">
        <f>DW42+DX14-DX27</f>
        <v/>
      </c>
      <c r="DY42" s="33">
        <f>DX42+DY14-DY27</f>
        <v/>
      </c>
      <c r="DZ42" s="33">
        <f>DY42+DZ14-DZ27</f>
        <v/>
      </c>
      <c r="EA42" s="33">
        <f>DZ42+EA14-EA27</f>
        <v/>
      </c>
      <c r="EB42" s="33">
        <f>EA42+EB14-EB27</f>
        <v/>
      </c>
      <c r="EC42" s="33">
        <f>EB42+EC14-EC27</f>
        <v/>
      </c>
      <c r="ED42" s="33">
        <f>EC42+ED14-ED27</f>
        <v/>
      </c>
      <c r="EE42" s="33">
        <f>ED42+EE14-EE27</f>
        <v/>
      </c>
      <c r="EF42" s="33">
        <f>EE42+EF14-EF27</f>
        <v/>
      </c>
      <c r="EG42" s="33">
        <f>EF42+EG14-EG27</f>
        <v/>
      </c>
      <c r="EH42" s="33">
        <f>EG42+EH14-EH27</f>
        <v/>
      </c>
      <c r="EI42" s="33">
        <f>EH42+EI14-EI27</f>
        <v/>
      </c>
      <c r="EJ42" s="33">
        <f>EI42+EJ14-EJ27</f>
        <v/>
      </c>
      <c r="EK42" s="33">
        <f>EJ42+EK14-EK27</f>
        <v/>
      </c>
      <c r="EL42" s="33">
        <f>EK42+EL14-EL27</f>
        <v/>
      </c>
      <c r="EM42" s="33">
        <f>EL42+EM14-EM27</f>
        <v/>
      </c>
      <c r="EN42" s="33">
        <f>EM42+EN14-EN27</f>
        <v/>
      </c>
      <c r="EO42" s="33">
        <f>EN42+EO14-EO27</f>
        <v/>
      </c>
      <c r="EP42" s="33">
        <f>EO42+EP14-EP27</f>
        <v/>
      </c>
      <c r="EQ42" s="33">
        <f>EP42+EQ14-EQ27</f>
        <v/>
      </c>
      <c r="ER42" s="33">
        <f>EQ42+ER14-ER27</f>
        <v/>
      </c>
      <c r="ES42" s="33">
        <f>ER42+ES14-ES27</f>
        <v/>
      </c>
      <c r="ET42" s="33">
        <f>ES42+ET14-ET27</f>
        <v/>
      </c>
      <c r="EU42" s="33">
        <f>ET42+EU14-EU27</f>
        <v/>
      </c>
      <c r="EV42" s="33">
        <f>EU42+EV14-EV27</f>
        <v/>
      </c>
      <c r="EW42" s="33">
        <f>EV42+EW14-EW27</f>
        <v/>
      </c>
      <c r="EX42" s="33">
        <f>EW42+EX14-EX27</f>
        <v/>
      </c>
      <c r="EY42" s="33">
        <f>EX42+EY14-EY27</f>
        <v/>
      </c>
      <c r="EZ42" s="33">
        <f>EY42+EZ14-EZ27</f>
        <v/>
      </c>
      <c r="FA42" s="33">
        <f>EZ42+FA14-FA27</f>
        <v/>
      </c>
      <c r="FB42" s="33">
        <f>FA42+FB14-FB27</f>
        <v/>
      </c>
      <c r="FC42" s="33">
        <f>FB42+FC14-FC27</f>
        <v/>
      </c>
      <c r="FD42" s="33">
        <f>FC42+FD14-FD27</f>
        <v/>
      </c>
      <c r="FE42" s="33">
        <f>FD42+FE14-FE27</f>
        <v/>
      </c>
      <c r="FF42" s="33">
        <f>FE42+FF14-FF27</f>
        <v/>
      </c>
      <c r="FG42" s="33">
        <f>FF42+FG14-FG27</f>
        <v/>
      </c>
      <c r="FH42" s="33">
        <f>FG42+FH14-FH27</f>
        <v/>
      </c>
      <c r="FI42" s="33">
        <f>FH42+FI14-FI27</f>
        <v/>
      </c>
      <c r="FJ42" s="33">
        <f>FI42+FJ14-FJ27</f>
        <v/>
      </c>
      <c r="FK42" s="33">
        <f>FJ42+FK14-FK27</f>
        <v/>
      </c>
      <c r="FL42" s="33">
        <f>FK42+FL14-FL27</f>
        <v/>
      </c>
      <c r="FM42" s="33">
        <f>FL42+FM14-FM27</f>
        <v/>
      </c>
      <c r="FN42" s="33">
        <f>FM42+FN14-FN27</f>
        <v/>
      </c>
      <c r="FO42" s="33">
        <f>FN42+FO14-FO27</f>
        <v/>
      </c>
      <c r="FP42" s="33">
        <f>FO42+FP14-FP27</f>
        <v/>
      </c>
      <c r="FQ42" s="33">
        <f>FP42+FQ14-FQ27</f>
        <v/>
      </c>
      <c r="FR42" s="33">
        <f>FQ42+FR14-FR27</f>
        <v/>
      </c>
      <c r="FS42" s="33">
        <f>FR42+FS14-FS27</f>
        <v/>
      </c>
      <c r="FT42" s="33">
        <f>FS42+FT14-FT27</f>
        <v/>
      </c>
      <c r="FU42" s="33">
        <f>FT42+FU14-FU27</f>
        <v/>
      </c>
      <c r="FV42" s="33">
        <f>FU42+FV14-FV27</f>
        <v/>
      </c>
      <c r="FW42" s="33">
        <f>FV42+FW14-FW27</f>
        <v/>
      </c>
      <c r="FX42" s="33">
        <f>FW42+FX14-FX27</f>
        <v/>
      </c>
      <c r="FY42" s="33">
        <f>FX42+FY14-FY27</f>
        <v/>
      </c>
      <c r="FZ42" s="33">
        <f>FY42+FZ14-FZ27</f>
        <v/>
      </c>
      <c r="GA42" s="33">
        <f>FZ42+GA14-GA27</f>
        <v/>
      </c>
      <c r="GB42" s="33">
        <f>GA42+GB14-GB27</f>
        <v/>
      </c>
      <c r="GC42" s="33">
        <f>GB42+GC14-GC27</f>
        <v/>
      </c>
      <c r="GD42" s="33">
        <f>GC42+GD14-GD27</f>
        <v/>
      </c>
      <c r="GE42" s="33">
        <f>GD42+GE14-GE27</f>
        <v/>
      </c>
      <c r="GF42" s="33">
        <f>GE42+GF14-GF27</f>
        <v/>
      </c>
      <c r="GG42" s="33">
        <f>GF42+GG14-GG27</f>
        <v/>
      </c>
      <c r="GH42" s="33">
        <f>GG42+GH14-GH27</f>
        <v/>
      </c>
      <c r="GI42" s="33">
        <f>GH42+GI14-GI27</f>
        <v/>
      </c>
      <c r="GJ42" s="33">
        <f>GI42+GJ14-GJ27</f>
        <v/>
      </c>
      <c r="GK42" s="33">
        <f>GJ42+GK14-GK27</f>
        <v/>
      </c>
      <c r="GL42" s="33">
        <f>GK42+GL14-GL27</f>
        <v/>
      </c>
      <c r="GM42" s="33">
        <f>GL42+GM14-GM27</f>
        <v/>
      </c>
      <c r="GN42" s="33">
        <f>GM42+GN14-GN27</f>
        <v/>
      </c>
      <c r="GO42" s="33">
        <f>GN42+GO14-GO27</f>
        <v/>
      </c>
      <c r="GP42" s="33">
        <f>GO42+GP14-GP27</f>
        <v/>
      </c>
      <c r="GQ42" s="33">
        <f>GP42+GQ14-GQ27</f>
        <v/>
      </c>
      <c r="GR42" s="33">
        <f>GQ42+GR14-GR27</f>
        <v/>
      </c>
      <c r="GS42" s="33">
        <f>GR42+GS14-GS27</f>
        <v/>
      </c>
      <c r="GT42" s="33">
        <f>GS42+GT14-GT27</f>
        <v/>
      </c>
      <c r="GU42" s="33">
        <f>GT42+GU14-GU27</f>
        <v/>
      </c>
      <c r="GV42" s="33">
        <f>GU42+GV14-GV27</f>
        <v/>
      </c>
      <c r="GW42" s="33">
        <f>GV42+GW14-GW27</f>
        <v/>
      </c>
      <c r="GX42" s="33">
        <f>GW42+GX14-GX27</f>
        <v/>
      </c>
      <c r="GY42" s="33">
        <f>GX42+GY14-GY27</f>
        <v/>
      </c>
      <c r="GZ42" s="33">
        <f>GY42+GZ14-GZ27</f>
        <v/>
      </c>
      <c r="HA42" s="33">
        <f>GZ42+HA14-HA27</f>
        <v/>
      </c>
      <c r="HB42" s="33">
        <f>HA42+HB14-HB27</f>
        <v/>
      </c>
      <c r="HC42" s="33">
        <f>HB42+HC14-HC27</f>
        <v/>
      </c>
      <c r="HD42" s="33">
        <f>HC42+HD14-HD27</f>
        <v/>
      </c>
      <c r="HE42" s="33">
        <f>HD42+HE14-HE27</f>
        <v/>
      </c>
      <c r="HF42" s="33">
        <f>HE42+HF14-HF27</f>
        <v/>
      </c>
      <c r="HG42" s="33">
        <f>HF42+HG14-HG27</f>
        <v/>
      </c>
      <c r="HH42" s="33">
        <f>HG42+HH14-HH27</f>
        <v/>
      </c>
      <c r="HI42" s="33">
        <f>HH42+HI14-HI27</f>
        <v/>
      </c>
      <c r="HJ42" s="33">
        <f>HI42+HJ14-HJ27</f>
        <v/>
      </c>
      <c r="HK42" s="33">
        <f>HJ42+HK14-HK27</f>
        <v/>
      </c>
      <c r="HL42" s="33">
        <f>HK42+HL14-HL27</f>
        <v/>
      </c>
      <c r="HM42" s="33">
        <f>HL42+HM14-HM27</f>
        <v/>
      </c>
      <c r="HN42" s="33">
        <f>HM42+HN14-HN27</f>
        <v/>
      </c>
      <c r="HO42" s="33">
        <f>HN42+HO14-HO27</f>
        <v/>
      </c>
      <c r="HP42" s="33">
        <f>HO42+HP14-HP27</f>
        <v/>
      </c>
      <c r="HQ42" s="33">
        <f>HP42+HQ14-HQ27</f>
        <v/>
      </c>
      <c r="HR42" s="33">
        <f>HQ42+HR14-HR27</f>
        <v/>
      </c>
      <c r="HS42" s="33">
        <f>HR42+HS14-HS27</f>
        <v/>
      </c>
      <c r="HT42" s="33">
        <f>HS42+HT14-HT27</f>
        <v/>
      </c>
      <c r="HU42" s="33">
        <f>HT42+HU14-HU27</f>
        <v/>
      </c>
      <c r="HV42" s="33">
        <f>HU42+HV14-HV27</f>
        <v/>
      </c>
      <c r="HW42" s="33">
        <f>HV42+HW14-HW27</f>
        <v/>
      </c>
      <c r="HX42" s="33">
        <f>HW42+HX14-HX27</f>
        <v/>
      </c>
      <c r="HY42" s="33">
        <f>HX42+HY14-HY27</f>
        <v/>
      </c>
      <c r="HZ42" s="33">
        <f>HY42+HZ14-HZ27</f>
        <v/>
      </c>
      <c r="IA42" s="33">
        <f>HZ42+IA14-IA27</f>
        <v/>
      </c>
      <c r="IB42" s="33">
        <f>IA42+IB14-IB27</f>
        <v/>
      </c>
      <c r="IC42" s="33">
        <f>IB42+IC14-IC27</f>
        <v/>
      </c>
      <c r="ID42" s="33">
        <f>IC42+ID14-ID27</f>
        <v/>
      </c>
      <c r="IE42" s="33">
        <f>ID42+IE14-IE27</f>
        <v/>
      </c>
      <c r="IF42" s="33">
        <f>IE42+IF14-IF27</f>
        <v/>
      </c>
      <c r="IG42" s="33">
        <f>IF42+IG14-IG27</f>
        <v/>
      </c>
      <c r="IH42" s="33">
        <f>IG42+IH14-IH27</f>
        <v/>
      </c>
      <c r="II42" s="33">
        <f>IH42+II14-II27</f>
        <v/>
      </c>
      <c r="IJ42" s="33">
        <f>II42+IJ14-IJ27</f>
        <v/>
      </c>
      <c r="IK42" s="33">
        <f>IJ42+IK14-IK27</f>
        <v/>
      </c>
      <c r="IL42" s="33">
        <f>IK42+IL14-IL27</f>
        <v/>
      </c>
      <c r="IM42" s="33">
        <f>IL42+IM14-IM27</f>
        <v/>
      </c>
      <c r="IN42" s="33">
        <f>IM42+IN14-IN27</f>
        <v/>
      </c>
      <c r="IO42" s="33">
        <f>IN42+IO14-IO27</f>
        <v/>
      </c>
      <c r="IP42" s="33">
        <f>IO42+IP14-IP27</f>
        <v/>
      </c>
      <c r="IQ42" s="33">
        <f>IP42+IQ14-IQ27</f>
        <v/>
      </c>
      <c r="IR42" s="33">
        <f>IQ42+IR14-IR27</f>
        <v/>
      </c>
      <c r="IS42" s="33">
        <f>IR42+IS14-IS27</f>
        <v/>
      </c>
      <c r="IT42" s="33">
        <f>IS42+IT14-IT27</f>
        <v/>
      </c>
      <c r="IU42" s="33">
        <f>IT42+IU14-IU27</f>
        <v/>
      </c>
      <c r="IV42" s="33">
        <f>IU42+IV14-IV27</f>
        <v/>
      </c>
      <c r="IW42" s="33">
        <f>IV42+IW14-IW27</f>
        <v/>
      </c>
      <c r="IX42" s="33">
        <f>IW42+IX14-IX27</f>
        <v/>
      </c>
      <c r="IY42" s="33">
        <f>IX42+IY14-IY27</f>
        <v/>
      </c>
      <c r="IZ42" s="33">
        <f>IY42+IZ14-IZ27</f>
        <v/>
      </c>
      <c r="JA42" s="33">
        <f>IZ42+JA14-JA27</f>
        <v/>
      </c>
      <c r="JB42" s="33">
        <f>JA42+JB14-JB27</f>
        <v/>
      </c>
      <c r="JC42" s="33">
        <f>JB42+JC14-JC27</f>
        <v/>
      </c>
      <c r="JD42" s="33">
        <f>JC42+JD14-JD27</f>
        <v/>
      </c>
      <c r="JE42" s="33">
        <f>JD42+JE14-JE27</f>
        <v/>
      </c>
      <c r="JF42" s="33">
        <f>JE42+JF14-JF27</f>
        <v/>
      </c>
      <c r="JG42" s="33">
        <f>JF42+JG14-JG27</f>
        <v/>
      </c>
      <c r="JH42" s="33">
        <f>JG42+JH14-JH27</f>
        <v/>
      </c>
      <c r="JI42" s="33">
        <f>JH42+JI14-JI27</f>
        <v/>
      </c>
      <c r="JJ42" s="33">
        <f>JI42+JJ14-JJ27</f>
        <v/>
      </c>
      <c r="JK42" s="33">
        <f>JJ42+JK14-JK27</f>
        <v/>
      </c>
      <c r="JL42" s="33">
        <f>JK42+JL14-JL27</f>
        <v/>
      </c>
      <c r="JM42" s="33">
        <f>JL42+JM14-JM27</f>
        <v/>
      </c>
      <c r="JN42" s="33">
        <f>JM42+JN14-JN27</f>
        <v/>
      </c>
      <c r="JO42" s="33">
        <f>JN42+JO14-JO27</f>
        <v/>
      </c>
      <c r="JP42" s="33">
        <f>JO42+JP14-JP27</f>
        <v/>
      </c>
      <c r="JQ42" s="33">
        <f>JP42+JQ14-JQ27</f>
        <v/>
      </c>
      <c r="JR42" s="33">
        <f>JQ42+JR14-JR27</f>
        <v/>
      </c>
      <c r="JS42" s="33">
        <f>JR42+JS14-JS27</f>
        <v/>
      </c>
      <c r="JT42" s="33">
        <f>JS42+JT14-JT27</f>
        <v/>
      </c>
      <c r="JU42" s="33">
        <f>JT42+JU14-JU27</f>
        <v/>
      </c>
      <c r="JV42" s="33">
        <f>JU42+JV14-JV27</f>
        <v/>
      </c>
      <c r="JW42" s="33">
        <f>JV42+JW14-JW27</f>
        <v/>
      </c>
      <c r="JX42" s="33">
        <f>JW42+JX14-JX27</f>
        <v/>
      </c>
      <c r="JY42" s="33">
        <f>JX42+JY14-JY27</f>
        <v/>
      </c>
      <c r="JZ42" s="33">
        <f>JY42+JZ14-JZ27</f>
        <v/>
      </c>
      <c r="KA42" s="33">
        <f>JZ42+KA14-KA27</f>
        <v/>
      </c>
      <c r="KB42" s="33">
        <f>KA42+KB14-KB27</f>
        <v/>
      </c>
      <c r="KC42" s="33">
        <f>KB42+KC14-KC27</f>
        <v/>
      </c>
      <c r="KD42" s="33">
        <f>KC42+KD14-KD27</f>
        <v/>
      </c>
      <c r="KE42" s="33">
        <f>KD42+KE14-KE27</f>
        <v/>
      </c>
      <c r="KF42" s="33">
        <f>KE42+KF14-KF27</f>
        <v/>
      </c>
      <c r="KG42" s="33">
        <f>KF42+KG14-KG27</f>
        <v/>
      </c>
      <c r="KH42" s="33">
        <f>KG42+KH14-KH27</f>
        <v/>
      </c>
      <c r="KI42" s="33">
        <f>KH42+KI14-KI27</f>
        <v/>
      </c>
      <c r="KJ42" s="33">
        <f>KI42+KJ14-KJ27</f>
        <v/>
      </c>
      <c r="KK42" s="33">
        <f>KJ42+KK14-KK27</f>
        <v/>
      </c>
      <c r="KL42" s="33">
        <f>KK42+KL14-KL27</f>
        <v/>
      </c>
      <c r="KM42" s="33">
        <f>KL42+KM14-KM27</f>
        <v/>
      </c>
      <c r="KN42" s="33">
        <f>KM42+KN14-KN27</f>
        <v/>
      </c>
      <c r="KO42" s="33">
        <f>KN42+KO14-KO27</f>
        <v/>
      </c>
      <c r="KP42" s="33">
        <f>KO42+KP14-KP27</f>
        <v/>
      </c>
      <c r="KQ42" s="33">
        <f>KP42+KQ14-KQ27</f>
        <v/>
      </c>
      <c r="KR42" s="33">
        <f>KQ42+KR14-KR27</f>
        <v/>
      </c>
      <c r="KS42" s="33">
        <f>KR42+KS14-KS27</f>
        <v/>
      </c>
      <c r="KT42" s="33">
        <f>KS42+KT14-KT27</f>
        <v/>
      </c>
      <c r="KU42" s="33">
        <f>KT42+KU14-KU27</f>
        <v/>
      </c>
      <c r="KV42" s="33">
        <f>KU42+KV14-KV27</f>
        <v/>
      </c>
      <c r="KW42" s="33">
        <f>KV42+KW14-KW27</f>
        <v/>
      </c>
      <c r="KX42" s="33">
        <f>KW42+KX14-KX27</f>
        <v/>
      </c>
      <c r="KY42" s="33">
        <f>KX42+KY14-KY27</f>
        <v/>
      </c>
      <c r="KZ42" s="33">
        <f>KY42+KZ14-KZ27</f>
        <v/>
      </c>
      <c r="LA42" s="33">
        <f>KZ42+LA14-LA27</f>
        <v/>
      </c>
      <c r="LB42" s="33">
        <f>LA42+LB14-LB27</f>
        <v/>
      </c>
      <c r="LC42" s="33">
        <f>LB42+LC14-LC27</f>
        <v/>
      </c>
      <c r="LD42" s="33">
        <f>LC42+LD14-LD27</f>
        <v/>
      </c>
      <c r="LE42" s="33">
        <f>LD42+LE14-LE27</f>
        <v/>
      </c>
      <c r="LF42" s="33">
        <f>LE42+LF14-LF27</f>
        <v/>
      </c>
      <c r="LG42" s="33">
        <f>LF42+LG14-LG27</f>
        <v/>
      </c>
      <c r="LH42" s="33">
        <f>LG42+LH14-LH27</f>
        <v/>
      </c>
      <c r="LI42" s="33">
        <f>LH42+LI14-LI27</f>
        <v/>
      </c>
      <c r="LJ42" s="33">
        <f>LI42+LJ14-LJ27</f>
        <v/>
      </c>
      <c r="LK42" s="33">
        <f>LJ42+LK14-LK27</f>
        <v/>
      </c>
      <c r="LL42" s="33">
        <f>LK42+LL14-LL27</f>
        <v/>
      </c>
      <c r="LM42" s="33">
        <f>LL42+LM14-LM27</f>
        <v/>
      </c>
      <c r="LN42" s="33">
        <f>LM42+LN14-LN27</f>
        <v/>
      </c>
      <c r="LO42" s="33">
        <f>LN42+LO14-LO27</f>
        <v/>
      </c>
      <c r="LP42" s="33">
        <f>LO42+LP14-LP27</f>
        <v/>
      </c>
      <c r="LQ42" s="33">
        <f>LP42+LQ14-LQ27</f>
        <v/>
      </c>
      <c r="LR42" s="33">
        <f>LQ42+LR14-LR27</f>
        <v/>
      </c>
      <c r="LS42" s="33">
        <f>LR42+LS14-LS27</f>
        <v/>
      </c>
      <c r="LT42" s="33">
        <f>LS42+LT14-LT27</f>
        <v/>
      </c>
      <c r="LU42" s="33">
        <f>LT42+LU14-LU27</f>
        <v/>
      </c>
      <c r="LV42" s="33">
        <f>LU42+LV14-LV27</f>
        <v/>
      </c>
      <c r="LW42" s="33">
        <f>LV42+LW14-LW27</f>
        <v/>
      </c>
      <c r="LX42" s="33">
        <f>LW42+LX14-LX27</f>
        <v/>
      </c>
      <c r="LY42" s="33">
        <f>LX42+LY14-LY27</f>
        <v/>
      </c>
      <c r="LZ42" s="33">
        <f>LY42+LZ14-LZ27</f>
        <v/>
      </c>
      <c r="MA42" s="33">
        <f>LZ42+MA14-MA27</f>
        <v/>
      </c>
      <c r="MB42" s="33">
        <f>MA42+MB14-MB27</f>
        <v/>
      </c>
      <c r="MC42" s="33">
        <f>MB42+MC14-MC27</f>
        <v/>
      </c>
      <c r="MD42" s="33">
        <f>MC42+MD14-MD27</f>
        <v/>
      </c>
      <c r="ME42" s="33">
        <f>MD42+ME14-ME27</f>
        <v/>
      </c>
      <c r="MF42" s="33">
        <f>ME42+MF14-MF27</f>
        <v/>
      </c>
      <c r="MG42" s="33">
        <f>MF42+MG14-MG27</f>
        <v/>
      </c>
      <c r="MH42" s="33">
        <f>MG42+MH14-MH27</f>
        <v/>
      </c>
      <c r="MI42" s="33">
        <f>MH42+MI14-MI27</f>
        <v/>
      </c>
      <c r="MJ42" s="33">
        <f>MI42+MJ14-MJ27</f>
        <v/>
      </c>
      <c r="MK42" s="33">
        <f>MJ42+MK14-MK27</f>
        <v/>
      </c>
      <c r="ML42" s="33">
        <f>MK42+ML14-ML27</f>
        <v/>
      </c>
      <c r="MM42" s="33">
        <f>ML42+MM14-MM27</f>
        <v/>
      </c>
      <c r="MN42" s="33">
        <f>MM42+MN14-MN27</f>
        <v/>
      </c>
      <c r="MO42" s="33">
        <f>MN42+MO14-MO27</f>
        <v/>
      </c>
      <c r="MP42" s="33">
        <f>MO42+MP14-MP27</f>
        <v/>
      </c>
      <c r="MQ42" s="33">
        <f>MP42+MQ14-MQ27</f>
        <v/>
      </c>
      <c r="MR42" s="33">
        <f>MQ42+MR14-MR27</f>
        <v/>
      </c>
      <c r="MS42" s="33">
        <f>MR42+MS14-MS27</f>
        <v/>
      </c>
      <c r="MT42" s="33">
        <f>MS42+MT14-MT27</f>
        <v/>
      </c>
      <c r="MU42" s="33">
        <f>MT42+MU14-MU27</f>
        <v/>
      </c>
      <c r="MV42" s="33">
        <f>MU42+MV14-MV27</f>
        <v/>
      </c>
      <c r="MW42" s="33">
        <f>MV42+MW14-MW27</f>
        <v/>
      </c>
      <c r="MX42" s="33">
        <f>MW42+MX14-MX27</f>
        <v/>
      </c>
      <c r="MY42" s="33">
        <f>MX42+MY14-MY27</f>
        <v/>
      </c>
      <c r="MZ42" s="33">
        <f>MY42+MZ14-MZ27</f>
        <v/>
      </c>
      <c r="NA42" s="33">
        <f>MZ42+NA14-NA27</f>
        <v/>
      </c>
      <c r="NB42" s="33">
        <f>NA42+NB14-NB27</f>
        <v/>
      </c>
      <c r="NC42" s="33">
        <f>NB42+NC14-NC27</f>
        <v/>
      </c>
      <c r="ND42" s="33">
        <f>NC42+ND14-ND27</f>
        <v/>
      </c>
      <c r="NE42" s="33">
        <f>ND42+NE14-NE27</f>
        <v/>
      </c>
      <c r="NF42" s="33">
        <f>NE42+NF14-NF27</f>
        <v/>
      </c>
      <c r="NG42" s="33">
        <f>NF42+NG14-NG27</f>
        <v/>
      </c>
      <c r="NH42" s="33">
        <f>NG42+NH14-NH27</f>
        <v/>
      </c>
      <c r="NI42" s="33">
        <f>NH42+NI14-NI27</f>
        <v/>
      </c>
      <c r="NJ42" s="33">
        <f>NI42+NJ14-NJ27</f>
        <v/>
      </c>
      <c r="NK42" s="33">
        <f>NJ42+NK14-NK27</f>
        <v/>
      </c>
      <c r="NL42" s="33">
        <f>NK42+NL14-NL27</f>
        <v/>
      </c>
      <c r="NM42" s="33">
        <f>NL42+NM14-NM27</f>
        <v/>
      </c>
      <c r="NN42" s="33">
        <f>NM42+NN14-NN27</f>
        <v/>
      </c>
      <c r="NO42" s="33">
        <f>NN42+NO14-NO27</f>
        <v/>
      </c>
      <c r="NP42" s="33">
        <f>NO42+NP14-NP27</f>
        <v/>
      </c>
      <c r="NQ42" s="33">
        <f>NP42+NQ14-NQ27</f>
        <v/>
      </c>
      <c r="NR42" s="33">
        <f>NQ42+NR14-NR27</f>
        <v/>
      </c>
      <c r="NS42" s="33">
        <f>NR42+NS14-NS27</f>
        <v/>
      </c>
      <c r="NT42" s="33">
        <f>NS42+NT14-NT27</f>
        <v/>
      </c>
      <c r="NU42" s="33">
        <f>NT42+NU14-NU27</f>
        <v/>
      </c>
      <c r="NV42" s="33">
        <f>NU42+NV14-NV27</f>
        <v/>
      </c>
      <c r="NW42" s="33">
        <f>NV42+NW14-NW27</f>
        <v/>
      </c>
      <c r="NX42" s="33">
        <f>NW42+NX14-NX27</f>
        <v/>
      </c>
      <c r="NY42" s="33">
        <f>NX42+NY14-NY27</f>
        <v/>
      </c>
      <c r="NZ42" s="33">
        <f>NY42+NZ14-NZ27</f>
        <v/>
      </c>
      <c r="OA42" s="33">
        <f>NZ42+OA14-OA27</f>
        <v/>
      </c>
      <c r="OB42" s="33">
        <f>OA42+OB14-OB27</f>
        <v/>
      </c>
      <c r="OC42" s="33">
        <f>OB42+OC14-OC27</f>
        <v/>
      </c>
      <c r="OD42" s="33">
        <f>OC42+OD14-OD27</f>
        <v/>
      </c>
      <c r="OE42" s="33">
        <f>OD42+OE14-OE27</f>
        <v/>
      </c>
      <c r="OF42" s="33">
        <f>OE42+OF14-OF27</f>
        <v/>
      </c>
      <c r="OG42" s="33">
        <f>OF42+OG14-OG27</f>
        <v/>
      </c>
      <c r="OH42" s="33">
        <f>OG42+OH14-OH27</f>
        <v/>
      </c>
      <c r="OI42" s="33">
        <f>OH42+OI14-OI27</f>
        <v/>
      </c>
      <c r="OJ42" s="33">
        <f>OI42+OJ14-OJ27</f>
        <v/>
      </c>
      <c r="OK42" s="33">
        <f>OJ42+OK14-OK27</f>
        <v/>
      </c>
      <c r="OL42" s="33">
        <f>OK42+OL14-OL27</f>
        <v/>
      </c>
      <c r="OM42" s="33">
        <f>OL42+OM14-OM27</f>
        <v/>
      </c>
      <c r="ON42" s="33">
        <f>OM42+ON14-ON27</f>
        <v/>
      </c>
      <c r="OO42" s="33">
        <f>ON42+OO14-OO27</f>
        <v/>
      </c>
      <c r="OP42" s="33">
        <f>OO42+OP14-OP27</f>
        <v/>
      </c>
      <c r="OQ42" s="33">
        <f>OP42+OQ14-OQ27</f>
        <v/>
      </c>
      <c r="OR42" s="33">
        <f>OQ42+OR14-OR27</f>
        <v/>
      </c>
      <c r="OS42" s="33">
        <f>OR42+OS14-OS27</f>
        <v/>
      </c>
      <c r="OT42" s="33">
        <f>OS42+OT14-OT27</f>
        <v/>
      </c>
      <c r="OU42" s="33">
        <f>OT42+OU14-OU27</f>
        <v/>
      </c>
      <c r="OV42" s="33">
        <f>OU42+OV14-OV27</f>
        <v/>
      </c>
      <c r="OW42" s="33">
        <f>OV42+OW14-OW27</f>
        <v/>
      </c>
      <c r="OX42" s="33">
        <f>OW42+OX14-OX27</f>
        <v/>
      </c>
      <c r="OY42" s="33">
        <f>OX42+OY14-OY27</f>
        <v/>
      </c>
      <c r="OZ42" s="33">
        <f>OY42+OZ14-OZ27</f>
        <v/>
      </c>
      <c r="PA42" s="33">
        <f>OZ42+PA14-PA27</f>
        <v/>
      </c>
      <c r="PB42" s="33">
        <f>PA42+PB14-PB27</f>
        <v/>
      </c>
      <c r="PC42" s="33">
        <f>PB42+PC14-PC27</f>
        <v/>
      </c>
      <c r="PD42" s="33">
        <f>PC42+PD14-PD27</f>
        <v/>
      </c>
      <c r="PE42" s="33">
        <f>PD42+PE14-PE27</f>
        <v/>
      </c>
      <c r="PF42" s="33">
        <f>PE42+PF14-PF27</f>
        <v/>
      </c>
      <c r="PG42" s="33">
        <f>PF42+PG14-PG27</f>
        <v/>
      </c>
      <c r="PH42" s="33">
        <f>PG42+PH14-PH27</f>
        <v/>
      </c>
      <c r="PI42" s="33">
        <f>PH42+PI14-PI27</f>
        <v/>
      </c>
      <c r="PJ42" s="33">
        <f>PI42+PJ14-PJ27</f>
        <v/>
      </c>
      <c r="PK42" s="33">
        <f>PJ42+PK14-PK27</f>
        <v/>
      </c>
      <c r="PL42" s="33">
        <f>PK42+PL14-PL27</f>
        <v/>
      </c>
      <c r="PM42" s="33">
        <f>PL42+PM14-PM27</f>
        <v/>
      </c>
      <c r="PN42" s="33">
        <f>PM42+PN14-PN27</f>
        <v/>
      </c>
      <c r="PO42" s="33">
        <f>PN42+PO14-PO27</f>
        <v/>
      </c>
      <c r="PP42" s="33">
        <f>PO42+PP14-PP27</f>
        <v/>
      </c>
      <c r="PQ42" s="33">
        <f>PP42+PQ14-PQ27</f>
        <v/>
      </c>
      <c r="PR42" s="33">
        <f>PQ42+PR14-PR27</f>
        <v/>
      </c>
      <c r="PS42" s="33">
        <f>PR42+PS14-PS27</f>
        <v/>
      </c>
      <c r="PT42" s="33">
        <f>PS42+PT14-PT27</f>
        <v/>
      </c>
      <c r="PU42" s="33">
        <f>PT42+PU14-PU27</f>
        <v/>
      </c>
      <c r="PV42" s="33">
        <f>PU42+PV14-PV27</f>
        <v/>
      </c>
      <c r="PW42" s="33">
        <f>PV42+PW14-PW27</f>
        <v/>
      </c>
      <c r="PX42" s="33">
        <f>PW42+PX14-PX27</f>
        <v/>
      </c>
      <c r="PY42" s="33">
        <f>PX42+PY14-PY27</f>
        <v/>
      </c>
      <c r="PZ42" s="33">
        <f>PY42+PZ14-PZ27</f>
        <v/>
      </c>
      <c r="QA42" s="33">
        <f>PZ42+QA14-QA27</f>
        <v/>
      </c>
      <c r="QB42" s="33">
        <f>QA42+QB14-QB27</f>
        <v/>
      </c>
      <c r="QC42" s="33">
        <f>QB42+QC14-QC27</f>
        <v/>
      </c>
      <c r="QD42" s="33">
        <f>QC42+QD14-QD27</f>
        <v/>
      </c>
      <c r="QE42" s="33">
        <f>QD42+QE14-QE27</f>
        <v/>
      </c>
      <c r="QF42" s="33">
        <f>QE42+QF14-QF27</f>
        <v/>
      </c>
      <c r="QG42" s="33">
        <f>QF42+QG14-QG27</f>
        <v/>
      </c>
      <c r="QH42" s="33">
        <f>QG42+QH14-QH27</f>
        <v/>
      </c>
      <c r="QI42" s="33">
        <f>QH42+QI14-QI27</f>
        <v/>
      </c>
      <c r="QJ42" s="33">
        <f>QI42+QJ14-QJ27</f>
        <v/>
      </c>
      <c r="QK42" s="33">
        <f>QJ42+QK14-QK27</f>
        <v/>
      </c>
      <c r="QL42" s="33">
        <f>QK42+QL14-QL27</f>
        <v/>
      </c>
      <c r="QM42" s="33">
        <f>QL42+QM14-QM27</f>
        <v/>
      </c>
      <c r="QN42" s="33">
        <f>QM42+QN14-QN27</f>
        <v/>
      </c>
      <c r="QO42" s="33">
        <f>QN42+QO14-QO27</f>
        <v/>
      </c>
      <c r="QP42" s="33">
        <f>QO42+QP14-QP27</f>
        <v/>
      </c>
      <c r="QQ42" s="33">
        <f>QP42+QQ14-QQ27</f>
        <v/>
      </c>
      <c r="QR42" s="33">
        <f>QQ42+QR14-QR27</f>
        <v/>
      </c>
      <c r="QS42" s="33">
        <f>QR42+QS14-QS27</f>
        <v/>
      </c>
      <c r="QT42" s="33">
        <f>QS42+QT14-QT27</f>
        <v/>
      </c>
      <c r="QU42" s="33">
        <f>QT42+QU14-QU27</f>
        <v/>
      </c>
      <c r="QV42" s="33">
        <f>QU42+QV14-QV27</f>
        <v/>
      </c>
      <c r="QW42" s="33">
        <f>QV42+QW14-QW27</f>
        <v/>
      </c>
      <c r="QX42" s="33">
        <f>QW42+QX14-QX27</f>
        <v/>
      </c>
      <c r="QY42" s="33">
        <f>QX42+QY14-QY27</f>
        <v/>
      </c>
      <c r="QZ42" s="33">
        <f>QY42+QZ14-QZ27</f>
        <v/>
      </c>
      <c r="RA42" s="33">
        <f>QZ42+RA14-RA27</f>
        <v/>
      </c>
      <c r="RB42" s="33">
        <f>RA42+RB14-RB27</f>
        <v/>
      </c>
      <c r="RC42" s="33">
        <f>RB42+RC14-RC27</f>
        <v/>
      </c>
      <c r="RD42" s="33">
        <f>RC42+RD14-RD27</f>
        <v/>
      </c>
      <c r="RE42" s="33">
        <f>RD42+RE14-RE27</f>
        <v/>
      </c>
      <c r="RF42" s="33">
        <f>RE42+RF14-RF27</f>
        <v/>
      </c>
      <c r="RG42" s="33">
        <f>RF42+RG14-RG27</f>
        <v/>
      </c>
      <c r="RH42" s="33">
        <f>RG42+RH14-RH27</f>
        <v/>
      </c>
      <c r="RI42" s="33">
        <f>RH42+RI14-RI27</f>
        <v/>
      </c>
      <c r="RJ42" s="33">
        <f>RI42+RJ14-RJ27</f>
        <v/>
      </c>
      <c r="RK42" s="33">
        <f>RJ42+RK14-RK27</f>
        <v/>
      </c>
      <c r="RL42" s="33">
        <f>RK42+RL14-RL27</f>
        <v/>
      </c>
      <c r="RM42" s="33">
        <f>RL42+RM14-RM27</f>
        <v/>
      </c>
      <c r="RN42" s="33">
        <f>RM42+RN14-RN27</f>
        <v/>
      </c>
      <c r="RO42" s="33">
        <f>RN42+RO14-RO27</f>
        <v/>
      </c>
      <c r="RP42" s="33">
        <f>RO42+RP14-RP27</f>
        <v/>
      </c>
      <c r="RQ42" s="33">
        <f>RP42+RQ14-RQ27</f>
        <v/>
      </c>
      <c r="RR42" s="33">
        <f>RQ42+RR14-RR27</f>
        <v/>
      </c>
      <c r="RS42" s="33">
        <f>RR42+RS14-RS27</f>
        <v/>
      </c>
      <c r="RT42" s="33">
        <f>RS42+RT14-RT27</f>
        <v/>
      </c>
      <c r="RU42" s="33">
        <f>RT42+RU14-RU27</f>
        <v/>
      </c>
      <c r="RV42" s="33">
        <f>RU42+RV14-RV27</f>
        <v/>
      </c>
      <c r="RW42" s="33">
        <f>RV42+RW14-RW27</f>
        <v/>
      </c>
    </row>
    <row r="43" hidden="1" outlineLevel="1" ht="13.05" customHeight="1">
      <c r="E43" s="21" t="inlineStr">
        <is>
          <t>Total Equity</t>
        </is>
      </c>
      <c r="F43" s="29" t="n"/>
      <c r="G43" s="29" t="inlineStr">
        <is>
          <t>kEUR</t>
        </is>
      </c>
      <c r="H43" s="29" t="n"/>
      <c r="I43" s="29" t="n"/>
      <c r="J43" s="32" t="n">
        <v>343988443.9784976</v>
      </c>
      <c r="K43" s="29" t="n"/>
      <c r="L43" s="33">
        <f>Assumptions!$B$5+Assumptions!$B$6+L14-L27</f>
        <v/>
      </c>
      <c r="M43" s="33">
        <f>Assumptions!$B$5+L42+M14-M27</f>
        <v/>
      </c>
      <c r="N43" s="33">
        <f>Assumptions!$B$5+M42+N14-N27</f>
        <v/>
      </c>
      <c r="O43" s="33">
        <f>Assumptions!$B$5+N42+O14-O27</f>
        <v/>
      </c>
      <c r="P43" s="33">
        <f>Assumptions!$B$5+O42+P14-P27</f>
        <v/>
      </c>
      <c r="Q43" s="33">
        <f>Assumptions!$B$5+P42+Q14-Q27</f>
        <v/>
      </c>
      <c r="R43" s="33">
        <f>Assumptions!$B$5+Q42+R14-R27</f>
        <v/>
      </c>
      <c r="S43" s="33">
        <f>Assumptions!$B$5+R42+S14-S27</f>
        <v/>
      </c>
      <c r="T43" s="33">
        <f>Assumptions!$B$5+S42+T14-T27</f>
        <v/>
      </c>
      <c r="U43" s="33">
        <f>Assumptions!$B$5+T42+U14-U27</f>
        <v/>
      </c>
      <c r="V43" s="33">
        <f>Assumptions!$B$5+U42+V14-V27</f>
        <v/>
      </c>
      <c r="W43" s="33">
        <f>Assumptions!$B$5+V42+W14-W27</f>
        <v/>
      </c>
      <c r="X43" s="33">
        <f>Assumptions!$B$5+W42+X14-X27</f>
        <v/>
      </c>
      <c r="Y43" s="33">
        <f>Assumptions!$B$5+X42+Y14-Y27</f>
        <v/>
      </c>
      <c r="Z43" s="33">
        <f>Assumptions!$B$5+Y42+Z14-Z27</f>
        <v/>
      </c>
      <c r="AA43" s="33">
        <f>Assumptions!$B$5+Z42+AA14-AA27</f>
        <v/>
      </c>
      <c r="AB43" s="33">
        <f>Assumptions!$B$5+AA42+AB14-AB27</f>
        <v/>
      </c>
      <c r="AC43" s="33">
        <f>Assumptions!$B$5+AB42+AC14-AC27</f>
        <v/>
      </c>
      <c r="AD43" s="33">
        <f>Assumptions!$B$5+AC42+AD14-AD27</f>
        <v/>
      </c>
      <c r="AE43" s="33">
        <f>Assumptions!$B$5+AD42+AE14-AE27</f>
        <v/>
      </c>
      <c r="AF43" s="33">
        <f>Assumptions!$B$5+AE42+AF14-AF27</f>
        <v/>
      </c>
      <c r="AG43" s="33">
        <f>Assumptions!$B$5+AF42+AG14-AG27</f>
        <v/>
      </c>
      <c r="AH43" s="33">
        <f>Assumptions!$B$5+AG42+AH14-AH27</f>
        <v/>
      </c>
      <c r="AI43" s="33">
        <f>Assumptions!$B$5+AH42+AI14-AI27</f>
        <v/>
      </c>
      <c r="AJ43" s="33">
        <f>Assumptions!$B$5+AI42+AJ14-AJ27</f>
        <v/>
      </c>
      <c r="AK43" s="33">
        <f>Assumptions!$B$5+AJ42+AK14-AK27</f>
        <v/>
      </c>
      <c r="AL43" s="33">
        <f>Assumptions!$B$5+AK42+AL14-AL27</f>
        <v/>
      </c>
      <c r="AM43" s="33">
        <f>Assumptions!$B$5+AL42+AM14-AM27</f>
        <v/>
      </c>
      <c r="AN43" s="33">
        <f>Assumptions!$B$5+AM42+AN14-AN27</f>
        <v/>
      </c>
      <c r="AO43" s="33">
        <f>Assumptions!$B$5+AN42+AO14-AO27</f>
        <v/>
      </c>
      <c r="AP43" s="33">
        <f>Assumptions!$B$5+AO42+AP14-AP27</f>
        <v/>
      </c>
      <c r="AQ43" s="33">
        <f>Assumptions!$B$5+AP42+AQ14-AQ27</f>
        <v/>
      </c>
      <c r="AR43" s="33">
        <f>Assumptions!$B$5+AQ42+AR14-AR27</f>
        <v/>
      </c>
      <c r="AS43" s="33">
        <f>Assumptions!$B$5+AR42+AS14-AS27</f>
        <v/>
      </c>
      <c r="AT43" s="33">
        <f>Assumptions!$B$5+AS42+AT14-AT27</f>
        <v/>
      </c>
      <c r="AU43" s="33">
        <f>Assumptions!$B$5+AT42+AU14-AU27</f>
        <v/>
      </c>
      <c r="AV43" s="33">
        <f>Assumptions!$B$5+AU42+AV14-AV27</f>
        <v/>
      </c>
      <c r="AW43" s="33">
        <f>Assumptions!$B$5+AV42+AW14-AW27</f>
        <v/>
      </c>
      <c r="AX43" s="33">
        <f>Assumptions!$B$5+AW42+AX14-AX27</f>
        <v/>
      </c>
      <c r="AY43" s="33">
        <f>Assumptions!$B$5+AX42+AY14-AY27</f>
        <v/>
      </c>
      <c r="AZ43" s="33">
        <f>Assumptions!$B$5+AY42+AZ14-AZ27</f>
        <v/>
      </c>
      <c r="BA43" s="33">
        <f>Assumptions!$B$5+AZ42+BA14-BA27</f>
        <v/>
      </c>
      <c r="BB43" s="33">
        <f>Assumptions!$B$5+BA42+BB14-BB27</f>
        <v/>
      </c>
      <c r="BC43" s="33">
        <f>Assumptions!$B$5+BB42+BC14-BC27</f>
        <v/>
      </c>
      <c r="BD43" s="33">
        <f>Assumptions!$B$5+BC42+BD14-BD27</f>
        <v/>
      </c>
      <c r="BE43" s="33">
        <f>Assumptions!$B$5+BD42+BE14-BE27</f>
        <v/>
      </c>
      <c r="BF43" s="33">
        <f>Assumptions!$B$5+BE42+BF14-BF27</f>
        <v/>
      </c>
      <c r="BG43" s="33">
        <f>Assumptions!$B$5+BF42+BG14-BG27</f>
        <v/>
      </c>
      <c r="BH43" s="33">
        <f>Assumptions!$B$5+BG42+BH14-BH27</f>
        <v/>
      </c>
      <c r="BI43" s="33">
        <f>Assumptions!$B$5+BH42+BI14-BI27</f>
        <v/>
      </c>
      <c r="BJ43" s="33">
        <f>Assumptions!$B$5+BI42+BJ14-BJ27</f>
        <v/>
      </c>
      <c r="BK43" s="33">
        <f>Assumptions!$B$5+BJ42+BK14-BK27</f>
        <v/>
      </c>
      <c r="BL43" s="33">
        <f>Assumptions!$B$5+BK42+BL14-BL27</f>
        <v/>
      </c>
      <c r="BM43" s="33">
        <f>Assumptions!$B$5+BL42+BM14-BM27</f>
        <v/>
      </c>
      <c r="BN43" s="33">
        <f>Assumptions!$B$5+BM42+BN14-BN27</f>
        <v/>
      </c>
      <c r="BO43" s="33">
        <f>Assumptions!$B$5+BN42+BO14-BO27</f>
        <v/>
      </c>
      <c r="BP43" s="33">
        <f>Assumptions!$B$5+BO42+BP14-BP27</f>
        <v/>
      </c>
      <c r="BQ43" s="33">
        <f>Assumptions!$B$5+BP42+BQ14-BQ27</f>
        <v/>
      </c>
      <c r="BR43" s="33">
        <f>Assumptions!$B$5+BQ42+BR14-BR27</f>
        <v/>
      </c>
      <c r="BS43" s="33">
        <f>Assumptions!$B$5+BR42+BS14-BS27</f>
        <v/>
      </c>
      <c r="BT43" s="33">
        <f>Assumptions!$B$5+BS42+BT14-BT27</f>
        <v/>
      </c>
      <c r="BU43" s="33">
        <f>Assumptions!$B$5+BT42+BU14-BU27</f>
        <v/>
      </c>
      <c r="BV43" s="33">
        <f>Assumptions!$B$5+BU42+BV14-BV27</f>
        <v/>
      </c>
      <c r="BW43" s="33">
        <f>Assumptions!$B$5+BV42+BW14-BW27</f>
        <v/>
      </c>
      <c r="BX43" s="33">
        <f>Assumptions!$B$5+BW42+BX14-BX27</f>
        <v/>
      </c>
      <c r="BY43" s="33">
        <f>Assumptions!$B$5+BX42+BY14-BY27</f>
        <v/>
      </c>
      <c r="BZ43" s="33">
        <f>Assumptions!$B$5+BY42+BZ14-BZ27</f>
        <v/>
      </c>
      <c r="CA43" s="33">
        <f>Assumptions!$B$5+BZ42+CA14-CA27</f>
        <v/>
      </c>
      <c r="CB43" s="33">
        <f>Assumptions!$B$5+CA42+CB14-CB27</f>
        <v/>
      </c>
      <c r="CC43" s="33">
        <f>Assumptions!$B$5+CB42+CC14-CC27</f>
        <v/>
      </c>
      <c r="CD43" s="33">
        <f>Assumptions!$B$5+CC42+CD14-CD27</f>
        <v/>
      </c>
      <c r="CE43" s="33">
        <f>Assumptions!$B$5+CD42+CE14-CE27</f>
        <v/>
      </c>
      <c r="CF43" s="33">
        <f>Assumptions!$B$5+CE42+CF14-CF27</f>
        <v/>
      </c>
      <c r="CG43" s="33">
        <f>Assumptions!$B$5+CF42+CG14-CG27</f>
        <v/>
      </c>
      <c r="CH43" s="33">
        <f>Assumptions!$B$5+CG42+CH14-CH27</f>
        <v/>
      </c>
      <c r="CI43" s="33">
        <f>Assumptions!$B$5+CH42+CI14-CI27</f>
        <v/>
      </c>
      <c r="CJ43" s="33">
        <f>Assumptions!$B$5+CI42+CJ14-CJ27</f>
        <v/>
      </c>
      <c r="CK43" s="33">
        <f>Assumptions!$B$5+CJ42+CK14-CK27</f>
        <v/>
      </c>
      <c r="CL43" s="33">
        <f>Assumptions!$B$5+CK42+CL14-CL27</f>
        <v/>
      </c>
      <c r="CM43" s="33">
        <f>Assumptions!$B$5+CL42+CM14-CM27</f>
        <v/>
      </c>
      <c r="CN43" s="33">
        <f>Assumptions!$B$5+CM42+CN14-CN27</f>
        <v/>
      </c>
      <c r="CO43" s="33">
        <f>Assumptions!$B$5+CN42+CO14-CO27</f>
        <v/>
      </c>
      <c r="CP43" s="33">
        <f>Assumptions!$B$5+CO42+CP14-CP27</f>
        <v/>
      </c>
      <c r="CQ43" s="33">
        <f>Assumptions!$B$5+CP42+CQ14-CQ27</f>
        <v/>
      </c>
      <c r="CR43" s="33">
        <f>Assumptions!$B$5+CQ42+CR14-CR27</f>
        <v/>
      </c>
      <c r="CS43" s="33">
        <f>Assumptions!$B$5+CR42+CS14-CS27</f>
        <v/>
      </c>
      <c r="CT43" s="33">
        <f>Assumptions!$B$5+CS42+CT14-CT27</f>
        <v/>
      </c>
      <c r="CU43" s="33">
        <f>Assumptions!$B$5+CT42+CU14-CU27</f>
        <v/>
      </c>
      <c r="CV43" s="33">
        <f>Assumptions!$B$5+CU42+CV14-CV27</f>
        <v/>
      </c>
      <c r="CW43" s="33">
        <f>Assumptions!$B$5+CV42+CW14-CW27</f>
        <v/>
      </c>
      <c r="CX43" s="33">
        <f>Assumptions!$B$5+CW42+CX14-CX27</f>
        <v/>
      </c>
      <c r="CY43" s="33">
        <f>Assumptions!$B$5+CX42+CY14-CY27</f>
        <v/>
      </c>
      <c r="CZ43" s="33">
        <f>Assumptions!$B$5+CY42+CZ14-CZ27</f>
        <v/>
      </c>
      <c r="DA43" s="33">
        <f>Assumptions!$B$5+CZ42+DA14-DA27</f>
        <v/>
      </c>
      <c r="DB43" s="33">
        <f>Assumptions!$B$5+DA42+DB14-DB27</f>
        <v/>
      </c>
      <c r="DC43" s="33">
        <f>Assumptions!$B$5+DB42+DC14-DC27</f>
        <v/>
      </c>
      <c r="DD43" s="33">
        <f>Assumptions!$B$5+DC42+DD14-DD27</f>
        <v/>
      </c>
      <c r="DE43" s="33">
        <f>Assumptions!$B$5+DD42+DE14-DE27</f>
        <v/>
      </c>
      <c r="DF43" s="33">
        <f>Assumptions!$B$5+DE42+DF14-DF27</f>
        <v/>
      </c>
      <c r="DG43" s="33">
        <f>Assumptions!$B$5+DF42+DG14-DG27</f>
        <v/>
      </c>
      <c r="DH43" s="33">
        <f>Assumptions!$B$5+DG42+DH14-DH27</f>
        <v/>
      </c>
      <c r="DI43" s="33">
        <f>Assumptions!$B$5+DH42+DI14-DI27</f>
        <v/>
      </c>
      <c r="DJ43" s="33">
        <f>Assumptions!$B$5+DI42+DJ14-DJ27</f>
        <v/>
      </c>
      <c r="DK43" s="33">
        <f>Assumptions!$B$5+DJ42+DK14-DK27</f>
        <v/>
      </c>
      <c r="DL43" s="33">
        <f>Assumptions!$B$5+DK42+DL14-DL27</f>
        <v/>
      </c>
      <c r="DM43" s="33">
        <f>Assumptions!$B$5+DL42+DM14-DM27</f>
        <v/>
      </c>
      <c r="DN43" s="33">
        <f>Assumptions!$B$5+DM42+DN14-DN27</f>
        <v/>
      </c>
      <c r="DO43" s="33">
        <f>Assumptions!$B$5+DN42+DO14-DO27</f>
        <v/>
      </c>
      <c r="DP43" s="33">
        <f>Assumptions!$B$5+DO42+DP14-DP27</f>
        <v/>
      </c>
      <c r="DQ43" s="33">
        <f>Assumptions!$B$5+DP42+DQ14-DQ27</f>
        <v/>
      </c>
      <c r="DR43" s="33">
        <f>Assumptions!$B$5+DQ42+DR14-DR27</f>
        <v/>
      </c>
      <c r="DS43" s="33">
        <f>Assumptions!$B$5+DR42+DS14-DS27</f>
        <v/>
      </c>
      <c r="DT43" s="33">
        <f>Assumptions!$B$5+DS42+DT14-DT27</f>
        <v/>
      </c>
      <c r="DU43" s="33">
        <f>Assumptions!$B$5+DT42+DU14-DU27</f>
        <v/>
      </c>
      <c r="DV43" s="33">
        <f>Assumptions!$B$5+DU42+DV14-DV27</f>
        <v/>
      </c>
      <c r="DW43" s="33">
        <f>Assumptions!$B$5+DV42+DW14-DW27</f>
        <v/>
      </c>
      <c r="DX43" s="33">
        <f>Assumptions!$B$5+DW42+DX14-DX27</f>
        <v/>
      </c>
      <c r="DY43" s="33">
        <f>Assumptions!$B$5+DX42+DY14-DY27</f>
        <v/>
      </c>
      <c r="DZ43" s="33">
        <f>Assumptions!$B$5+DY42+DZ14-DZ27</f>
        <v/>
      </c>
      <c r="EA43" s="33">
        <f>Assumptions!$B$5+DZ42+EA14-EA27</f>
        <v/>
      </c>
      <c r="EB43" s="33">
        <f>Assumptions!$B$5+EA42+EB14-EB27</f>
        <v/>
      </c>
      <c r="EC43" s="33">
        <f>Assumptions!$B$5+EB42+EC14-EC27</f>
        <v/>
      </c>
      <c r="ED43" s="33">
        <f>Assumptions!$B$5+EC42+ED14-ED27</f>
        <v/>
      </c>
      <c r="EE43" s="33">
        <f>Assumptions!$B$5+ED42+EE14-EE27</f>
        <v/>
      </c>
      <c r="EF43" s="33">
        <f>Assumptions!$B$5+EE42+EF14-EF27</f>
        <v/>
      </c>
      <c r="EG43" s="33">
        <f>Assumptions!$B$5+EF42+EG14-EG27</f>
        <v/>
      </c>
      <c r="EH43" s="33">
        <f>Assumptions!$B$5+EG42+EH14-EH27</f>
        <v/>
      </c>
      <c r="EI43" s="33">
        <f>Assumptions!$B$5+EH42+EI14-EI27</f>
        <v/>
      </c>
      <c r="EJ43" s="33">
        <f>Assumptions!$B$5+EI42+EJ14-EJ27</f>
        <v/>
      </c>
      <c r="EK43" s="33">
        <f>Assumptions!$B$5+EJ42+EK14-EK27</f>
        <v/>
      </c>
      <c r="EL43" s="33">
        <f>Assumptions!$B$5+EK42+EL14-EL27</f>
        <v/>
      </c>
      <c r="EM43" s="33">
        <f>Assumptions!$B$5+EL42+EM14-EM27</f>
        <v/>
      </c>
      <c r="EN43" s="33">
        <f>Assumptions!$B$5+EM42+EN14-EN27</f>
        <v/>
      </c>
      <c r="EO43" s="33">
        <f>Assumptions!$B$5+EN42+EO14-EO27</f>
        <v/>
      </c>
      <c r="EP43" s="33">
        <f>Assumptions!$B$5+EO42+EP14-EP27</f>
        <v/>
      </c>
      <c r="EQ43" s="33">
        <f>Assumptions!$B$5+EP42+EQ14-EQ27</f>
        <v/>
      </c>
      <c r="ER43" s="33">
        <f>Assumptions!$B$5+EQ42+ER14-ER27</f>
        <v/>
      </c>
      <c r="ES43" s="33">
        <f>Assumptions!$B$5+ER42+ES14-ES27</f>
        <v/>
      </c>
      <c r="ET43" s="33">
        <f>Assumptions!$B$5+ES42+ET14-ET27</f>
        <v/>
      </c>
      <c r="EU43" s="33">
        <f>Assumptions!$B$5+ET42+EU14-EU27</f>
        <v/>
      </c>
      <c r="EV43" s="33">
        <f>Assumptions!$B$5+EU42+EV14-EV27</f>
        <v/>
      </c>
      <c r="EW43" s="33">
        <f>Assumptions!$B$5+EV42+EW14-EW27</f>
        <v/>
      </c>
      <c r="EX43" s="33">
        <f>Assumptions!$B$5+EW42+EX14-EX27</f>
        <v/>
      </c>
      <c r="EY43" s="33">
        <f>Assumptions!$B$5+EX42+EY14-EY27</f>
        <v/>
      </c>
      <c r="EZ43" s="33">
        <f>Assumptions!$B$5+EY42+EZ14-EZ27</f>
        <v/>
      </c>
      <c r="FA43" s="33">
        <f>Assumptions!$B$5+EZ42+FA14-FA27</f>
        <v/>
      </c>
      <c r="FB43" s="33">
        <f>Assumptions!$B$5+FA42+FB14-FB27</f>
        <v/>
      </c>
      <c r="FC43" s="33">
        <f>Assumptions!$B$5+FB42+FC14-FC27</f>
        <v/>
      </c>
      <c r="FD43" s="33">
        <f>Assumptions!$B$5+FC42+FD14-FD27</f>
        <v/>
      </c>
      <c r="FE43" s="33">
        <f>Assumptions!$B$5+FD42+FE14-FE27</f>
        <v/>
      </c>
      <c r="FF43" s="33">
        <f>Assumptions!$B$5+FE42+FF14-FF27</f>
        <v/>
      </c>
      <c r="FG43" s="33">
        <f>Assumptions!$B$5+FF42+FG14-FG27</f>
        <v/>
      </c>
      <c r="FH43" s="33">
        <f>Assumptions!$B$5+FG42+FH14-FH27</f>
        <v/>
      </c>
      <c r="FI43" s="33">
        <f>Assumptions!$B$5+FH42+FI14-FI27</f>
        <v/>
      </c>
      <c r="FJ43" s="33">
        <f>Assumptions!$B$5+FI42+FJ14-FJ27</f>
        <v/>
      </c>
      <c r="FK43" s="33">
        <f>Assumptions!$B$5+FJ42+FK14-FK27</f>
        <v/>
      </c>
      <c r="FL43" s="33">
        <f>Assumptions!$B$5+FK42+FL14-FL27</f>
        <v/>
      </c>
      <c r="FM43" s="33">
        <f>Assumptions!$B$5+FL42+FM14-FM27</f>
        <v/>
      </c>
      <c r="FN43" s="33">
        <f>Assumptions!$B$5+FM42+FN14-FN27</f>
        <v/>
      </c>
      <c r="FO43" s="33">
        <f>Assumptions!$B$5+FN42+FO14-FO27</f>
        <v/>
      </c>
      <c r="FP43" s="33">
        <f>Assumptions!$B$5+FO42+FP14-FP27</f>
        <v/>
      </c>
      <c r="FQ43" s="33">
        <f>Assumptions!$B$5+FP42+FQ14-FQ27</f>
        <v/>
      </c>
      <c r="FR43" s="33">
        <f>Assumptions!$B$5+FQ42+FR14-FR27</f>
        <v/>
      </c>
      <c r="FS43" s="33">
        <f>Assumptions!$B$5+FR42+FS14-FS27</f>
        <v/>
      </c>
      <c r="FT43" s="33">
        <f>Assumptions!$B$5+FS42+FT14-FT27</f>
        <v/>
      </c>
      <c r="FU43" s="33">
        <f>Assumptions!$B$5+FT42+FU14-FU27</f>
        <v/>
      </c>
      <c r="FV43" s="33">
        <f>Assumptions!$B$5+FU42+FV14-FV27</f>
        <v/>
      </c>
      <c r="FW43" s="33">
        <f>Assumptions!$B$5+FV42+FW14-FW27</f>
        <v/>
      </c>
      <c r="FX43" s="33">
        <f>Assumptions!$B$5+FW42+FX14-FX27</f>
        <v/>
      </c>
      <c r="FY43" s="33">
        <f>Assumptions!$B$5+FX42+FY14-FY27</f>
        <v/>
      </c>
      <c r="FZ43" s="33">
        <f>Assumptions!$B$5+FY42+FZ14-FZ27</f>
        <v/>
      </c>
      <c r="GA43" s="33">
        <f>Assumptions!$B$5+FZ42+GA14-GA27</f>
        <v/>
      </c>
      <c r="GB43" s="33">
        <f>Assumptions!$B$5+GA42+GB14-GB27</f>
        <v/>
      </c>
      <c r="GC43" s="33">
        <f>Assumptions!$B$5+GB42+GC14-GC27</f>
        <v/>
      </c>
      <c r="GD43" s="33">
        <f>Assumptions!$B$5+GC42+GD14-GD27</f>
        <v/>
      </c>
      <c r="GE43" s="33">
        <f>Assumptions!$B$5+GD42+GE14-GE27</f>
        <v/>
      </c>
      <c r="GF43" s="33">
        <f>Assumptions!$B$5+GE42+GF14-GF27</f>
        <v/>
      </c>
      <c r="GG43" s="33">
        <f>Assumptions!$B$5+GF42+GG14-GG27</f>
        <v/>
      </c>
      <c r="GH43" s="33">
        <f>Assumptions!$B$5+GG42+GH14-GH27</f>
        <v/>
      </c>
      <c r="GI43" s="33">
        <f>Assumptions!$B$5+GH42+GI14-GI27</f>
        <v/>
      </c>
      <c r="GJ43" s="33">
        <f>Assumptions!$B$5+GI42+GJ14-GJ27</f>
        <v/>
      </c>
      <c r="GK43" s="33">
        <f>Assumptions!$B$5+GJ42+GK14-GK27</f>
        <v/>
      </c>
      <c r="GL43" s="33">
        <f>Assumptions!$B$5+GK42+GL14-GL27</f>
        <v/>
      </c>
      <c r="GM43" s="33">
        <f>Assumptions!$B$5+GL42+GM14-GM27</f>
        <v/>
      </c>
      <c r="GN43" s="33">
        <f>Assumptions!$B$5+GM42+GN14-GN27</f>
        <v/>
      </c>
      <c r="GO43" s="33">
        <f>Assumptions!$B$5+GN42+GO14-GO27</f>
        <v/>
      </c>
      <c r="GP43" s="33">
        <f>Assumptions!$B$5+GO42+GP14-GP27</f>
        <v/>
      </c>
      <c r="GQ43" s="33">
        <f>Assumptions!$B$5+GP42+GQ14-GQ27</f>
        <v/>
      </c>
      <c r="GR43" s="33">
        <f>Assumptions!$B$5+GQ42+GR14-GR27</f>
        <v/>
      </c>
      <c r="GS43" s="33">
        <f>Assumptions!$B$5+GR42+GS14-GS27</f>
        <v/>
      </c>
      <c r="GT43" s="33">
        <f>Assumptions!$B$5+GS42+GT14-GT27</f>
        <v/>
      </c>
      <c r="GU43" s="33">
        <f>Assumptions!$B$5+GT42+GU14-GU27</f>
        <v/>
      </c>
      <c r="GV43" s="33">
        <f>Assumptions!$B$5+GU42+GV14-GV27</f>
        <v/>
      </c>
      <c r="GW43" s="33">
        <f>Assumptions!$B$5+GV42+GW14-GW27</f>
        <v/>
      </c>
      <c r="GX43" s="33">
        <f>Assumptions!$B$5+GW42+GX14-GX27</f>
        <v/>
      </c>
      <c r="GY43" s="33">
        <f>Assumptions!$B$5+GX42+GY14-GY27</f>
        <v/>
      </c>
      <c r="GZ43" s="33">
        <f>Assumptions!$B$5+GY42+GZ14-GZ27</f>
        <v/>
      </c>
      <c r="HA43" s="33">
        <f>Assumptions!$B$5+GZ42+HA14-HA27</f>
        <v/>
      </c>
      <c r="HB43" s="33">
        <f>Assumptions!$B$5+HA42+HB14-HB27</f>
        <v/>
      </c>
      <c r="HC43" s="33">
        <f>Assumptions!$B$5+HB42+HC14-HC27</f>
        <v/>
      </c>
      <c r="HD43" s="33">
        <f>Assumptions!$B$5+HC42+HD14-HD27</f>
        <v/>
      </c>
      <c r="HE43" s="33">
        <f>Assumptions!$B$5+HD42+HE14-HE27</f>
        <v/>
      </c>
      <c r="HF43" s="33">
        <f>Assumptions!$B$5+HE42+HF14-HF27</f>
        <v/>
      </c>
      <c r="HG43" s="33">
        <f>Assumptions!$B$5+HF42+HG14-HG27</f>
        <v/>
      </c>
      <c r="HH43" s="33">
        <f>Assumptions!$B$5+HG42+HH14-HH27</f>
        <v/>
      </c>
      <c r="HI43" s="33">
        <f>Assumptions!$B$5+HH42+HI14-HI27</f>
        <v/>
      </c>
      <c r="HJ43" s="33">
        <f>Assumptions!$B$5+HI42+HJ14-HJ27</f>
        <v/>
      </c>
      <c r="HK43" s="33">
        <f>Assumptions!$B$5+HJ42+HK14-HK27</f>
        <v/>
      </c>
      <c r="HL43" s="33">
        <f>Assumptions!$B$5+HK42+HL14-HL27</f>
        <v/>
      </c>
      <c r="HM43" s="33">
        <f>Assumptions!$B$5+HL42+HM14-HM27</f>
        <v/>
      </c>
      <c r="HN43" s="33">
        <f>Assumptions!$B$5+HM42+HN14-HN27</f>
        <v/>
      </c>
      <c r="HO43" s="33">
        <f>Assumptions!$B$5+HN42+HO14-HO27</f>
        <v/>
      </c>
      <c r="HP43" s="33">
        <f>Assumptions!$B$5+HO42+HP14-HP27</f>
        <v/>
      </c>
      <c r="HQ43" s="33">
        <f>Assumptions!$B$5+HP42+HQ14-HQ27</f>
        <v/>
      </c>
      <c r="HR43" s="33">
        <f>Assumptions!$B$5+HQ42+HR14-HR27</f>
        <v/>
      </c>
      <c r="HS43" s="33">
        <f>Assumptions!$B$5+HR42+HS14-HS27</f>
        <v/>
      </c>
      <c r="HT43" s="33">
        <f>Assumptions!$B$5+HS42+HT14-HT27</f>
        <v/>
      </c>
      <c r="HU43" s="33">
        <f>Assumptions!$B$5+HT42+HU14-HU27</f>
        <v/>
      </c>
      <c r="HV43" s="33">
        <f>Assumptions!$B$5+HU42+HV14-HV27</f>
        <v/>
      </c>
      <c r="HW43" s="33">
        <f>Assumptions!$B$5+HV42+HW14-HW27</f>
        <v/>
      </c>
      <c r="HX43" s="33">
        <f>Assumptions!$B$5+HW42+HX14-HX27</f>
        <v/>
      </c>
      <c r="HY43" s="33">
        <f>Assumptions!$B$5+HX42+HY14-HY27</f>
        <v/>
      </c>
      <c r="HZ43" s="33">
        <f>Assumptions!$B$5+HY42+HZ14-HZ27</f>
        <v/>
      </c>
      <c r="IA43" s="33">
        <f>Assumptions!$B$5+HZ42+IA14-IA27</f>
        <v/>
      </c>
      <c r="IB43" s="33">
        <f>Assumptions!$B$5+IA42+IB14-IB27</f>
        <v/>
      </c>
      <c r="IC43" s="33">
        <f>Assumptions!$B$5+IB42+IC14-IC27</f>
        <v/>
      </c>
      <c r="ID43" s="33">
        <f>Assumptions!$B$5+IC42+ID14-ID27</f>
        <v/>
      </c>
      <c r="IE43" s="33">
        <f>Assumptions!$B$5+ID42+IE14-IE27</f>
        <v/>
      </c>
      <c r="IF43" s="33">
        <f>Assumptions!$B$5+IE42+IF14-IF27</f>
        <v/>
      </c>
      <c r="IG43" s="33">
        <f>Assumptions!$B$5+IF42+IG14-IG27</f>
        <v/>
      </c>
      <c r="IH43" s="33">
        <f>Assumptions!$B$5+IG42+IH14-IH27</f>
        <v/>
      </c>
      <c r="II43" s="33">
        <f>Assumptions!$B$5+IH42+II14-II27</f>
        <v/>
      </c>
      <c r="IJ43" s="33">
        <f>Assumptions!$B$5+II42+IJ14-IJ27</f>
        <v/>
      </c>
      <c r="IK43" s="33">
        <f>Assumptions!$B$5+IJ42+IK14-IK27</f>
        <v/>
      </c>
      <c r="IL43" s="33">
        <f>Assumptions!$B$5+IK42+IL14-IL27</f>
        <v/>
      </c>
      <c r="IM43" s="33">
        <f>Assumptions!$B$5+IL42+IM14-IM27</f>
        <v/>
      </c>
      <c r="IN43" s="33">
        <f>Assumptions!$B$5+IM42+IN14-IN27</f>
        <v/>
      </c>
      <c r="IO43" s="33">
        <f>Assumptions!$B$5+IN42+IO14-IO27</f>
        <v/>
      </c>
      <c r="IP43" s="33">
        <f>Assumptions!$B$5+IO42+IP14-IP27</f>
        <v/>
      </c>
      <c r="IQ43" s="33">
        <f>Assumptions!$B$5+IP42+IQ14-IQ27</f>
        <v/>
      </c>
      <c r="IR43" s="33">
        <f>Assumptions!$B$5+IQ42+IR14-IR27</f>
        <v/>
      </c>
      <c r="IS43" s="33">
        <f>Assumptions!$B$5+IR42+IS14-IS27</f>
        <v/>
      </c>
      <c r="IT43" s="33">
        <f>Assumptions!$B$5+IS42+IT14-IT27</f>
        <v/>
      </c>
      <c r="IU43" s="33">
        <f>Assumptions!$B$5+IT42+IU14-IU27</f>
        <v/>
      </c>
      <c r="IV43" s="33">
        <f>Assumptions!$B$5+IU42+IV14-IV27</f>
        <v/>
      </c>
      <c r="IW43" s="33">
        <f>Assumptions!$B$5+IV42+IW14-IW27</f>
        <v/>
      </c>
      <c r="IX43" s="33">
        <f>Assumptions!$B$5+IW42+IX14-IX27</f>
        <v/>
      </c>
      <c r="IY43" s="33">
        <f>Assumptions!$B$5+IX42+IY14-IY27</f>
        <v/>
      </c>
      <c r="IZ43" s="33">
        <f>Assumptions!$B$5+IY42+IZ14-IZ27</f>
        <v/>
      </c>
      <c r="JA43" s="33">
        <f>Assumptions!$B$5+IZ42+JA14-JA27</f>
        <v/>
      </c>
      <c r="JB43" s="33">
        <f>Assumptions!$B$5+JA42+JB14-JB27</f>
        <v/>
      </c>
      <c r="JC43" s="33">
        <f>Assumptions!$B$5+JB42+JC14-JC27</f>
        <v/>
      </c>
      <c r="JD43" s="33">
        <f>Assumptions!$B$5+JC42+JD14-JD27</f>
        <v/>
      </c>
      <c r="JE43" s="33">
        <f>Assumptions!$B$5+JD42+JE14-JE27</f>
        <v/>
      </c>
      <c r="JF43" s="33">
        <f>Assumptions!$B$5+JE42+JF14-JF27</f>
        <v/>
      </c>
      <c r="JG43" s="33">
        <f>Assumptions!$B$5+JF42+JG14-JG27</f>
        <v/>
      </c>
      <c r="JH43" s="33">
        <f>Assumptions!$B$5+JG42+JH14-JH27</f>
        <v/>
      </c>
      <c r="JI43" s="33">
        <f>Assumptions!$B$5+JH42+JI14-JI27</f>
        <v/>
      </c>
      <c r="JJ43" s="33">
        <f>Assumptions!$B$5+JI42+JJ14-JJ27</f>
        <v/>
      </c>
      <c r="JK43" s="33">
        <f>Assumptions!$B$5+JJ42+JK14-JK27</f>
        <v/>
      </c>
      <c r="JL43" s="33">
        <f>Assumptions!$B$5+JK42+JL14-JL27</f>
        <v/>
      </c>
      <c r="JM43" s="33">
        <f>Assumptions!$B$5+JL42+JM14-JM27</f>
        <v/>
      </c>
      <c r="JN43" s="33">
        <f>Assumptions!$B$5+JM42+JN14-JN27</f>
        <v/>
      </c>
      <c r="JO43" s="33">
        <f>Assumptions!$B$5+JN42+JO14-JO27</f>
        <v/>
      </c>
      <c r="JP43" s="33">
        <f>Assumptions!$B$5+JO42+JP14-JP27</f>
        <v/>
      </c>
      <c r="JQ43" s="33">
        <f>Assumptions!$B$5+JP42+JQ14-JQ27</f>
        <v/>
      </c>
      <c r="JR43" s="33">
        <f>Assumptions!$B$5+JQ42+JR14-JR27</f>
        <v/>
      </c>
      <c r="JS43" s="33">
        <f>Assumptions!$B$5+JR42+JS14-JS27</f>
        <v/>
      </c>
      <c r="JT43" s="33">
        <f>Assumptions!$B$5+JS42+JT14-JT27</f>
        <v/>
      </c>
      <c r="JU43" s="33">
        <f>Assumptions!$B$5+JT42+JU14-JU27</f>
        <v/>
      </c>
      <c r="JV43" s="33">
        <f>Assumptions!$B$5+JU42+JV14-JV27</f>
        <v/>
      </c>
      <c r="JW43" s="33">
        <f>Assumptions!$B$5+JV42+JW14-JW27</f>
        <v/>
      </c>
      <c r="JX43" s="33">
        <f>Assumptions!$B$5+JW42+JX14-JX27</f>
        <v/>
      </c>
      <c r="JY43" s="33">
        <f>Assumptions!$B$5+JX42+JY14-JY27</f>
        <v/>
      </c>
      <c r="JZ43" s="33">
        <f>Assumptions!$B$5+JY42+JZ14-JZ27</f>
        <v/>
      </c>
      <c r="KA43" s="33">
        <f>Assumptions!$B$5+JZ42+KA14-KA27</f>
        <v/>
      </c>
      <c r="KB43" s="33">
        <f>Assumptions!$B$5+KA42+KB14-KB27</f>
        <v/>
      </c>
      <c r="KC43" s="33">
        <f>Assumptions!$B$5+KB42+KC14-KC27</f>
        <v/>
      </c>
      <c r="KD43" s="33">
        <f>Assumptions!$B$5+KC42+KD14-KD27</f>
        <v/>
      </c>
      <c r="KE43" s="33">
        <f>Assumptions!$B$5+KD42+KE14-KE27</f>
        <v/>
      </c>
      <c r="KF43" s="33">
        <f>Assumptions!$B$5+KE42+KF14-KF27</f>
        <v/>
      </c>
      <c r="KG43" s="33">
        <f>Assumptions!$B$5+KF42+KG14-KG27</f>
        <v/>
      </c>
      <c r="KH43" s="33">
        <f>Assumptions!$B$5+KG42+KH14-KH27</f>
        <v/>
      </c>
      <c r="KI43" s="33">
        <f>Assumptions!$B$5+KH42+KI14-KI27</f>
        <v/>
      </c>
      <c r="KJ43" s="33">
        <f>Assumptions!$B$5+KI42+KJ14-KJ27</f>
        <v/>
      </c>
      <c r="KK43" s="33">
        <f>Assumptions!$B$5+KJ42+KK14-KK27</f>
        <v/>
      </c>
      <c r="KL43" s="33">
        <f>Assumptions!$B$5+KK42+KL14-KL27</f>
        <v/>
      </c>
      <c r="KM43" s="33">
        <f>Assumptions!$B$5+KL42+KM14-KM27</f>
        <v/>
      </c>
      <c r="KN43" s="33">
        <f>Assumptions!$B$5+KM42+KN14-KN27</f>
        <v/>
      </c>
      <c r="KO43" s="33">
        <f>Assumptions!$B$5+KN42+KO14-KO27</f>
        <v/>
      </c>
      <c r="KP43" s="33">
        <f>Assumptions!$B$5+KO42+KP14-KP27</f>
        <v/>
      </c>
      <c r="KQ43" s="33">
        <f>Assumptions!$B$5+KP42+KQ14-KQ27</f>
        <v/>
      </c>
      <c r="KR43" s="33">
        <f>Assumptions!$B$5+KQ42+KR14-KR27</f>
        <v/>
      </c>
      <c r="KS43" s="33">
        <f>Assumptions!$B$5+KR42+KS14-KS27</f>
        <v/>
      </c>
      <c r="KT43" s="33">
        <f>Assumptions!$B$5+KS42+KT14-KT27</f>
        <v/>
      </c>
      <c r="KU43" s="33">
        <f>Assumptions!$B$5+KT42+KU14-KU27</f>
        <v/>
      </c>
      <c r="KV43" s="33">
        <f>Assumptions!$B$5+KU42+KV14-KV27</f>
        <v/>
      </c>
      <c r="KW43" s="33">
        <f>Assumptions!$B$5+KV42+KW14-KW27</f>
        <v/>
      </c>
      <c r="KX43" s="33">
        <f>Assumptions!$B$5+KW42+KX14-KX27</f>
        <v/>
      </c>
      <c r="KY43" s="33">
        <f>Assumptions!$B$5+KX42+KY14-KY27</f>
        <v/>
      </c>
      <c r="KZ43" s="33">
        <f>Assumptions!$B$5+KY42+KZ14-KZ27</f>
        <v/>
      </c>
      <c r="LA43" s="33">
        <f>Assumptions!$B$5+KZ42+LA14-LA27</f>
        <v/>
      </c>
      <c r="LB43" s="33">
        <f>Assumptions!$B$5+LA42+LB14-LB27</f>
        <v/>
      </c>
      <c r="LC43" s="33">
        <f>Assumptions!$B$5+LB42+LC14-LC27</f>
        <v/>
      </c>
      <c r="LD43" s="33">
        <f>Assumptions!$B$5+LC42+LD14-LD27</f>
        <v/>
      </c>
      <c r="LE43" s="33">
        <f>Assumptions!$B$5+LD42+LE14-LE27</f>
        <v/>
      </c>
      <c r="LF43" s="33">
        <f>Assumptions!$B$5+LE42+LF14-LF27</f>
        <v/>
      </c>
      <c r="LG43" s="33">
        <f>Assumptions!$B$5+LF42+LG14-LG27</f>
        <v/>
      </c>
      <c r="LH43" s="33">
        <f>Assumptions!$B$5+LG42+LH14-LH27</f>
        <v/>
      </c>
      <c r="LI43" s="33">
        <f>Assumptions!$B$5+LH42+LI14-LI27</f>
        <v/>
      </c>
      <c r="LJ43" s="33">
        <f>Assumptions!$B$5+LI42+LJ14-LJ27</f>
        <v/>
      </c>
      <c r="LK43" s="33">
        <f>Assumptions!$B$5+LJ42+LK14-LK27</f>
        <v/>
      </c>
      <c r="LL43" s="33">
        <f>Assumptions!$B$5+LK42+LL14-LL27</f>
        <v/>
      </c>
      <c r="LM43" s="33">
        <f>Assumptions!$B$5+LL42+LM14-LM27</f>
        <v/>
      </c>
      <c r="LN43" s="33">
        <f>Assumptions!$B$5+LM42+LN14-LN27</f>
        <v/>
      </c>
      <c r="LO43" s="33">
        <f>Assumptions!$B$5+LN42+LO14-LO27</f>
        <v/>
      </c>
      <c r="LP43" s="33">
        <f>Assumptions!$B$5+LO42+LP14-LP27</f>
        <v/>
      </c>
      <c r="LQ43" s="33">
        <f>Assumptions!$B$5+LP42+LQ14-LQ27</f>
        <v/>
      </c>
      <c r="LR43" s="33">
        <f>Assumptions!$B$5+LQ42+LR14-LR27</f>
        <v/>
      </c>
      <c r="LS43" s="33">
        <f>Assumptions!$B$5+LR42+LS14-LS27</f>
        <v/>
      </c>
      <c r="LT43" s="33">
        <f>Assumptions!$B$5+LS42+LT14-LT27</f>
        <v/>
      </c>
      <c r="LU43" s="33">
        <f>Assumptions!$B$5+LT42+LU14-LU27</f>
        <v/>
      </c>
      <c r="LV43" s="33">
        <f>Assumptions!$B$5+LU42+LV14-LV27</f>
        <v/>
      </c>
      <c r="LW43" s="33">
        <f>Assumptions!$B$5+LV42+LW14-LW27</f>
        <v/>
      </c>
      <c r="LX43" s="33">
        <f>Assumptions!$B$5+LW42+LX14-LX27</f>
        <v/>
      </c>
      <c r="LY43" s="33">
        <f>Assumptions!$B$5+LX42+LY14-LY27</f>
        <v/>
      </c>
      <c r="LZ43" s="33">
        <f>Assumptions!$B$5+LY42+LZ14-LZ27</f>
        <v/>
      </c>
      <c r="MA43" s="33">
        <f>Assumptions!$B$5+LZ42+MA14-MA27</f>
        <v/>
      </c>
      <c r="MB43" s="33">
        <f>Assumptions!$B$5+MA42+MB14-MB27</f>
        <v/>
      </c>
      <c r="MC43" s="33">
        <f>Assumptions!$B$5+MB42+MC14-MC27</f>
        <v/>
      </c>
      <c r="MD43" s="33">
        <f>Assumptions!$B$5+MC42+MD14-MD27</f>
        <v/>
      </c>
      <c r="ME43" s="33">
        <f>Assumptions!$B$5+MD42+ME14-ME27</f>
        <v/>
      </c>
      <c r="MF43" s="33">
        <f>Assumptions!$B$5+ME42+MF14-MF27</f>
        <v/>
      </c>
      <c r="MG43" s="33">
        <f>Assumptions!$B$5+MF42+MG14-MG27</f>
        <v/>
      </c>
      <c r="MH43" s="33">
        <f>Assumptions!$B$5+MG42+MH14-MH27</f>
        <v/>
      </c>
      <c r="MI43" s="33">
        <f>Assumptions!$B$5+MH42+MI14-MI27</f>
        <v/>
      </c>
      <c r="MJ43" s="33">
        <f>Assumptions!$B$5+MI42+MJ14-MJ27</f>
        <v/>
      </c>
      <c r="MK43" s="33">
        <f>Assumptions!$B$5+MJ42+MK14-MK27</f>
        <v/>
      </c>
      <c r="ML43" s="33">
        <f>Assumptions!$B$5+MK42+ML14-ML27</f>
        <v/>
      </c>
      <c r="MM43" s="33">
        <f>Assumptions!$B$5+ML42+MM14-MM27</f>
        <v/>
      </c>
      <c r="MN43" s="33">
        <f>Assumptions!$B$5+MM42+MN14-MN27</f>
        <v/>
      </c>
      <c r="MO43" s="33">
        <f>Assumptions!$B$5+MN42+MO14-MO27</f>
        <v/>
      </c>
      <c r="MP43" s="33">
        <f>Assumptions!$B$5+MO42+MP14-MP27</f>
        <v/>
      </c>
      <c r="MQ43" s="33">
        <f>Assumptions!$B$5+MP42+MQ14-MQ27</f>
        <v/>
      </c>
      <c r="MR43" s="33">
        <f>Assumptions!$B$5+MQ42+MR14-MR27</f>
        <v/>
      </c>
      <c r="MS43" s="33">
        <f>Assumptions!$B$5+MR42+MS14-MS27</f>
        <v/>
      </c>
      <c r="MT43" s="33">
        <f>Assumptions!$B$5+MS42+MT14-MT27</f>
        <v/>
      </c>
      <c r="MU43" s="33">
        <f>Assumptions!$B$5+MT42+MU14-MU27</f>
        <v/>
      </c>
      <c r="MV43" s="33">
        <f>Assumptions!$B$5+MU42+MV14-MV27</f>
        <v/>
      </c>
      <c r="MW43" s="33">
        <f>Assumptions!$B$5+MV42+MW14-MW27</f>
        <v/>
      </c>
      <c r="MX43" s="33">
        <f>Assumptions!$B$5+MW42+MX14-MX27</f>
        <v/>
      </c>
      <c r="MY43" s="33">
        <f>Assumptions!$B$5+MX42+MY14-MY27</f>
        <v/>
      </c>
      <c r="MZ43" s="33">
        <f>Assumptions!$B$5+MY42+MZ14-MZ27</f>
        <v/>
      </c>
      <c r="NA43" s="33">
        <f>Assumptions!$B$5+MZ42+NA14-NA27</f>
        <v/>
      </c>
      <c r="NB43" s="33">
        <f>Assumptions!$B$5+NA42+NB14-NB27</f>
        <v/>
      </c>
      <c r="NC43" s="33">
        <f>Assumptions!$B$5+NB42+NC14-NC27</f>
        <v/>
      </c>
      <c r="ND43" s="33">
        <f>Assumptions!$B$5+NC42+ND14-ND27</f>
        <v/>
      </c>
      <c r="NE43" s="33">
        <f>Assumptions!$B$5+ND42+NE14-NE27</f>
        <v/>
      </c>
      <c r="NF43" s="33">
        <f>Assumptions!$B$5+NE42+NF14-NF27</f>
        <v/>
      </c>
      <c r="NG43" s="33">
        <f>Assumptions!$B$5+NF42+NG14-NG27</f>
        <v/>
      </c>
      <c r="NH43" s="33">
        <f>Assumptions!$B$5+NG42+NH14-NH27</f>
        <v/>
      </c>
      <c r="NI43" s="33">
        <f>Assumptions!$B$5+NH42+NI14-NI27</f>
        <v/>
      </c>
      <c r="NJ43" s="33">
        <f>Assumptions!$B$5+NI42+NJ14-NJ27</f>
        <v/>
      </c>
      <c r="NK43" s="33">
        <f>Assumptions!$B$5+NJ42+NK14-NK27</f>
        <v/>
      </c>
      <c r="NL43" s="33">
        <f>Assumptions!$B$5+NK42+NL14-NL27</f>
        <v/>
      </c>
      <c r="NM43" s="33">
        <f>Assumptions!$B$5+NL42+NM14-NM27</f>
        <v/>
      </c>
      <c r="NN43" s="33">
        <f>Assumptions!$B$5+NM42+NN14-NN27</f>
        <v/>
      </c>
      <c r="NO43" s="33">
        <f>Assumptions!$B$5+NN42+NO14-NO27</f>
        <v/>
      </c>
      <c r="NP43" s="33">
        <f>Assumptions!$B$5+NO42+NP14-NP27</f>
        <v/>
      </c>
      <c r="NQ43" s="33">
        <f>Assumptions!$B$5+NP42+NQ14-NQ27</f>
        <v/>
      </c>
      <c r="NR43" s="33">
        <f>Assumptions!$B$5+NQ42+NR14-NR27</f>
        <v/>
      </c>
      <c r="NS43" s="33">
        <f>Assumptions!$B$5+NR42+NS14-NS27</f>
        <v/>
      </c>
      <c r="NT43" s="33">
        <f>Assumptions!$B$5+NS42+NT14-NT27</f>
        <v/>
      </c>
      <c r="NU43" s="33">
        <f>Assumptions!$B$5+NT42+NU14-NU27</f>
        <v/>
      </c>
      <c r="NV43" s="33">
        <f>Assumptions!$B$5+NU42+NV14-NV27</f>
        <v/>
      </c>
      <c r="NW43" s="33">
        <f>Assumptions!$B$5+NV42+NW14-NW27</f>
        <v/>
      </c>
      <c r="NX43" s="33">
        <f>Assumptions!$B$5+NW42+NX14-NX27</f>
        <v/>
      </c>
      <c r="NY43" s="33">
        <f>Assumptions!$B$5+NX42+NY14-NY27</f>
        <v/>
      </c>
      <c r="NZ43" s="33">
        <f>Assumptions!$B$5+NY42+NZ14-NZ27</f>
        <v/>
      </c>
      <c r="OA43" s="33">
        <f>Assumptions!$B$5+NZ42+OA14-OA27</f>
        <v/>
      </c>
      <c r="OB43" s="33">
        <f>Assumptions!$B$5+OA42+OB14-OB27</f>
        <v/>
      </c>
      <c r="OC43" s="33">
        <f>Assumptions!$B$5+OB42+OC14-OC27</f>
        <v/>
      </c>
      <c r="OD43" s="33">
        <f>Assumptions!$B$5+OC42+OD14-OD27</f>
        <v/>
      </c>
      <c r="OE43" s="33">
        <f>Assumptions!$B$5+OD42+OE14-OE27</f>
        <v/>
      </c>
      <c r="OF43" s="33">
        <f>Assumptions!$B$5+OE42+OF14-OF27</f>
        <v/>
      </c>
      <c r="OG43" s="33">
        <f>Assumptions!$B$5+OF42+OG14-OG27</f>
        <v/>
      </c>
      <c r="OH43" s="33">
        <f>Assumptions!$B$5+OG42+OH14-OH27</f>
        <v/>
      </c>
      <c r="OI43" s="33">
        <f>Assumptions!$B$5+OH42+OI14-OI27</f>
        <v/>
      </c>
      <c r="OJ43" s="33">
        <f>Assumptions!$B$5+OI42+OJ14-OJ27</f>
        <v/>
      </c>
      <c r="OK43" s="33">
        <f>Assumptions!$B$5+OJ42+OK14-OK27</f>
        <v/>
      </c>
      <c r="OL43" s="33">
        <f>Assumptions!$B$5+OK42+OL14-OL27</f>
        <v/>
      </c>
      <c r="OM43" s="33">
        <f>Assumptions!$B$5+OL42+OM14-OM27</f>
        <v/>
      </c>
      <c r="ON43" s="33">
        <f>Assumptions!$B$5+OM42+ON14-ON27</f>
        <v/>
      </c>
      <c r="OO43" s="33">
        <f>Assumptions!$B$5+ON42+OO14-OO27</f>
        <v/>
      </c>
      <c r="OP43" s="33">
        <f>Assumptions!$B$5+OO42+OP14-OP27</f>
        <v/>
      </c>
      <c r="OQ43" s="33">
        <f>Assumptions!$B$5+OP42+OQ14-OQ27</f>
        <v/>
      </c>
      <c r="OR43" s="33">
        <f>Assumptions!$B$5+OQ42+OR14-OR27</f>
        <v/>
      </c>
      <c r="OS43" s="33">
        <f>Assumptions!$B$5+OR42+OS14-OS27</f>
        <v/>
      </c>
      <c r="OT43" s="33">
        <f>Assumptions!$B$5+OS42+OT14-OT27</f>
        <v/>
      </c>
      <c r="OU43" s="33">
        <f>Assumptions!$B$5+OT42+OU14-OU27</f>
        <v/>
      </c>
      <c r="OV43" s="33">
        <f>Assumptions!$B$5+OU42+OV14-OV27</f>
        <v/>
      </c>
      <c r="OW43" s="33">
        <f>Assumptions!$B$5+OV42+OW14-OW27</f>
        <v/>
      </c>
      <c r="OX43" s="33">
        <f>Assumptions!$B$5+OW42+OX14-OX27</f>
        <v/>
      </c>
      <c r="OY43" s="33">
        <f>Assumptions!$B$5+OX42+OY14-OY27</f>
        <v/>
      </c>
      <c r="OZ43" s="33">
        <f>Assumptions!$B$5+OY42+OZ14-OZ27</f>
        <v/>
      </c>
      <c r="PA43" s="33">
        <f>Assumptions!$B$5+OZ42+PA14-PA27</f>
        <v/>
      </c>
      <c r="PB43" s="33">
        <f>Assumptions!$B$5+PA42+PB14-PB27</f>
        <v/>
      </c>
      <c r="PC43" s="33">
        <f>Assumptions!$B$5+PB42+PC14-PC27</f>
        <v/>
      </c>
      <c r="PD43" s="33">
        <f>Assumptions!$B$5+PC42+PD14-PD27</f>
        <v/>
      </c>
      <c r="PE43" s="33">
        <f>Assumptions!$B$5+PD42+PE14-PE27</f>
        <v/>
      </c>
      <c r="PF43" s="33">
        <f>Assumptions!$B$5+PE42+PF14-PF27</f>
        <v/>
      </c>
      <c r="PG43" s="33">
        <f>Assumptions!$B$5+PF42+PG14-PG27</f>
        <v/>
      </c>
      <c r="PH43" s="33">
        <f>Assumptions!$B$5+PG42+PH14-PH27</f>
        <v/>
      </c>
      <c r="PI43" s="33">
        <f>Assumptions!$B$5+PH42+PI14-PI27</f>
        <v/>
      </c>
      <c r="PJ43" s="33">
        <f>Assumptions!$B$5+PI42+PJ14-PJ27</f>
        <v/>
      </c>
      <c r="PK43" s="33">
        <f>Assumptions!$B$5+PJ42+PK14-PK27</f>
        <v/>
      </c>
      <c r="PL43" s="33">
        <f>Assumptions!$B$5+PK42+PL14-PL27</f>
        <v/>
      </c>
      <c r="PM43" s="33">
        <f>Assumptions!$B$5+PL42+PM14-PM27</f>
        <v/>
      </c>
      <c r="PN43" s="33">
        <f>Assumptions!$B$5+PM42+PN14-PN27</f>
        <v/>
      </c>
      <c r="PO43" s="33">
        <f>Assumptions!$B$5+PN42+PO14-PO27</f>
        <v/>
      </c>
      <c r="PP43" s="33">
        <f>Assumptions!$B$5+PO42+PP14-PP27</f>
        <v/>
      </c>
      <c r="PQ43" s="33">
        <f>Assumptions!$B$5+PP42+PQ14-PQ27</f>
        <v/>
      </c>
      <c r="PR43" s="33">
        <f>Assumptions!$B$5+PQ42+PR14-PR27</f>
        <v/>
      </c>
      <c r="PS43" s="33">
        <f>Assumptions!$B$5+PR42+PS14-PS27</f>
        <v/>
      </c>
      <c r="PT43" s="33">
        <f>Assumptions!$B$5+PS42+PT14-PT27</f>
        <v/>
      </c>
      <c r="PU43" s="33">
        <f>Assumptions!$B$5+PT42+PU14-PU27</f>
        <v/>
      </c>
      <c r="PV43" s="33">
        <f>Assumptions!$B$5+PU42+PV14-PV27</f>
        <v/>
      </c>
      <c r="PW43" s="33">
        <f>Assumptions!$B$5+PV42+PW14-PW27</f>
        <v/>
      </c>
      <c r="PX43" s="33">
        <f>Assumptions!$B$5+PW42+PX14-PX27</f>
        <v/>
      </c>
      <c r="PY43" s="33">
        <f>Assumptions!$B$5+PX42+PY14-PY27</f>
        <v/>
      </c>
      <c r="PZ43" s="33">
        <f>Assumptions!$B$5+PY42+PZ14-PZ27</f>
        <v/>
      </c>
      <c r="QA43" s="33">
        <f>Assumptions!$B$5+PZ42+QA14-QA27</f>
        <v/>
      </c>
      <c r="QB43" s="33">
        <f>Assumptions!$B$5+QA42+QB14-QB27</f>
        <v/>
      </c>
      <c r="QC43" s="33">
        <f>Assumptions!$B$5+QB42+QC14-QC27</f>
        <v/>
      </c>
      <c r="QD43" s="33">
        <f>Assumptions!$B$5+QC42+QD14-QD27</f>
        <v/>
      </c>
      <c r="QE43" s="33">
        <f>Assumptions!$B$5+QD42+QE14-QE27</f>
        <v/>
      </c>
      <c r="QF43" s="33">
        <f>Assumptions!$B$5+QE42+QF14-QF27</f>
        <v/>
      </c>
      <c r="QG43" s="33">
        <f>Assumptions!$B$5+QF42+QG14-QG27</f>
        <v/>
      </c>
      <c r="QH43" s="33">
        <f>Assumptions!$B$5+QG42+QH14-QH27</f>
        <v/>
      </c>
      <c r="QI43" s="33">
        <f>Assumptions!$B$5+QH42+QI14-QI27</f>
        <v/>
      </c>
      <c r="QJ43" s="33">
        <f>Assumptions!$B$5+QI42+QJ14-QJ27</f>
        <v/>
      </c>
      <c r="QK43" s="33">
        <f>Assumptions!$B$5+QJ42+QK14-QK27</f>
        <v/>
      </c>
      <c r="QL43" s="33">
        <f>Assumptions!$B$5+QK42+QL14-QL27</f>
        <v/>
      </c>
      <c r="QM43" s="33">
        <f>Assumptions!$B$5+QL42+QM14-QM27</f>
        <v/>
      </c>
      <c r="QN43" s="33">
        <f>Assumptions!$B$5+QM42+QN14-QN27</f>
        <v/>
      </c>
      <c r="QO43" s="33">
        <f>Assumptions!$B$5+QN42+QO14-QO27</f>
        <v/>
      </c>
      <c r="QP43" s="33">
        <f>Assumptions!$B$5+QO42+QP14-QP27</f>
        <v/>
      </c>
      <c r="QQ43" s="33">
        <f>Assumptions!$B$5+QP42+QQ14-QQ27</f>
        <v/>
      </c>
      <c r="QR43" s="33">
        <f>Assumptions!$B$5+QQ42+QR14-QR27</f>
        <v/>
      </c>
      <c r="QS43" s="33">
        <f>Assumptions!$B$5+QR42+QS14-QS27</f>
        <v/>
      </c>
      <c r="QT43" s="33">
        <f>Assumptions!$B$5+QS42+QT14-QT27</f>
        <v/>
      </c>
      <c r="QU43" s="33">
        <f>Assumptions!$B$5+QT42+QU14-QU27</f>
        <v/>
      </c>
      <c r="QV43" s="33">
        <f>Assumptions!$B$5+QU42+QV14-QV27</f>
        <v/>
      </c>
      <c r="QW43" s="33">
        <f>Assumptions!$B$5+QV42+QW14-QW27</f>
        <v/>
      </c>
      <c r="QX43" s="33">
        <f>Assumptions!$B$5+QW42+QX14-QX27</f>
        <v/>
      </c>
      <c r="QY43" s="33">
        <f>Assumptions!$B$5+QX42+QY14-QY27</f>
        <v/>
      </c>
      <c r="QZ43" s="33">
        <f>Assumptions!$B$5+QY42+QZ14-QZ27</f>
        <v/>
      </c>
      <c r="RA43" s="33">
        <f>Assumptions!$B$5+QZ42+RA14-RA27</f>
        <v/>
      </c>
      <c r="RB43" s="33">
        <f>Assumptions!$B$5+RA42+RB14-RB27</f>
        <v/>
      </c>
      <c r="RC43" s="33">
        <f>Assumptions!$B$5+RB42+RC14-RC27</f>
        <v/>
      </c>
      <c r="RD43" s="33">
        <f>Assumptions!$B$5+RC42+RD14-RD27</f>
        <v/>
      </c>
      <c r="RE43" s="33">
        <f>Assumptions!$B$5+RD42+RE14-RE27</f>
        <v/>
      </c>
      <c r="RF43" s="33">
        <f>Assumptions!$B$5+RE42+RF14-RF27</f>
        <v/>
      </c>
      <c r="RG43" s="33">
        <f>Assumptions!$B$5+RF42+RG14-RG27</f>
        <v/>
      </c>
      <c r="RH43" s="33">
        <f>Assumptions!$B$5+RG42+RH14-RH27</f>
        <v/>
      </c>
      <c r="RI43" s="33">
        <f>Assumptions!$B$5+RH42+RI14-RI27</f>
        <v/>
      </c>
      <c r="RJ43" s="33">
        <f>Assumptions!$B$5+RI42+RJ14-RJ27</f>
        <v/>
      </c>
      <c r="RK43" s="33">
        <f>Assumptions!$B$5+RJ42+RK14-RK27</f>
        <v/>
      </c>
      <c r="RL43" s="33">
        <f>Assumptions!$B$5+RK42+RL14-RL27</f>
        <v/>
      </c>
      <c r="RM43" s="33">
        <f>Assumptions!$B$5+RL42+RM14-RM27</f>
        <v/>
      </c>
      <c r="RN43" s="33">
        <f>Assumptions!$B$5+RM42+RN14-RN27</f>
        <v/>
      </c>
      <c r="RO43" s="33">
        <f>Assumptions!$B$5+RN42+RO14-RO27</f>
        <v/>
      </c>
      <c r="RP43" s="33">
        <f>Assumptions!$B$5+RO42+RP14-RP27</f>
        <v/>
      </c>
      <c r="RQ43" s="33">
        <f>Assumptions!$B$5+RP42+RQ14-RQ27</f>
        <v/>
      </c>
      <c r="RR43" s="33">
        <f>Assumptions!$B$5+RQ42+RR14-RR27</f>
        <v/>
      </c>
      <c r="RS43" s="33">
        <f>Assumptions!$B$5+RR42+RS14-RS27</f>
        <v/>
      </c>
      <c r="RT43" s="33">
        <f>Assumptions!$B$5+RS42+RT14-RT27</f>
        <v/>
      </c>
      <c r="RU43" s="33">
        <f>Assumptions!$B$5+RT42+RU14-RU27</f>
        <v/>
      </c>
      <c r="RV43" s="33">
        <f>Assumptions!$B$5+RU42+RV14-RV27</f>
        <v/>
      </c>
      <c r="RW43" s="33">
        <f>Assumptions!$B$5+RV42+RW14-RW27</f>
        <v/>
      </c>
    </row>
    <row r="44" hidden="1" outlineLevel="1" ht="13.05" customHeight="1">
      <c r="E44" s="34" t="inlineStr">
        <is>
          <t>Total Liabilities &amp; Equity</t>
        </is>
      </c>
      <c r="F44" s="35" t="n"/>
      <c r="G44" s="35" t="inlineStr">
        <is>
          <t>kEUR</t>
        </is>
      </c>
      <c r="H44" s="35" t="n"/>
      <c r="I44" s="35" t="n"/>
      <c r="J44" s="36" t="n">
        <v>490378275.978499</v>
      </c>
      <c r="K44" s="35" t="n"/>
      <c r="L44" s="37">
        <f>'Debt'!L11+L43</f>
        <v/>
      </c>
      <c r="M44" s="37">
        <f>'Debt'!M11+M43</f>
        <v/>
      </c>
      <c r="N44" s="37">
        <f>'Debt'!N11+N43</f>
        <v/>
      </c>
      <c r="O44" s="37">
        <f>'Debt'!O11+O43</f>
        <v/>
      </c>
      <c r="P44" s="37">
        <f>'Debt'!P11+P43</f>
        <v/>
      </c>
      <c r="Q44" s="37">
        <f>'Debt'!Q11+Q43</f>
        <v/>
      </c>
      <c r="R44" s="37">
        <f>'Debt'!R11+R43</f>
        <v/>
      </c>
      <c r="S44" s="37">
        <f>'Debt'!S11+S43</f>
        <v/>
      </c>
      <c r="T44" s="37">
        <f>'Debt'!T11+T43</f>
        <v/>
      </c>
      <c r="U44" s="37">
        <f>'Debt'!U11+U43</f>
        <v/>
      </c>
      <c r="V44" s="37">
        <f>'Debt'!V11+V43</f>
        <v/>
      </c>
      <c r="W44" s="37">
        <f>'Debt'!W11+W43</f>
        <v/>
      </c>
      <c r="X44" s="37">
        <f>'Debt'!X11+X43</f>
        <v/>
      </c>
      <c r="Y44" s="37">
        <f>'Debt'!Y11+Y43</f>
        <v/>
      </c>
      <c r="Z44" s="37">
        <f>'Debt'!Z11+Z43</f>
        <v/>
      </c>
      <c r="AA44" s="37">
        <f>'Debt'!AA11+AA43</f>
        <v/>
      </c>
      <c r="AB44" s="37">
        <f>'Debt'!AB11+AB43</f>
        <v/>
      </c>
      <c r="AC44" s="37">
        <f>'Debt'!AC11+AC43</f>
        <v/>
      </c>
      <c r="AD44" s="37">
        <f>'Debt'!AD11+AD43</f>
        <v/>
      </c>
      <c r="AE44" s="37">
        <f>'Debt'!AE11+AE43</f>
        <v/>
      </c>
      <c r="AF44" s="37">
        <f>'Debt'!AF11+AF43</f>
        <v/>
      </c>
      <c r="AG44" s="37">
        <f>'Debt'!AG11+AG43</f>
        <v/>
      </c>
      <c r="AH44" s="37">
        <f>'Debt'!AH11+AH43</f>
        <v/>
      </c>
      <c r="AI44" s="37">
        <f>'Debt'!AI11+AI43</f>
        <v/>
      </c>
      <c r="AJ44" s="37">
        <f>'Debt'!AJ11+AJ43</f>
        <v/>
      </c>
      <c r="AK44" s="37">
        <f>'Debt'!AK11+AK43</f>
        <v/>
      </c>
      <c r="AL44" s="37">
        <f>'Debt'!AL11+AL43</f>
        <v/>
      </c>
      <c r="AM44" s="37">
        <f>'Debt'!AM11+AM43</f>
        <v/>
      </c>
      <c r="AN44" s="37">
        <f>'Debt'!AN11+AN43</f>
        <v/>
      </c>
      <c r="AO44" s="37">
        <f>'Debt'!AO11+AO43</f>
        <v/>
      </c>
      <c r="AP44" s="37">
        <f>'Debt'!AP11+AP43</f>
        <v/>
      </c>
      <c r="AQ44" s="37">
        <f>'Debt'!AQ11+AQ43</f>
        <v/>
      </c>
      <c r="AR44" s="37">
        <f>'Debt'!AR11+AR43</f>
        <v/>
      </c>
      <c r="AS44" s="37">
        <f>'Debt'!AS11+AS43</f>
        <v/>
      </c>
      <c r="AT44" s="37">
        <f>'Debt'!AT11+AT43</f>
        <v/>
      </c>
      <c r="AU44" s="37">
        <f>'Debt'!AU11+AU43</f>
        <v/>
      </c>
      <c r="AV44" s="37">
        <f>'Debt'!AV11+AV43</f>
        <v/>
      </c>
      <c r="AW44" s="37">
        <f>'Debt'!AW11+AW43</f>
        <v/>
      </c>
      <c r="AX44" s="37">
        <f>'Debt'!AX11+AX43</f>
        <v/>
      </c>
      <c r="AY44" s="37">
        <f>'Debt'!AY11+AY43</f>
        <v/>
      </c>
      <c r="AZ44" s="37">
        <f>'Debt'!AZ11+AZ43</f>
        <v/>
      </c>
      <c r="BA44" s="37">
        <f>'Debt'!BA11+BA43</f>
        <v/>
      </c>
      <c r="BB44" s="37">
        <f>'Debt'!BB11+BB43</f>
        <v/>
      </c>
      <c r="BC44" s="37">
        <f>'Debt'!BC11+BC43</f>
        <v/>
      </c>
      <c r="BD44" s="37">
        <f>'Debt'!BD11+BD43</f>
        <v/>
      </c>
      <c r="BE44" s="37">
        <f>'Debt'!BE11+BE43</f>
        <v/>
      </c>
      <c r="BF44" s="37">
        <f>'Debt'!BF11+BF43</f>
        <v/>
      </c>
      <c r="BG44" s="37">
        <f>'Debt'!BG11+BG43</f>
        <v/>
      </c>
      <c r="BH44" s="37">
        <f>'Debt'!BH11+BH43</f>
        <v/>
      </c>
      <c r="BI44" s="37">
        <f>'Debt'!BI11+BI43</f>
        <v/>
      </c>
      <c r="BJ44" s="37">
        <f>'Debt'!BJ11+BJ43</f>
        <v/>
      </c>
      <c r="BK44" s="37">
        <f>'Debt'!BK11+BK43</f>
        <v/>
      </c>
      <c r="BL44" s="37">
        <f>'Debt'!BL11+BL43</f>
        <v/>
      </c>
      <c r="BM44" s="37">
        <f>'Debt'!BM11+BM43</f>
        <v/>
      </c>
      <c r="BN44" s="37">
        <f>'Debt'!BN11+BN43</f>
        <v/>
      </c>
      <c r="BO44" s="37">
        <f>'Debt'!BO11+BO43</f>
        <v/>
      </c>
      <c r="BP44" s="37">
        <f>'Debt'!BP11+BP43</f>
        <v/>
      </c>
      <c r="BQ44" s="37">
        <f>'Debt'!BQ11+BQ43</f>
        <v/>
      </c>
      <c r="BR44" s="37">
        <f>'Debt'!BR11+BR43</f>
        <v/>
      </c>
      <c r="BS44" s="37">
        <f>'Debt'!BS11+BS43</f>
        <v/>
      </c>
      <c r="BT44" s="37">
        <f>'Debt'!BT11+BT43</f>
        <v/>
      </c>
      <c r="BU44" s="37">
        <f>'Debt'!BU11+BU43</f>
        <v/>
      </c>
      <c r="BV44" s="37">
        <f>'Debt'!BV11+BV43</f>
        <v/>
      </c>
      <c r="BW44" s="37">
        <f>'Debt'!BW11+BW43</f>
        <v/>
      </c>
      <c r="BX44" s="37">
        <f>'Debt'!BX11+BX43</f>
        <v/>
      </c>
      <c r="BY44" s="37">
        <f>'Debt'!BY11+BY43</f>
        <v/>
      </c>
      <c r="BZ44" s="37">
        <f>'Debt'!BZ11+BZ43</f>
        <v/>
      </c>
      <c r="CA44" s="37">
        <f>'Debt'!CA11+CA43</f>
        <v/>
      </c>
      <c r="CB44" s="37">
        <f>'Debt'!CB11+CB43</f>
        <v/>
      </c>
      <c r="CC44" s="37">
        <f>'Debt'!CC11+CC43</f>
        <v/>
      </c>
      <c r="CD44" s="37">
        <f>'Debt'!CD11+CD43</f>
        <v/>
      </c>
      <c r="CE44" s="37">
        <f>'Debt'!CE11+CE43</f>
        <v/>
      </c>
      <c r="CF44" s="37">
        <f>'Debt'!CF11+CF43</f>
        <v/>
      </c>
      <c r="CG44" s="37">
        <f>'Debt'!CG11+CG43</f>
        <v/>
      </c>
      <c r="CH44" s="37">
        <f>'Debt'!CH11+CH43</f>
        <v/>
      </c>
      <c r="CI44" s="37">
        <f>'Debt'!CI11+CI43</f>
        <v/>
      </c>
      <c r="CJ44" s="37">
        <f>'Debt'!CJ11+CJ43</f>
        <v/>
      </c>
      <c r="CK44" s="37">
        <f>'Debt'!CK11+CK43</f>
        <v/>
      </c>
      <c r="CL44" s="37">
        <f>'Debt'!CL11+CL43</f>
        <v/>
      </c>
      <c r="CM44" s="37">
        <f>'Debt'!CM11+CM43</f>
        <v/>
      </c>
      <c r="CN44" s="37">
        <f>'Debt'!CN11+CN43</f>
        <v/>
      </c>
      <c r="CO44" s="37">
        <f>'Debt'!CO11+CO43</f>
        <v/>
      </c>
      <c r="CP44" s="37">
        <f>'Debt'!CP11+CP43</f>
        <v/>
      </c>
      <c r="CQ44" s="37">
        <f>'Debt'!CQ11+CQ43</f>
        <v/>
      </c>
      <c r="CR44" s="37">
        <f>'Debt'!CR11+CR43</f>
        <v/>
      </c>
      <c r="CS44" s="37">
        <f>'Debt'!CS11+CS43</f>
        <v/>
      </c>
      <c r="CT44" s="37">
        <f>'Debt'!CT11+CT43</f>
        <v/>
      </c>
      <c r="CU44" s="37">
        <f>'Debt'!CU11+CU43</f>
        <v/>
      </c>
      <c r="CV44" s="37">
        <f>'Debt'!CV11+CV43</f>
        <v/>
      </c>
      <c r="CW44" s="37">
        <f>'Debt'!CW11+CW43</f>
        <v/>
      </c>
      <c r="CX44" s="37">
        <f>'Debt'!CX11+CX43</f>
        <v/>
      </c>
      <c r="CY44" s="37">
        <f>'Debt'!CY11+CY43</f>
        <v/>
      </c>
      <c r="CZ44" s="37">
        <f>'Debt'!CZ11+CZ43</f>
        <v/>
      </c>
      <c r="DA44" s="37">
        <f>'Debt'!DA11+DA43</f>
        <v/>
      </c>
      <c r="DB44" s="37">
        <f>'Debt'!DB11+DB43</f>
        <v/>
      </c>
      <c r="DC44" s="37">
        <f>'Debt'!DC11+DC43</f>
        <v/>
      </c>
      <c r="DD44" s="37">
        <f>'Debt'!DD11+DD43</f>
        <v/>
      </c>
      <c r="DE44" s="37">
        <f>'Debt'!DE11+DE43</f>
        <v/>
      </c>
      <c r="DF44" s="37">
        <f>'Debt'!DF11+DF43</f>
        <v/>
      </c>
      <c r="DG44" s="37">
        <f>'Debt'!DG11+DG43</f>
        <v/>
      </c>
      <c r="DH44" s="37">
        <f>'Debt'!DH11+DH43</f>
        <v/>
      </c>
      <c r="DI44" s="37">
        <f>'Debt'!DI11+DI43</f>
        <v/>
      </c>
      <c r="DJ44" s="37">
        <f>'Debt'!DJ11+DJ43</f>
        <v/>
      </c>
      <c r="DK44" s="37">
        <f>'Debt'!DK11+DK43</f>
        <v/>
      </c>
      <c r="DL44" s="37">
        <f>'Debt'!DL11+DL43</f>
        <v/>
      </c>
      <c r="DM44" s="37">
        <f>'Debt'!DM11+DM43</f>
        <v/>
      </c>
      <c r="DN44" s="37">
        <f>'Debt'!DN11+DN43</f>
        <v/>
      </c>
      <c r="DO44" s="37">
        <f>'Debt'!DO11+DO43</f>
        <v/>
      </c>
      <c r="DP44" s="37">
        <f>'Debt'!DP11+DP43</f>
        <v/>
      </c>
      <c r="DQ44" s="37">
        <f>'Debt'!DQ11+DQ43</f>
        <v/>
      </c>
      <c r="DR44" s="37">
        <f>'Debt'!DR11+DR43</f>
        <v/>
      </c>
      <c r="DS44" s="37">
        <f>'Debt'!DS11+DS43</f>
        <v/>
      </c>
      <c r="DT44" s="37">
        <f>'Debt'!DT11+DT43</f>
        <v/>
      </c>
      <c r="DU44" s="37">
        <f>'Debt'!DU11+DU43</f>
        <v/>
      </c>
      <c r="DV44" s="37">
        <f>'Debt'!DV11+DV43</f>
        <v/>
      </c>
      <c r="DW44" s="37">
        <f>'Debt'!DW11+DW43</f>
        <v/>
      </c>
      <c r="DX44" s="37">
        <f>'Debt'!DX11+DX43</f>
        <v/>
      </c>
      <c r="DY44" s="37">
        <f>'Debt'!DY11+DY43</f>
        <v/>
      </c>
      <c r="DZ44" s="37">
        <f>'Debt'!DZ11+DZ43</f>
        <v/>
      </c>
      <c r="EA44" s="37">
        <f>'Debt'!EA11+EA43</f>
        <v/>
      </c>
      <c r="EB44" s="37">
        <f>'Debt'!EB11+EB43</f>
        <v/>
      </c>
      <c r="EC44" s="37">
        <f>'Debt'!EC11+EC43</f>
        <v/>
      </c>
      <c r="ED44" s="37">
        <f>'Debt'!ED11+ED43</f>
        <v/>
      </c>
      <c r="EE44" s="37">
        <f>'Debt'!EE11+EE43</f>
        <v/>
      </c>
      <c r="EF44" s="37">
        <f>'Debt'!EF11+EF43</f>
        <v/>
      </c>
      <c r="EG44" s="37">
        <f>'Debt'!EG11+EG43</f>
        <v/>
      </c>
      <c r="EH44" s="37">
        <f>'Debt'!EH11+EH43</f>
        <v/>
      </c>
      <c r="EI44" s="37">
        <f>'Debt'!EI11+EI43</f>
        <v/>
      </c>
      <c r="EJ44" s="37">
        <f>'Debt'!EJ11+EJ43</f>
        <v/>
      </c>
      <c r="EK44" s="37">
        <f>'Debt'!EK11+EK43</f>
        <v/>
      </c>
      <c r="EL44" s="37">
        <f>'Debt'!EL11+EL43</f>
        <v/>
      </c>
      <c r="EM44" s="37">
        <f>'Debt'!EM11+EM43</f>
        <v/>
      </c>
      <c r="EN44" s="37">
        <f>'Debt'!EN11+EN43</f>
        <v/>
      </c>
      <c r="EO44" s="37">
        <f>'Debt'!EO11+EO43</f>
        <v/>
      </c>
      <c r="EP44" s="37">
        <f>'Debt'!EP11+EP43</f>
        <v/>
      </c>
      <c r="EQ44" s="37">
        <f>'Debt'!EQ11+EQ43</f>
        <v/>
      </c>
      <c r="ER44" s="37">
        <f>'Debt'!ER11+ER43</f>
        <v/>
      </c>
      <c r="ES44" s="37">
        <f>'Debt'!ES11+ES43</f>
        <v/>
      </c>
      <c r="ET44" s="37">
        <f>'Debt'!ET11+ET43</f>
        <v/>
      </c>
      <c r="EU44" s="37">
        <f>'Debt'!EU11+EU43</f>
        <v/>
      </c>
      <c r="EV44" s="37">
        <f>'Debt'!EV11+EV43</f>
        <v/>
      </c>
      <c r="EW44" s="37">
        <f>'Debt'!EW11+EW43</f>
        <v/>
      </c>
      <c r="EX44" s="37">
        <f>'Debt'!EX11+EX43</f>
        <v/>
      </c>
      <c r="EY44" s="37">
        <f>'Debt'!EY11+EY43</f>
        <v/>
      </c>
      <c r="EZ44" s="37">
        <f>'Debt'!EZ11+EZ43</f>
        <v/>
      </c>
      <c r="FA44" s="37">
        <f>'Debt'!FA11+FA43</f>
        <v/>
      </c>
      <c r="FB44" s="37">
        <f>'Debt'!FB11+FB43</f>
        <v/>
      </c>
      <c r="FC44" s="37">
        <f>'Debt'!FC11+FC43</f>
        <v/>
      </c>
      <c r="FD44" s="37">
        <f>'Debt'!FD11+FD43</f>
        <v/>
      </c>
      <c r="FE44" s="37">
        <f>'Debt'!FE11+FE43</f>
        <v/>
      </c>
      <c r="FF44" s="37">
        <f>'Debt'!FF11+FF43</f>
        <v/>
      </c>
      <c r="FG44" s="37">
        <f>'Debt'!FG11+FG43</f>
        <v/>
      </c>
      <c r="FH44" s="37">
        <f>'Debt'!FH11+FH43</f>
        <v/>
      </c>
      <c r="FI44" s="37">
        <f>'Debt'!FI11+FI43</f>
        <v/>
      </c>
      <c r="FJ44" s="37">
        <f>'Debt'!FJ11+FJ43</f>
        <v/>
      </c>
      <c r="FK44" s="37">
        <f>'Debt'!FK11+FK43</f>
        <v/>
      </c>
      <c r="FL44" s="37">
        <f>'Debt'!FL11+FL43</f>
        <v/>
      </c>
      <c r="FM44" s="37">
        <f>'Debt'!FM11+FM43</f>
        <v/>
      </c>
      <c r="FN44" s="37">
        <f>'Debt'!FN11+FN43</f>
        <v/>
      </c>
      <c r="FO44" s="37">
        <f>'Debt'!FO11+FO43</f>
        <v/>
      </c>
      <c r="FP44" s="37">
        <f>'Debt'!FP11+FP43</f>
        <v/>
      </c>
      <c r="FQ44" s="37">
        <f>'Debt'!FQ11+FQ43</f>
        <v/>
      </c>
      <c r="FR44" s="37">
        <f>'Debt'!FR11+FR43</f>
        <v/>
      </c>
      <c r="FS44" s="37">
        <f>'Debt'!FS11+FS43</f>
        <v/>
      </c>
      <c r="FT44" s="37">
        <f>'Debt'!FT11+FT43</f>
        <v/>
      </c>
      <c r="FU44" s="37">
        <f>'Debt'!FU11+FU43</f>
        <v/>
      </c>
      <c r="FV44" s="37">
        <f>'Debt'!FV11+FV43</f>
        <v/>
      </c>
      <c r="FW44" s="37">
        <f>'Debt'!FW11+FW43</f>
        <v/>
      </c>
      <c r="FX44" s="37">
        <f>'Debt'!FX11+FX43</f>
        <v/>
      </c>
      <c r="FY44" s="37">
        <f>'Debt'!FY11+FY43</f>
        <v/>
      </c>
      <c r="FZ44" s="37">
        <f>'Debt'!FZ11+FZ43</f>
        <v/>
      </c>
      <c r="GA44" s="37">
        <f>'Debt'!GA11+GA43</f>
        <v/>
      </c>
      <c r="GB44" s="37">
        <f>'Debt'!GB11+GB43</f>
        <v/>
      </c>
      <c r="GC44" s="37">
        <f>'Debt'!GC11+GC43</f>
        <v/>
      </c>
      <c r="GD44" s="37">
        <f>'Debt'!GD11+GD43</f>
        <v/>
      </c>
      <c r="GE44" s="37">
        <f>'Debt'!GE11+GE43</f>
        <v/>
      </c>
      <c r="GF44" s="37">
        <f>'Debt'!GF11+GF43</f>
        <v/>
      </c>
      <c r="GG44" s="37">
        <f>'Debt'!GG11+GG43</f>
        <v/>
      </c>
      <c r="GH44" s="37">
        <f>'Debt'!GH11+GH43</f>
        <v/>
      </c>
      <c r="GI44" s="37">
        <f>'Debt'!GI11+GI43</f>
        <v/>
      </c>
      <c r="GJ44" s="37">
        <f>'Debt'!GJ11+GJ43</f>
        <v/>
      </c>
      <c r="GK44" s="37">
        <f>'Debt'!GK11+GK43</f>
        <v/>
      </c>
      <c r="GL44" s="37">
        <f>'Debt'!GL11+GL43</f>
        <v/>
      </c>
      <c r="GM44" s="37">
        <f>'Debt'!GM11+GM43</f>
        <v/>
      </c>
      <c r="GN44" s="37">
        <f>'Debt'!GN11+GN43</f>
        <v/>
      </c>
      <c r="GO44" s="37">
        <f>'Debt'!GO11+GO43</f>
        <v/>
      </c>
      <c r="GP44" s="37">
        <f>'Debt'!GP11+GP43</f>
        <v/>
      </c>
      <c r="GQ44" s="37">
        <f>'Debt'!GQ11+GQ43</f>
        <v/>
      </c>
      <c r="GR44" s="37">
        <f>'Debt'!GR11+GR43</f>
        <v/>
      </c>
      <c r="GS44" s="37">
        <f>'Debt'!GS11+GS43</f>
        <v/>
      </c>
      <c r="GT44" s="37">
        <f>'Debt'!GT11+GT43</f>
        <v/>
      </c>
      <c r="GU44" s="37">
        <f>'Debt'!GU11+GU43</f>
        <v/>
      </c>
      <c r="GV44" s="37">
        <f>'Debt'!GV11+GV43</f>
        <v/>
      </c>
      <c r="GW44" s="37">
        <f>'Debt'!GW11+GW43</f>
        <v/>
      </c>
      <c r="GX44" s="37">
        <f>'Debt'!GX11+GX43</f>
        <v/>
      </c>
      <c r="GY44" s="37">
        <f>'Debt'!GY11+GY43</f>
        <v/>
      </c>
      <c r="GZ44" s="37">
        <f>'Debt'!GZ11+GZ43</f>
        <v/>
      </c>
      <c r="HA44" s="37">
        <f>'Debt'!HA11+HA43</f>
        <v/>
      </c>
      <c r="HB44" s="37">
        <f>'Debt'!HB11+HB43</f>
        <v/>
      </c>
      <c r="HC44" s="37">
        <f>'Debt'!HC11+HC43</f>
        <v/>
      </c>
      <c r="HD44" s="37">
        <f>'Debt'!HD11+HD43</f>
        <v/>
      </c>
      <c r="HE44" s="37">
        <f>'Debt'!HE11+HE43</f>
        <v/>
      </c>
      <c r="HF44" s="37">
        <f>'Debt'!HF11+HF43</f>
        <v/>
      </c>
      <c r="HG44" s="37">
        <f>'Debt'!HG11+HG43</f>
        <v/>
      </c>
      <c r="HH44" s="37">
        <f>'Debt'!HH11+HH43</f>
        <v/>
      </c>
      <c r="HI44" s="37">
        <f>'Debt'!HI11+HI43</f>
        <v/>
      </c>
      <c r="HJ44" s="37">
        <f>'Debt'!HJ11+HJ43</f>
        <v/>
      </c>
      <c r="HK44" s="37">
        <f>'Debt'!HK11+HK43</f>
        <v/>
      </c>
      <c r="HL44" s="37">
        <f>'Debt'!HL11+HL43</f>
        <v/>
      </c>
      <c r="HM44" s="37">
        <f>'Debt'!HM11+HM43</f>
        <v/>
      </c>
      <c r="HN44" s="37">
        <f>'Debt'!HN11+HN43</f>
        <v/>
      </c>
      <c r="HO44" s="37">
        <f>'Debt'!HO11+HO43</f>
        <v/>
      </c>
      <c r="HP44" s="37">
        <f>'Debt'!HP11+HP43</f>
        <v/>
      </c>
      <c r="HQ44" s="37">
        <f>'Debt'!HQ11+HQ43</f>
        <v/>
      </c>
      <c r="HR44" s="37">
        <f>'Debt'!HR11+HR43</f>
        <v/>
      </c>
      <c r="HS44" s="37">
        <f>'Debt'!HS11+HS43</f>
        <v/>
      </c>
      <c r="HT44" s="37">
        <f>'Debt'!HT11+HT43</f>
        <v/>
      </c>
      <c r="HU44" s="37">
        <f>'Debt'!HU11+HU43</f>
        <v/>
      </c>
      <c r="HV44" s="37">
        <f>'Debt'!HV11+HV43</f>
        <v/>
      </c>
      <c r="HW44" s="37">
        <f>'Debt'!HW11+HW43</f>
        <v/>
      </c>
      <c r="HX44" s="37">
        <f>'Debt'!HX11+HX43</f>
        <v/>
      </c>
      <c r="HY44" s="37">
        <f>'Debt'!HY11+HY43</f>
        <v/>
      </c>
      <c r="HZ44" s="37">
        <f>'Debt'!HZ11+HZ43</f>
        <v/>
      </c>
      <c r="IA44" s="37">
        <f>'Debt'!IA11+IA43</f>
        <v/>
      </c>
      <c r="IB44" s="37">
        <f>'Debt'!IB11+IB43</f>
        <v/>
      </c>
      <c r="IC44" s="37">
        <f>'Debt'!IC11+IC43</f>
        <v/>
      </c>
      <c r="ID44" s="37">
        <f>'Debt'!ID11+ID43</f>
        <v/>
      </c>
      <c r="IE44" s="37">
        <f>'Debt'!IE11+IE43</f>
        <v/>
      </c>
      <c r="IF44" s="37">
        <f>'Debt'!IF11+IF43</f>
        <v/>
      </c>
      <c r="IG44" s="37">
        <f>'Debt'!IG11+IG43</f>
        <v/>
      </c>
      <c r="IH44" s="37">
        <f>'Debt'!IH11+IH43</f>
        <v/>
      </c>
      <c r="II44" s="37">
        <f>'Debt'!II11+II43</f>
        <v/>
      </c>
      <c r="IJ44" s="37">
        <f>'Debt'!IJ11+IJ43</f>
        <v/>
      </c>
      <c r="IK44" s="37">
        <f>'Debt'!IK11+IK43</f>
        <v/>
      </c>
      <c r="IL44" s="37">
        <f>'Debt'!IL11+IL43</f>
        <v/>
      </c>
      <c r="IM44" s="37">
        <f>'Debt'!IM11+IM43</f>
        <v/>
      </c>
      <c r="IN44" s="37">
        <f>'Debt'!IN11+IN43</f>
        <v/>
      </c>
      <c r="IO44" s="37">
        <f>'Debt'!IO11+IO43</f>
        <v/>
      </c>
      <c r="IP44" s="37">
        <f>'Debt'!IP11+IP43</f>
        <v/>
      </c>
      <c r="IQ44" s="37">
        <f>'Debt'!IQ11+IQ43</f>
        <v/>
      </c>
      <c r="IR44" s="37">
        <f>'Debt'!IR11+IR43</f>
        <v/>
      </c>
      <c r="IS44" s="37">
        <f>'Debt'!IS11+IS43</f>
        <v/>
      </c>
      <c r="IT44" s="37">
        <f>'Debt'!IT11+IT43</f>
        <v/>
      </c>
      <c r="IU44" s="37">
        <f>'Debt'!IU11+IU43</f>
        <v/>
      </c>
      <c r="IV44" s="37">
        <f>'Debt'!IV11+IV43</f>
        <v/>
      </c>
      <c r="IW44" s="37">
        <f>'Debt'!IW11+IW43</f>
        <v/>
      </c>
      <c r="IX44" s="37">
        <f>'Debt'!IX11+IX43</f>
        <v/>
      </c>
      <c r="IY44" s="37">
        <f>'Debt'!IY11+IY43</f>
        <v/>
      </c>
      <c r="IZ44" s="37">
        <f>'Debt'!IZ11+IZ43</f>
        <v/>
      </c>
      <c r="JA44" s="37">
        <f>'Debt'!JA11+JA43</f>
        <v/>
      </c>
      <c r="JB44" s="37">
        <f>'Debt'!JB11+JB43</f>
        <v/>
      </c>
      <c r="JC44" s="37">
        <f>'Debt'!JC11+JC43</f>
        <v/>
      </c>
      <c r="JD44" s="37">
        <f>'Debt'!JD11+JD43</f>
        <v/>
      </c>
      <c r="JE44" s="37">
        <f>'Debt'!JE11+JE43</f>
        <v/>
      </c>
      <c r="JF44" s="37">
        <f>'Debt'!JF11+JF43</f>
        <v/>
      </c>
      <c r="JG44" s="37">
        <f>'Debt'!JG11+JG43</f>
        <v/>
      </c>
      <c r="JH44" s="37">
        <f>'Debt'!JH11+JH43</f>
        <v/>
      </c>
      <c r="JI44" s="37">
        <f>'Debt'!JI11+JI43</f>
        <v/>
      </c>
      <c r="JJ44" s="37">
        <f>'Debt'!JJ11+JJ43</f>
        <v/>
      </c>
      <c r="JK44" s="37">
        <f>'Debt'!JK11+JK43</f>
        <v/>
      </c>
      <c r="JL44" s="37">
        <f>'Debt'!JL11+JL43</f>
        <v/>
      </c>
      <c r="JM44" s="37">
        <f>'Debt'!JM11+JM43</f>
        <v/>
      </c>
      <c r="JN44" s="37">
        <f>'Debt'!JN11+JN43</f>
        <v/>
      </c>
      <c r="JO44" s="37">
        <f>'Debt'!JO11+JO43</f>
        <v/>
      </c>
      <c r="JP44" s="37">
        <f>'Debt'!JP11+JP43</f>
        <v/>
      </c>
      <c r="JQ44" s="37">
        <f>'Debt'!JQ11+JQ43</f>
        <v/>
      </c>
      <c r="JR44" s="37">
        <f>'Debt'!JR11+JR43</f>
        <v/>
      </c>
      <c r="JS44" s="37">
        <f>'Debt'!JS11+JS43</f>
        <v/>
      </c>
      <c r="JT44" s="37">
        <f>'Debt'!JT11+JT43</f>
        <v/>
      </c>
      <c r="JU44" s="37">
        <f>'Debt'!JU11+JU43</f>
        <v/>
      </c>
      <c r="JV44" s="37">
        <f>'Debt'!JV11+JV43</f>
        <v/>
      </c>
      <c r="JW44" s="37">
        <f>'Debt'!JW11+JW43</f>
        <v/>
      </c>
      <c r="JX44" s="37">
        <f>'Debt'!JX11+JX43</f>
        <v/>
      </c>
      <c r="JY44" s="37">
        <f>'Debt'!JY11+JY43</f>
        <v/>
      </c>
      <c r="JZ44" s="37">
        <f>'Debt'!JZ11+JZ43</f>
        <v/>
      </c>
      <c r="KA44" s="37">
        <f>'Debt'!KA11+KA43</f>
        <v/>
      </c>
      <c r="KB44" s="37">
        <f>'Debt'!KB11+KB43</f>
        <v/>
      </c>
      <c r="KC44" s="37">
        <f>'Debt'!KC11+KC43</f>
        <v/>
      </c>
      <c r="KD44" s="37">
        <f>'Debt'!KD11+KD43</f>
        <v/>
      </c>
      <c r="KE44" s="37">
        <f>'Debt'!KE11+KE43</f>
        <v/>
      </c>
      <c r="KF44" s="37">
        <f>'Debt'!KF11+KF43</f>
        <v/>
      </c>
      <c r="KG44" s="37">
        <f>'Debt'!KG11+KG43</f>
        <v/>
      </c>
      <c r="KH44" s="37">
        <f>'Debt'!KH11+KH43</f>
        <v/>
      </c>
      <c r="KI44" s="37">
        <f>'Debt'!KI11+KI43</f>
        <v/>
      </c>
      <c r="KJ44" s="37">
        <f>'Debt'!KJ11+KJ43</f>
        <v/>
      </c>
      <c r="KK44" s="37">
        <f>'Debt'!KK11+KK43</f>
        <v/>
      </c>
      <c r="KL44" s="37">
        <f>'Debt'!KL11+KL43</f>
        <v/>
      </c>
      <c r="KM44" s="37">
        <f>'Debt'!KM11+KM43</f>
        <v/>
      </c>
      <c r="KN44" s="37">
        <f>'Debt'!KN11+KN43</f>
        <v/>
      </c>
      <c r="KO44" s="37">
        <f>'Debt'!KO11+KO43</f>
        <v/>
      </c>
      <c r="KP44" s="37">
        <f>'Debt'!KP11+KP43</f>
        <v/>
      </c>
      <c r="KQ44" s="37">
        <f>'Debt'!KQ11+KQ43</f>
        <v/>
      </c>
      <c r="KR44" s="37">
        <f>'Debt'!KR11+KR43</f>
        <v/>
      </c>
      <c r="KS44" s="37">
        <f>'Debt'!KS11+KS43</f>
        <v/>
      </c>
      <c r="KT44" s="37">
        <f>'Debt'!KT11+KT43</f>
        <v/>
      </c>
      <c r="KU44" s="37">
        <f>'Debt'!KU11+KU43</f>
        <v/>
      </c>
      <c r="KV44" s="37">
        <f>'Debt'!KV11+KV43</f>
        <v/>
      </c>
      <c r="KW44" s="37">
        <f>'Debt'!KW11+KW43</f>
        <v/>
      </c>
      <c r="KX44" s="37">
        <f>'Debt'!KX11+KX43</f>
        <v/>
      </c>
      <c r="KY44" s="37">
        <f>'Debt'!KY11+KY43</f>
        <v/>
      </c>
      <c r="KZ44" s="37">
        <f>'Debt'!KZ11+KZ43</f>
        <v/>
      </c>
      <c r="LA44" s="37">
        <f>'Debt'!LA11+LA43</f>
        <v/>
      </c>
      <c r="LB44" s="37">
        <f>'Debt'!LB11+LB43</f>
        <v/>
      </c>
      <c r="LC44" s="37">
        <f>'Debt'!LC11+LC43</f>
        <v/>
      </c>
      <c r="LD44" s="37">
        <f>'Debt'!LD11+LD43</f>
        <v/>
      </c>
      <c r="LE44" s="37">
        <f>'Debt'!LE11+LE43</f>
        <v/>
      </c>
      <c r="LF44" s="37">
        <f>'Debt'!LF11+LF43</f>
        <v/>
      </c>
      <c r="LG44" s="37">
        <f>'Debt'!LG11+LG43</f>
        <v/>
      </c>
      <c r="LH44" s="37">
        <f>'Debt'!LH11+LH43</f>
        <v/>
      </c>
      <c r="LI44" s="37">
        <f>'Debt'!LI11+LI43</f>
        <v/>
      </c>
      <c r="LJ44" s="37">
        <f>'Debt'!LJ11+LJ43</f>
        <v/>
      </c>
      <c r="LK44" s="37">
        <f>'Debt'!LK11+LK43</f>
        <v/>
      </c>
      <c r="LL44" s="37">
        <f>'Debt'!LL11+LL43</f>
        <v/>
      </c>
      <c r="LM44" s="37">
        <f>'Debt'!LM11+LM43</f>
        <v/>
      </c>
      <c r="LN44" s="37">
        <f>'Debt'!LN11+LN43</f>
        <v/>
      </c>
      <c r="LO44" s="37">
        <f>'Debt'!LO11+LO43</f>
        <v/>
      </c>
      <c r="LP44" s="37">
        <f>'Debt'!LP11+LP43</f>
        <v/>
      </c>
      <c r="LQ44" s="37">
        <f>'Debt'!LQ11+LQ43</f>
        <v/>
      </c>
      <c r="LR44" s="37">
        <f>'Debt'!LR11+LR43</f>
        <v/>
      </c>
      <c r="LS44" s="37">
        <f>'Debt'!LS11+LS43</f>
        <v/>
      </c>
      <c r="LT44" s="37">
        <f>'Debt'!LT11+LT43</f>
        <v/>
      </c>
      <c r="LU44" s="37">
        <f>'Debt'!LU11+LU43</f>
        <v/>
      </c>
      <c r="LV44" s="37">
        <f>'Debt'!LV11+LV43</f>
        <v/>
      </c>
      <c r="LW44" s="37">
        <f>'Debt'!LW11+LW43</f>
        <v/>
      </c>
      <c r="LX44" s="37">
        <f>'Debt'!LX11+LX43</f>
        <v/>
      </c>
      <c r="LY44" s="37">
        <f>'Debt'!LY11+LY43</f>
        <v/>
      </c>
      <c r="LZ44" s="37">
        <f>'Debt'!LZ11+LZ43</f>
        <v/>
      </c>
      <c r="MA44" s="37">
        <f>'Debt'!MA11+MA43</f>
        <v/>
      </c>
      <c r="MB44" s="37">
        <f>'Debt'!MB11+MB43</f>
        <v/>
      </c>
      <c r="MC44" s="37">
        <f>'Debt'!MC11+MC43</f>
        <v/>
      </c>
      <c r="MD44" s="37">
        <f>'Debt'!MD11+MD43</f>
        <v/>
      </c>
      <c r="ME44" s="37">
        <f>'Debt'!ME11+ME43</f>
        <v/>
      </c>
      <c r="MF44" s="37">
        <f>'Debt'!MF11+MF43</f>
        <v/>
      </c>
      <c r="MG44" s="37">
        <f>'Debt'!MG11+MG43</f>
        <v/>
      </c>
      <c r="MH44" s="37">
        <f>'Debt'!MH11+MH43</f>
        <v/>
      </c>
      <c r="MI44" s="37">
        <f>'Debt'!MI11+MI43</f>
        <v/>
      </c>
      <c r="MJ44" s="37">
        <f>'Debt'!MJ11+MJ43</f>
        <v/>
      </c>
      <c r="MK44" s="37">
        <f>'Debt'!MK11+MK43</f>
        <v/>
      </c>
      <c r="ML44" s="37">
        <f>'Debt'!ML11+ML43</f>
        <v/>
      </c>
      <c r="MM44" s="37">
        <f>'Debt'!MM11+MM43</f>
        <v/>
      </c>
      <c r="MN44" s="37">
        <f>'Debt'!MN11+MN43</f>
        <v/>
      </c>
      <c r="MO44" s="37">
        <f>'Debt'!MO11+MO43</f>
        <v/>
      </c>
      <c r="MP44" s="37">
        <f>'Debt'!MP11+MP43</f>
        <v/>
      </c>
      <c r="MQ44" s="37">
        <f>'Debt'!MQ11+MQ43</f>
        <v/>
      </c>
      <c r="MR44" s="37">
        <f>'Debt'!MR11+MR43</f>
        <v/>
      </c>
      <c r="MS44" s="37">
        <f>'Debt'!MS11+MS43</f>
        <v/>
      </c>
      <c r="MT44" s="37">
        <f>'Debt'!MT11+MT43</f>
        <v/>
      </c>
      <c r="MU44" s="37">
        <f>'Debt'!MU11+MU43</f>
        <v/>
      </c>
      <c r="MV44" s="37">
        <f>'Debt'!MV11+MV43</f>
        <v/>
      </c>
      <c r="MW44" s="37">
        <f>'Debt'!MW11+MW43</f>
        <v/>
      </c>
      <c r="MX44" s="37">
        <f>'Debt'!MX11+MX43</f>
        <v/>
      </c>
      <c r="MY44" s="37">
        <f>'Debt'!MY11+MY43</f>
        <v/>
      </c>
      <c r="MZ44" s="37">
        <f>'Debt'!MZ11+MZ43</f>
        <v/>
      </c>
      <c r="NA44" s="37">
        <f>'Debt'!NA11+NA43</f>
        <v/>
      </c>
      <c r="NB44" s="37">
        <f>'Debt'!NB11+NB43</f>
        <v/>
      </c>
      <c r="NC44" s="37">
        <f>'Debt'!NC11+NC43</f>
        <v/>
      </c>
      <c r="ND44" s="37">
        <f>'Debt'!ND11+ND43</f>
        <v/>
      </c>
      <c r="NE44" s="37">
        <f>'Debt'!NE11+NE43</f>
        <v/>
      </c>
      <c r="NF44" s="37">
        <f>'Debt'!NF11+NF43</f>
        <v/>
      </c>
      <c r="NG44" s="37">
        <f>'Debt'!NG11+NG43</f>
        <v/>
      </c>
      <c r="NH44" s="37">
        <f>'Debt'!NH11+NH43</f>
        <v/>
      </c>
      <c r="NI44" s="37">
        <f>'Debt'!NI11+NI43</f>
        <v/>
      </c>
      <c r="NJ44" s="37">
        <f>'Debt'!NJ11+NJ43</f>
        <v/>
      </c>
      <c r="NK44" s="37">
        <f>'Debt'!NK11+NK43</f>
        <v/>
      </c>
      <c r="NL44" s="37">
        <f>'Debt'!NL11+NL43</f>
        <v/>
      </c>
      <c r="NM44" s="37">
        <f>'Debt'!NM11+NM43</f>
        <v/>
      </c>
      <c r="NN44" s="37">
        <f>'Debt'!NN11+NN43</f>
        <v/>
      </c>
      <c r="NO44" s="37">
        <f>'Debt'!NO11+NO43</f>
        <v/>
      </c>
      <c r="NP44" s="37">
        <f>'Debt'!NP11+NP43</f>
        <v/>
      </c>
      <c r="NQ44" s="37">
        <f>'Debt'!NQ11+NQ43</f>
        <v/>
      </c>
      <c r="NR44" s="37">
        <f>'Debt'!NR11+NR43</f>
        <v/>
      </c>
      <c r="NS44" s="37">
        <f>'Debt'!NS11+NS43</f>
        <v/>
      </c>
      <c r="NT44" s="37">
        <f>'Debt'!NT11+NT43</f>
        <v/>
      </c>
      <c r="NU44" s="37">
        <f>'Debt'!NU11+NU43</f>
        <v/>
      </c>
      <c r="NV44" s="37">
        <f>'Debt'!NV11+NV43</f>
        <v/>
      </c>
      <c r="NW44" s="37">
        <f>'Debt'!NW11+NW43</f>
        <v/>
      </c>
      <c r="NX44" s="37">
        <f>'Debt'!NX11+NX43</f>
        <v/>
      </c>
      <c r="NY44" s="37">
        <f>'Debt'!NY11+NY43</f>
        <v/>
      </c>
      <c r="NZ44" s="37">
        <f>'Debt'!NZ11+NZ43</f>
        <v/>
      </c>
      <c r="OA44" s="37">
        <f>'Debt'!OA11+OA43</f>
        <v/>
      </c>
      <c r="OB44" s="37">
        <f>'Debt'!OB11+OB43</f>
        <v/>
      </c>
      <c r="OC44" s="37">
        <f>'Debt'!OC11+OC43</f>
        <v/>
      </c>
      <c r="OD44" s="37">
        <f>'Debt'!OD11+OD43</f>
        <v/>
      </c>
      <c r="OE44" s="37">
        <f>'Debt'!OE11+OE43</f>
        <v/>
      </c>
      <c r="OF44" s="37">
        <f>'Debt'!OF11+OF43</f>
        <v/>
      </c>
      <c r="OG44" s="37">
        <f>'Debt'!OG11+OG43</f>
        <v/>
      </c>
      <c r="OH44" s="37">
        <f>'Debt'!OH11+OH43</f>
        <v/>
      </c>
      <c r="OI44" s="37">
        <f>'Debt'!OI11+OI43</f>
        <v/>
      </c>
      <c r="OJ44" s="37">
        <f>'Debt'!OJ11+OJ43</f>
        <v/>
      </c>
      <c r="OK44" s="37">
        <f>'Debt'!OK11+OK43</f>
        <v/>
      </c>
      <c r="OL44" s="37">
        <f>'Debt'!OL11+OL43</f>
        <v/>
      </c>
      <c r="OM44" s="37">
        <f>'Debt'!OM11+OM43</f>
        <v/>
      </c>
      <c r="ON44" s="37">
        <f>'Debt'!ON11+ON43</f>
        <v/>
      </c>
      <c r="OO44" s="37">
        <f>'Debt'!OO11+OO43</f>
        <v/>
      </c>
      <c r="OP44" s="37">
        <f>'Debt'!OP11+OP43</f>
        <v/>
      </c>
      <c r="OQ44" s="37">
        <f>'Debt'!OQ11+OQ43</f>
        <v/>
      </c>
      <c r="OR44" s="37">
        <f>'Debt'!OR11+OR43</f>
        <v/>
      </c>
      <c r="OS44" s="37">
        <f>'Debt'!OS11+OS43</f>
        <v/>
      </c>
      <c r="OT44" s="37">
        <f>'Debt'!OT11+OT43</f>
        <v/>
      </c>
      <c r="OU44" s="37">
        <f>'Debt'!OU11+OU43</f>
        <v/>
      </c>
      <c r="OV44" s="37">
        <f>'Debt'!OV11+OV43</f>
        <v/>
      </c>
      <c r="OW44" s="37">
        <f>'Debt'!OW11+OW43</f>
        <v/>
      </c>
      <c r="OX44" s="37">
        <f>'Debt'!OX11+OX43</f>
        <v/>
      </c>
      <c r="OY44" s="37">
        <f>'Debt'!OY11+OY43</f>
        <v/>
      </c>
      <c r="OZ44" s="37">
        <f>'Debt'!OZ11+OZ43</f>
        <v/>
      </c>
      <c r="PA44" s="37">
        <f>'Debt'!PA11+PA43</f>
        <v/>
      </c>
      <c r="PB44" s="37">
        <f>'Debt'!PB11+PB43</f>
        <v/>
      </c>
      <c r="PC44" s="37">
        <f>'Debt'!PC11+PC43</f>
        <v/>
      </c>
      <c r="PD44" s="37">
        <f>'Debt'!PD11+PD43</f>
        <v/>
      </c>
      <c r="PE44" s="37">
        <f>'Debt'!PE11+PE43</f>
        <v/>
      </c>
      <c r="PF44" s="37">
        <f>'Debt'!PF11+PF43</f>
        <v/>
      </c>
      <c r="PG44" s="37">
        <f>'Debt'!PG11+PG43</f>
        <v/>
      </c>
      <c r="PH44" s="37">
        <f>'Debt'!PH11+PH43</f>
        <v/>
      </c>
      <c r="PI44" s="37">
        <f>'Debt'!PI11+PI43</f>
        <v/>
      </c>
      <c r="PJ44" s="37">
        <f>'Debt'!PJ11+PJ43</f>
        <v/>
      </c>
      <c r="PK44" s="37">
        <f>'Debt'!PK11+PK43</f>
        <v/>
      </c>
      <c r="PL44" s="37">
        <f>'Debt'!PL11+PL43</f>
        <v/>
      </c>
      <c r="PM44" s="37">
        <f>'Debt'!PM11+PM43</f>
        <v/>
      </c>
      <c r="PN44" s="37">
        <f>'Debt'!PN11+PN43</f>
        <v/>
      </c>
      <c r="PO44" s="37">
        <f>'Debt'!PO11+PO43</f>
        <v/>
      </c>
      <c r="PP44" s="37">
        <f>'Debt'!PP11+PP43</f>
        <v/>
      </c>
      <c r="PQ44" s="37">
        <f>'Debt'!PQ11+PQ43</f>
        <v/>
      </c>
      <c r="PR44" s="37">
        <f>'Debt'!PR11+PR43</f>
        <v/>
      </c>
      <c r="PS44" s="37">
        <f>'Debt'!PS11+PS43</f>
        <v/>
      </c>
      <c r="PT44" s="37">
        <f>'Debt'!PT11+PT43</f>
        <v/>
      </c>
      <c r="PU44" s="37">
        <f>'Debt'!PU11+PU43</f>
        <v/>
      </c>
      <c r="PV44" s="37">
        <f>'Debt'!PV11+PV43</f>
        <v/>
      </c>
      <c r="PW44" s="37">
        <f>'Debt'!PW11+PW43</f>
        <v/>
      </c>
      <c r="PX44" s="37">
        <f>'Debt'!PX11+PX43</f>
        <v/>
      </c>
      <c r="PY44" s="37">
        <f>'Debt'!PY11+PY43</f>
        <v/>
      </c>
      <c r="PZ44" s="37">
        <f>'Debt'!PZ11+PZ43</f>
        <v/>
      </c>
      <c r="QA44" s="37">
        <f>'Debt'!QA11+QA43</f>
        <v/>
      </c>
      <c r="QB44" s="37">
        <f>'Debt'!QB11+QB43</f>
        <v/>
      </c>
      <c r="QC44" s="37">
        <f>'Debt'!QC11+QC43</f>
        <v/>
      </c>
      <c r="QD44" s="37">
        <f>'Debt'!QD11+QD43</f>
        <v/>
      </c>
      <c r="QE44" s="37">
        <f>'Debt'!QE11+QE43</f>
        <v/>
      </c>
      <c r="QF44" s="37">
        <f>'Debt'!QF11+QF43</f>
        <v/>
      </c>
      <c r="QG44" s="37">
        <f>'Debt'!QG11+QG43</f>
        <v/>
      </c>
      <c r="QH44" s="37">
        <f>'Debt'!QH11+QH43</f>
        <v/>
      </c>
      <c r="QI44" s="37">
        <f>'Debt'!QI11+QI43</f>
        <v/>
      </c>
      <c r="QJ44" s="37">
        <f>'Debt'!QJ11+QJ43</f>
        <v/>
      </c>
      <c r="QK44" s="37">
        <f>'Debt'!QK11+QK43</f>
        <v/>
      </c>
      <c r="QL44" s="37">
        <f>'Debt'!QL11+QL43</f>
        <v/>
      </c>
      <c r="QM44" s="37">
        <f>'Debt'!QM11+QM43</f>
        <v/>
      </c>
      <c r="QN44" s="37">
        <f>'Debt'!QN11+QN43</f>
        <v/>
      </c>
      <c r="QO44" s="37">
        <f>'Debt'!QO11+QO43</f>
        <v/>
      </c>
      <c r="QP44" s="37">
        <f>'Debt'!QP11+QP43</f>
        <v/>
      </c>
      <c r="QQ44" s="37">
        <f>'Debt'!QQ11+QQ43</f>
        <v/>
      </c>
      <c r="QR44" s="37">
        <f>'Debt'!QR11+QR43</f>
        <v/>
      </c>
      <c r="QS44" s="37">
        <f>'Debt'!QS11+QS43</f>
        <v/>
      </c>
      <c r="QT44" s="37">
        <f>'Debt'!QT11+QT43</f>
        <v/>
      </c>
      <c r="QU44" s="37">
        <f>'Debt'!QU11+QU43</f>
        <v/>
      </c>
      <c r="QV44" s="37">
        <f>'Debt'!QV11+QV43</f>
        <v/>
      </c>
      <c r="QW44" s="37">
        <f>'Debt'!QW11+QW43</f>
        <v/>
      </c>
      <c r="QX44" s="37">
        <f>'Debt'!QX11+QX43</f>
        <v/>
      </c>
      <c r="QY44" s="37">
        <f>'Debt'!QY11+QY43</f>
        <v/>
      </c>
      <c r="QZ44" s="37">
        <f>'Debt'!QZ11+QZ43</f>
        <v/>
      </c>
      <c r="RA44" s="37">
        <f>'Debt'!RA11+RA43</f>
        <v/>
      </c>
      <c r="RB44" s="37">
        <f>'Debt'!RB11+RB43</f>
        <v/>
      </c>
      <c r="RC44" s="37">
        <f>'Debt'!RC11+RC43</f>
        <v/>
      </c>
      <c r="RD44" s="37">
        <f>'Debt'!RD11+RD43</f>
        <v/>
      </c>
      <c r="RE44" s="37">
        <f>'Debt'!RE11+RE43</f>
        <v/>
      </c>
      <c r="RF44" s="37">
        <f>'Debt'!RF11+RF43</f>
        <v/>
      </c>
      <c r="RG44" s="37">
        <f>'Debt'!RG11+RG43</f>
        <v/>
      </c>
      <c r="RH44" s="37">
        <f>'Debt'!RH11+RH43</f>
        <v/>
      </c>
      <c r="RI44" s="37">
        <f>'Debt'!RI11+RI43</f>
        <v/>
      </c>
      <c r="RJ44" s="37">
        <f>'Debt'!RJ11+RJ43</f>
        <v/>
      </c>
      <c r="RK44" s="37">
        <f>'Debt'!RK11+RK43</f>
        <v/>
      </c>
      <c r="RL44" s="37">
        <f>'Debt'!RL11+RL43</f>
        <v/>
      </c>
      <c r="RM44" s="37">
        <f>'Debt'!RM11+RM43</f>
        <v/>
      </c>
      <c r="RN44" s="37">
        <f>'Debt'!RN11+RN43</f>
        <v/>
      </c>
      <c r="RO44" s="37">
        <f>'Debt'!RO11+RO43</f>
        <v/>
      </c>
      <c r="RP44" s="37">
        <f>'Debt'!RP11+RP43</f>
        <v/>
      </c>
      <c r="RQ44" s="37">
        <f>'Debt'!RQ11+RQ43</f>
        <v/>
      </c>
      <c r="RR44" s="37">
        <f>'Debt'!RR11+RR43</f>
        <v/>
      </c>
      <c r="RS44" s="37">
        <f>'Debt'!RS11+RS43</f>
        <v/>
      </c>
      <c r="RT44" s="37">
        <f>'Debt'!RT11+RT43</f>
        <v/>
      </c>
      <c r="RU44" s="37">
        <f>'Debt'!RU11+RU43</f>
        <v/>
      </c>
      <c r="RV44" s="37">
        <f>'Debt'!RV11+RV43</f>
        <v/>
      </c>
      <c r="RW44" s="37">
        <f>'Debt'!RW11+RW43</f>
        <v/>
      </c>
    </row>
    <row r="45" ht="13.05" customHeight="1">
      <c r="E45" s="21" t="inlineStr">
        <is>
          <t>Balance Check (imbalance)</t>
        </is>
      </c>
      <c r="F45" s="29" t="n"/>
      <c r="G45" s="29" t="inlineStr">
        <is>
          <t>kEUR</t>
        </is>
      </c>
      <c r="H45" s="29" t="n"/>
      <c r="I45" s="29" t="n"/>
      <c r="J45" s="32" t="n">
        <v>-372320475.2315364</v>
      </c>
      <c r="K45" s="29" t="n"/>
      <c r="L45" s="33">
        <f>L38-L44</f>
        <v/>
      </c>
      <c r="M45" s="33">
        <f>M38-M44</f>
        <v/>
      </c>
      <c r="N45" s="33">
        <f>N38-N44</f>
        <v/>
      </c>
      <c r="O45" s="33">
        <f>O38-O44</f>
        <v/>
      </c>
      <c r="P45" s="33">
        <f>P38-P44</f>
        <v/>
      </c>
      <c r="Q45" s="33">
        <f>Q38-Q44</f>
        <v/>
      </c>
      <c r="R45" s="33">
        <f>R38-R44</f>
        <v/>
      </c>
      <c r="S45" s="33">
        <f>S38-S44</f>
        <v/>
      </c>
      <c r="T45" s="33">
        <f>T38-T44</f>
        <v/>
      </c>
      <c r="U45" s="33">
        <f>U38-U44</f>
        <v/>
      </c>
      <c r="V45" s="33">
        <f>V38-V44</f>
        <v/>
      </c>
      <c r="W45" s="33">
        <f>W38-W44</f>
        <v/>
      </c>
      <c r="X45" s="33">
        <f>X38-X44</f>
        <v/>
      </c>
      <c r="Y45" s="33">
        <f>Y38-Y44</f>
        <v/>
      </c>
      <c r="Z45" s="33">
        <f>Z38-Z44</f>
        <v/>
      </c>
      <c r="AA45" s="33">
        <f>AA38-AA44</f>
        <v/>
      </c>
      <c r="AB45" s="33">
        <f>AB38-AB44</f>
        <v/>
      </c>
      <c r="AC45" s="33">
        <f>AC38-AC44</f>
        <v/>
      </c>
      <c r="AD45" s="33">
        <f>AD38-AD44</f>
        <v/>
      </c>
      <c r="AE45" s="33">
        <f>AE38-AE44</f>
        <v/>
      </c>
      <c r="AF45" s="33">
        <f>AF38-AF44</f>
        <v/>
      </c>
      <c r="AG45" s="33">
        <f>AG38-AG44</f>
        <v/>
      </c>
      <c r="AH45" s="33">
        <f>AH38-AH44</f>
        <v/>
      </c>
      <c r="AI45" s="33">
        <f>AI38-AI44</f>
        <v/>
      </c>
      <c r="AJ45" s="33">
        <f>AJ38-AJ44</f>
        <v/>
      </c>
      <c r="AK45" s="33">
        <f>AK38-AK44</f>
        <v/>
      </c>
      <c r="AL45" s="33">
        <f>AL38-AL44</f>
        <v/>
      </c>
      <c r="AM45" s="33">
        <f>AM38-AM44</f>
        <v/>
      </c>
      <c r="AN45" s="33">
        <f>AN38-AN44</f>
        <v/>
      </c>
      <c r="AO45" s="33">
        <f>AO38-AO44</f>
        <v/>
      </c>
      <c r="AP45" s="33">
        <f>AP38-AP44</f>
        <v/>
      </c>
      <c r="AQ45" s="33">
        <f>AQ38-AQ44</f>
        <v/>
      </c>
      <c r="AR45" s="33">
        <f>AR38-AR44</f>
        <v/>
      </c>
      <c r="AS45" s="33">
        <f>AS38-AS44</f>
        <v/>
      </c>
      <c r="AT45" s="33">
        <f>AT38-AT44</f>
        <v/>
      </c>
      <c r="AU45" s="33">
        <f>AU38-AU44</f>
        <v/>
      </c>
      <c r="AV45" s="33">
        <f>AV38-AV44</f>
        <v/>
      </c>
      <c r="AW45" s="33">
        <f>AW38-AW44</f>
        <v/>
      </c>
      <c r="AX45" s="33">
        <f>AX38-AX44</f>
        <v/>
      </c>
      <c r="AY45" s="33">
        <f>AY38-AY44</f>
        <v/>
      </c>
      <c r="AZ45" s="33">
        <f>AZ38-AZ44</f>
        <v/>
      </c>
      <c r="BA45" s="33">
        <f>BA38-BA44</f>
        <v/>
      </c>
      <c r="BB45" s="33">
        <f>BB38-BB44</f>
        <v/>
      </c>
      <c r="BC45" s="33">
        <f>BC38-BC44</f>
        <v/>
      </c>
      <c r="BD45" s="33">
        <f>BD38-BD44</f>
        <v/>
      </c>
      <c r="BE45" s="33">
        <f>BE38-BE44</f>
        <v/>
      </c>
      <c r="BF45" s="33">
        <f>BF38-BF44</f>
        <v/>
      </c>
      <c r="BG45" s="33">
        <f>BG38-BG44</f>
        <v/>
      </c>
      <c r="BH45" s="33">
        <f>BH38-BH44</f>
        <v/>
      </c>
      <c r="BI45" s="33">
        <f>BI38-BI44</f>
        <v/>
      </c>
      <c r="BJ45" s="33">
        <f>BJ38-BJ44</f>
        <v/>
      </c>
      <c r="BK45" s="33">
        <f>BK38-BK44</f>
        <v/>
      </c>
      <c r="BL45" s="33">
        <f>BL38-BL44</f>
        <v/>
      </c>
      <c r="BM45" s="33">
        <f>BM38-BM44</f>
        <v/>
      </c>
      <c r="BN45" s="33">
        <f>BN38-BN44</f>
        <v/>
      </c>
      <c r="BO45" s="33">
        <f>BO38-BO44</f>
        <v/>
      </c>
      <c r="BP45" s="33">
        <f>BP38-BP44</f>
        <v/>
      </c>
      <c r="BQ45" s="33">
        <f>BQ38-BQ44</f>
        <v/>
      </c>
      <c r="BR45" s="33">
        <f>BR38-BR44</f>
        <v/>
      </c>
      <c r="BS45" s="33">
        <f>BS38-BS44</f>
        <v/>
      </c>
      <c r="BT45" s="33">
        <f>BT38-BT44</f>
        <v/>
      </c>
      <c r="BU45" s="33">
        <f>BU38-BU44</f>
        <v/>
      </c>
      <c r="BV45" s="33">
        <f>BV38-BV44</f>
        <v/>
      </c>
      <c r="BW45" s="33">
        <f>BW38-BW44</f>
        <v/>
      </c>
      <c r="BX45" s="33">
        <f>BX38-BX44</f>
        <v/>
      </c>
      <c r="BY45" s="33">
        <f>BY38-BY44</f>
        <v/>
      </c>
      <c r="BZ45" s="33">
        <f>BZ38-BZ44</f>
        <v/>
      </c>
      <c r="CA45" s="33">
        <f>CA38-CA44</f>
        <v/>
      </c>
      <c r="CB45" s="33">
        <f>CB38-CB44</f>
        <v/>
      </c>
      <c r="CC45" s="33">
        <f>CC38-CC44</f>
        <v/>
      </c>
      <c r="CD45" s="33">
        <f>CD38-CD44</f>
        <v/>
      </c>
      <c r="CE45" s="33">
        <f>CE38-CE44</f>
        <v/>
      </c>
      <c r="CF45" s="33">
        <f>CF38-CF44</f>
        <v/>
      </c>
      <c r="CG45" s="33">
        <f>CG38-CG44</f>
        <v/>
      </c>
      <c r="CH45" s="33">
        <f>CH38-CH44</f>
        <v/>
      </c>
      <c r="CI45" s="33">
        <f>CI38-CI44</f>
        <v/>
      </c>
      <c r="CJ45" s="33">
        <f>CJ38-CJ44</f>
        <v/>
      </c>
      <c r="CK45" s="33">
        <f>CK38-CK44</f>
        <v/>
      </c>
      <c r="CL45" s="33">
        <f>CL38-CL44</f>
        <v/>
      </c>
      <c r="CM45" s="33">
        <f>CM38-CM44</f>
        <v/>
      </c>
      <c r="CN45" s="33">
        <f>CN38-CN44</f>
        <v/>
      </c>
      <c r="CO45" s="33">
        <f>CO38-CO44</f>
        <v/>
      </c>
      <c r="CP45" s="33">
        <f>CP38-CP44</f>
        <v/>
      </c>
      <c r="CQ45" s="33">
        <f>CQ38-CQ44</f>
        <v/>
      </c>
      <c r="CR45" s="33">
        <f>CR38-CR44</f>
        <v/>
      </c>
      <c r="CS45" s="33">
        <f>CS38-CS44</f>
        <v/>
      </c>
      <c r="CT45" s="33">
        <f>CT38-CT44</f>
        <v/>
      </c>
      <c r="CU45" s="33">
        <f>CU38-CU44</f>
        <v/>
      </c>
      <c r="CV45" s="33">
        <f>CV38-CV44</f>
        <v/>
      </c>
      <c r="CW45" s="33">
        <f>CW38-CW44</f>
        <v/>
      </c>
      <c r="CX45" s="33">
        <f>CX38-CX44</f>
        <v/>
      </c>
      <c r="CY45" s="33">
        <f>CY38-CY44</f>
        <v/>
      </c>
      <c r="CZ45" s="33">
        <f>CZ38-CZ44</f>
        <v/>
      </c>
      <c r="DA45" s="33">
        <f>DA38-DA44</f>
        <v/>
      </c>
      <c r="DB45" s="33">
        <f>DB38-DB44</f>
        <v/>
      </c>
      <c r="DC45" s="33">
        <f>DC38-DC44</f>
        <v/>
      </c>
      <c r="DD45" s="33">
        <f>DD38-DD44</f>
        <v/>
      </c>
      <c r="DE45" s="33">
        <f>DE38-DE44</f>
        <v/>
      </c>
      <c r="DF45" s="33">
        <f>DF38-DF44</f>
        <v/>
      </c>
      <c r="DG45" s="33">
        <f>DG38-DG44</f>
        <v/>
      </c>
      <c r="DH45" s="33">
        <f>DH38-DH44</f>
        <v/>
      </c>
      <c r="DI45" s="33">
        <f>DI38-DI44</f>
        <v/>
      </c>
      <c r="DJ45" s="33">
        <f>DJ38-DJ44</f>
        <v/>
      </c>
      <c r="DK45" s="33">
        <f>DK38-DK44</f>
        <v/>
      </c>
      <c r="DL45" s="33">
        <f>DL38-DL44</f>
        <v/>
      </c>
      <c r="DM45" s="33">
        <f>DM38-DM44</f>
        <v/>
      </c>
      <c r="DN45" s="33">
        <f>DN38-DN44</f>
        <v/>
      </c>
      <c r="DO45" s="33">
        <f>DO38-DO44</f>
        <v/>
      </c>
      <c r="DP45" s="33">
        <f>DP38-DP44</f>
        <v/>
      </c>
      <c r="DQ45" s="33">
        <f>DQ38-DQ44</f>
        <v/>
      </c>
      <c r="DR45" s="33">
        <f>DR38-DR44</f>
        <v/>
      </c>
      <c r="DS45" s="33">
        <f>DS38-DS44</f>
        <v/>
      </c>
      <c r="DT45" s="33">
        <f>DT38-DT44</f>
        <v/>
      </c>
      <c r="DU45" s="33">
        <f>DU38-DU44</f>
        <v/>
      </c>
      <c r="DV45" s="33">
        <f>DV38-DV44</f>
        <v/>
      </c>
      <c r="DW45" s="33">
        <f>DW38-DW44</f>
        <v/>
      </c>
      <c r="DX45" s="33">
        <f>DX38-DX44</f>
        <v/>
      </c>
      <c r="DY45" s="33">
        <f>DY38-DY44</f>
        <v/>
      </c>
      <c r="DZ45" s="33">
        <f>DZ38-DZ44</f>
        <v/>
      </c>
      <c r="EA45" s="33">
        <f>EA38-EA44</f>
        <v/>
      </c>
      <c r="EB45" s="33">
        <f>EB38-EB44</f>
        <v/>
      </c>
      <c r="EC45" s="33">
        <f>EC38-EC44</f>
        <v/>
      </c>
      <c r="ED45" s="33">
        <f>ED38-ED44</f>
        <v/>
      </c>
      <c r="EE45" s="33">
        <f>EE38-EE44</f>
        <v/>
      </c>
      <c r="EF45" s="33">
        <f>EF38-EF44</f>
        <v/>
      </c>
      <c r="EG45" s="33">
        <f>EG38-EG44</f>
        <v/>
      </c>
      <c r="EH45" s="33">
        <f>EH38-EH44</f>
        <v/>
      </c>
      <c r="EI45" s="33">
        <f>EI38-EI44</f>
        <v/>
      </c>
      <c r="EJ45" s="33">
        <f>EJ38-EJ44</f>
        <v/>
      </c>
      <c r="EK45" s="33">
        <f>EK38-EK44</f>
        <v/>
      </c>
      <c r="EL45" s="33">
        <f>EL38-EL44</f>
        <v/>
      </c>
      <c r="EM45" s="33">
        <f>EM38-EM44</f>
        <v/>
      </c>
      <c r="EN45" s="33">
        <f>EN38-EN44</f>
        <v/>
      </c>
      <c r="EO45" s="33">
        <f>EO38-EO44</f>
        <v/>
      </c>
      <c r="EP45" s="33">
        <f>EP38-EP44</f>
        <v/>
      </c>
      <c r="EQ45" s="33">
        <f>EQ38-EQ44</f>
        <v/>
      </c>
      <c r="ER45" s="33">
        <f>ER38-ER44</f>
        <v/>
      </c>
      <c r="ES45" s="33">
        <f>ES38-ES44</f>
        <v/>
      </c>
      <c r="ET45" s="33">
        <f>ET38-ET44</f>
        <v/>
      </c>
      <c r="EU45" s="33">
        <f>EU38-EU44</f>
        <v/>
      </c>
      <c r="EV45" s="33">
        <f>EV38-EV44</f>
        <v/>
      </c>
      <c r="EW45" s="33">
        <f>EW38-EW44</f>
        <v/>
      </c>
      <c r="EX45" s="33">
        <f>EX38-EX44</f>
        <v/>
      </c>
      <c r="EY45" s="33">
        <f>EY38-EY44</f>
        <v/>
      </c>
      <c r="EZ45" s="33">
        <f>EZ38-EZ44</f>
        <v/>
      </c>
      <c r="FA45" s="33">
        <f>FA38-FA44</f>
        <v/>
      </c>
      <c r="FB45" s="33">
        <f>FB38-FB44</f>
        <v/>
      </c>
      <c r="FC45" s="33">
        <f>FC38-FC44</f>
        <v/>
      </c>
      <c r="FD45" s="33">
        <f>FD38-FD44</f>
        <v/>
      </c>
      <c r="FE45" s="33">
        <f>FE38-FE44</f>
        <v/>
      </c>
      <c r="FF45" s="33">
        <f>FF38-FF44</f>
        <v/>
      </c>
      <c r="FG45" s="33">
        <f>FG38-FG44</f>
        <v/>
      </c>
      <c r="FH45" s="33">
        <f>FH38-FH44</f>
        <v/>
      </c>
      <c r="FI45" s="33">
        <f>FI38-FI44</f>
        <v/>
      </c>
      <c r="FJ45" s="33">
        <f>FJ38-FJ44</f>
        <v/>
      </c>
      <c r="FK45" s="33">
        <f>FK38-FK44</f>
        <v/>
      </c>
      <c r="FL45" s="33">
        <f>FL38-FL44</f>
        <v/>
      </c>
      <c r="FM45" s="33">
        <f>FM38-FM44</f>
        <v/>
      </c>
      <c r="FN45" s="33">
        <f>FN38-FN44</f>
        <v/>
      </c>
      <c r="FO45" s="33">
        <f>FO38-FO44</f>
        <v/>
      </c>
      <c r="FP45" s="33">
        <f>FP38-FP44</f>
        <v/>
      </c>
      <c r="FQ45" s="33">
        <f>FQ38-FQ44</f>
        <v/>
      </c>
      <c r="FR45" s="33">
        <f>FR38-FR44</f>
        <v/>
      </c>
      <c r="FS45" s="33">
        <f>FS38-FS44</f>
        <v/>
      </c>
      <c r="FT45" s="33">
        <f>FT38-FT44</f>
        <v/>
      </c>
      <c r="FU45" s="33">
        <f>FU38-FU44</f>
        <v/>
      </c>
      <c r="FV45" s="33">
        <f>FV38-FV44</f>
        <v/>
      </c>
      <c r="FW45" s="33">
        <f>FW38-FW44</f>
        <v/>
      </c>
      <c r="FX45" s="33">
        <f>FX38-FX44</f>
        <v/>
      </c>
      <c r="FY45" s="33">
        <f>FY38-FY44</f>
        <v/>
      </c>
      <c r="FZ45" s="33">
        <f>FZ38-FZ44</f>
        <v/>
      </c>
      <c r="GA45" s="33">
        <f>GA38-GA44</f>
        <v/>
      </c>
      <c r="GB45" s="33">
        <f>GB38-GB44</f>
        <v/>
      </c>
      <c r="GC45" s="33">
        <f>GC38-GC44</f>
        <v/>
      </c>
      <c r="GD45" s="33">
        <f>GD38-GD44</f>
        <v/>
      </c>
      <c r="GE45" s="33">
        <f>GE38-GE44</f>
        <v/>
      </c>
      <c r="GF45" s="33">
        <f>GF38-GF44</f>
        <v/>
      </c>
      <c r="GG45" s="33">
        <f>GG38-GG44</f>
        <v/>
      </c>
      <c r="GH45" s="33">
        <f>GH38-GH44</f>
        <v/>
      </c>
      <c r="GI45" s="33">
        <f>GI38-GI44</f>
        <v/>
      </c>
      <c r="GJ45" s="33">
        <f>GJ38-GJ44</f>
        <v/>
      </c>
      <c r="GK45" s="33">
        <f>GK38-GK44</f>
        <v/>
      </c>
      <c r="GL45" s="33">
        <f>GL38-GL44</f>
        <v/>
      </c>
      <c r="GM45" s="33">
        <f>GM38-GM44</f>
        <v/>
      </c>
      <c r="GN45" s="33">
        <f>GN38-GN44</f>
        <v/>
      </c>
      <c r="GO45" s="33">
        <f>GO38-GO44</f>
        <v/>
      </c>
      <c r="GP45" s="33">
        <f>GP38-GP44</f>
        <v/>
      </c>
      <c r="GQ45" s="33">
        <f>GQ38-GQ44</f>
        <v/>
      </c>
      <c r="GR45" s="33">
        <f>GR38-GR44</f>
        <v/>
      </c>
      <c r="GS45" s="33">
        <f>GS38-GS44</f>
        <v/>
      </c>
      <c r="GT45" s="33">
        <f>GT38-GT44</f>
        <v/>
      </c>
      <c r="GU45" s="33">
        <f>GU38-GU44</f>
        <v/>
      </c>
      <c r="GV45" s="33">
        <f>GV38-GV44</f>
        <v/>
      </c>
      <c r="GW45" s="33">
        <f>GW38-GW44</f>
        <v/>
      </c>
      <c r="GX45" s="33">
        <f>GX38-GX44</f>
        <v/>
      </c>
      <c r="GY45" s="33">
        <f>GY38-GY44</f>
        <v/>
      </c>
      <c r="GZ45" s="33">
        <f>GZ38-GZ44</f>
        <v/>
      </c>
      <c r="HA45" s="33">
        <f>HA38-HA44</f>
        <v/>
      </c>
      <c r="HB45" s="33">
        <f>HB38-HB44</f>
        <v/>
      </c>
      <c r="HC45" s="33">
        <f>HC38-HC44</f>
        <v/>
      </c>
      <c r="HD45" s="33">
        <f>HD38-HD44</f>
        <v/>
      </c>
      <c r="HE45" s="33">
        <f>HE38-HE44</f>
        <v/>
      </c>
      <c r="HF45" s="33">
        <f>HF38-HF44</f>
        <v/>
      </c>
      <c r="HG45" s="33">
        <f>HG38-HG44</f>
        <v/>
      </c>
      <c r="HH45" s="33">
        <f>HH38-HH44</f>
        <v/>
      </c>
      <c r="HI45" s="33">
        <f>HI38-HI44</f>
        <v/>
      </c>
      <c r="HJ45" s="33">
        <f>HJ38-HJ44</f>
        <v/>
      </c>
      <c r="HK45" s="33">
        <f>HK38-HK44</f>
        <v/>
      </c>
      <c r="HL45" s="33">
        <f>HL38-HL44</f>
        <v/>
      </c>
      <c r="HM45" s="33">
        <f>HM38-HM44</f>
        <v/>
      </c>
      <c r="HN45" s="33">
        <f>HN38-HN44</f>
        <v/>
      </c>
      <c r="HO45" s="33">
        <f>HO38-HO44</f>
        <v/>
      </c>
      <c r="HP45" s="33">
        <f>HP38-HP44</f>
        <v/>
      </c>
      <c r="HQ45" s="33">
        <f>HQ38-HQ44</f>
        <v/>
      </c>
      <c r="HR45" s="33">
        <f>HR38-HR44</f>
        <v/>
      </c>
      <c r="HS45" s="33">
        <f>HS38-HS44</f>
        <v/>
      </c>
      <c r="HT45" s="33">
        <f>HT38-HT44</f>
        <v/>
      </c>
      <c r="HU45" s="33">
        <f>HU38-HU44</f>
        <v/>
      </c>
      <c r="HV45" s="33">
        <f>HV38-HV44</f>
        <v/>
      </c>
      <c r="HW45" s="33">
        <f>HW38-HW44</f>
        <v/>
      </c>
      <c r="HX45" s="33">
        <f>HX38-HX44</f>
        <v/>
      </c>
      <c r="HY45" s="33">
        <f>HY38-HY44</f>
        <v/>
      </c>
      <c r="HZ45" s="33">
        <f>HZ38-HZ44</f>
        <v/>
      </c>
      <c r="IA45" s="33">
        <f>IA38-IA44</f>
        <v/>
      </c>
      <c r="IB45" s="33">
        <f>IB38-IB44</f>
        <v/>
      </c>
      <c r="IC45" s="33">
        <f>IC38-IC44</f>
        <v/>
      </c>
      <c r="ID45" s="33">
        <f>ID38-ID44</f>
        <v/>
      </c>
      <c r="IE45" s="33">
        <f>IE38-IE44</f>
        <v/>
      </c>
      <c r="IF45" s="33">
        <f>IF38-IF44</f>
        <v/>
      </c>
      <c r="IG45" s="33">
        <f>IG38-IG44</f>
        <v/>
      </c>
      <c r="IH45" s="33">
        <f>IH38-IH44</f>
        <v/>
      </c>
      <c r="II45" s="33">
        <f>II38-II44</f>
        <v/>
      </c>
      <c r="IJ45" s="33">
        <f>IJ38-IJ44</f>
        <v/>
      </c>
      <c r="IK45" s="33">
        <f>IK38-IK44</f>
        <v/>
      </c>
      <c r="IL45" s="33">
        <f>IL38-IL44</f>
        <v/>
      </c>
      <c r="IM45" s="33">
        <f>IM38-IM44</f>
        <v/>
      </c>
      <c r="IN45" s="33">
        <f>IN38-IN44</f>
        <v/>
      </c>
      <c r="IO45" s="33">
        <f>IO38-IO44</f>
        <v/>
      </c>
      <c r="IP45" s="33">
        <f>IP38-IP44</f>
        <v/>
      </c>
      <c r="IQ45" s="33">
        <f>IQ38-IQ44</f>
        <v/>
      </c>
      <c r="IR45" s="33">
        <f>IR38-IR44</f>
        <v/>
      </c>
      <c r="IS45" s="33">
        <f>IS38-IS44</f>
        <v/>
      </c>
      <c r="IT45" s="33">
        <f>IT38-IT44</f>
        <v/>
      </c>
      <c r="IU45" s="33">
        <f>IU38-IU44</f>
        <v/>
      </c>
      <c r="IV45" s="33">
        <f>IV38-IV44</f>
        <v/>
      </c>
      <c r="IW45" s="33">
        <f>IW38-IW44</f>
        <v/>
      </c>
      <c r="IX45" s="33">
        <f>IX38-IX44</f>
        <v/>
      </c>
      <c r="IY45" s="33">
        <f>IY38-IY44</f>
        <v/>
      </c>
      <c r="IZ45" s="33">
        <f>IZ38-IZ44</f>
        <v/>
      </c>
      <c r="JA45" s="33">
        <f>JA38-JA44</f>
        <v/>
      </c>
      <c r="JB45" s="33">
        <f>JB38-JB44</f>
        <v/>
      </c>
      <c r="JC45" s="33">
        <f>JC38-JC44</f>
        <v/>
      </c>
      <c r="JD45" s="33">
        <f>JD38-JD44</f>
        <v/>
      </c>
      <c r="JE45" s="33">
        <f>JE38-JE44</f>
        <v/>
      </c>
      <c r="JF45" s="33">
        <f>JF38-JF44</f>
        <v/>
      </c>
      <c r="JG45" s="33">
        <f>JG38-JG44</f>
        <v/>
      </c>
      <c r="JH45" s="33">
        <f>JH38-JH44</f>
        <v/>
      </c>
      <c r="JI45" s="33">
        <f>JI38-JI44</f>
        <v/>
      </c>
      <c r="JJ45" s="33">
        <f>JJ38-JJ44</f>
        <v/>
      </c>
      <c r="JK45" s="33">
        <f>JK38-JK44</f>
        <v/>
      </c>
      <c r="JL45" s="33">
        <f>JL38-JL44</f>
        <v/>
      </c>
      <c r="JM45" s="33">
        <f>JM38-JM44</f>
        <v/>
      </c>
      <c r="JN45" s="33">
        <f>JN38-JN44</f>
        <v/>
      </c>
      <c r="JO45" s="33">
        <f>JO38-JO44</f>
        <v/>
      </c>
      <c r="JP45" s="33">
        <f>JP38-JP44</f>
        <v/>
      </c>
      <c r="JQ45" s="33">
        <f>JQ38-JQ44</f>
        <v/>
      </c>
      <c r="JR45" s="33">
        <f>JR38-JR44</f>
        <v/>
      </c>
      <c r="JS45" s="33">
        <f>JS38-JS44</f>
        <v/>
      </c>
      <c r="JT45" s="33">
        <f>JT38-JT44</f>
        <v/>
      </c>
      <c r="JU45" s="33">
        <f>JU38-JU44</f>
        <v/>
      </c>
      <c r="JV45" s="33">
        <f>JV38-JV44</f>
        <v/>
      </c>
      <c r="JW45" s="33">
        <f>JW38-JW44</f>
        <v/>
      </c>
      <c r="JX45" s="33">
        <f>JX38-JX44</f>
        <v/>
      </c>
      <c r="JY45" s="33">
        <f>JY38-JY44</f>
        <v/>
      </c>
      <c r="JZ45" s="33">
        <f>JZ38-JZ44</f>
        <v/>
      </c>
      <c r="KA45" s="33">
        <f>KA38-KA44</f>
        <v/>
      </c>
      <c r="KB45" s="33">
        <f>KB38-KB44</f>
        <v/>
      </c>
      <c r="KC45" s="33">
        <f>KC38-KC44</f>
        <v/>
      </c>
      <c r="KD45" s="33">
        <f>KD38-KD44</f>
        <v/>
      </c>
      <c r="KE45" s="33">
        <f>KE38-KE44</f>
        <v/>
      </c>
      <c r="KF45" s="33">
        <f>KF38-KF44</f>
        <v/>
      </c>
      <c r="KG45" s="33">
        <f>KG38-KG44</f>
        <v/>
      </c>
      <c r="KH45" s="33">
        <f>KH38-KH44</f>
        <v/>
      </c>
      <c r="KI45" s="33">
        <f>KI38-KI44</f>
        <v/>
      </c>
      <c r="KJ45" s="33">
        <f>KJ38-KJ44</f>
        <v/>
      </c>
      <c r="KK45" s="33">
        <f>KK38-KK44</f>
        <v/>
      </c>
      <c r="KL45" s="33">
        <f>KL38-KL44</f>
        <v/>
      </c>
      <c r="KM45" s="33">
        <f>KM38-KM44</f>
        <v/>
      </c>
      <c r="KN45" s="33">
        <f>KN38-KN44</f>
        <v/>
      </c>
      <c r="KO45" s="33">
        <f>KO38-KO44</f>
        <v/>
      </c>
      <c r="KP45" s="33">
        <f>KP38-KP44</f>
        <v/>
      </c>
      <c r="KQ45" s="33">
        <f>KQ38-KQ44</f>
        <v/>
      </c>
      <c r="KR45" s="33">
        <f>KR38-KR44</f>
        <v/>
      </c>
      <c r="KS45" s="33">
        <f>KS38-KS44</f>
        <v/>
      </c>
      <c r="KT45" s="33">
        <f>KT38-KT44</f>
        <v/>
      </c>
      <c r="KU45" s="33">
        <f>KU38-KU44</f>
        <v/>
      </c>
      <c r="KV45" s="33">
        <f>KV38-KV44</f>
        <v/>
      </c>
      <c r="KW45" s="33">
        <f>KW38-KW44</f>
        <v/>
      </c>
      <c r="KX45" s="33">
        <f>KX38-KX44</f>
        <v/>
      </c>
      <c r="KY45" s="33">
        <f>KY38-KY44</f>
        <v/>
      </c>
      <c r="KZ45" s="33">
        <f>KZ38-KZ44</f>
        <v/>
      </c>
      <c r="LA45" s="33">
        <f>LA38-LA44</f>
        <v/>
      </c>
      <c r="LB45" s="33">
        <f>LB38-LB44</f>
        <v/>
      </c>
      <c r="LC45" s="33">
        <f>LC38-LC44</f>
        <v/>
      </c>
      <c r="LD45" s="33">
        <f>LD38-LD44</f>
        <v/>
      </c>
      <c r="LE45" s="33">
        <f>LE38-LE44</f>
        <v/>
      </c>
      <c r="LF45" s="33">
        <f>LF38-LF44</f>
        <v/>
      </c>
      <c r="LG45" s="33">
        <f>LG38-LG44</f>
        <v/>
      </c>
      <c r="LH45" s="33">
        <f>LH38-LH44</f>
        <v/>
      </c>
      <c r="LI45" s="33">
        <f>LI38-LI44</f>
        <v/>
      </c>
      <c r="LJ45" s="33">
        <f>LJ38-LJ44</f>
        <v/>
      </c>
      <c r="LK45" s="33">
        <f>LK38-LK44</f>
        <v/>
      </c>
      <c r="LL45" s="33">
        <f>LL38-LL44</f>
        <v/>
      </c>
      <c r="LM45" s="33">
        <f>LM38-LM44</f>
        <v/>
      </c>
      <c r="LN45" s="33">
        <f>LN38-LN44</f>
        <v/>
      </c>
      <c r="LO45" s="33">
        <f>LO38-LO44</f>
        <v/>
      </c>
      <c r="LP45" s="33">
        <f>LP38-LP44</f>
        <v/>
      </c>
      <c r="LQ45" s="33">
        <f>LQ38-LQ44</f>
        <v/>
      </c>
      <c r="LR45" s="33">
        <f>LR38-LR44</f>
        <v/>
      </c>
      <c r="LS45" s="33">
        <f>LS38-LS44</f>
        <v/>
      </c>
      <c r="LT45" s="33">
        <f>LT38-LT44</f>
        <v/>
      </c>
      <c r="LU45" s="33">
        <f>LU38-LU44</f>
        <v/>
      </c>
      <c r="LV45" s="33">
        <f>LV38-LV44</f>
        <v/>
      </c>
      <c r="LW45" s="33">
        <f>LW38-LW44</f>
        <v/>
      </c>
      <c r="LX45" s="33">
        <f>LX38-LX44</f>
        <v/>
      </c>
      <c r="LY45" s="33">
        <f>LY38-LY44</f>
        <v/>
      </c>
      <c r="LZ45" s="33">
        <f>LZ38-LZ44</f>
        <v/>
      </c>
      <c r="MA45" s="33">
        <f>MA38-MA44</f>
        <v/>
      </c>
      <c r="MB45" s="33">
        <f>MB38-MB44</f>
        <v/>
      </c>
      <c r="MC45" s="33">
        <f>MC38-MC44</f>
        <v/>
      </c>
      <c r="MD45" s="33">
        <f>MD38-MD44</f>
        <v/>
      </c>
      <c r="ME45" s="33">
        <f>ME38-ME44</f>
        <v/>
      </c>
      <c r="MF45" s="33">
        <f>MF38-MF44</f>
        <v/>
      </c>
      <c r="MG45" s="33">
        <f>MG38-MG44</f>
        <v/>
      </c>
      <c r="MH45" s="33">
        <f>MH38-MH44</f>
        <v/>
      </c>
      <c r="MI45" s="33">
        <f>MI38-MI44</f>
        <v/>
      </c>
      <c r="MJ45" s="33">
        <f>MJ38-MJ44</f>
        <v/>
      </c>
      <c r="MK45" s="33">
        <f>MK38-MK44</f>
        <v/>
      </c>
      <c r="ML45" s="33">
        <f>ML38-ML44</f>
        <v/>
      </c>
      <c r="MM45" s="33">
        <f>MM38-MM44</f>
        <v/>
      </c>
      <c r="MN45" s="33">
        <f>MN38-MN44</f>
        <v/>
      </c>
      <c r="MO45" s="33">
        <f>MO38-MO44</f>
        <v/>
      </c>
      <c r="MP45" s="33">
        <f>MP38-MP44</f>
        <v/>
      </c>
      <c r="MQ45" s="33">
        <f>MQ38-MQ44</f>
        <v/>
      </c>
      <c r="MR45" s="33">
        <f>MR38-MR44</f>
        <v/>
      </c>
      <c r="MS45" s="33">
        <f>MS38-MS44</f>
        <v/>
      </c>
      <c r="MT45" s="33">
        <f>MT38-MT44</f>
        <v/>
      </c>
      <c r="MU45" s="33">
        <f>MU38-MU44</f>
        <v/>
      </c>
      <c r="MV45" s="33">
        <f>MV38-MV44</f>
        <v/>
      </c>
      <c r="MW45" s="33">
        <f>MW38-MW44</f>
        <v/>
      </c>
      <c r="MX45" s="33">
        <f>MX38-MX44</f>
        <v/>
      </c>
      <c r="MY45" s="33">
        <f>MY38-MY44</f>
        <v/>
      </c>
      <c r="MZ45" s="33">
        <f>MZ38-MZ44</f>
        <v/>
      </c>
      <c r="NA45" s="33">
        <f>NA38-NA44</f>
        <v/>
      </c>
      <c r="NB45" s="33">
        <f>NB38-NB44</f>
        <v/>
      </c>
      <c r="NC45" s="33">
        <f>NC38-NC44</f>
        <v/>
      </c>
      <c r="ND45" s="33">
        <f>ND38-ND44</f>
        <v/>
      </c>
      <c r="NE45" s="33">
        <f>NE38-NE44</f>
        <v/>
      </c>
      <c r="NF45" s="33">
        <f>NF38-NF44</f>
        <v/>
      </c>
      <c r="NG45" s="33">
        <f>NG38-NG44</f>
        <v/>
      </c>
      <c r="NH45" s="33">
        <f>NH38-NH44</f>
        <v/>
      </c>
      <c r="NI45" s="33">
        <f>NI38-NI44</f>
        <v/>
      </c>
      <c r="NJ45" s="33">
        <f>NJ38-NJ44</f>
        <v/>
      </c>
      <c r="NK45" s="33">
        <f>NK38-NK44</f>
        <v/>
      </c>
      <c r="NL45" s="33">
        <f>NL38-NL44</f>
        <v/>
      </c>
      <c r="NM45" s="33">
        <f>NM38-NM44</f>
        <v/>
      </c>
      <c r="NN45" s="33">
        <f>NN38-NN44</f>
        <v/>
      </c>
      <c r="NO45" s="33">
        <f>NO38-NO44</f>
        <v/>
      </c>
      <c r="NP45" s="33">
        <f>NP38-NP44</f>
        <v/>
      </c>
      <c r="NQ45" s="33">
        <f>NQ38-NQ44</f>
        <v/>
      </c>
      <c r="NR45" s="33">
        <f>NR38-NR44</f>
        <v/>
      </c>
      <c r="NS45" s="33">
        <f>NS38-NS44</f>
        <v/>
      </c>
      <c r="NT45" s="33">
        <f>NT38-NT44</f>
        <v/>
      </c>
      <c r="NU45" s="33">
        <f>NU38-NU44</f>
        <v/>
      </c>
      <c r="NV45" s="33">
        <f>NV38-NV44</f>
        <v/>
      </c>
      <c r="NW45" s="33">
        <f>NW38-NW44</f>
        <v/>
      </c>
      <c r="NX45" s="33">
        <f>NX38-NX44</f>
        <v/>
      </c>
      <c r="NY45" s="33">
        <f>NY38-NY44</f>
        <v/>
      </c>
      <c r="NZ45" s="33">
        <f>NZ38-NZ44</f>
        <v/>
      </c>
      <c r="OA45" s="33">
        <f>OA38-OA44</f>
        <v/>
      </c>
      <c r="OB45" s="33">
        <f>OB38-OB44</f>
        <v/>
      </c>
      <c r="OC45" s="33">
        <f>OC38-OC44</f>
        <v/>
      </c>
      <c r="OD45" s="33">
        <f>OD38-OD44</f>
        <v/>
      </c>
      <c r="OE45" s="33">
        <f>OE38-OE44</f>
        <v/>
      </c>
      <c r="OF45" s="33">
        <f>OF38-OF44</f>
        <v/>
      </c>
      <c r="OG45" s="33">
        <f>OG38-OG44</f>
        <v/>
      </c>
      <c r="OH45" s="33">
        <f>OH38-OH44</f>
        <v/>
      </c>
      <c r="OI45" s="33">
        <f>OI38-OI44</f>
        <v/>
      </c>
      <c r="OJ45" s="33">
        <f>OJ38-OJ44</f>
        <v/>
      </c>
      <c r="OK45" s="33">
        <f>OK38-OK44</f>
        <v/>
      </c>
      <c r="OL45" s="33">
        <f>OL38-OL44</f>
        <v/>
      </c>
      <c r="OM45" s="33">
        <f>OM38-OM44</f>
        <v/>
      </c>
      <c r="ON45" s="33">
        <f>ON38-ON44</f>
        <v/>
      </c>
      <c r="OO45" s="33">
        <f>OO38-OO44</f>
        <v/>
      </c>
      <c r="OP45" s="33">
        <f>OP38-OP44</f>
        <v/>
      </c>
      <c r="OQ45" s="33">
        <f>OQ38-OQ44</f>
        <v/>
      </c>
      <c r="OR45" s="33">
        <f>OR38-OR44</f>
        <v/>
      </c>
      <c r="OS45" s="33">
        <f>OS38-OS44</f>
        <v/>
      </c>
      <c r="OT45" s="33">
        <f>OT38-OT44</f>
        <v/>
      </c>
      <c r="OU45" s="33">
        <f>OU38-OU44</f>
        <v/>
      </c>
      <c r="OV45" s="33">
        <f>OV38-OV44</f>
        <v/>
      </c>
      <c r="OW45" s="33">
        <f>OW38-OW44</f>
        <v/>
      </c>
      <c r="OX45" s="33">
        <f>OX38-OX44</f>
        <v/>
      </c>
      <c r="OY45" s="33">
        <f>OY38-OY44</f>
        <v/>
      </c>
      <c r="OZ45" s="33">
        <f>OZ38-OZ44</f>
        <v/>
      </c>
      <c r="PA45" s="33">
        <f>PA38-PA44</f>
        <v/>
      </c>
      <c r="PB45" s="33">
        <f>PB38-PB44</f>
        <v/>
      </c>
      <c r="PC45" s="33">
        <f>PC38-PC44</f>
        <v/>
      </c>
      <c r="PD45" s="33">
        <f>PD38-PD44</f>
        <v/>
      </c>
      <c r="PE45" s="33">
        <f>PE38-PE44</f>
        <v/>
      </c>
      <c r="PF45" s="33">
        <f>PF38-PF44</f>
        <v/>
      </c>
      <c r="PG45" s="33">
        <f>PG38-PG44</f>
        <v/>
      </c>
      <c r="PH45" s="33">
        <f>PH38-PH44</f>
        <v/>
      </c>
      <c r="PI45" s="33">
        <f>PI38-PI44</f>
        <v/>
      </c>
      <c r="PJ45" s="33">
        <f>PJ38-PJ44</f>
        <v/>
      </c>
      <c r="PK45" s="33">
        <f>PK38-PK44</f>
        <v/>
      </c>
      <c r="PL45" s="33">
        <f>PL38-PL44</f>
        <v/>
      </c>
      <c r="PM45" s="33">
        <f>PM38-PM44</f>
        <v/>
      </c>
      <c r="PN45" s="33">
        <f>PN38-PN44</f>
        <v/>
      </c>
      <c r="PO45" s="33">
        <f>PO38-PO44</f>
        <v/>
      </c>
      <c r="PP45" s="33">
        <f>PP38-PP44</f>
        <v/>
      </c>
      <c r="PQ45" s="33">
        <f>PQ38-PQ44</f>
        <v/>
      </c>
      <c r="PR45" s="33">
        <f>PR38-PR44</f>
        <v/>
      </c>
      <c r="PS45" s="33">
        <f>PS38-PS44</f>
        <v/>
      </c>
      <c r="PT45" s="33">
        <f>PT38-PT44</f>
        <v/>
      </c>
      <c r="PU45" s="33">
        <f>PU38-PU44</f>
        <v/>
      </c>
      <c r="PV45" s="33">
        <f>PV38-PV44</f>
        <v/>
      </c>
      <c r="PW45" s="33">
        <f>PW38-PW44</f>
        <v/>
      </c>
      <c r="PX45" s="33">
        <f>PX38-PX44</f>
        <v/>
      </c>
      <c r="PY45" s="33">
        <f>PY38-PY44</f>
        <v/>
      </c>
      <c r="PZ45" s="33">
        <f>PZ38-PZ44</f>
        <v/>
      </c>
      <c r="QA45" s="33">
        <f>QA38-QA44</f>
        <v/>
      </c>
      <c r="QB45" s="33">
        <f>QB38-QB44</f>
        <v/>
      </c>
      <c r="QC45" s="33">
        <f>QC38-QC44</f>
        <v/>
      </c>
      <c r="QD45" s="33">
        <f>QD38-QD44</f>
        <v/>
      </c>
      <c r="QE45" s="33">
        <f>QE38-QE44</f>
        <v/>
      </c>
      <c r="QF45" s="33">
        <f>QF38-QF44</f>
        <v/>
      </c>
      <c r="QG45" s="33">
        <f>QG38-QG44</f>
        <v/>
      </c>
      <c r="QH45" s="33">
        <f>QH38-QH44</f>
        <v/>
      </c>
      <c r="QI45" s="33">
        <f>QI38-QI44</f>
        <v/>
      </c>
      <c r="QJ45" s="33">
        <f>QJ38-QJ44</f>
        <v/>
      </c>
      <c r="QK45" s="33">
        <f>QK38-QK44</f>
        <v/>
      </c>
      <c r="QL45" s="33">
        <f>QL38-QL44</f>
        <v/>
      </c>
      <c r="QM45" s="33">
        <f>QM38-QM44</f>
        <v/>
      </c>
      <c r="QN45" s="33">
        <f>QN38-QN44</f>
        <v/>
      </c>
      <c r="QO45" s="33">
        <f>QO38-QO44</f>
        <v/>
      </c>
      <c r="QP45" s="33">
        <f>QP38-QP44</f>
        <v/>
      </c>
      <c r="QQ45" s="33">
        <f>QQ38-QQ44</f>
        <v/>
      </c>
      <c r="QR45" s="33">
        <f>QR38-QR44</f>
        <v/>
      </c>
      <c r="QS45" s="33">
        <f>QS38-QS44</f>
        <v/>
      </c>
      <c r="QT45" s="33">
        <f>QT38-QT44</f>
        <v/>
      </c>
      <c r="QU45" s="33">
        <f>QU38-QU44</f>
        <v/>
      </c>
      <c r="QV45" s="33">
        <f>QV38-QV44</f>
        <v/>
      </c>
      <c r="QW45" s="33">
        <f>QW38-QW44</f>
        <v/>
      </c>
      <c r="QX45" s="33">
        <f>QX38-QX44</f>
        <v/>
      </c>
      <c r="QY45" s="33">
        <f>QY38-QY44</f>
        <v/>
      </c>
      <c r="QZ45" s="33">
        <f>QZ38-QZ44</f>
        <v/>
      </c>
      <c r="RA45" s="33">
        <f>RA38-RA44</f>
        <v/>
      </c>
      <c r="RB45" s="33">
        <f>RB38-RB44</f>
        <v/>
      </c>
      <c r="RC45" s="33">
        <f>RC38-RC44</f>
        <v/>
      </c>
      <c r="RD45" s="33">
        <f>RD38-RD44</f>
        <v/>
      </c>
      <c r="RE45" s="33">
        <f>RE38-RE44</f>
        <v/>
      </c>
      <c r="RF45" s="33">
        <f>RF38-RF44</f>
        <v/>
      </c>
      <c r="RG45" s="33">
        <f>RG38-RG44</f>
        <v/>
      </c>
      <c r="RH45" s="33">
        <f>RH38-RH44</f>
        <v/>
      </c>
      <c r="RI45" s="33">
        <f>RI38-RI44</f>
        <v/>
      </c>
      <c r="RJ45" s="33">
        <f>RJ38-RJ44</f>
        <v/>
      </c>
      <c r="RK45" s="33">
        <f>RK38-RK44</f>
        <v/>
      </c>
      <c r="RL45" s="33">
        <f>RL38-RL44</f>
        <v/>
      </c>
      <c r="RM45" s="33">
        <f>RM38-RM44</f>
        <v/>
      </c>
      <c r="RN45" s="33">
        <f>RN38-RN44</f>
        <v/>
      </c>
      <c r="RO45" s="33">
        <f>RO38-RO44</f>
        <v/>
      </c>
      <c r="RP45" s="33">
        <f>RP38-RP44</f>
        <v/>
      </c>
      <c r="RQ45" s="33">
        <f>RQ38-RQ44</f>
        <v/>
      </c>
      <c r="RR45" s="33">
        <f>RR38-RR44</f>
        <v/>
      </c>
      <c r="RS45" s="33">
        <f>RS38-RS44</f>
        <v/>
      </c>
      <c r="RT45" s="33">
        <f>RT38-RT44</f>
        <v/>
      </c>
      <c r="RU45" s="33">
        <f>RU38-RU44</f>
        <v/>
      </c>
      <c r="RV45" s="33">
        <f>RV38-RV44</f>
        <v/>
      </c>
      <c r="RW45" s="33">
        <f>RW38-RW44</f>
        <v/>
      </c>
    </row>
    <row r="46" ht="5.25" customHeight="1"/>
    <row r="47" ht="13.05" customHeight="1">
      <c r="E47" s="21" t="inlineStr">
        <is>
          <t>Cumulative PFCF</t>
        </is>
      </c>
      <c r="F47" s="29" t="n"/>
      <c r="G47" s="29" t="inlineStr">
        <is>
          <t>kEUR</t>
        </is>
      </c>
      <c r="H47" s="29" t="n"/>
      <c r="I47" s="29" t="n"/>
      <c r="J47" s="32" t="n">
        <v>119893786.6860622</v>
      </c>
      <c r="K47" s="29" t="n"/>
      <c r="L47" s="33" t="n">
        <v>-3050.416666666667</v>
      </c>
      <c r="M47" s="33" t="n">
        <v>-6100.833333333333</v>
      </c>
      <c r="N47" s="33" t="n">
        <v>-9151.25</v>
      </c>
      <c r="O47" s="33" t="n">
        <v>-12201.66666666667</v>
      </c>
      <c r="P47" s="33" t="n">
        <v>-15252.08333333333</v>
      </c>
      <c r="Q47" s="33" t="n">
        <v>-18302.5</v>
      </c>
      <c r="R47" s="33" t="n">
        <v>-21352.91666666667</v>
      </c>
      <c r="S47" s="33" t="n">
        <v>-24403.33333333334</v>
      </c>
      <c r="T47" s="33" t="n">
        <v>-27453.75</v>
      </c>
      <c r="U47" s="33" t="n">
        <v>-30504.16666666667</v>
      </c>
      <c r="V47" s="33" t="n">
        <v>-33554.58333333334</v>
      </c>
      <c r="W47" s="33" t="n">
        <v>-36605</v>
      </c>
      <c r="X47" s="33" t="n">
        <v>-39655.41666666666</v>
      </c>
      <c r="Y47" s="33" t="n">
        <v>-42705.83333333333</v>
      </c>
      <c r="Z47" s="33" t="n">
        <v>-45756.24999999999</v>
      </c>
      <c r="AA47" s="33" t="n">
        <v>-48806.66666666666</v>
      </c>
      <c r="AB47" s="33" t="n">
        <v>-51857.08333333332</v>
      </c>
      <c r="AC47" s="33" t="n">
        <v>-54907.49999999999</v>
      </c>
      <c r="AD47" s="33" t="n">
        <v>-57957.91666666665</v>
      </c>
      <c r="AE47" s="33" t="n">
        <v>-61008.33333333331</v>
      </c>
      <c r="AF47" s="33" t="n">
        <v>-64058.74999999998</v>
      </c>
      <c r="AG47" s="33" t="n">
        <v>-67109.16666666664</v>
      </c>
      <c r="AH47" s="33" t="n">
        <v>-70159.58333333331</v>
      </c>
      <c r="AI47" s="33" t="n">
        <v>-73209.99999999999</v>
      </c>
      <c r="AJ47" s="33" t="n">
        <v>-76260.41666666666</v>
      </c>
      <c r="AK47" s="33" t="n">
        <v>-79310.83333333333</v>
      </c>
      <c r="AL47" s="33" t="n">
        <v>-82361.25</v>
      </c>
      <c r="AM47" s="33" t="n">
        <v>-85411.66666666667</v>
      </c>
      <c r="AN47" s="33" t="n">
        <v>-88462.08333333334</v>
      </c>
      <c r="AO47" s="33" t="n">
        <v>-91512.50000000001</v>
      </c>
      <c r="AP47" s="33" t="n">
        <v>-94562.91666666669</v>
      </c>
      <c r="AQ47" s="33" t="n">
        <v>-97613.33333333336</v>
      </c>
      <c r="AR47" s="33" t="n">
        <v>-100663.75</v>
      </c>
      <c r="AS47" s="33" t="n">
        <v>-103714.1666666667</v>
      </c>
      <c r="AT47" s="33" t="n">
        <v>-106764.5833333334</v>
      </c>
      <c r="AU47" s="33" t="n">
        <v>-109815</v>
      </c>
      <c r="AV47" s="33" t="n">
        <v>-112865.4166666667</v>
      </c>
      <c r="AW47" s="33" t="n">
        <v>-115915.8333333334</v>
      </c>
      <c r="AX47" s="33" t="n">
        <v>-118966.2500000001</v>
      </c>
      <c r="AY47" s="33" t="n">
        <v>-122016.6666666667</v>
      </c>
      <c r="AZ47" s="33" t="n">
        <v>-125067.0833333334</v>
      </c>
      <c r="BA47" s="33" t="n">
        <v>-128117.5000000001</v>
      </c>
      <c r="BB47" s="33" t="n">
        <v>-131167.9166666667</v>
      </c>
      <c r="BC47" s="33" t="n">
        <v>-134218.3333333334</v>
      </c>
      <c r="BD47" s="33" t="n">
        <v>-137268.7500000001</v>
      </c>
      <c r="BE47" s="33" t="n">
        <v>-140319.1666666667</v>
      </c>
      <c r="BF47" s="33" t="n">
        <v>-143369.5833333334</v>
      </c>
      <c r="BG47" s="33" t="n">
        <v>-146420</v>
      </c>
      <c r="BH47" s="33" t="n">
        <v>-182116.4166666667</v>
      </c>
      <c r="BI47" s="33" t="n">
        <v>-217812.8333333333</v>
      </c>
      <c r="BJ47" s="33" t="n">
        <v>-253509.25</v>
      </c>
      <c r="BK47" s="33" t="n">
        <v>-289205.6666666667</v>
      </c>
      <c r="BL47" s="33" t="n">
        <v>-324902.0833333334</v>
      </c>
      <c r="BM47" s="33" t="n">
        <v>-360598.5000000001</v>
      </c>
      <c r="BN47" s="33" t="n">
        <v>-396294.9166666667</v>
      </c>
      <c r="BO47" s="33" t="n">
        <v>-431991.3333333334</v>
      </c>
      <c r="BP47" s="33" t="n">
        <v>-467687.7500000001</v>
      </c>
      <c r="BQ47" s="33" t="n">
        <v>-503384.1666666668</v>
      </c>
      <c r="BR47" s="33" t="n">
        <v>-539080.5833333335</v>
      </c>
      <c r="BS47" s="33" t="n">
        <v>-574777.0000000001</v>
      </c>
      <c r="BT47" s="33" t="n">
        <v>-610473.4166666667</v>
      </c>
      <c r="BU47" s="33" t="n">
        <v>-646169.8333333334</v>
      </c>
      <c r="BV47" s="33" t="n">
        <v>-681866.25</v>
      </c>
      <c r="BW47" s="33" t="n">
        <v>-717562.6666666666</v>
      </c>
      <c r="BX47" s="33" t="n">
        <v>-753259.0833333333</v>
      </c>
      <c r="BY47" s="33" t="n">
        <v>-788955.4999999999</v>
      </c>
      <c r="BZ47" s="33" t="n">
        <v>-824651.9166666665</v>
      </c>
      <c r="CA47" s="33" t="n">
        <v>-860348.3333333331</v>
      </c>
      <c r="CB47" s="33" t="n">
        <v>-896044.7499999998</v>
      </c>
      <c r="CC47" s="33" t="n">
        <v>-931741.1666666664</v>
      </c>
      <c r="CD47" s="33" t="n">
        <v>-967437.583333333</v>
      </c>
      <c r="CE47" s="33" t="n">
        <v>-1003134</v>
      </c>
      <c r="CF47" s="33" t="n">
        <v>-1038830.416666666</v>
      </c>
      <c r="CG47" s="33" t="n">
        <v>-1074526.833333333</v>
      </c>
      <c r="CH47" s="33" t="n">
        <v>-1110223.25</v>
      </c>
      <c r="CI47" s="33" t="n">
        <v>-1145919.666666667</v>
      </c>
      <c r="CJ47" s="33" t="n">
        <v>-1181616.083333333</v>
      </c>
      <c r="CK47" s="33" t="n">
        <v>-1217312.5</v>
      </c>
      <c r="CL47" s="33" t="n">
        <v>-1253008.916666667</v>
      </c>
      <c r="CM47" s="33" t="n">
        <v>-1288705.333333333</v>
      </c>
      <c r="CN47" s="33" t="n">
        <v>-1324401.75</v>
      </c>
      <c r="CO47" s="33" t="n">
        <v>-1360098.166666667</v>
      </c>
      <c r="CP47" s="33" t="n">
        <v>-1395794.583333334</v>
      </c>
      <c r="CQ47" s="33" t="n">
        <v>-1424842.13576031</v>
      </c>
      <c r="CR47" s="33" t="n">
        <v>-1406658.772319796</v>
      </c>
      <c r="CS47" s="33" t="n">
        <v>-1388463.63891646</v>
      </c>
      <c r="CT47" s="33" t="n">
        <v>-1370256.714751613</v>
      </c>
      <c r="CU47" s="33" t="n">
        <v>-1352037.978989812</v>
      </c>
      <c r="CV47" s="33" t="n">
        <v>-1333807.410758798</v>
      </c>
      <c r="CW47" s="33" t="n">
        <v>-1315564.989149427</v>
      </c>
      <c r="CX47" s="33" t="n">
        <v>-1297310.693215607</v>
      </c>
      <c r="CY47" s="33" t="n">
        <v>-1279044.501974231</v>
      </c>
      <c r="CZ47" s="33" t="n">
        <v>-1260766.394405115</v>
      </c>
      <c r="DA47" s="33" t="n">
        <v>-1242476.34945093</v>
      </c>
      <c r="DB47" s="33" t="n">
        <v>-1224174.346017133</v>
      </c>
      <c r="DC47" s="33" t="n">
        <v>-1205860.36297191</v>
      </c>
      <c r="DD47" s="33" t="n">
        <v>-1196340.139562768</v>
      </c>
      <c r="DE47" s="33" t="n">
        <v>-1186807.894166475</v>
      </c>
      <c r="DF47" s="33" t="n">
        <v>-1177263.60553899</v>
      </c>
      <c r="DG47" s="33" t="n">
        <v>-1167707.252398731</v>
      </c>
      <c r="DH47" s="33" t="n">
        <v>-1158138.813426512</v>
      </c>
      <c r="DI47" s="33" t="n">
        <v>-1148558.267265472</v>
      </c>
      <c r="DJ47" s="33" t="n">
        <v>-1138965.59252101</v>
      </c>
      <c r="DK47" s="33" t="n">
        <v>-1129360.76776072</v>
      </c>
      <c r="DL47" s="33" t="n">
        <v>-1119743.771514323</v>
      </c>
      <c r="DM47" s="33" t="n">
        <v>-1110114.582273597</v>
      </c>
      <c r="DN47" s="33" t="n">
        <v>-1100473.178492316</v>
      </c>
      <c r="DO47" s="33" t="n">
        <v>-1090819.538586179</v>
      </c>
      <c r="DP47" s="33" t="n">
        <v>-1080983.224526492</v>
      </c>
      <c r="DQ47" s="33" t="n">
        <v>-1071134.631058854</v>
      </c>
      <c r="DR47" s="33" t="n">
        <v>-1061273.736484335</v>
      </c>
      <c r="DS47" s="33" t="n">
        <v>-1051400.519065664</v>
      </c>
      <c r="DT47" s="33" t="n">
        <v>-1041514.957027156</v>
      </c>
      <c r="DU47" s="33" t="n">
        <v>-1031617.028554645</v>
      </c>
      <c r="DV47" s="33" t="n">
        <v>-1021706.711795421</v>
      </c>
      <c r="DW47" s="33" t="n">
        <v>-1011783.984858154</v>
      </c>
      <c r="DX47" s="33" t="n">
        <v>-1001848.825812834</v>
      </c>
      <c r="DY47" s="33" t="n">
        <v>-991901.2126906943</v>
      </c>
      <c r="DZ47" s="33" t="n">
        <v>-981941.1234841499</v>
      </c>
      <c r="EA47" s="33" t="n">
        <v>-971968.5361467256</v>
      </c>
      <c r="EB47" s="33" t="n">
        <v>-960608.0496932481</v>
      </c>
      <c r="EC47" s="33" t="n">
        <v>-949235.0208989964</v>
      </c>
      <c r="ED47" s="33" t="n">
        <v>-937849.4276004134</v>
      </c>
      <c r="EE47" s="33" t="n">
        <v>-926451.2475947773</v>
      </c>
      <c r="EF47" s="33" t="n">
        <v>-915040.4586401315</v>
      </c>
      <c r="EG47" s="33" t="n">
        <v>-903617.0384552159</v>
      </c>
      <c r="EH47" s="33" t="n">
        <v>-892180.964719397</v>
      </c>
      <c r="EI47" s="33" t="n">
        <v>-880732.2150725988</v>
      </c>
      <c r="EJ47" s="33" t="n">
        <v>-869270.7671152325</v>
      </c>
      <c r="EK47" s="33" t="n">
        <v>-857796.5984081274</v>
      </c>
      <c r="EL47" s="33" t="n">
        <v>-846309.6864724604</v>
      </c>
      <c r="EM47" s="33" t="n">
        <v>-834810.0087896859</v>
      </c>
      <c r="EN47" s="33" t="n">
        <v>-825488.0835958995</v>
      </c>
      <c r="EO47" s="33" t="n">
        <v>-816153.3474984671</v>
      </c>
      <c r="EP47" s="33" t="n">
        <v>-806805.7778592545</v>
      </c>
      <c r="EQ47" s="33" t="n">
        <v>-797445.3520001239</v>
      </c>
      <c r="ER47" s="33" t="n">
        <v>-788072.047202863</v>
      </c>
      <c r="ES47" s="33" t="n">
        <v>-778685.8407091141</v>
      </c>
      <c r="ET47" s="33" t="n">
        <v>-769286.7097203032</v>
      </c>
      <c r="EU47" s="33" t="n">
        <v>-759874.6313975691</v>
      </c>
      <c r="EV47" s="33" t="n">
        <v>-750449.5828616921</v>
      </c>
      <c r="EW47" s="33" t="n">
        <v>-741011.5411930223</v>
      </c>
      <c r="EX47" s="33" t="n">
        <v>-731560.4834314089</v>
      </c>
      <c r="EY47" s="33" t="n">
        <v>-722096.3865761282</v>
      </c>
      <c r="EZ47" s="33" t="n">
        <v>-711809.4881501062</v>
      </c>
      <c r="FA47" s="33" t="n">
        <v>-701509.5045069637</v>
      </c>
      <c r="FB47" s="33" t="n">
        <v>-691196.4125238276</v>
      </c>
      <c r="FC47" s="33" t="n">
        <v>-680870.1890369647</v>
      </c>
      <c r="FD47" s="33" t="n">
        <v>-670530.8108417087</v>
      </c>
      <c r="FE47" s="33" t="n">
        <v>-660178.2546923886</v>
      </c>
      <c r="FF47" s="33" t="n">
        <v>-649812.4973022561</v>
      </c>
      <c r="FG47" s="33" t="n">
        <v>-639433.5153434128</v>
      </c>
      <c r="FH47" s="33" t="n">
        <v>-629041.2854467374</v>
      </c>
      <c r="FI47" s="33" t="n">
        <v>-618635.7842018135</v>
      </c>
      <c r="FJ47" s="33" t="n">
        <v>-608216.9881568559</v>
      </c>
      <c r="FK47" s="33" t="n">
        <v>-597784.8738186378</v>
      </c>
      <c r="FL47" s="33" t="n">
        <v>-586477.0237579795</v>
      </c>
      <c r="FM47" s="33" t="n">
        <v>-575155.8082929892</v>
      </c>
      <c r="FN47" s="33" t="n">
        <v>-563821.2038056751</v>
      </c>
      <c r="FO47" s="33" t="n">
        <v>-552473.1866363107</v>
      </c>
      <c r="FP47" s="33" t="n">
        <v>-541111.7330833597</v>
      </c>
      <c r="FQ47" s="33" t="n">
        <v>-529736.8194034032</v>
      </c>
      <c r="FR47" s="33" t="n">
        <v>-518348.4218110654</v>
      </c>
      <c r="FS47" s="33" t="n">
        <v>-506946.5164789392</v>
      </c>
      <c r="FT47" s="33" t="n">
        <v>-495531.0795375123</v>
      </c>
      <c r="FU47" s="33" t="n">
        <v>-484102.0870750924</v>
      </c>
      <c r="FV47" s="33" t="n">
        <v>-472659.515137733</v>
      </c>
      <c r="FW47" s="33" t="n">
        <v>-461203.3397291587</v>
      </c>
      <c r="FX47" s="33" t="n">
        <v>-452688.5442951372</v>
      </c>
      <c r="FY47" s="33" t="n">
        <v>-444160.0972700634</v>
      </c>
      <c r="FZ47" s="33" t="n">
        <v>-435617.9745302254</v>
      </c>
      <c r="GA47" s="33" t="n">
        <v>-427062.1519092825</v>
      </c>
      <c r="GB47" s="33" t="n">
        <v>-418492.6051981896</v>
      </c>
      <c r="GC47" s="33" t="n">
        <v>-409909.3101451217</v>
      </c>
      <c r="GD47" s="33" t="n">
        <v>-401312.2424553986</v>
      </c>
      <c r="GE47" s="33" t="n">
        <v>-392701.377791409</v>
      </c>
      <c r="GF47" s="33" t="n">
        <v>-384076.6917725344</v>
      </c>
      <c r="GG47" s="33" t="n">
        <v>-375438.1599750736</v>
      </c>
      <c r="GH47" s="33" t="n">
        <v>-366785.7579321662</v>
      </c>
      <c r="GI47" s="33" t="n">
        <v>-358119.4611337164</v>
      </c>
      <c r="GJ47" s="33" t="n">
        <v>-349791.819404079</v>
      </c>
      <c r="GK47" s="33" t="n">
        <v>-341450.2337686959</v>
      </c>
      <c r="GL47" s="33" t="n">
        <v>-333094.6795873063</v>
      </c>
      <c r="GM47" s="33" t="n">
        <v>-324725.1321761076</v>
      </c>
      <c r="GN47" s="33" t="n">
        <v>-316341.5668076784</v>
      </c>
      <c r="GO47" s="33" t="n">
        <v>-307943.9587109018</v>
      </c>
      <c r="GP47" s="33" t="n">
        <v>-299532.2830708877</v>
      </c>
      <c r="GQ47" s="33" t="n">
        <v>-291106.5150288955</v>
      </c>
      <c r="GR47" s="33" t="n">
        <v>-282666.6296822568</v>
      </c>
      <c r="GS47" s="33" t="n">
        <v>-274212.602084298</v>
      </c>
      <c r="GT47" s="33" t="n">
        <v>-265744.407244262</v>
      </c>
      <c r="GU47" s="33" t="n">
        <v>-257262.0201272305</v>
      </c>
      <c r="GV47" s="33" t="n">
        <v>-246891.8053906263</v>
      </c>
      <c r="GW47" s="33" t="n">
        <v>-236507.3481743945</v>
      </c>
      <c r="GX47" s="33" t="n">
        <v>-226108.6233106649</v>
      </c>
      <c r="GY47" s="33" t="n">
        <v>-215695.6055870929</v>
      </c>
      <c r="GZ47" s="33" t="n">
        <v>-205268.2697467814</v>
      </c>
      <c r="HA47" s="33" t="n">
        <v>-194826.5904882016</v>
      </c>
      <c r="HB47" s="33" t="n">
        <v>-184370.5424651146</v>
      </c>
      <c r="HC47" s="33" t="n">
        <v>-173900.1002864922</v>
      </c>
      <c r="HD47" s="33" t="n">
        <v>-163415.2385164377</v>
      </c>
      <c r="HE47" s="33" t="n">
        <v>-152915.9316741066</v>
      </c>
      <c r="HF47" s="33" t="n">
        <v>-142402.1542336273</v>
      </c>
      <c r="HG47" s="33" t="n">
        <v>-131873.8806240214</v>
      </c>
      <c r="HH47" s="33" t="n">
        <v>-123336.0213713597</v>
      </c>
      <c r="HI47" s="33" t="n">
        <v>-114783.6146719755</v>
      </c>
      <c r="HJ47" s="33" t="n">
        <v>-106216.6348190913</v>
      </c>
      <c r="HK47" s="33" t="n">
        <v>-97635.05606050344</v>
      </c>
      <c r="HL47" s="33" t="n">
        <v>-89038.85259850128</v>
      </c>
      <c r="HM47" s="33" t="n">
        <v>-80427.99858978722</v>
      </c>
      <c r="HN47" s="33" t="n">
        <v>-71802.46814539599</v>
      </c>
      <c r="HO47" s="33" t="n">
        <v>-63162.23533061394</v>
      </c>
      <c r="HP47" s="33" t="n">
        <v>-54507.27416489822</v>
      </c>
      <c r="HQ47" s="33" t="n">
        <v>-45837.55862179578</v>
      </c>
      <c r="HR47" s="33" t="n">
        <v>-37153.06262886228</v>
      </c>
      <c r="HS47" s="33" t="n">
        <v>-28453.76006758076</v>
      </c>
      <c r="HT47" s="33" t="n">
        <v>-19953.60562662265</v>
      </c>
      <c r="HU47" s="33" t="n">
        <v>-11438.59224173907</v>
      </c>
      <c r="HV47" s="33" t="n">
        <v>-2908.693655706234</v>
      </c>
      <c r="HW47" s="33" t="n">
        <v>5636.116435098738</v>
      </c>
      <c r="HX47" s="33" t="n">
        <v>14195.86438077984</v>
      </c>
      <c r="HY47" s="33" t="n">
        <v>22770.5765780043</v>
      </c>
      <c r="HZ47" s="33" t="n">
        <v>31360.27947008487</v>
      </c>
      <c r="IA47" s="33" t="n">
        <v>39964.99954706225</v>
      </c>
      <c r="IB47" s="33" t="n">
        <v>48584.76334578767</v>
      </c>
      <c r="IC47" s="33" t="n">
        <v>57219.5974500056</v>
      </c>
      <c r="ID47" s="33" t="n">
        <v>65869.52849043661</v>
      </c>
      <c r="IE47" s="33" t="n">
        <v>74534.58314486039</v>
      </c>
      <c r="IF47" s="33" t="n">
        <v>84530.92194464724</v>
      </c>
      <c r="IG47" s="33" t="n">
        <v>94542.43785549638</v>
      </c>
      <c r="IH47" s="33" t="n">
        <v>104569.1576968644</v>
      </c>
      <c r="II47" s="33" t="n">
        <v>114611.1083356004</v>
      </c>
      <c r="IJ47" s="33" t="n">
        <v>124668.3166860302</v>
      </c>
      <c r="IK47" s="33" t="n">
        <v>134740.8097100394</v>
      </c>
      <c r="IL47" s="33" t="n">
        <v>144828.6144171584</v>
      </c>
      <c r="IM47" s="33" t="n">
        <v>154931.7578646458</v>
      </c>
      <c r="IN47" s="33" t="n">
        <v>165050.2671575731</v>
      </c>
      <c r="IO47" s="33" t="n">
        <v>175184.1694489093</v>
      </c>
      <c r="IP47" s="33" t="n">
        <v>185333.4919396053</v>
      </c>
      <c r="IQ47" s="33" t="n">
        <v>195498.2618786787</v>
      </c>
      <c r="IR47" s="33" t="n">
        <v>203657.7386785578</v>
      </c>
      <c r="IS47" s="33" t="n">
        <v>211832.7175693898</v>
      </c>
      <c r="IT47" s="33" t="n">
        <v>220023.2259449028</v>
      </c>
      <c r="IU47" s="33" t="n">
        <v>228229.2912472326</v>
      </c>
      <c r="IV47" s="33" t="n">
        <v>236450.9409670077</v>
      </c>
      <c r="IW47" s="33" t="n">
        <v>244688.2026434354</v>
      </c>
      <c r="IX47" s="33" t="n">
        <v>252941.1038643873</v>
      </c>
      <c r="IY47" s="33" t="n">
        <v>261209.6722664859</v>
      </c>
      <c r="IZ47" s="33" t="n">
        <v>269493.9355351898</v>
      </c>
      <c r="JA47" s="33" t="n">
        <v>277793.9214048811</v>
      </c>
      <c r="JB47" s="33" t="n">
        <v>286109.6576589508</v>
      </c>
      <c r="JC47" s="33" t="n">
        <v>294441.1721298864</v>
      </c>
      <c r="JD47" s="33" t="n">
        <v>302875.6809857688</v>
      </c>
      <c r="JE47" s="33" t="n">
        <v>311326.0238711268</v>
      </c>
      <c r="JF47" s="33" t="n">
        <v>319792.2287662565</v>
      </c>
      <c r="JG47" s="33" t="n">
        <v>328274.3237008984</v>
      </c>
      <c r="JH47" s="33" t="n">
        <v>336772.3367543241</v>
      </c>
      <c r="JI47" s="33" t="n">
        <v>345286.2960554243</v>
      </c>
      <c r="JJ47" s="33" t="n">
        <v>353816.2297827958</v>
      </c>
      <c r="JK47" s="33" t="n">
        <v>362362.1661648302</v>
      </c>
      <c r="JL47" s="33" t="n">
        <v>370924.1334798012</v>
      </c>
      <c r="JM47" s="33" t="n">
        <v>379502.1600559532</v>
      </c>
      <c r="JN47" s="33" t="n">
        <v>388096.2742715892</v>
      </c>
      <c r="JO47" s="33" t="n">
        <v>396706.5045551597</v>
      </c>
      <c r="JP47" s="33" t="n">
        <v>406844.964187149</v>
      </c>
      <c r="JQ47" s="33" t="n">
        <v>416999.5968947698</v>
      </c>
      <c r="JR47" s="33" t="n">
        <v>427170.4312574468</v>
      </c>
      <c r="JS47" s="33" t="n">
        <v>437357.4959051069</v>
      </c>
      <c r="JT47" s="33" t="n">
        <v>447560.8195182694</v>
      </c>
      <c r="JU47" s="33" t="n">
        <v>457780.4308281346</v>
      </c>
      <c r="JV47" s="33" t="n">
        <v>468016.3586166738</v>
      </c>
      <c r="JW47" s="33" t="n">
        <v>478268.6317167188</v>
      </c>
      <c r="JX47" s="33" t="n">
        <v>488537.2790120519</v>
      </c>
      <c r="JY47" s="33" t="n">
        <v>498822.329437496</v>
      </c>
      <c r="JZ47" s="33" t="n">
        <v>509123.8119790045</v>
      </c>
      <c r="KA47" s="33" t="n">
        <v>519441.7556737522</v>
      </c>
      <c r="KB47" s="33" t="n">
        <v>527356.1520220974</v>
      </c>
      <c r="KC47" s="33" t="n">
        <v>535287.0677520562</v>
      </c>
      <c r="KD47" s="33" t="n">
        <v>543234.5320550099</v>
      </c>
      <c r="KE47" s="33" t="n">
        <v>551198.574173924</v>
      </c>
      <c r="KF47" s="33" t="n">
        <v>559179.2234034393</v>
      </c>
      <c r="KG47" s="33" t="n">
        <v>567176.5090899629</v>
      </c>
      <c r="KH47" s="33" t="n">
        <v>575190.4606317601</v>
      </c>
      <c r="KI47" s="33" t="n">
        <v>583221.1074790457</v>
      </c>
      <c r="KJ47" s="33" t="n">
        <v>591268.4791340762</v>
      </c>
      <c r="KK47" s="33" t="n">
        <v>599332.6051512411</v>
      </c>
      <c r="KL47" s="33" t="n">
        <v>607413.5151371557</v>
      </c>
      <c r="KM47" s="33" t="n">
        <v>615511.238750753</v>
      </c>
      <c r="KN47" s="33" t="n">
        <v>623362.6175056234</v>
      </c>
      <c r="KO47" s="33" t="n">
        <v>631230.869363366</v>
      </c>
      <c r="KP47" s="33" t="n">
        <v>639116.0241404229</v>
      </c>
      <c r="KQ47" s="33" t="n">
        <v>647018.1117059245</v>
      </c>
      <c r="KR47" s="33" t="n">
        <v>654937.161981783</v>
      </c>
      <c r="KS47" s="33" t="n">
        <v>662873.2049427854</v>
      </c>
      <c r="KT47" s="33" t="n">
        <v>670826.2706166876</v>
      </c>
      <c r="KU47" s="33" t="n">
        <v>678796.3890843069</v>
      </c>
      <c r="KV47" s="33" t="n">
        <v>686783.5904796168</v>
      </c>
      <c r="KW47" s="33" t="n">
        <v>694787.9049898403</v>
      </c>
      <c r="KX47" s="33" t="n">
        <v>702809.3628555445</v>
      </c>
      <c r="KY47" s="33" t="n">
        <v>710847.9943707343</v>
      </c>
      <c r="KZ47" s="33" t="n">
        <v>720858.1201431936</v>
      </c>
      <c r="LA47" s="33" t="n">
        <v>730885.4803138406</v>
      </c>
      <c r="LB47" s="33" t="n">
        <v>740930.1053375615</v>
      </c>
      <c r="LC47" s="33" t="n">
        <v>750992.0257230597</v>
      </c>
      <c r="LD47" s="33" t="n">
        <v>761071.2720329503</v>
      </c>
      <c r="LE47" s="33" t="n">
        <v>771167.8748838556</v>
      </c>
      <c r="LF47" s="33" t="n">
        <v>781281.8649465004</v>
      </c>
      <c r="LG47" s="33" t="n">
        <v>791413.2729458079</v>
      </c>
      <c r="LH47" s="33" t="n">
        <v>801562.1296609952</v>
      </c>
      <c r="LI47" s="33" t="n">
        <v>811728.4659256693</v>
      </c>
      <c r="LJ47" s="33" t="n">
        <v>821912.3126279232</v>
      </c>
      <c r="LK47" s="33" t="n">
        <v>832113.7007104323</v>
      </c>
      <c r="LL47" s="33" t="n">
        <v>839872.5495119591</v>
      </c>
      <c r="LM47" s="33" t="n">
        <v>847649.0017432247</v>
      </c>
      <c r="LN47" s="33" t="n">
        <v>855443.0885112307</v>
      </c>
      <c r="LO47" s="33" t="n">
        <v>863254.840977948</v>
      </c>
      <c r="LP47" s="33" t="n">
        <v>871084.2903604138</v>
      </c>
      <c r="LQ47" s="33" t="n">
        <v>878931.4679308288</v>
      </c>
      <c r="LR47" s="33" t="n">
        <v>886796.4050166548</v>
      </c>
      <c r="LS47" s="33" t="n">
        <v>894679.1330007121</v>
      </c>
      <c r="LT47" s="33" t="n">
        <v>902579.6833212781</v>
      </c>
      <c r="LU47" s="33" t="n">
        <v>910498.0874721841</v>
      </c>
      <c r="LV47" s="33" t="n">
        <v>918434.3770029147</v>
      </c>
      <c r="LW47" s="33" t="n">
        <v>921618.5835187051</v>
      </c>
      <c r="LX47" s="33" t="n">
        <v>925917.9352165716</v>
      </c>
      <c r="LY47" s="33" t="n">
        <v>930235.2672776161</v>
      </c>
      <c r="LZ47" s="33" t="n">
        <v>934570.611474919</v>
      </c>
      <c r="MA47" s="33" t="n">
        <v>938923.9996377069</v>
      </c>
      <c r="MB47" s="33" t="n">
        <v>943295.4636514516</v>
      </c>
      <c r="MC47" s="33" t="n">
        <v>947685.03545797</v>
      </c>
      <c r="MD47" s="33" t="n">
        <v>952092.7470555231</v>
      </c>
      <c r="ME47" s="33" t="n">
        <v>956518.630498916</v>
      </c>
      <c r="MF47" s="33" t="n">
        <v>960962.7178995981</v>
      </c>
      <c r="MG47" s="33" t="n">
        <v>965425.0414257623</v>
      </c>
      <c r="MH47" s="33" t="n">
        <v>969905.6333024466</v>
      </c>
      <c r="MI47" s="33" t="n">
        <v>974404.5258116333</v>
      </c>
      <c r="MJ47" s="33" t="n">
        <v>978704.2148940918</v>
      </c>
      <c r="MK47" s="33" t="n">
        <v>983022.2693442549</v>
      </c>
      <c r="ML47" s="33" t="n">
        <v>987358.7216155441</v>
      </c>
      <c r="MM47" s="33" t="n">
        <v>991713.6042187291</v>
      </c>
      <c r="MN47" s="33" t="n">
        <v>996086.9497220296</v>
      </c>
      <c r="MO47" s="33" t="n">
        <v>1000478.790751217</v>
      </c>
      <c r="MP47" s="33" t="n">
        <v>1004889.159989714</v>
      </c>
      <c r="MQ47" s="33" t="n">
        <v>1009318.0901787</v>
      </c>
      <c r="MR47" s="33" t="n">
        <v>1013765.61411721</v>
      </c>
      <c r="MS47" s="33" t="n">
        <v>1018231.76466224</v>
      </c>
      <c r="MT47" s="33" t="n">
        <v>1022716.574728846</v>
      </c>
      <c r="MU47" s="33" t="n">
        <v>1027220.077290247</v>
      </c>
      <c r="MV47" s="33" t="n">
        <v>1031521.685275442</v>
      </c>
      <c r="MW47" s="33" t="n">
        <v>1035842.051876777</v>
      </c>
      <c r="MX47" s="33" t="n">
        <v>1040181.210242583</v>
      </c>
      <c r="MY47" s="33" t="n">
        <v>1044539.193579767</v>
      </c>
      <c r="MZ47" s="33" t="n">
        <v>1048916.035153915</v>
      </c>
      <c r="NA47" s="33" t="n">
        <v>1053311.768289398</v>
      </c>
      <c r="NB47" s="33" t="n">
        <v>1057726.426369473</v>
      </c>
      <c r="NC47" s="33" t="n">
        <v>1062160.042836389</v>
      </c>
      <c r="ND47" s="33" t="n">
        <v>1066612.651191491</v>
      </c>
      <c r="NE47" s="33" t="n">
        <v>1071084.284995324</v>
      </c>
      <c r="NF47" s="33" t="n">
        <v>1075574.977867739</v>
      </c>
      <c r="NG47" s="33" t="n">
        <v>1080084.763487994</v>
      </c>
      <c r="NH47" s="33" t="n">
        <v>1084389.869643819</v>
      </c>
      <c r="NI47" s="33" t="n">
        <v>1088714.136084652</v>
      </c>
      <c r="NJ47" s="33" t="n">
        <v>1093057.596668613</v>
      </c>
      <c r="NK47" s="33" t="n">
        <v>1097420.285313651</v>
      </c>
      <c r="NL47" s="33" t="n">
        <v>1101802.235997652</v>
      </c>
      <c r="NM47" s="33" t="n">
        <v>1106203.482758545</v>
      </c>
      <c r="NN47" s="33" t="n">
        <v>1110624.059694406</v>
      </c>
      <c r="NO47" s="33" t="n">
        <v>1115064.000963567</v>
      </c>
      <c r="NP47" s="33" t="n">
        <v>1119523.340784719</v>
      </c>
      <c r="NQ47" s="33" t="n">
        <v>1124002.113437024</v>
      </c>
      <c r="NR47" s="33" t="n">
        <v>1128500.353260216</v>
      </c>
      <c r="NS47" s="33" t="n">
        <v>1133018.094654712</v>
      </c>
      <c r="NT47" s="33" t="n">
        <v>1137328.276696803</v>
      </c>
      <c r="NU47" s="33" t="n">
        <v>1141658.029293506</v>
      </c>
      <c r="NV47" s="33" t="n">
        <v>1146007.387027926</v>
      </c>
      <c r="NW47" s="33" t="n">
        <v>1150376.384544281</v>
      </c>
      <c r="NX47" s="33" t="n">
        <v>1154765.056548008</v>
      </c>
      <c r="NY47" s="33" t="n">
        <v>1159173.437805874</v>
      </c>
      <c r="NZ47" s="33" t="n">
        <v>1163601.563146079</v>
      </c>
      <c r="OA47" s="33" t="n">
        <v>1168049.467458371</v>
      </c>
      <c r="OB47" s="33" t="n">
        <v>1172517.185694149</v>
      </c>
      <c r="OC47" s="33" t="n">
        <v>1177004.752866576</v>
      </c>
      <c r="OD47" s="33" t="n">
        <v>1181512.204050687</v>
      </c>
      <c r="OE47" s="33" t="n">
        <v>1186039.574383497</v>
      </c>
      <c r="OF47" s="33" t="n">
        <v>1190363.492417095</v>
      </c>
      <c r="OG47" s="33" t="n">
        <v>1194707.400059805</v>
      </c>
      <c r="OH47" s="33" t="n">
        <v>1199071.332635244</v>
      </c>
      <c r="OI47" s="33" t="n">
        <v>1203455.325529448</v>
      </c>
      <c r="OJ47" s="33" t="n">
        <v>1207859.414190986</v>
      </c>
      <c r="OK47" s="33" t="n">
        <v>1212283.634131066</v>
      </c>
      <c r="OL47" s="33" t="n">
        <v>1216728.020923649</v>
      </c>
      <c r="OM47" s="33" t="n">
        <v>1221192.610205558</v>
      </c>
      <c r="ON47" s="33" t="n">
        <v>1225677.43767659</v>
      </c>
      <c r="OO47" s="33" t="n">
        <v>1230182.539099627</v>
      </c>
      <c r="OP47" s="33" t="n">
        <v>1234707.950300748</v>
      </c>
      <c r="OQ47" s="33" t="n">
        <v>1239253.70716934</v>
      </c>
      <c r="OR47" s="33" t="n">
        <v>1243629.366035747</v>
      </c>
      <c r="OS47" s="33" t="n">
        <v>1248025.442538771</v>
      </c>
      <c r="OT47" s="33" t="n">
        <v>1252441.972758396</v>
      </c>
      <c r="OU47" s="33" t="n">
        <v>1256878.992838362</v>
      </c>
      <c r="OV47" s="33" t="n">
        <v>1261336.538986279</v>
      </c>
      <c r="OW47" s="33" t="n">
        <v>1265814.647473741</v>
      </c>
      <c r="OX47" s="33" t="n">
        <v>1270313.354636434</v>
      </c>
      <c r="OY47" s="33" t="n">
        <v>1274832.696874256</v>
      </c>
      <c r="OZ47" s="33" t="n">
        <v>1279372.710651426</v>
      </c>
      <c r="PA47" s="33" t="n">
        <v>1283933.432496599</v>
      </c>
      <c r="PB47" s="33" t="n">
        <v>1288514.899002978</v>
      </c>
      <c r="PC47" s="33" t="n">
        <v>1293117.146828434</v>
      </c>
      <c r="PD47" s="33" t="n">
        <v>1297551.183038277</v>
      </c>
      <c r="PE47" s="33" t="n">
        <v>1302006.074077382</v>
      </c>
      <c r="PF47" s="33" t="n">
        <v>1306481.856798294</v>
      </c>
      <c r="PG47" s="33" t="n">
        <v>1310978.568118682</v>
      </c>
      <c r="PH47" s="33" t="n">
        <v>1315496.245021452</v>
      </c>
      <c r="PI47" s="33" t="n">
        <v>1320034.924554861</v>
      </c>
      <c r="PJ47" s="33" t="n">
        <v>1324594.643832635</v>
      </c>
      <c r="PK47" s="33" t="n">
        <v>1329175.440034085</v>
      </c>
      <c r="PL47" s="33" t="n">
        <v>1333777.350404218</v>
      </c>
      <c r="PM47" s="33" t="n">
        <v>1338400.41225386</v>
      </c>
      <c r="PN47" s="33" t="n">
        <v>1343044.662959768</v>
      </c>
      <c r="PO47" s="33" t="n">
        <v>1347710.139964745</v>
      </c>
      <c r="PP47" s="33" t="n">
        <v>1352204.131584059</v>
      </c>
      <c r="PQ47" s="33" t="n">
        <v>1356719.424586666</v>
      </c>
      <c r="PR47" s="33" t="n">
        <v>1361256.056614216</v>
      </c>
      <c r="PS47" s="33" t="n">
        <v>1365814.065374879</v>
      </c>
      <c r="PT47" s="33" t="n">
        <v>1370393.488643456</v>
      </c>
      <c r="PU47" s="33" t="n">
        <v>1374994.364261501</v>
      </c>
      <c r="PV47" s="33" t="n">
        <v>1379616.730137438</v>
      </c>
      <c r="PW47" s="33" t="n">
        <v>1384260.624246678</v>
      </c>
      <c r="PX47" s="33" t="n">
        <v>1388926.084631739</v>
      </c>
      <c r="PY47" s="33" t="n">
        <v>1393613.149402363</v>
      </c>
      <c r="PZ47" s="33" t="n">
        <v>1398321.856735638</v>
      </c>
      <c r="QA47" s="33" t="n">
        <v>1403052.244876112</v>
      </c>
      <c r="QB47" s="33" t="n">
        <v>1407921.621881709</v>
      </c>
      <c r="QC47" s="33" t="n">
        <v>1412812.756386468</v>
      </c>
      <c r="QD47" s="33" t="n">
        <v>1417725.686838043</v>
      </c>
      <c r="QE47" s="33" t="n">
        <v>1422660.451752029</v>
      </c>
      <c r="QF47" s="33" t="n">
        <v>1427617.089712079</v>
      </c>
      <c r="QG47" s="33" t="n">
        <v>1432595.63937003</v>
      </c>
      <c r="QH47" s="33" t="n">
        <v>1437596.13944602</v>
      </c>
      <c r="QI47" s="33" t="n">
        <v>1442618.628728608</v>
      </c>
      <c r="QJ47" s="33" t="n">
        <v>1447663.146074899</v>
      </c>
      <c r="QK47" s="33" t="n">
        <v>1452729.730410659</v>
      </c>
      <c r="QL47" s="33" t="n">
        <v>1457818.420730442</v>
      </c>
      <c r="QM47" s="33" t="n">
        <v>1450375.244711294</v>
      </c>
      <c r="QN47" s="33" t="n">
        <v>1443976.789608603</v>
      </c>
      <c r="QO47" s="33" t="n">
        <v>1437578.334505912</v>
      </c>
      <c r="QP47" s="33" t="n">
        <v>1431179.879403222</v>
      </c>
      <c r="QQ47" s="33" t="n">
        <v>1424781.424300531</v>
      </c>
      <c r="QR47" s="33" t="n">
        <v>1418382.96919784</v>
      </c>
      <c r="QS47" s="33" t="n">
        <v>1411984.514095149</v>
      </c>
      <c r="QT47" s="33" t="n">
        <v>1405586.058992459</v>
      </c>
      <c r="QU47" s="33" t="n">
        <v>1399187.603889768</v>
      </c>
      <c r="QV47" s="33" t="n">
        <v>1392789.148787077</v>
      </c>
      <c r="QW47" s="33" t="n">
        <v>1386390.693684387</v>
      </c>
      <c r="QX47" s="33" t="n">
        <v>1379992.238581696</v>
      </c>
      <c r="QY47" s="33" t="n">
        <v>1373593.783479005</v>
      </c>
      <c r="QZ47" s="33" t="n">
        <v>1367035.366998747</v>
      </c>
      <c r="RA47" s="33" t="n">
        <v>1360476.950518489</v>
      </c>
      <c r="RB47" s="33" t="n">
        <v>1353918.534038231</v>
      </c>
      <c r="RC47" s="33" t="n">
        <v>1347360.117557973</v>
      </c>
      <c r="RD47" s="33" t="n">
        <v>1340801.701077715</v>
      </c>
      <c r="RE47" s="33" t="n">
        <v>1334243.284597456</v>
      </c>
      <c r="RF47" s="33" t="n">
        <v>1327684.868117198</v>
      </c>
      <c r="RG47" s="33" t="n">
        <v>1321126.45163694</v>
      </c>
      <c r="RH47" s="33" t="n">
        <v>1314568.035156682</v>
      </c>
      <c r="RI47" s="33" t="n">
        <v>1308009.618676424</v>
      </c>
      <c r="RJ47" s="33" t="n">
        <v>1301451.202196166</v>
      </c>
      <c r="RK47" s="33" t="n">
        <v>1294892.785715908</v>
      </c>
      <c r="RL47" s="33" t="n">
        <v>1288170.408823643</v>
      </c>
      <c r="RM47" s="33" t="n">
        <v>1281448.031931379</v>
      </c>
      <c r="RN47" s="33" t="n">
        <v>1274725.655039114</v>
      </c>
      <c r="RO47" s="33" t="n">
        <v>1268003.27814685</v>
      </c>
      <c r="RP47" s="33" t="n">
        <v>1261280.901254585</v>
      </c>
      <c r="RQ47" s="33" t="n">
        <v>1254558.524362321</v>
      </c>
      <c r="RR47" s="33" t="n">
        <v>1247836.147470057</v>
      </c>
      <c r="RS47" s="33" t="n">
        <v>1241113.770577792</v>
      </c>
      <c r="RT47" s="33" t="n">
        <v>1234391.393685528</v>
      </c>
      <c r="RU47" s="33" t="n">
        <v>1227669.016793263</v>
      </c>
      <c r="RV47" s="33" t="n">
        <v>1220946.639900999</v>
      </c>
      <c r="RW47" s="33" t="n">
        <v>1214224.263008734</v>
      </c>
    </row>
    <row r="48" ht="5.25" customHeight="1"/>
    <row r="49" ht="13.05" customHeight="1">
      <c r="E49" s="21" t="inlineStr">
        <is>
          <t>Total Receivables</t>
        </is>
      </c>
      <c r="F49" s="29" t="n"/>
      <c r="G49" s="29" t="inlineStr">
        <is>
          <t>kEUR</t>
        </is>
      </c>
      <c r="H49" s="29" t="n"/>
      <c r="I49" s="29" t="n"/>
      <c r="J49" s="32" t="n"/>
      <c r="K49" s="29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3" t="n"/>
      <c r="AY49" s="33" t="n"/>
      <c r="AZ49" s="33" t="n"/>
      <c r="BA49" s="33" t="n"/>
      <c r="BB49" s="33" t="n"/>
      <c r="BC49" s="33" t="n"/>
      <c r="BD49" s="33" t="n"/>
      <c r="BE49" s="33" t="n"/>
      <c r="BF49" s="33" t="n"/>
      <c r="BG49" s="33" t="n"/>
      <c r="BH49" s="33" t="n"/>
      <c r="BI49" s="33" t="n"/>
      <c r="BJ49" s="33" t="n"/>
      <c r="BK49" s="33" t="n"/>
      <c r="BL49" s="33" t="n"/>
      <c r="BM49" s="33" t="n"/>
      <c r="BN49" s="33" t="n"/>
      <c r="BO49" s="33" t="n"/>
      <c r="BP49" s="33" t="n"/>
      <c r="BQ49" s="33" t="n"/>
      <c r="BR49" s="33" t="n"/>
      <c r="BS49" s="33" t="n"/>
      <c r="BT49" s="33" t="n"/>
      <c r="BU49" s="33" t="n"/>
      <c r="BV49" s="33" t="n"/>
      <c r="BW49" s="33" t="n"/>
      <c r="BX49" s="33" t="n"/>
      <c r="BY49" s="33" t="n"/>
      <c r="BZ49" s="33" t="n"/>
      <c r="CA49" s="33" t="n"/>
      <c r="CB49" s="33" t="n"/>
      <c r="CC49" s="33" t="n"/>
      <c r="CD49" s="33" t="n"/>
      <c r="CE49" s="33" t="n"/>
      <c r="CF49" s="33" t="n"/>
      <c r="CG49" s="33" t="n"/>
      <c r="CH49" s="33" t="n"/>
      <c r="CI49" s="33" t="n"/>
      <c r="CJ49" s="33" t="n"/>
      <c r="CK49" s="33" t="n"/>
      <c r="CL49" s="33" t="n"/>
      <c r="CM49" s="33" t="n"/>
      <c r="CN49" s="33" t="n"/>
      <c r="CO49" s="33" t="n"/>
      <c r="CP49" s="33" t="n"/>
      <c r="CQ49" s="33" t="n"/>
      <c r="CR49" s="33" t="n"/>
      <c r="CS49" s="33" t="n"/>
      <c r="CT49" s="33" t="n"/>
      <c r="CU49" s="33" t="n"/>
      <c r="CV49" s="33" t="n"/>
      <c r="CW49" s="33" t="n"/>
      <c r="CX49" s="33" t="n"/>
      <c r="CY49" s="33" t="n"/>
      <c r="CZ49" s="33" t="n"/>
      <c r="DA49" s="33" t="n"/>
      <c r="DB49" s="33" t="n"/>
      <c r="DC49" s="33" t="n"/>
      <c r="DD49" s="33" t="n"/>
      <c r="DE49" s="33" t="n"/>
      <c r="DF49" s="33" t="n"/>
      <c r="DG49" s="33" t="n"/>
      <c r="DH49" s="33" t="n"/>
      <c r="DI49" s="33" t="n"/>
      <c r="DJ49" s="33" t="n"/>
      <c r="DK49" s="33" t="n"/>
      <c r="DL49" s="33" t="n"/>
      <c r="DM49" s="33" t="n"/>
      <c r="DN49" s="33" t="n"/>
      <c r="DO49" s="33" t="n"/>
      <c r="DP49" s="33" t="n"/>
      <c r="DQ49" s="33" t="n"/>
      <c r="DR49" s="33" t="n"/>
      <c r="DS49" s="33" t="n"/>
      <c r="DT49" s="33" t="n"/>
      <c r="DU49" s="33" t="n"/>
      <c r="DV49" s="33" t="n"/>
      <c r="DW49" s="33" t="n"/>
      <c r="DX49" s="33" t="n"/>
      <c r="DY49" s="33" t="n"/>
      <c r="DZ49" s="33" t="n"/>
      <c r="EA49" s="33" t="n"/>
      <c r="EB49" s="33" t="n"/>
      <c r="EC49" s="33" t="n"/>
      <c r="ED49" s="33" t="n"/>
      <c r="EE49" s="33" t="n"/>
      <c r="EF49" s="33" t="n"/>
      <c r="EG49" s="33" t="n"/>
      <c r="EH49" s="33" t="n"/>
      <c r="EI49" s="33" t="n"/>
      <c r="EJ49" s="33" t="n"/>
      <c r="EK49" s="33" t="n"/>
      <c r="EL49" s="33" t="n"/>
      <c r="EM49" s="33" t="n"/>
      <c r="EN49" s="33" t="n"/>
      <c r="EO49" s="33" t="n"/>
      <c r="EP49" s="33" t="n"/>
      <c r="EQ49" s="33" t="n"/>
      <c r="ER49" s="33" t="n"/>
      <c r="ES49" s="33" t="n"/>
      <c r="ET49" s="33" t="n"/>
      <c r="EU49" s="33" t="n"/>
      <c r="EV49" s="33" t="n"/>
      <c r="EW49" s="33" t="n"/>
      <c r="EX49" s="33" t="n"/>
      <c r="EY49" s="33" t="n"/>
      <c r="EZ49" s="33" t="n"/>
      <c r="FA49" s="33" t="n"/>
      <c r="FB49" s="33" t="n"/>
      <c r="FC49" s="33" t="n"/>
      <c r="FD49" s="33" t="n"/>
      <c r="FE49" s="33" t="n"/>
      <c r="FF49" s="33" t="n"/>
      <c r="FG49" s="33" t="n"/>
      <c r="FH49" s="33" t="n"/>
      <c r="FI49" s="33" t="n"/>
      <c r="FJ49" s="33" t="n"/>
      <c r="FK49" s="33" t="n"/>
      <c r="FL49" s="33" t="n"/>
      <c r="FM49" s="33" t="n"/>
      <c r="FN49" s="33" t="n"/>
      <c r="FO49" s="33" t="n"/>
      <c r="FP49" s="33" t="n"/>
      <c r="FQ49" s="33" t="n"/>
      <c r="FR49" s="33" t="n"/>
      <c r="FS49" s="33" t="n"/>
      <c r="FT49" s="33" t="n"/>
      <c r="FU49" s="33" t="n"/>
      <c r="FV49" s="33" t="n"/>
      <c r="FW49" s="33" t="n"/>
      <c r="FX49" s="33" t="n"/>
      <c r="FY49" s="33" t="n"/>
      <c r="FZ49" s="33" t="n"/>
      <c r="GA49" s="33" t="n"/>
      <c r="GB49" s="33" t="n"/>
      <c r="GC49" s="33" t="n"/>
      <c r="GD49" s="33" t="n"/>
      <c r="GE49" s="33" t="n"/>
      <c r="GF49" s="33" t="n"/>
      <c r="GG49" s="33" t="n"/>
      <c r="GH49" s="33" t="n"/>
      <c r="GI49" s="33" t="n"/>
      <c r="GJ49" s="33" t="n"/>
      <c r="GK49" s="33" t="n"/>
      <c r="GL49" s="33" t="n"/>
      <c r="GM49" s="33" t="n"/>
      <c r="GN49" s="33" t="n"/>
      <c r="GO49" s="33" t="n"/>
      <c r="GP49" s="33" t="n"/>
      <c r="GQ49" s="33" t="n"/>
      <c r="GR49" s="33" t="n"/>
      <c r="GS49" s="33" t="n"/>
      <c r="GT49" s="33" t="n"/>
      <c r="GU49" s="33" t="n"/>
      <c r="GV49" s="33" t="n"/>
      <c r="GW49" s="33" t="n"/>
      <c r="GX49" s="33" t="n"/>
      <c r="GY49" s="33" t="n"/>
      <c r="GZ49" s="33" t="n"/>
      <c r="HA49" s="33" t="n"/>
      <c r="HB49" s="33" t="n"/>
      <c r="HC49" s="33" t="n"/>
      <c r="HD49" s="33" t="n"/>
      <c r="HE49" s="33" t="n"/>
      <c r="HF49" s="33" t="n"/>
      <c r="HG49" s="33" t="n"/>
      <c r="HH49" s="33" t="n"/>
      <c r="HI49" s="33" t="n"/>
      <c r="HJ49" s="33" t="n"/>
      <c r="HK49" s="33" t="n"/>
      <c r="HL49" s="33" t="n"/>
      <c r="HM49" s="33" t="n"/>
      <c r="HN49" s="33" t="n"/>
      <c r="HO49" s="33" t="n"/>
      <c r="HP49" s="33" t="n"/>
      <c r="HQ49" s="33" t="n"/>
      <c r="HR49" s="33" t="n"/>
      <c r="HS49" s="33" t="n"/>
      <c r="HT49" s="33" t="n"/>
      <c r="HU49" s="33" t="n"/>
      <c r="HV49" s="33" t="n"/>
      <c r="HW49" s="33" t="n"/>
      <c r="HX49" s="33" t="n"/>
      <c r="HY49" s="33" t="n"/>
      <c r="HZ49" s="33" t="n"/>
      <c r="IA49" s="33" t="n"/>
      <c r="IB49" s="33" t="n"/>
      <c r="IC49" s="33" t="n"/>
      <c r="ID49" s="33" t="n"/>
      <c r="IE49" s="33" t="n"/>
      <c r="IF49" s="33" t="n"/>
      <c r="IG49" s="33" t="n"/>
      <c r="IH49" s="33" t="n"/>
      <c r="II49" s="33" t="n"/>
      <c r="IJ49" s="33" t="n"/>
      <c r="IK49" s="33" t="n"/>
      <c r="IL49" s="33" t="n"/>
      <c r="IM49" s="33" t="n"/>
      <c r="IN49" s="33" t="n"/>
      <c r="IO49" s="33" t="n"/>
      <c r="IP49" s="33" t="n"/>
      <c r="IQ49" s="33" t="n"/>
      <c r="IR49" s="33" t="n"/>
      <c r="IS49" s="33" t="n"/>
      <c r="IT49" s="33" t="n"/>
      <c r="IU49" s="33" t="n"/>
      <c r="IV49" s="33" t="n"/>
      <c r="IW49" s="33" t="n"/>
      <c r="IX49" s="33" t="n"/>
      <c r="IY49" s="33" t="n"/>
      <c r="IZ49" s="33" t="n"/>
      <c r="JA49" s="33" t="n"/>
      <c r="JB49" s="33" t="n"/>
      <c r="JC49" s="33" t="n"/>
      <c r="JD49" s="33" t="n"/>
      <c r="JE49" s="33" t="n"/>
      <c r="JF49" s="33" t="n"/>
      <c r="JG49" s="33" t="n"/>
      <c r="JH49" s="33" t="n"/>
      <c r="JI49" s="33" t="n"/>
      <c r="JJ49" s="33" t="n"/>
      <c r="JK49" s="33" t="n"/>
      <c r="JL49" s="33" t="n"/>
      <c r="JM49" s="33" t="n"/>
      <c r="JN49" s="33" t="n"/>
      <c r="JO49" s="33" t="n"/>
      <c r="JP49" s="33" t="n"/>
      <c r="JQ49" s="33" t="n"/>
      <c r="JR49" s="33" t="n"/>
      <c r="JS49" s="33" t="n"/>
      <c r="JT49" s="33" t="n"/>
      <c r="JU49" s="33" t="n"/>
      <c r="JV49" s="33" t="n"/>
      <c r="JW49" s="33" t="n"/>
      <c r="JX49" s="33" t="n"/>
      <c r="JY49" s="33" t="n"/>
      <c r="JZ49" s="33" t="n"/>
      <c r="KA49" s="33" t="n"/>
      <c r="KB49" s="33" t="n"/>
      <c r="KC49" s="33" t="n"/>
      <c r="KD49" s="33" t="n"/>
      <c r="KE49" s="33" t="n"/>
      <c r="KF49" s="33" t="n"/>
      <c r="KG49" s="33" t="n"/>
      <c r="KH49" s="33" t="n"/>
      <c r="KI49" s="33" t="n"/>
      <c r="KJ49" s="33" t="n"/>
      <c r="KK49" s="33" t="n"/>
      <c r="KL49" s="33" t="n"/>
      <c r="KM49" s="33" t="n"/>
      <c r="KN49" s="33" t="n"/>
      <c r="KO49" s="33" t="n"/>
      <c r="KP49" s="33" t="n"/>
      <c r="KQ49" s="33" t="n"/>
      <c r="KR49" s="33" t="n"/>
      <c r="KS49" s="33" t="n"/>
      <c r="KT49" s="33" t="n"/>
      <c r="KU49" s="33" t="n"/>
      <c r="KV49" s="33" t="n"/>
      <c r="KW49" s="33" t="n"/>
      <c r="KX49" s="33" t="n"/>
      <c r="KY49" s="33" t="n"/>
      <c r="KZ49" s="33" t="n"/>
      <c r="LA49" s="33" t="n"/>
      <c r="LB49" s="33" t="n"/>
      <c r="LC49" s="33" t="n"/>
      <c r="LD49" s="33" t="n"/>
      <c r="LE49" s="33" t="n"/>
      <c r="LF49" s="33" t="n"/>
      <c r="LG49" s="33" t="n"/>
      <c r="LH49" s="33" t="n"/>
      <c r="LI49" s="33" t="n"/>
      <c r="LJ49" s="33" t="n"/>
      <c r="LK49" s="33" t="n"/>
      <c r="LL49" s="33" t="n"/>
      <c r="LM49" s="33" t="n"/>
      <c r="LN49" s="33" t="n"/>
      <c r="LO49" s="33" t="n"/>
      <c r="LP49" s="33" t="n"/>
      <c r="LQ49" s="33" t="n"/>
      <c r="LR49" s="33" t="n"/>
      <c r="LS49" s="33" t="n"/>
      <c r="LT49" s="33" t="n"/>
      <c r="LU49" s="33" t="n"/>
      <c r="LV49" s="33" t="n"/>
      <c r="LW49" s="33" t="n"/>
      <c r="LX49" s="33" t="n"/>
      <c r="LY49" s="33" t="n"/>
      <c r="LZ49" s="33" t="n"/>
      <c r="MA49" s="33" t="n"/>
      <c r="MB49" s="33" t="n"/>
      <c r="MC49" s="33" t="n"/>
      <c r="MD49" s="33" t="n"/>
      <c r="ME49" s="33" t="n"/>
      <c r="MF49" s="33" t="n"/>
      <c r="MG49" s="33" t="n"/>
      <c r="MH49" s="33" t="n"/>
      <c r="MI49" s="33" t="n"/>
      <c r="MJ49" s="33" t="n"/>
      <c r="MK49" s="33" t="n"/>
      <c r="ML49" s="33" t="n"/>
      <c r="MM49" s="33" t="n"/>
      <c r="MN49" s="33" t="n"/>
      <c r="MO49" s="33" t="n"/>
      <c r="MP49" s="33" t="n"/>
      <c r="MQ49" s="33" t="n"/>
      <c r="MR49" s="33" t="n"/>
      <c r="MS49" s="33" t="n"/>
      <c r="MT49" s="33" t="n"/>
      <c r="MU49" s="33" t="n"/>
      <c r="MV49" s="33" t="n"/>
      <c r="MW49" s="33" t="n"/>
      <c r="MX49" s="33" t="n"/>
      <c r="MY49" s="33" t="n"/>
      <c r="MZ49" s="33" t="n"/>
      <c r="NA49" s="33" t="n"/>
      <c r="NB49" s="33" t="n"/>
      <c r="NC49" s="33" t="n"/>
      <c r="ND49" s="33" t="n"/>
      <c r="NE49" s="33" t="n"/>
      <c r="NF49" s="33" t="n"/>
      <c r="NG49" s="33" t="n"/>
      <c r="NH49" s="33" t="n"/>
      <c r="NI49" s="33" t="n"/>
      <c r="NJ49" s="33" t="n"/>
      <c r="NK49" s="33" t="n"/>
      <c r="NL49" s="33" t="n"/>
      <c r="NM49" s="33" t="n"/>
      <c r="NN49" s="33" t="n"/>
      <c r="NO49" s="33" t="n"/>
      <c r="NP49" s="33" t="n"/>
      <c r="NQ49" s="33" t="n"/>
      <c r="NR49" s="33" t="n"/>
      <c r="NS49" s="33" t="n"/>
      <c r="NT49" s="33" t="n"/>
      <c r="NU49" s="33" t="n"/>
      <c r="NV49" s="33" t="n"/>
      <c r="NW49" s="33" t="n"/>
      <c r="NX49" s="33" t="n"/>
      <c r="NY49" s="33" t="n"/>
      <c r="NZ49" s="33" t="n"/>
      <c r="OA49" s="33" t="n"/>
      <c r="OB49" s="33" t="n"/>
      <c r="OC49" s="33" t="n"/>
      <c r="OD49" s="33" t="n"/>
      <c r="OE49" s="33" t="n"/>
      <c r="OF49" s="33" t="n"/>
      <c r="OG49" s="33" t="n"/>
      <c r="OH49" s="33" t="n"/>
      <c r="OI49" s="33" t="n"/>
      <c r="OJ49" s="33" t="n"/>
      <c r="OK49" s="33" t="n"/>
      <c r="OL49" s="33" t="n"/>
      <c r="OM49" s="33" t="n"/>
      <c r="ON49" s="33" t="n"/>
      <c r="OO49" s="33" t="n"/>
      <c r="OP49" s="33" t="n"/>
      <c r="OQ49" s="33" t="n"/>
      <c r="OR49" s="33" t="n"/>
      <c r="OS49" s="33" t="n"/>
      <c r="OT49" s="33" t="n"/>
      <c r="OU49" s="33" t="n"/>
      <c r="OV49" s="33" t="n"/>
      <c r="OW49" s="33" t="n"/>
      <c r="OX49" s="33" t="n"/>
      <c r="OY49" s="33" t="n"/>
      <c r="OZ49" s="33" t="n"/>
      <c r="PA49" s="33" t="n"/>
      <c r="PB49" s="33" t="n"/>
      <c r="PC49" s="33" t="n"/>
      <c r="PD49" s="33" t="n"/>
      <c r="PE49" s="33" t="n"/>
      <c r="PF49" s="33" t="n"/>
      <c r="PG49" s="33" t="n"/>
      <c r="PH49" s="33" t="n"/>
      <c r="PI49" s="33" t="n"/>
      <c r="PJ49" s="33" t="n"/>
      <c r="PK49" s="33" t="n"/>
      <c r="PL49" s="33" t="n"/>
      <c r="PM49" s="33" t="n"/>
      <c r="PN49" s="33" t="n"/>
      <c r="PO49" s="33" t="n"/>
      <c r="PP49" s="33" t="n"/>
      <c r="PQ49" s="33" t="n"/>
      <c r="PR49" s="33" t="n"/>
      <c r="PS49" s="33" t="n"/>
      <c r="PT49" s="33" t="n"/>
      <c r="PU49" s="33" t="n"/>
      <c r="PV49" s="33" t="n"/>
      <c r="PW49" s="33" t="n"/>
      <c r="PX49" s="33" t="n"/>
      <c r="PY49" s="33" t="n"/>
      <c r="PZ49" s="33" t="n"/>
      <c r="QA49" s="33" t="n"/>
      <c r="QB49" s="33" t="n"/>
      <c r="QC49" s="33" t="n"/>
      <c r="QD49" s="33" t="n"/>
      <c r="QE49" s="33" t="n"/>
      <c r="QF49" s="33" t="n"/>
      <c r="QG49" s="33" t="n"/>
      <c r="QH49" s="33" t="n"/>
      <c r="QI49" s="33" t="n"/>
      <c r="QJ49" s="33" t="n"/>
      <c r="QK49" s="33" t="n"/>
      <c r="QL49" s="33" t="n"/>
      <c r="QM49" s="33" t="n"/>
      <c r="QN49" s="33" t="n"/>
      <c r="QO49" s="33" t="n"/>
      <c r="QP49" s="33" t="n"/>
      <c r="QQ49" s="33" t="n"/>
      <c r="QR49" s="33" t="n"/>
      <c r="QS49" s="33" t="n"/>
      <c r="QT49" s="33" t="n"/>
      <c r="QU49" s="33" t="n"/>
      <c r="QV49" s="33" t="n"/>
      <c r="QW49" s="33" t="n"/>
      <c r="QX49" s="33" t="n"/>
      <c r="QY49" s="33" t="n"/>
      <c r="QZ49" s="33" t="n"/>
      <c r="RA49" s="33" t="n"/>
      <c r="RB49" s="33" t="n"/>
      <c r="RC49" s="33" t="n"/>
      <c r="RD49" s="33" t="n"/>
      <c r="RE49" s="33" t="n"/>
      <c r="RF49" s="33" t="n"/>
      <c r="RG49" s="33" t="n"/>
      <c r="RH49" s="33" t="n"/>
      <c r="RI49" s="33" t="n"/>
      <c r="RJ49" s="33" t="n"/>
      <c r="RK49" s="33" t="n"/>
      <c r="RL49" s="33" t="n"/>
      <c r="RM49" s="33" t="n"/>
      <c r="RN49" s="33" t="n"/>
      <c r="RO49" s="33" t="n"/>
      <c r="RP49" s="33" t="n"/>
      <c r="RQ49" s="33" t="n"/>
      <c r="RR49" s="33" t="n"/>
      <c r="RS49" s="33" t="n"/>
      <c r="RT49" s="33" t="n"/>
      <c r="RU49" s="33" t="n"/>
      <c r="RV49" s="33" t="n"/>
      <c r="RW49" s="33" t="n"/>
    </row>
    <row r="50" hidden="1" outlineLevel="1" ht="13.05" customHeight="1">
      <c r="E50" s="21" t="inlineStr">
        <is>
          <t>Total Payables</t>
        </is>
      </c>
      <c r="F50" s="29" t="n"/>
      <c r="G50" s="29" t="inlineStr">
        <is>
          <t>kEUR</t>
        </is>
      </c>
      <c r="H50" s="29" t="n"/>
      <c r="I50" s="29" t="n"/>
      <c r="J50" s="32" t="n"/>
      <c r="K50" s="29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3" t="n"/>
      <c r="AY50" s="33" t="n"/>
      <c r="AZ50" s="33" t="n"/>
      <c r="BA50" s="33" t="n"/>
      <c r="BB50" s="33" t="n"/>
      <c r="BC50" s="33" t="n"/>
      <c r="BD50" s="33" t="n"/>
      <c r="BE50" s="33" t="n"/>
      <c r="BF50" s="33" t="n"/>
      <c r="BG50" s="33" t="n"/>
      <c r="BH50" s="33" t="n"/>
      <c r="BI50" s="33" t="n"/>
      <c r="BJ50" s="33" t="n"/>
      <c r="BK50" s="33" t="n"/>
      <c r="BL50" s="33" t="n"/>
      <c r="BM50" s="33" t="n"/>
      <c r="BN50" s="33" t="n"/>
      <c r="BO50" s="33" t="n"/>
      <c r="BP50" s="33" t="n"/>
      <c r="BQ50" s="33" t="n"/>
      <c r="BR50" s="33" t="n"/>
      <c r="BS50" s="33" t="n"/>
      <c r="BT50" s="33" t="n"/>
      <c r="BU50" s="33" t="n"/>
      <c r="BV50" s="33" t="n"/>
      <c r="BW50" s="33" t="n"/>
      <c r="BX50" s="33" t="n"/>
      <c r="BY50" s="33" t="n"/>
      <c r="BZ50" s="33" t="n"/>
      <c r="CA50" s="33" t="n"/>
      <c r="CB50" s="33" t="n"/>
      <c r="CC50" s="33" t="n"/>
      <c r="CD50" s="33" t="n"/>
      <c r="CE50" s="33" t="n"/>
      <c r="CF50" s="33" t="n"/>
      <c r="CG50" s="33" t="n"/>
      <c r="CH50" s="33" t="n"/>
      <c r="CI50" s="33" t="n"/>
      <c r="CJ50" s="33" t="n"/>
      <c r="CK50" s="33" t="n"/>
      <c r="CL50" s="33" t="n"/>
      <c r="CM50" s="33" t="n"/>
      <c r="CN50" s="33" t="n"/>
      <c r="CO50" s="33" t="n"/>
      <c r="CP50" s="33" t="n"/>
      <c r="CQ50" s="33" t="n"/>
      <c r="CR50" s="33" t="n"/>
      <c r="CS50" s="33" t="n"/>
      <c r="CT50" s="33" t="n"/>
      <c r="CU50" s="33" t="n"/>
      <c r="CV50" s="33" t="n"/>
      <c r="CW50" s="33" t="n"/>
      <c r="CX50" s="33" t="n"/>
      <c r="CY50" s="33" t="n"/>
      <c r="CZ50" s="33" t="n"/>
      <c r="DA50" s="33" t="n"/>
      <c r="DB50" s="33" t="n"/>
      <c r="DC50" s="33" t="n"/>
      <c r="DD50" s="33" t="n"/>
      <c r="DE50" s="33" t="n"/>
      <c r="DF50" s="33" t="n"/>
      <c r="DG50" s="33" t="n"/>
      <c r="DH50" s="33" t="n"/>
      <c r="DI50" s="33" t="n"/>
      <c r="DJ50" s="33" t="n"/>
      <c r="DK50" s="33" t="n"/>
      <c r="DL50" s="33" t="n"/>
      <c r="DM50" s="33" t="n"/>
      <c r="DN50" s="33" t="n"/>
      <c r="DO50" s="33" t="n"/>
      <c r="DP50" s="33" t="n"/>
      <c r="DQ50" s="33" t="n"/>
      <c r="DR50" s="33" t="n"/>
      <c r="DS50" s="33" t="n"/>
      <c r="DT50" s="33" t="n"/>
      <c r="DU50" s="33" t="n"/>
      <c r="DV50" s="33" t="n"/>
      <c r="DW50" s="33" t="n"/>
      <c r="DX50" s="33" t="n"/>
      <c r="DY50" s="33" t="n"/>
      <c r="DZ50" s="33" t="n"/>
      <c r="EA50" s="33" t="n"/>
      <c r="EB50" s="33" t="n"/>
      <c r="EC50" s="33" t="n"/>
      <c r="ED50" s="33" t="n"/>
      <c r="EE50" s="33" t="n"/>
      <c r="EF50" s="33" t="n"/>
      <c r="EG50" s="33" t="n"/>
      <c r="EH50" s="33" t="n"/>
      <c r="EI50" s="33" t="n"/>
      <c r="EJ50" s="33" t="n"/>
      <c r="EK50" s="33" t="n"/>
      <c r="EL50" s="33" t="n"/>
      <c r="EM50" s="33" t="n"/>
      <c r="EN50" s="33" t="n"/>
      <c r="EO50" s="33" t="n"/>
      <c r="EP50" s="33" t="n"/>
      <c r="EQ50" s="33" t="n"/>
      <c r="ER50" s="33" t="n"/>
      <c r="ES50" s="33" t="n"/>
      <c r="ET50" s="33" t="n"/>
      <c r="EU50" s="33" t="n"/>
      <c r="EV50" s="33" t="n"/>
      <c r="EW50" s="33" t="n"/>
      <c r="EX50" s="33" t="n"/>
      <c r="EY50" s="33" t="n"/>
      <c r="EZ50" s="33" t="n"/>
      <c r="FA50" s="33" t="n"/>
      <c r="FB50" s="33" t="n"/>
      <c r="FC50" s="33" t="n"/>
      <c r="FD50" s="33" t="n"/>
      <c r="FE50" s="33" t="n"/>
      <c r="FF50" s="33" t="n"/>
      <c r="FG50" s="33" t="n"/>
      <c r="FH50" s="33" t="n"/>
      <c r="FI50" s="33" t="n"/>
      <c r="FJ50" s="33" t="n"/>
      <c r="FK50" s="33" t="n"/>
      <c r="FL50" s="33" t="n"/>
      <c r="FM50" s="33" t="n"/>
      <c r="FN50" s="33" t="n"/>
      <c r="FO50" s="33" t="n"/>
      <c r="FP50" s="33" t="n"/>
      <c r="FQ50" s="33" t="n"/>
      <c r="FR50" s="33" t="n"/>
      <c r="FS50" s="33" t="n"/>
      <c r="FT50" s="33" t="n"/>
      <c r="FU50" s="33" t="n"/>
      <c r="FV50" s="33" t="n"/>
      <c r="FW50" s="33" t="n"/>
      <c r="FX50" s="33" t="n"/>
      <c r="FY50" s="33" t="n"/>
      <c r="FZ50" s="33" t="n"/>
      <c r="GA50" s="33" t="n"/>
      <c r="GB50" s="33" t="n"/>
      <c r="GC50" s="33" t="n"/>
      <c r="GD50" s="33" t="n"/>
      <c r="GE50" s="33" t="n"/>
      <c r="GF50" s="33" t="n"/>
      <c r="GG50" s="33" t="n"/>
      <c r="GH50" s="33" t="n"/>
      <c r="GI50" s="33" t="n"/>
      <c r="GJ50" s="33" t="n"/>
      <c r="GK50" s="33" t="n"/>
      <c r="GL50" s="33" t="n"/>
      <c r="GM50" s="33" t="n"/>
      <c r="GN50" s="33" t="n"/>
      <c r="GO50" s="33" t="n"/>
      <c r="GP50" s="33" t="n"/>
      <c r="GQ50" s="33" t="n"/>
      <c r="GR50" s="33" t="n"/>
      <c r="GS50" s="33" t="n"/>
      <c r="GT50" s="33" t="n"/>
      <c r="GU50" s="33" t="n"/>
      <c r="GV50" s="33" t="n"/>
      <c r="GW50" s="33" t="n"/>
      <c r="GX50" s="33" t="n"/>
      <c r="GY50" s="33" t="n"/>
      <c r="GZ50" s="33" t="n"/>
      <c r="HA50" s="33" t="n"/>
      <c r="HB50" s="33" t="n"/>
      <c r="HC50" s="33" t="n"/>
      <c r="HD50" s="33" t="n"/>
      <c r="HE50" s="33" t="n"/>
      <c r="HF50" s="33" t="n"/>
      <c r="HG50" s="33" t="n"/>
      <c r="HH50" s="33" t="n"/>
      <c r="HI50" s="33" t="n"/>
      <c r="HJ50" s="33" t="n"/>
      <c r="HK50" s="33" t="n"/>
      <c r="HL50" s="33" t="n"/>
      <c r="HM50" s="33" t="n"/>
      <c r="HN50" s="33" t="n"/>
      <c r="HO50" s="33" t="n"/>
      <c r="HP50" s="33" t="n"/>
      <c r="HQ50" s="33" t="n"/>
      <c r="HR50" s="33" t="n"/>
      <c r="HS50" s="33" t="n"/>
      <c r="HT50" s="33" t="n"/>
      <c r="HU50" s="33" t="n"/>
      <c r="HV50" s="33" t="n"/>
      <c r="HW50" s="33" t="n"/>
      <c r="HX50" s="33" t="n"/>
      <c r="HY50" s="33" t="n"/>
      <c r="HZ50" s="33" t="n"/>
      <c r="IA50" s="33" t="n"/>
      <c r="IB50" s="33" t="n"/>
      <c r="IC50" s="33" t="n"/>
      <c r="ID50" s="33" t="n"/>
      <c r="IE50" s="33" t="n"/>
      <c r="IF50" s="33" t="n"/>
      <c r="IG50" s="33" t="n"/>
      <c r="IH50" s="33" t="n"/>
      <c r="II50" s="33" t="n"/>
      <c r="IJ50" s="33" t="n"/>
      <c r="IK50" s="33" t="n"/>
      <c r="IL50" s="33" t="n"/>
      <c r="IM50" s="33" t="n"/>
      <c r="IN50" s="33" t="n"/>
      <c r="IO50" s="33" t="n"/>
      <c r="IP50" s="33" t="n"/>
      <c r="IQ50" s="33" t="n"/>
      <c r="IR50" s="33" t="n"/>
      <c r="IS50" s="33" t="n"/>
      <c r="IT50" s="33" t="n"/>
      <c r="IU50" s="33" t="n"/>
      <c r="IV50" s="33" t="n"/>
      <c r="IW50" s="33" t="n"/>
      <c r="IX50" s="33" t="n"/>
      <c r="IY50" s="33" t="n"/>
      <c r="IZ50" s="33" t="n"/>
      <c r="JA50" s="33" t="n"/>
      <c r="JB50" s="33" t="n"/>
      <c r="JC50" s="33" t="n"/>
      <c r="JD50" s="33" t="n"/>
      <c r="JE50" s="33" t="n"/>
      <c r="JF50" s="33" t="n"/>
      <c r="JG50" s="33" t="n"/>
      <c r="JH50" s="33" t="n"/>
      <c r="JI50" s="33" t="n"/>
      <c r="JJ50" s="33" t="n"/>
      <c r="JK50" s="33" t="n"/>
      <c r="JL50" s="33" t="n"/>
      <c r="JM50" s="33" t="n"/>
      <c r="JN50" s="33" t="n"/>
      <c r="JO50" s="33" t="n"/>
      <c r="JP50" s="33" t="n"/>
      <c r="JQ50" s="33" t="n"/>
      <c r="JR50" s="33" t="n"/>
      <c r="JS50" s="33" t="n"/>
      <c r="JT50" s="33" t="n"/>
      <c r="JU50" s="33" t="n"/>
      <c r="JV50" s="33" t="n"/>
      <c r="JW50" s="33" t="n"/>
      <c r="JX50" s="33" t="n"/>
      <c r="JY50" s="33" t="n"/>
      <c r="JZ50" s="33" t="n"/>
      <c r="KA50" s="33" t="n"/>
      <c r="KB50" s="33" t="n"/>
      <c r="KC50" s="33" t="n"/>
      <c r="KD50" s="33" t="n"/>
      <c r="KE50" s="33" t="n"/>
      <c r="KF50" s="33" t="n"/>
      <c r="KG50" s="33" t="n"/>
      <c r="KH50" s="33" t="n"/>
      <c r="KI50" s="33" t="n"/>
      <c r="KJ50" s="33" t="n"/>
      <c r="KK50" s="33" t="n"/>
      <c r="KL50" s="33" t="n"/>
      <c r="KM50" s="33" t="n"/>
      <c r="KN50" s="33" t="n"/>
      <c r="KO50" s="33" t="n"/>
      <c r="KP50" s="33" t="n"/>
      <c r="KQ50" s="33" t="n"/>
      <c r="KR50" s="33" t="n"/>
      <c r="KS50" s="33" t="n"/>
      <c r="KT50" s="33" t="n"/>
      <c r="KU50" s="33" t="n"/>
      <c r="KV50" s="33" t="n"/>
      <c r="KW50" s="33" t="n"/>
      <c r="KX50" s="33" t="n"/>
      <c r="KY50" s="33" t="n"/>
      <c r="KZ50" s="33" t="n"/>
      <c r="LA50" s="33" t="n"/>
      <c r="LB50" s="33" t="n"/>
      <c r="LC50" s="33" t="n"/>
      <c r="LD50" s="33" t="n"/>
      <c r="LE50" s="33" t="n"/>
      <c r="LF50" s="33" t="n"/>
      <c r="LG50" s="33" t="n"/>
      <c r="LH50" s="33" t="n"/>
      <c r="LI50" s="33" t="n"/>
      <c r="LJ50" s="33" t="n"/>
      <c r="LK50" s="33" t="n"/>
      <c r="LL50" s="33" t="n"/>
      <c r="LM50" s="33" t="n"/>
      <c r="LN50" s="33" t="n"/>
      <c r="LO50" s="33" t="n"/>
      <c r="LP50" s="33" t="n"/>
      <c r="LQ50" s="33" t="n"/>
      <c r="LR50" s="33" t="n"/>
      <c r="LS50" s="33" t="n"/>
      <c r="LT50" s="33" t="n"/>
      <c r="LU50" s="33" t="n"/>
      <c r="LV50" s="33" t="n"/>
      <c r="LW50" s="33" t="n"/>
      <c r="LX50" s="33" t="n"/>
      <c r="LY50" s="33" t="n"/>
      <c r="LZ50" s="33" t="n"/>
      <c r="MA50" s="33" t="n"/>
      <c r="MB50" s="33" t="n"/>
      <c r="MC50" s="33" t="n"/>
      <c r="MD50" s="33" t="n"/>
      <c r="ME50" s="33" t="n"/>
      <c r="MF50" s="33" t="n"/>
      <c r="MG50" s="33" t="n"/>
      <c r="MH50" s="33" t="n"/>
      <c r="MI50" s="33" t="n"/>
      <c r="MJ50" s="33" t="n"/>
      <c r="MK50" s="33" t="n"/>
      <c r="ML50" s="33" t="n"/>
      <c r="MM50" s="33" t="n"/>
      <c r="MN50" s="33" t="n"/>
      <c r="MO50" s="33" t="n"/>
      <c r="MP50" s="33" t="n"/>
      <c r="MQ50" s="33" t="n"/>
      <c r="MR50" s="33" t="n"/>
      <c r="MS50" s="33" t="n"/>
      <c r="MT50" s="33" t="n"/>
      <c r="MU50" s="33" t="n"/>
      <c r="MV50" s="33" t="n"/>
      <c r="MW50" s="33" t="n"/>
      <c r="MX50" s="33" t="n"/>
      <c r="MY50" s="33" t="n"/>
      <c r="MZ50" s="33" t="n"/>
      <c r="NA50" s="33" t="n"/>
      <c r="NB50" s="33" t="n"/>
      <c r="NC50" s="33" t="n"/>
      <c r="ND50" s="33" t="n"/>
      <c r="NE50" s="33" t="n"/>
      <c r="NF50" s="33" t="n"/>
      <c r="NG50" s="33" t="n"/>
      <c r="NH50" s="33" t="n"/>
      <c r="NI50" s="33" t="n"/>
      <c r="NJ50" s="33" t="n"/>
      <c r="NK50" s="33" t="n"/>
      <c r="NL50" s="33" t="n"/>
      <c r="NM50" s="33" t="n"/>
      <c r="NN50" s="33" t="n"/>
      <c r="NO50" s="33" t="n"/>
      <c r="NP50" s="33" t="n"/>
      <c r="NQ50" s="33" t="n"/>
      <c r="NR50" s="33" t="n"/>
      <c r="NS50" s="33" t="n"/>
      <c r="NT50" s="33" t="n"/>
      <c r="NU50" s="33" t="n"/>
      <c r="NV50" s="33" t="n"/>
      <c r="NW50" s="33" t="n"/>
      <c r="NX50" s="33" t="n"/>
      <c r="NY50" s="33" t="n"/>
      <c r="NZ50" s="33" t="n"/>
      <c r="OA50" s="33" t="n"/>
      <c r="OB50" s="33" t="n"/>
      <c r="OC50" s="33" t="n"/>
      <c r="OD50" s="33" t="n"/>
      <c r="OE50" s="33" t="n"/>
      <c r="OF50" s="33" t="n"/>
      <c r="OG50" s="33" t="n"/>
      <c r="OH50" s="33" t="n"/>
      <c r="OI50" s="33" t="n"/>
      <c r="OJ50" s="33" t="n"/>
      <c r="OK50" s="33" t="n"/>
      <c r="OL50" s="33" t="n"/>
      <c r="OM50" s="33" t="n"/>
      <c r="ON50" s="33" t="n"/>
      <c r="OO50" s="33" t="n"/>
      <c r="OP50" s="33" t="n"/>
      <c r="OQ50" s="33" t="n"/>
      <c r="OR50" s="33" t="n"/>
      <c r="OS50" s="33" t="n"/>
      <c r="OT50" s="33" t="n"/>
      <c r="OU50" s="33" t="n"/>
      <c r="OV50" s="33" t="n"/>
      <c r="OW50" s="33" t="n"/>
      <c r="OX50" s="33" t="n"/>
      <c r="OY50" s="33" t="n"/>
      <c r="OZ50" s="33" t="n"/>
      <c r="PA50" s="33" t="n"/>
      <c r="PB50" s="33" t="n"/>
      <c r="PC50" s="33" t="n"/>
      <c r="PD50" s="33" t="n"/>
      <c r="PE50" s="33" t="n"/>
      <c r="PF50" s="33" t="n"/>
      <c r="PG50" s="33" t="n"/>
      <c r="PH50" s="33" t="n"/>
      <c r="PI50" s="33" t="n"/>
      <c r="PJ50" s="33" t="n"/>
      <c r="PK50" s="33" t="n"/>
      <c r="PL50" s="33" t="n"/>
      <c r="PM50" s="33" t="n"/>
      <c r="PN50" s="33" t="n"/>
      <c r="PO50" s="33" t="n"/>
      <c r="PP50" s="33" t="n"/>
      <c r="PQ50" s="33" t="n"/>
      <c r="PR50" s="33" t="n"/>
      <c r="PS50" s="33" t="n"/>
      <c r="PT50" s="33" t="n"/>
      <c r="PU50" s="33" t="n"/>
      <c r="PV50" s="33" t="n"/>
      <c r="PW50" s="33" t="n"/>
      <c r="PX50" s="33" t="n"/>
      <c r="PY50" s="33" t="n"/>
      <c r="PZ50" s="33" t="n"/>
      <c r="QA50" s="33" t="n"/>
      <c r="QB50" s="33" t="n"/>
      <c r="QC50" s="33" t="n"/>
      <c r="QD50" s="33" t="n"/>
      <c r="QE50" s="33" t="n"/>
      <c r="QF50" s="33" t="n"/>
      <c r="QG50" s="33" t="n"/>
      <c r="QH50" s="33" t="n"/>
      <c r="QI50" s="33" t="n"/>
      <c r="QJ50" s="33" t="n"/>
      <c r="QK50" s="33" t="n"/>
      <c r="QL50" s="33" t="n"/>
      <c r="QM50" s="33" t="n"/>
      <c r="QN50" s="33" t="n"/>
      <c r="QO50" s="33" t="n"/>
      <c r="QP50" s="33" t="n"/>
      <c r="QQ50" s="33" t="n"/>
      <c r="QR50" s="33" t="n"/>
      <c r="QS50" s="33" t="n"/>
      <c r="QT50" s="33" t="n"/>
      <c r="QU50" s="33" t="n"/>
      <c r="QV50" s="33" t="n"/>
      <c r="QW50" s="33" t="n"/>
      <c r="QX50" s="33" t="n"/>
      <c r="QY50" s="33" t="n"/>
      <c r="QZ50" s="33" t="n"/>
      <c r="RA50" s="33" t="n"/>
      <c r="RB50" s="33" t="n"/>
      <c r="RC50" s="33" t="n"/>
      <c r="RD50" s="33" t="n"/>
      <c r="RE50" s="33" t="n"/>
      <c r="RF50" s="33" t="n"/>
      <c r="RG50" s="33" t="n"/>
      <c r="RH50" s="33" t="n"/>
      <c r="RI50" s="33" t="n"/>
      <c r="RJ50" s="33" t="n"/>
      <c r="RK50" s="33" t="n"/>
      <c r="RL50" s="33" t="n"/>
      <c r="RM50" s="33" t="n"/>
      <c r="RN50" s="33" t="n"/>
      <c r="RO50" s="33" t="n"/>
      <c r="RP50" s="33" t="n"/>
      <c r="RQ50" s="33" t="n"/>
      <c r="RR50" s="33" t="n"/>
      <c r="RS50" s="33" t="n"/>
      <c r="RT50" s="33" t="n"/>
      <c r="RU50" s="33" t="n"/>
      <c r="RV50" s="33" t="n"/>
      <c r="RW50" s="33" t="n"/>
    </row>
    <row r="51" hidden="1" outlineLevel="1" ht="13.05" customHeight="1">
      <c r="E51" s="21" t="inlineStr">
        <is>
          <t>Working Capital Balance</t>
        </is>
      </c>
      <c r="F51" s="29" t="n"/>
      <c r="G51" s="29" t="inlineStr">
        <is>
          <t>kEUR</t>
        </is>
      </c>
      <c r="H51" s="29" t="n"/>
      <c r="I51" s="29" t="n"/>
      <c r="J51" s="32" t="n"/>
      <c r="K51" s="29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3" t="n"/>
      <c r="AY51" s="33" t="n"/>
      <c r="AZ51" s="33" t="n"/>
      <c r="BA51" s="33" t="n"/>
      <c r="BB51" s="33" t="n"/>
      <c r="BC51" s="33" t="n"/>
      <c r="BD51" s="33" t="n"/>
      <c r="BE51" s="33" t="n"/>
      <c r="BF51" s="33" t="n"/>
      <c r="BG51" s="33" t="n"/>
      <c r="BH51" s="33" t="n"/>
      <c r="BI51" s="33" t="n"/>
      <c r="BJ51" s="33" t="n"/>
      <c r="BK51" s="33" t="n"/>
      <c r="BL51" s="33" t="n"/>
      <c r="BM51" s="33" t="n"/>
      <c r="BN51" s="33" t="n"/>
      <c r="BO51" s="33" t="n"/>
      <c r="BP51" s="33" t="n"/>
      <c r="BQ51" s="33" t="n"/>
      <c r="BR51" s="33" t="n"/>
      <c r="BS51" s="33" t="n"/>
      <c r="BT51" s="33" t="n"/>
      <c r="BU51" s="33" t="n"/>
      <c r="BV51" s="33" t="n"/>
      <c r="BW51" s="33" t="n"/>
      <c r="BX51" s="33" t="n"/>
      <c r="BY51" s="33" t="n"/>
      <c r="BZ51" s="33" t="n"/>
      <c r="CA51" s="33" t="n"/>
      <c r="CB51" s="33" t="n"/>
      <c r="CC51" s="33" t="n"/>
      <c r="CD51" s="33" t="n"/>
      <c r="CE51" s="33" t="n"/>
      <c r="CF51" s="33" t="n"/>
      <c r="CG51" s="33" t="n"/>
      <c r="CH51" s="33" t="n"/>
      <c r="CI51" s="33" t="n"/>
      <c r="CJ51" s="33" t="n"/>
      <c r="CK51" s="33" t="n"/>
      <c r="CL51" s="33" t="n"/>
      <c r="CM51" s="33" t="n"/>
      <c r="CN51" s="33" t="n"/>
      <c r="CO51" s="33" t="n"/>
      <c r="CP51" s="33" t="n"/>
      <c r="CQ51" s="33" t="n"/>
      <c r="CR51" s="33" t="n"/>
      <c r="CS51" s="33" t="n"/>
      <c r="CT51" s="33" t="n"/>
      <c r="CU51" s="33" t="n"/>
      <c r="CV51" s="33" t="n"/>
      <c r="CW51" s="33" t="n"/>
      <c r="CX51" s="33" t="n"/>
      <c r="CY51" s="33" t="n"/>
      <c r="CZ51" s="33" t="n"/>
      <c r="DA51" s="33" t="n"/>
      <c r="DB51" s="33" t="n"/>
      <c r="DC51" s="33" t="n"/>
      <c r="DD51" s="33" t="n"/>
      <c r="DE51" s="33" t="n"/>
      <c r="DF51" s="33" t="n"/>
      <c r="DG51" s="33" t="n"/>
      <c r="DH51" s="33" t="n"/>
      <c r="DI51" s="33" t="n"/>
      <c r="DJ51" s="33" t="n"/>
      <c r="DK51" s="33" t="n"/>
      <c r="DL51" s="33" t="n"/>
      <c r="DM51" s="33" t="n"/>
      <c r="DN51" s="33" t="n"/>
      <c r="DO51" s="33" t="n"/>
      <c r="DP51" s="33" t="n"/>
      <c r="DQ51" s="33" t="n"/>
      <c r="DR51" s="33" t="n"/>
      <c r="DS51" s="33" t="n"/>
      <c r="DT51" s="33" t="n"/>
      <c r="DU51" s="33" t="n"/>
      <c r="DV51" s="33" t="n"/>
      <c r="DW51" s="33" t="n"/>
      <c r="DX51" s="33" t="n"/>
      <c r="DY51" s="33" t="n"/>
      <c r="DZ51" s="33" t="n"/>
      <c r="EA51" s="33" t="n"/>
      <c r="EB51" s="33" t="n"/>
      <c r="EC51" s="33" t="n"/>
      <c r="ED51" s="33" t="n"/>
      <c r="EE51" s="33" t="n"/>
      <c r="EF51" s="33" t="n"/>
      <c r="EG51" s="33" t="n"/>
      <c r="EH51" s="33" t="n"/>
      <c r="EI51" s="33" t="n"/>
      <c r="EJ51" s="33" t="n"/>
      <c r="EK51" s="33" t="n"/>
      <c r="EL51" s="33" t="n"/>
      <c r="EM51" s="33" t="n"/>
      <c r="EN51" s="33" t="n"/>
      <c r="EO51" s="33" t="n"/>
      <c r="EP51" s="33" t="n"/>
      <c r="EQ51" s="33" t="n"/>
      <c r="ER51" s="33" t="n"/>
      <c r="ES51" s="33" t="n"/>
      <c r="ET51" s="33" t="n"/>
      <c r="EU51" s="33" t="n"/>
      <c r="EV51" s="33" t="n"/>
      <c r="EW51" s="33" t="n"/>
      <c r="EX51" s="33" t="n"/>
      <c r="EY51" s="33" t="n"/>
      <c r="EZ51" s="33" t="n"/>
      <c r="FA51" s="33" t="n"/>
      <c r="FB51" s="33" t="n"/>
      <c r="FC51" s="33" t="n"/>
      <c r="FD51" s="33" t="n"/>
      <c r="FE51" s="33" t="n"/>
      <c r="FF51" s="33" t="n"/>
      <c r="FG51" s="33" t="n"/>
      <c r="FH51" s="33" t="n"/>
      <c r="FI51" s="33" t="n"/>
      <c r="FJ51" s="33" t="n"/>
      <c r="FK51" s="33" t="n"/>
      <c r="FL51" s="33" t="n"/>
      <c r="FM51" s="33" t="n"/>
      <c r="FN51" s="33" t="n"/>
      <c r="FO51" s="33" t="n"/>
      <c r="FP51" s="33" t="n"/>
      <c r="FQ51" s="33" t="n"/>
      <c r="FR51" s="33" t="n"/>
      <c r="FS51" s="33" t="n"/>
      <c r="FT51" s="33" t="n"/>
      <c r="FU51" s="33" t="n"/>
      <c r="FV51" s="33" t="n"/>
      <c r="FW51" s="33" t="n"/>
      <c r="FX51" s="33" t="n"/>
      <c r="FY51" s="33" t="n"/>
      <c r="FZ51" s="33" t="n"/>
      <c r="GA51" s="33" t="n"/>
      <c r="GB51" s="33" t="n"/>
      <c r="GC51" s="33" t="n"/>
      <c r="GD51" s="33" t="n"/>
      <c r="GE51" s="33" t="n"/>
      <c r="GF51" s="33" t="n"/>
      <c r="GG51" s="33" t="n"/>
      <c r="GH51" s="33" t="n"/>
      <c r="GI51" s="33" t="n"/>
      <c r="GJ51" s="33" t="n"/>
      <c r="GK51" s="33" t="n"/>
      <c r="GL51" s="33" t="n"/>
      <c r="GM51" s="33" t="n"/>
      <c r="GN51" s="33" t="n"/>
      <c r="GO51" s="33" t="n"/>
      <c r="GP51" s="33" t="n"/>
      <c r="GQ51" s="33" t="n"/>
      <c r="GR51" s="33" t="n"/>
      <c r="GS51" s="33" t="n"/>
      <c r="GT51" s="33" t="n"/>
      <c r="GU51" s="33" t="n"/>
      <c r="GV51" s="33" t="n"/>
      <c r="GW51" s="33" t="n"/>
      <c r="GX51" s="33" t="n"/>
      <c r="GY51" s="33" t="n"/>
      <c r="GZ51" s="33" t="n"/>
      <c r="HA51" s="33" t="n"/>
      <c r="HB51" s="33" t="n"/>
      <c r="HC51" s="33" t="n"/>
      <c r="HD51" s="33" t="n"/>
      <c r="HE51" s="33" t="n"/>
      <c r="HF51" s="33" t="n"/>
      <c r="HG51" s="33" t="n"/>
      <c r="HH51" s="33" t="n"/>
      <c r="HI51" s="33" t="n"/>
      <c r="HJ51" s="33" t="n"/>
      <c r="HK51" s="33" t="n"/>
      <c r="HL51" s="33" t="n"/>
      <c r="HM51" s="33" t="n"/>
      <c r="HN51" s="33" t="n"/>
      <c r="HO51" s="33" t="n"/>
      <c r="HP51" s="33" t="n"/>
      <c r="HQ51" s="33" t="n"/>
      <c r="HR51" s="33" t="n"/>
      <c r="HS51" s="33" t="n"/>
      <c r="HT51" s="33" t="n"/>
      <c r="HU51" s="33" t="n"/>
      <c r="HV51" s="33" t="n"/>
      <c r="HW51" s="33" t="n"/>
      <c r="HX51" s="33" t="n"/>
      <c r="HY51" s="33" t="n"/>
      <c r="HZ51" s="33" t="n"/>
      <c r="IA51" s="33" t="n"/>
      <c r="IB51" s="33" t="n"/>
      <c r="IC51" s="33" t="n"/>
      <c r="ID51" s="33" t="n"/>
      <c r="IE51" s="33" t="n"/>
      <c r="IF51" s="33" t="n"/>
      <c r="IG51" s="33" t="n"/>
      <c r="IH51" s="33" t="n"/>
      <c r="II51" s="33" t="n"/>
      <c r="IJ51" s="33" t="n"/>
      <c r="IK51" s="33" t="n"/>
      <c r="IL51" s="33" t="n"/>
      <c r="IM51" s="33" t="n"/>
      <c r="IN51" s="33" t="n"/>
      <c r="IO51" s="33" t="n"/>
      <c r="IP51" s="33" t="n"/>
      <c r="IQ51" s="33" t="n"/>
      <c r="IR51" s="33" t="n"/>
      <c r="IS51" s="33" t="n"/>
      <c r="IT51" s="33" t="n"/>
      <c r="IU51" s="33" t="n"/>
      <c r="IV51" s="33" t="n"/>
      <c r="IW51" s="33" t="n"/>
      <c r="IX51" s="33" t="n"/>
      <c r="IY51" s="33" t="n"/>
      <c r="IZ51" s="33" t="n"/>
      <c r="JA51" s="33" t="n"/>
      <c r="JB51" s="33" t="n"/>
      <c r="JC51" s="33" t="n"/>
      <c r="JD51" s="33" t="n"/>
      <c r="JE51" s="33" t="n"/>
      <c r="JF51" s="33" t="n"/>
      <c r="JG51" s="33" t="n"/>
      <c r="JH51" s="33" t="n"/>
      <c r="JI51" s="33" t="n"/>
      <c r="JJ51" s="33" t="n"/>
      <c r="JK51" s="33" t="n"/>
      <c r="JL51" s="33" t="n"/>
      <c r="JM51" s="33" t="n"/>
      <c r="JN51" s="33" t="n"/>
      <c r="JO51" s="33" t="n"/>
      <c r="JP51" s="33" t="n"/>
      <c r="JQ51" s="33" t="n"/>
      <c r="JR51" s="33" t="n"/>
      <c r="JS51" s="33" t="n"/>
      <c r="JT51" s="33" t="n"/>
      <c r="JU51" s="33" t="n"/>
      <c r="JV51" s="33" t="n"/>
      <c r="JW51" s="33" t="n"/>
      <c r="JX51" s="33" t="n"/>
      <c r="JY51" s="33" t="n"/>
      <c r="JZ51" s="33" t="n"/>
      <c r="KA51" s="33" t="n"/>
      <c r="KB51" s="33" t="n"/>
      <c r="KC51" s="33" t="n"/>
      <c r="KD51" s="33" t="n"/>
      <c r="KE51" s="33" t="n"/>
      <c r="KF51" s="33" t="n"/>
      <c r="KG51" s="33" t="n"/>
      <c r="KH51" s="33" t="n"/>
      <c r="KI51" s="33" t="n"/>
      <c r="KJ51" s="33" t="n"/>
      <c r="KK51" s="33" t="n"/>
      <c r="KL51" s="33" t="n"/>
      <c r="KM51" s="33" t="n"/>
      <c r="KN51" s="33" t="n"/>
      <c r="KO51" s="33" t="n"/>
      <c r="KP51" s="33" t="n"/>
      <c r="KQ51" s="33" t="n"/>
      <c r="KR51" s="33" t="n"/>
      <c r="KS51" s="33" t="n"/>
      <c r="KT51" s="33" t="n"/>
      <c r="KU51" s="33" t="n"/>
      <c r="KV51" s="33" t="n"/>
      <c r="KW51" s="33" t="n"/>
      <c r="KX51" s="33" t="n"/>
      <c r="KY51" s="33" t="n"/>
      <c r="KZ51" s="33" t="n"/>
      <c r="LA51" s="33" t="n"/>
      <c r="LB51" s="33" t="n"/>
      <c r="LC51" s="33" t="n"/>
      <c r="LD51" s="33" t="n"/>
      <c r="LE51" s="33" t="n"/>
      <c r="LF51" s="33" t="n"/>
      <c r="LG51" s="33" t="n"/>
      <c r="LH51" s="33" t="n"/>
      <c r="LI51" s="33" t="n"/>
      <c r="LJ51" s="33" t="n"/>
      <c r="LK51" s="33" t="n"/>
      <c r="LL51" s="33" t="n"/>
      <c r="LM51" s="33" t="n"/>
      <c r="LN51" s="33" t="n"/>
      <c r="LO51" s="33" t="n"/>
      <c r="LP51" s="33" t="n"/>
      <c r="LQ51" s="33" t="n"/>
      <c r="LR51" s="33" t="n"/>
      <c r="LS51" s="33" t="n"/>
      <c r="LT51" s="33" t="n"/>
      <c r="LU51" s="33" t="n"/>
      <c r="LV51" s="33" t="n"/>
      <c r="LW51" s="33" t="n"/>
      <c r="LX51" s="33" t="n"/>
      <c r="LY51" s="33" t="n"/>
      <c r="LZ51" s="33" t="n"/>
      <c r="MA51" s="33" t="n"/>
      <c r="MB51" s="33" t="n"/>
      <c r="MC51" s="33" t="n"/>
      <c r="MD51" s="33" t="n"/>
      <c r="ME51" s="33" t="n"/>
      <c r="MF51" s="33" t="n"/>
      <c r="MG51" s="33" t="n"/>
      <c r="MH51" s="33" t="n"/>
      <c r="MI51" s="33" t="n"/>
      <c r="MJ51" s="33" t="n"/>
      <c r="MK51" s="33" t="n"/>
      <c r="ML51" s="33" t="n"/>
      <c r="MM51" s="33" t="n"/>
      <c r="MN51" s="33" t="n"/>
      <c r="MO51" s="33" t="n"/>
      <c r="MP51" s="33" t="n"/>
      <c r="MQ51" s="33" t="n"/>
      <c r="MR51" s="33" t="n"/>
      <c r="MS51" s="33" t="n"/>
      <c r="MT51" s="33" t="n"/>
      <c r="MU51" s="33" t="n"/>
      <c r="MV51" s="33" t="n"/>
      <c r="MW51" s="33" t="n"/>
      <c r="MX51" s="33" t="n"/>
      <c r="MY51" s="33" t="n"/>
      <c r="MZ51" s="33" t="n"/>
      <c r="NA51" s="33" t="n"/>
      <c r="NB51" s="33" t="n"/>
      <c r="NC51" s="33" t="n"/>
      <c r="ND51" s="33" t="n"/>
      <c r="NE51" s="33" t="n"/>
      <c r="NF51" s="33" t="n"/>
      <c r="NG51" s="33" t="n"/>
      <c r="NH51" s="33" t="n"/>
      <c r="NI51" s="33" t="n"/>
      <c r="NJ51" s="33" t="n"/>
      <c r="NK51" s="33" t="n"/>
      <c r="NL51" s="33" t="n"/>
      <c r="NM51" s="33" t="n"/>
      <c r="NN51" s="33" t="n"/>
      <c r="NO51" s="33" t="n"/>
      <c r="NP51" s="33" t="n"/>
      <c r="NQ51" s="33" t="n"/>
      <c r="NR51" s="33" t="n"/>
      <c r="NS51" s="33" t="n"/>
      <c r="NT51" s="33" t="n"/>
      <c r="NU51" s="33" t="n"/>
      <c r="NV51" s="33" t="n"/>
      <c r="NW51" s="33" t="n"/>
      <c r="NX51" s="33" t="n"/>
      <c r="NY51" s="33" t="n"/>
      <c r="NZ51" s="33" t="n"/>
      <c r="OA51" s="33" t="n"/>
      <c r="OB51" s="33" t="n"/>
      <c r="OC51" s="33" t="n"/>
      <c r="OD51" s="33" t="n"/>
      <c r="OE51" s="33" t="n"/>
      <c r="OF51" s="33" t="n"/>
      <c r="OG51" s="33" t="n"/>
      <c r="OH51" s="33" t="n"/>
      <c r="OI51" s="33" t="n"/>
      <c r="OJ51" s="33" t="n"/>
      <c r="OK51" s="33" t="n"/>
      <c r="OL51" s="33" t="n"/>
      <c r="OM51" s="33" t="n"/>
      <c r="ON51" s="33" t="n"/>
      <c r="OO51" s="33" t="n"/>
      <c r="OP51" s="33" t="n"/>
      <c r="OQ51" s="33" t="n"/>
      <c r="OR51" s="33" t="n"/>
      <c r="OS51" s="33" t="n"/>
      <c r="OT51" s="33" t="n"/>
      <c r="OU51" s="33" t="n"/>
      <c r="OV51" s="33" t="n"/>
      <c r="OW51" s="33" t="n"/>
      <c r="OX51" s="33" t="n"/>
      <c r="OY51" s="33" t="n"/>
      <c r="OZ51" s="33" t="n"/>
      <c r="PA51" s="33" t="n"/>
      <c r="PB51" s="33" t="n"/>
      <c r="PC51" s="33" t="n"/>
      <c r="PD51" s="33" t="n"/>
      <c r="PE51" s="33" t="n"/>
      <c r="PF51" s="33" t="n"/>
      <c r="PG51" s="33" t="n"/>
      <c r="PH51" s="33" t="n"/>
      <c r="PI51" s="33" t="n"/>
      <c r="PJ51" s="33" t="n"/>
      <c r="PK51" s="33" t="n"/>
      <c r="PL51" s="33" t="n"/>
      <c r="PM51" s="33" t="n"/>
      <c r="PN51" s="33" t="n"/>
      <c r="PO51" s="33" t="n"/>
      <c r="PP51" s="33" t="n"/>
      <c r="PQ51" s="33" t="n"/>
      <c r="PR51" s="33" t="n"/>
      <c r="PS51" s="33" t="n"/>
      <c r="PT51" s="33" t="n"/>
      <c r="PU51" s="33" t="n"/>
      <c r="PV51" s="33" t="n"/>
      <c r="PW51" s="33" t="n"/>
      <c r="PX51" s="33" t="n"/>
      <c r="PY51" s="33" t="n"/>
      <c r="PZ51" s="33" t="n"/>
      <c r="QA51" s="33" t="n"/>
      <c r="QB51" s="33" t="n"/>
      <c r="QC51" s="33" t="n"/>
      <c r="QD51" s="33" t="n"/>
      <c r="QE51" s="33" t="n"/>
      <c r="QF51" s="33" t="n"/>
      <c r="QG51" s="33" t="n"/>
      <c r="QH51" s="33" t="n"/>
      <c r="QI51" s="33" t="n"/>
      <c r="QJ51" s="33" t="n"/>
      <c r="QK51" s="33" t="n"/>
      <c r="QL51" s="33" t="n"/>
      <c r="QM51" s="33" t="n"/>
      <c r="QN51" s="33" t="n"/>
      <c r="QO51" s="33" t="n"/>
      <c r="QP51" s="33" t="n"/>
      <c r="QQ51" s="33" t="n"/>
      <c r="QR51" s="33" t="n"/>
      <c r="QS51" s="33" t="n"/>
      <c r="QT51" s="33" t="n"/>
      <c r="QU51" s="33" t="n"/>
      <c r="QV51" s="33" t="n"/>
      <c r="QW51" s="33" t="n"/>
      <c r="QX51" s="33" t="n"/>
      <c r="QY51" s="33" t="n"/>
      <c r="QZ51" s="33" t="n"/>
      <c r="RA51" s="33" t="n"/>
      <c r="RB51" s="33" t="n"/>
      <c r="RC51" s="33" t="n"/>
      <c r="RD51" s="33" t="n"/>
      <c r="RE51" s="33" t="n"/>
      <c r="RF51" s="33" t="n"/>
      <c r="RG51" s="33" t="n"/>
      <c r="RH51" s="33" t="n"/>
      <c r="RI51" s="33" t="n"/>
      <c r="RJ51" s="33" t="n"/>
      <c r="RK51" s="33" t="n"/>
      <c r="RL51" s="33" t="n"/>
      <c r="RM51" s="33" t="n"/>
      <c r="RN51" s="33" t="n"/>
      <c r="RO51" s="33" t="n"/>
      <c r="RP51" s="33" t="n"/>
      <c r="RQ51" s="33" t="n"/>
      <c r="RR51" s="33" t="n"/>
      <c r="RS51" s="33" t="n"/>
      <c r="RT51" s="33" t="n"/>
      <c r="RU51" s="33" t="n"/>
      <c r="RV51" s="33" t="n"/>
      <c r="RW51" s="33" t="n"/>
    </row>
    <row r="52" ht="13.05" customHeight="1">
      <c r="E52" s="21" t="inlineStr">
        <is>
          <t>Working Capital Change</t>
        </is>
      </c>
      <c r="F52" s="29" t="n"/>
      <c r="G52" s="29" t="inlineStr">
        <is>
          <t>kEUR</t>
        </is>
      </c>
      <c r="H52" s="29" t="n"/>
      <c r="I52" s="29" t="n"/>
      <c r="J52" s="32" t="n"/>
      <c r="K52" s="29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3" t="n"/>
      <c r="AY52" s="33" t="n"/>
      <c r="AZ52" s="33" t="n"/>
      <c r="BA52" s="33" t="n"/>
      <c r="BB52" s="33" t="n"/>
      <c r="BC52" s="33" t="n"/>
      <c r="BD52" s="33" t="n"/>
      <c r="BE52" s="33" t="n"/>
      <c r="BF52" s="33" t="n"/>
      <c r="BG52" s="33" t="n"/>
      <c r="BH52" s="33" t="n"/>
      <c r="BI52" s="33" t="n"/>
      <c r="BJ52" s="33" t="n"/>
      <c r="BK52" s="33" t="n"/>
      <c r="BL52" s="33" t="n"/>
      <c r="BM52" s="33" t="n"/>
      <c r="BN52" s="33" t="n"/>
      <c r="BO52" s="33" t="n"/>
      <c r="BP52" s="33" t="n"/>
      <c r="BQ52" s="33" t="n"/>
      <c r="BR52" s="33" t="n"/>
      <c r="BS52" s="33" t="n"/>
      <c r="BT52" s="33" t="n"/>
      <c r="BU52" s="33" t="n"/>
      <c r="BV52" s="33" t="n"/>
      <c r="BW52" s="33" t="n"/>
      <c r="BX52" s="33" t="n"/>
      <c r="BY52" s="33" t="n"/>
      <c r="BZ52" s="33" t="n"/>
      <c r="CA52" s="33" t="n"/>
      <c r="CB52" s="33" t="n"/>
      <c r="CC52" s="33" t="n"/>
      <c r="CD52" s="33" t="n"/>
      <c r="CE52" s="33" t="n"/>
      <c r="CF52" s="33" t="n"/>
      <c r="CG52" s="33" t="n"/>
      <c r="CH52" s="33" t="n"/>
      <c r="CI52" s="33" t="n"/>
      <c r="CJ52" s="33" t="n"/>
      <c r="CK52" s="33" t="n"/>
      <c r="CL52" s="33" t="n"/>
      <c r="CM52" s="33" t="n"/>
      <c r="CN52" s="33" t="n"/>
      <c r="CO52" s="33" t="n"/>
      <c r="CP52" s="33" t="n"/>
      <c r="CQ52" s="33" t="n"/>
      <c r="CR52" s="33" t="n"/>
      <c r="CS52" s="33" t="n"/>
      <c r="CT52" s="33" t="n"/>
      <c r="CU52" s="33" t="n"/>
      <c r="CV52" s="33" t="n"/>
      <c r="CW52" s="33" t="n"/>
      <c r="CX52" s="33" t="n"/>
      <c r="CY52" s="33" t="n"/>
      <c r="CZ52" s="33" t="n"/>
      <c r="DA52" s="33" t="n"/>
      <c r="DB52" s="33" t="n"/>
      <c r="DC52" s="33" t="n"/>
      <c r="DD52" s="33" t="n"/>
      <c r="DE52" s="33" t="n"/>
      <c r="DF52" s="33" t="n"/>
      <c r="DG52" s="33" t="n"/>
      <c r="DH52" s="33" t="n"/>
      <c r="DI52" s="33" t="n"/>
      <c r="DJ52" s="33" t="n"/>
      <c r="DK52" s="33" t="n"/>
      <c r="DL52" s="33" t="n"/>
      <c r="DM52" s="33" t="n"/>
      <c r="DN52" s="33" t="n"/>
      <c r="DO52" s="33" t="n"/>
      <c r="DP52" s="33" t="n"/>
      <c r="DQ52" s="33" t="n"/>
      <c r="DR52" s="33" t="n"/>
      <c r="DS52" s="33" t="n"/>
      <c r="DT52" s="33" t="n"/>
      <c r="DU52" s="33" t="n"/>
      <c r="DV52" s="33" t="n"/>
      <c r="DW52" s="33" t="n"/>
      <c r="DX52" s="33" t="n"/>
      <c r="DY52" s="33" t="n"/>
      <c r="DZ52" s="33" t="n"/>
      <c r="EA52" s="33" t="n"/>
      <c r="EB52" s="33" t="n"/>
      <c r="EC52" s="33" t="n"/>
      <c r="ED52" s="33" t="n"/>
      <c r="EE52" s="33" t="n"/>
      <c r="EF52" s="33" t="n"/>
      <c r="EG52" s="33" t="n"/>
      <c r="EH52" s="33" t="n"/>
      <c r="EI52" s="33" t="n"/>
      <c r="EJ52" s="33" t="n"/>
      <c r="EK52" s="33" t="n"/>
      <c r="EL52" s="33" t="n"/>
      <c r="EM52" s="33" t="n"/>
      <c r="EN52" s="33" t="n"/>
      <c r="EO52" s="33" t="n"/>
      <c r="EP52" s="33" t="n"/>
      <c r="EQ52" s="33" t="n"/>
      <c r="ER52" s="33" t="n"/>
      <c r="ES52" s="33" t="n"/>
      <c r="ET52" s="33" t="n"/>
      <c r="EU52" s="33" t="n"/>
      <c r="EV52" s="33" t="n"/>
      <c r="EW52" s="33" t="n"/>
      <c r="EX52" s="33" t="n"/>
      <c r="EY52" s="33" t="n"/>
      <c r="EZ52" s="33" t="n"/>
      <c r="FA52" s="33" t="n"/>
      <c r="FB52" s="33" t="n"/>
      <c r="FC52" s="33" t="n"/>
      <c r="FD52" s="33" t="n"/>
      <c r="FE52" s="33" t="n"/>
      <c r="FF52" s="33" t="n"/>
      <c r="FG52" s="33" t="n"/>
      <c r="FH52" s="33" t="n"/>
      <c r="FI52" s="33" t="n"/>
      <c r="FJ52" s="33" t="n"/>
      <c r="FK52" s="33" t="n"/>
      <c r="FL52" s="33" t="n"/>
      <c r="FM52" s="33" t="n"/>
      <c r="FN52" s="33" t="n"/>
      <c r="FO52" s="33" t="n"/>
      <c r="FP52" s="33" t="n"/>
      <c r="FQ52" s="33" t="n"/>
      <c r="FR52" s="33" t="n"/>
      <c r="FS52" s="33" t="n"/>
      <c r="FT52" s="33" t="n"/>
      <c r="FU52" s="33" t="n"/>
      <c r="FV52" s="33" t="n"/>
      <c r="FW52" s="33" t="n"/>
      <c r="FX52" s="33" t="n"/>
      <c r="FY52" s="33" t="n"/>
      <c r="FZ52" s="33" t="n"/>
      <c r="GA52" s="33" t="n"/>
      <c r="GB52" s="33" t="n"/>
      <c r="GC52" s="33" t="n"/>
      <c r="GD52" s="33" t="n"/>
      <c r="GE52" s="33" t="n"/>
      <c r="GF52" s="33" t="n"/>
      <c r="GG52" s="33" t="n"/>
      <c r="GH52" s="33" t="n"/>
      <c r="GI52" s="33" t="n"/>
      <c r="GJ52" s="33" t="n"/>
      <c r="GK52" s="33" t="n"/>
      <c r="GL52" s="33" t="n"/>
      <c r="GM52" s="33" t="n"/>
      <c r="GN52" s="33" t="n"/>
      <c r="GO52" s="33" t="n"/>
      <c r="GP52" s="33" t="n"/>
      <c r="GQ52" s="33" t="n"/>
      <c r="GR52" s="33" t="n"/>
      <c r="GS52" s="33" t="n"/>
      <c r="GT52" s="33" t="n"/>
      <c r="GU52" s="33" t="n"/>
      <c r="GV52" s="33" t="n"/>
      <c r="GW52" s="33" t="n"/>
      <c r="GX52" s="33" t="n"/>
      <c r="GY52" s="33" t="n"/>
      <c r="GZ52" s="33" t="n"/>
      <c r="HA52" s="33" t="n"/>
      <c r="HB52" s="33" t="n"/>
      <c r="HC52" s="33" t="n"/>
      <c r="HD52" s="33" t="n"/>
      <c r="HE52" s="33" t="n"/>
      <c r="HF52" s="33" t="n"/>
      <c r="HG52" s="33" t="n"/>
      <c r="HH52" s="33" t="n"/>
      <c r="HI52" s="33" t="n"/>
      <c r="HJ52" s="33" t="n"/>
      <c r="HK52" s="33" t="n"/>
      <c r="HL52" s="33" t="n"/>
      <c r="HM52" s="33" t="n"/>
      <c r="HN52" s="33" t="n"/>
      <c r="HO52" s="33" t="n"/>
      <c r="HP52" s="33" t="n"/>
      <c r="HQ52" s="33" t="n"/>
      <c r="HR52" s="33" t="n"/>
      <c r="HS52" s="33" t="n"/>
      <c r="HT52" s="33" t="n"/>
      <c r="HU52" s="33" t="n"/>
      <c r="HV52" s="33" t="n"/>
      <c r="HW52" s="33" t="n"/>
      <c r="HX52" s="33" t="n"/>
      <c r="HY52" s="33" t="n"/>
      <c r="HZ52" s="33" t="n"/>
      <c r="IA52" s="33" t="n"/>
      <c r="IB52" s="33" t="n"/>
      <c r="IC52" s="33" t="n"/>
      <c r="ID52" s="33" t="n"/>
      <c r="IE52" s="33" t="n"/>
      <c r="IF52" s="33" t="n"/>
      <c r="IG52" s="33" t="n"/>
      <c r="IH52" s="33" t="n"/>
      <c r="II52" s="33" t="n"/>
      <c r="IJ52" s="33" t="n"/>
      <c r="IK52" s="33" t="n"/>
      <c r="IL52" s="33" t="n"/>
      <c r="IM52" s="33" t="n"/>
      <c r="IN52" s="33" t="n"/>
      <c r="IO52" s="33" t="n"/>
      <c r="IP52" s="33" t="n"/>
      <c r="IQ52" s="33" t="n"/>
      <c r="IR52" s="33" t="n"/>
      <c r="IS52" s="33" t="n"/>
      <c r="IT52" s="33" t="n"/>
      <c r="IU52" s="33" t="n"/>
      <c r="IV52" s="33" t="n"/>
      <c r="IW52" s="33" t="n"/>
      <c r="IX52" s="33" t="n"/>
      <c r="IY52" s="33" t="n"/>
      <c r="IZ52" s="33" t="n"/>
      <c r="JA52" s="33" t="n"/>
      <c r="JB52" s="33" t="n"/>
      <c r="JC52" s="33" t="n"/>
      <c r="JD52" s="33" t="n"/>
      <c r="JE52" s="33" t="n"/>
      <c r="JF52" s="33" t="n"/>
      <c r="JG52" s="33" t="n"/>
      <c r="JH52" s="33" t="n"/>
      <c r="JI52" s="33" t="n"/>
      <c r="JJ52" s="33" t="n"/>
      <c r="JK52" s="33" t="n"/>
      <c r="JL52" s="33" t="n"/>
      <c r="JM52" s="33" t="n"/>
      <c r="JN52" s="33" t="n"/>
      <c r="JO52" s="33" t="n"/>
      <c r="JP52" s="33" t="n"/>
      <c r="JQ52" s="33" t="n"/>
      <c r="JR52" s="33" t="n"/>
      <c r="JS52" s="33" t="n"/>
      <c r="JT52" s="33" t="n"/>
      <c r="JU52" s="33" t="n"/>
      <c r="JV52" s="33" t="n"/>
      <c r="JW52" s="33" t="n"/>
      <c r="JX52" s="33" t="n"/>
      <c r="JY52" s="33" t="n"/>
      <c r="JZ52" s="33" t="n"/>
      <c r="KA52" s="33" t="n"/>
      <c r="KB52" s="33" t="n"/>
      <c r="KC52" s="33" t="n"/>
      <c r="KD52" s="33" t="n"/>
      <c r="KE52" s="33" t="n"/>
      <c r="KF52" s="33" t="n"/>
      <c r="KG52" s="33" t="n"/>
      <c r="KH52" s="33" t="n"/>
      <c r="KI52" s="33" t="n"/>
      <c r="KJ52" s="33" t="n"/>
      <c r="KK52" s="33" t="n"/>
      <c r="KL52" s="33" t="n"/>
      <c r="KM52" s="33" t="n"/>
      <c r="KN52" s="33" t="n"/>
      <c r="KO52" s="33" t="n"/>
      <c r="KP52" s="33" t="n"/>
      <c r="KQ52" s="33" t="n"/>
      <c r="KR52" s="33" t="n"/>
      <c r="KS52" s="33" t="n"/>
      <c r="KT52" s="33" t="n"/>
      <c r="KU52" s="33" t="n"/>
      <c r="KV52" s="33" t="n"/>
      <c r="KW52" s="33" t="n"/>
      <c r="KX52" s="33" t="n"/>
      <c r="KY52" s="33" t="n"/>
      <c r="KZ52" s="33" t="n"/>
      <c r="LA52" s="33" t="n"/>
      <c r="LB52" s="33" t="n"/>
      <c r="LC52" s="33" t="n"/>
      <c r="LD52" s="33" t="n"/>
      <c r="LE52" s="33" t="n"/>
      <c r="LF52" s="33" t="n"/>
      <c r="LG52" s="33" t="n"/>
      <c r="LH52" s="33" t="n"/>
      <c r="LI52" s="33" t="n"/>
      <c r="LJ52" s="33" t="n"/>
      <c r="LK52" s="33" t="n"/>
      <c r="LL52" s="33" t="n"/>
      <c r="LM52" s="33" t="n"/>
      <c r="LN52" s="33" t="n"/>
      <c r="LO52" s="33" t="n"/>
      <c r="LP52" s="33" t="n"/>
      <c r="LQ52" s="33" t="n"/>
      <c r="LR52" s="33" t="n"/>
      <c r="LS52" s="33" t="n"/>
      <c r="LT52" s="33" t="n"/>
      <c r="LU52" s="33" t="n"/>
      <c r="LV52" s="33" t="n"/>
      <c r="LW52" s="33" t="n"/>
      <c r="LX52" s="33" t="n"/>
      <c r="LY52" s="33" t="n"/>
      <c r="LZ52" s="33" t="n"/>
      <c r="MA52" s="33" t="n"/>
      <c r="MB52" s="33" t="n"/>
      <c r="MC52" s="33" t="n"/>
      <c r="MD52" s="33" t="n"/>
      <c r="ME52" s="33" t="n"/>
      <c r="MF52" s="33" t="n"/>
      <c r="MG52" s="33" t="n"/>
      <c r="MH52" s="33" t="n"/>
      <c r="MI52" s="33" t="n"/>
      <c r="MJ52" s="33" t="n"/>
      <c r="MK52" s="33" t="n"/>
      <c r="ML52" s="33" t="n"/>
      <c r="MM52" s="33" t="n"/>
      <c r="MN52" s="33" t="n"/>
      <c r="MO52" s="33" t="n"/>
      <c r="MP52" s="33" t="n"/>
      <c r="MQ52" s="33" t="n"/>
      <c r="MR52" s="33" t="n"/>
      <c r="MS52" s="33" t="n"/>
      <c r="MT52" s="33" t="n"/>
      <c r="MU52" s="33" t="n"/>
      <c r="MV52" s="33" t="n"/>
      <c r="MW52" s="33" t="n"/>
      <c r="MX52" s="33" t="n"/>
      <c r="MY52" s="33" t="n"/>
      <c r="MZ52" s="33" t="n"/>
      <c r="NA52" s="33" t="n"/>
      <c r="NB52" s="33" t="n"/>
      <c r="NC52" s="33" t="n"/>
      <c r="ND52" s="33" t="n"/>
      <c r="NE52" s="33" t="n"/>
      <c r="NF52" s="33" t="n"/>
      <c r="NG52" s="33" t="n"/>
      <c r="NH52" s="33" t="n"/>
      <c r="NI52" s="33" t="n"/>
      <c r="NJ52" s="33" t="n"/>
      <c r="NK52" s="33" t="n"/>
      <c r="NL52" s="33" t="n"/>
      <c r="NM52" s="33" t="n"/>
      <c r="NN52" s="33" t="n"/>
      <c r="NO52" s="33" t="n"/>
      <c r="NP52" s="33" t="n"/>
      <c r="NQ52" s="33" t="n"/>
      <c r="NR52" s="33" t="n"/>
      <c r="NS52" s="33" t="n"/>
      <c r="NT52" s="33" t="n"/>
      <c r="NU52" s="33" t="n"/>
      <c r="NV52" s="33" t="n"/>
      <c r="NW52" s="33" t="n"/>
      <c r="NX52" s="33" t="n"/>
      <c r="NY52" s="33" t="n"/>
      <c r="NZ52" s="33" t="n"/>
      <c r="OA52" s="33" t="n"/>
      <c r="OB52" s="33" t="n"/>
      <c r="OC52" s="33" t="n"/>
      <c r="OD52" s="33" t="n"/>
      <c r="OE52" s="33" t="n"/>
      <c r="OF52" s="33" t="n"/>
      <c r="OG52" s="33" t="n"/>
      <c r="OH52" s="33" t="n"/>
      <c r="OI52" s="33" t="n"/>
      <c r="OJ52" s="33" t="n"/>
      <c r="OK52" s="33" t="n"/>
      <c r="OL52" s="33" t="n"/>
      <c r="OM52" s="33" t="n"/>
      <c r="ON52" s="33" t="n"/>
      <c r="OO52" s="33" t="n"/>
      <c r="OP52" s="33" t="n"/>
      <c r="OQ52" s="33" t="n"/>
      <c r="OR52" s="33" t="n"/>
      <c r="OS52" s="33" t="n"/>
      <c r="OT52" s="33" t="n"/>
      <c r="OU52" s="33" t="n"/>
      <c r="OV52" s="33" t="n"/>
      <c r="OW52" s="33" t="n"/>
      <c r="OX52" s="33" t="n"/>
      <c r="OY52" s="33" t="n"/>
      <c r="OZ52" s="33" t="n"/>
      <c r="PA52" s="33" t="n"/>
      <c r="PB52" s="33" t="n"/>
      <c r="PC52" s="33" t="n"/>
      <c r="PD52" s="33" t="n"/>
      <c r="PE52" s="33" t="n"/>
      <c r="PF52" s="33" t="n"/>
      <c r="PG52" s="33" t="n"/>
      <c r="PH52" s="33" t="n"/>
      <c r="PI52" s="33" t="n"/>
      <c r="PJ52" s="33" t="n"/>
      <c r="PK52" s="33" t="n"/>
      <c r="PL52" s="33" t="n"/>
      <c r="PM52" s="33" t="n"/>
      <c r="PN52" s="33" t="n"/>
      <c r="PO52" s="33" t="n"/>
      <c r="PP52" s="33" t="n"/>
      <c r="PQ52" s="33" t="n"/>
      <c r="PR52" s="33" t="n"/>
      <c r="PS52" s="33" t="n"/>
      <c r="PT52" s="33" t="n"/>
      <c r="PU52" s="33" t="n"/>
      <c r="PV52" s="33" t="n"/>
      <c r="PW52" s="33" t="n"/>
      <c r="PX52" s="33" t="n"/>
      <c r="PY52" s="33" t="n"/>
      <c r="PZ52" s="33" t="n"/>
      <c r="QA52" s="33" t="n"/>
      <c r="QB52" s="33" t="n"/>
      <c r="QC52" s="33" t="n"/>
      <c r="QD52" s="33" t="n"/>
      <c r="QE52" s="33" t="n"/>
      <c r="QF52" s="33" t="n"/>
      <c r="QG52" s="33" t="n"/>
      <c r="QH52" s="33" t="n"/>
      <c r="QI52" s="33" t="n"/>
      <c r="QJ52" s="33" t="n"/>
      <c r="QK52" s="33" t="n"/>
      <c r="QL52" s="33" t="n"/>
      <c r="QM52" s="33" t="n"/>
      <c r="QN52" s="33" t="n"/>
      <c r="QO52" s="33" t="n"/>
      <c r="QP52" s="33" t="n"/>
      <c r="QQ52" s="33" t="n"/>
      <c r="QR52" s="33" t="n"/>
      <c r="QS52" s="33" t="n"/>
      <c r="QT52" s="33" t="n"/>
      <c r="QU52" s="33" t="n"/>
      <c r="QV52" s="33" t="n"/>
      <c r="QW52" s="33" t="n"/>
      <c r="QX52" s="33" t="n"/>
      <c r="QY52" s="33" t="n"/>
      <c r="QZ52" s="33" t="n"/>
      <c r="RA52" s="33" t="n"/>
      <c r="RB52" s="33" t="n"/>
      <c r="RC52" s="33" t="n"/>
      <c r="RD52" s="33" t="n"/>
      <c r="RE52" s="33" t="n"/>
      <c r="RF52" s="33" t="n"/>
      <c r="RG52" s="33" t="n"/>
      <c r="RH52" s="33" t="n"/>
      <c r="RI52" s="33" t="n"/>
      <c r="RJ52" s="33" t="n"/>
      <c r="RK52" s="33" t="n"/>
      <c r="RL52" s="33" t="n"/>
      <c r="RM52" s="33" t="n"/>
      <c r="RN52" s="33" t="n"/>
      <c r="RO52" s="33" t="n"/>
      <c r="RP52" s="33" t="n"/>
      <c r="RQ52" s="33" t="n"/>
      <c r="RR52" s="33" t="n"/>
      <c r="RS52" s="33" t="n"/>
      <c r="RT52" s="33" t="n"/>
      <c r="RU52" s="33" t="n"/>
      <c r="RV52" s="33" t="n"/>
      <c r="RW52" s="33" t="n"/>
    </row>
    <row r="53" ht="5.25" customHeight="1"/>
    <row r="54" ht="13.05" customHeight="1">
      <c r="E54" s="21" t="inlineStr">
        <is>
          <t>Equity Disbursement</t>
        </is>
      </c>
      <c r="F54" s="29" t="n"/>
      <c r="G54" s="29" t="inlineStr">
        <is>
          <t>kEUR</t>
        </is>
      </c>
      <c r="H54" s="29" t="n"/>
      <c r="I54" s="29" t="n"/>
      <c r="J54" s="32" t="n"/>
      <c r="K54" s="29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3" t="n"/>
      <c r="AY54" s="33" t="n"/>
      <c r="AZ54" s="33" t="n"/>
      <c r="BA54" s="33" t="n"/>
      <c r="BB54" s="33" t="n"/>
      <c r="BC54" s="33" t="n"/>
      <c r="BD54" s="33" t="n"/>
      <c r="BE54" s="33" t="n"/>
      <c r="BF54" s="33" t="n"/>
      <c r="BG54" s="33" t="n"/>
      <c r="BH54" s="33" t="n"/>
      <c r="BI54" s="33" t="n"/>
      <c r="BJ54" s="33" t="n"/>
      <c r="BK54" s="33" t="n"/>
      <c r="BL54" s="33" t="n"/>
      <c r="BM54" s="33" t="n"/>
      <c r="BN54" s="33" t="n"/>
      <c r="BO54" s="33" t="n"/>
      <c r="BP54" s="33" t="n"/>
      <c r="BQ54" s="33" t="n"/>
      <c r="BR54" s="33" t="n"/>
      <c r="BS54" s="33" t="n"/>
      <c r="BT54" s="33" t="n"/>
      <c r="BU54" s="33" t="n"/>
      <c r="BV54" s="33" t="n"/>
      <c r="BW54" s="33" t="n"/>
      <c r="BX54" s="33" t="n"/>
      <c r="BY54" s="33" t="n"/>
      <c r="BZ54" s="33" t="n"/>
      <c r="CA54" s="33" t="n"/>
      <c r="CB54" s="33" t="n"/>
      <c r="CC54" s="33" t="n"/>
      <c r="CD54" s="33" t="n"/>
      <c r="CE54" s="33" t="n"/>
      <c r="CF54" s="33" t="n"/>
      <c r="CG54" s="33" t="n"/>
      <c r="CH54" s="33" t="n"/>
      <c r="CI54" s="33" t="n"/>
      <c r="CJ54" s="33" t="n"/>
      <c r="CK54" s="33" t="n"/>
      <c r="CL54" s="33" t="n"/>
      <c r="CM54" s="33" t="n"/>
      <c r="CN54" s="33" t="n"/>
      <c r="CO54" s="33" t="n"/>
      <c r="CP54" s="33" t="n"/>
      <c r="CQ54" s="33" t="n"/>
      <c r="CR54" s="33" t="n"/>
      <c r="CS54" s="33" t="n"/>
      <c r="CT54" s="33" t="n"/>
      <c r="CU54" s="33" t="n"/>
      <c r="CV54" s="33" t="n"/>
      <c r="CW54" s="33" t="n"/>
      <c r="CX54" s="33" t="n"/>
      <c r="CY54" s="33" t="n"/>
      <c r="CZ54" s="33" t="n"/>
      <c r="DA54" s="33" t="n"/>
      <c r="DB54" s="33" t="n"/>
      <c r="DC54" s="33" t="n"/>
      <c r="DD54" s="33" t="n"/>
      <c r="DE54" s="33" t="n"/>
      <c r="DF54" s="33" t="n"/>
      <c r="DG54" s="33" t="n"/>
      <c r="DH54" s="33" t="n"/>
      <c r="DI54" s="33" t="n"/>
      <c r="DJ54" s="33" t="n"/>
      <c r="DK54" s="33" t="n"/>
      <c r="DL54" s="33" t="n"/>
      <c r="DM54" s="33" t="n"/>
      <c r="DN54" s="33" t="n"/>
      <c r="DO54" s="33" t="n"/>
      <c r="DP54" s="33" t="n"/>
      <c r="DQ54" s="33" t="n"/>
      <c r="DR54" s="33" t="n"/>
      <c r="DS54" s="33" t="n"/>
      <c r="DT54" s="33" t="n"/>
      <c r="DU54" s="33" t="n"/>
      <c r="DV54" s="33" t="n"/>
      <c r="DW54" s="33" t="n"/>
      <c r="DX54" s="33" t="n"/>
      <c r="DY54" s="33" t="n"/>
      <c r="DZ54" s="33" t="n"/>
      <c r="EA54" s="33" t="n"/>
      <c r="EB54" s="33" t="n"/>
      <c r="EC54" s="33" t="n"/>
      <c r="ED54" s="33" t="n"/>
      <c r="EE54" s="33" t="n"/>
      <c r="EF54" s="33" t="n"/>
      <c r="EG54" s="33" t="n"/>
      <c r="EH54" s="33" t="n"/>
      <c r="EI54" s="33" t="n"/>
      <c r="EJ54" s="33" t="n"/>
      <c r="EK54" s="33" t="n"/>
      <c r="EL54" s="33" t="n"/>
      <c r="EM54" s="33" t="n"/>
      <c r="EN54" s="33" t="n"/>
      <c r="EO54" s="33" t="n"/>
      <c r="EP54" s="33" t="n"/>
      <c r="EQ54" s="33" t="n"/>
      <c r="ER54" s="33" t="n"/>
      <c r="ES54" s="33" t="n"/>
      <c r="ET54" s="33" t="n"/>
      <c r="EU54" s="33" t="n"/>
      <c r="EV54" s="33" t="n"/>
      <c r="EW54" s="33" t="n"/>
      <c r="EX54" s="33" t="n"/>
      <c r="EY54" s="33" t="n"/>
      <c r="EZ54" s="33" t="n"/>
      <c r="FA54" s="33" t="n"/>
      <c r="FB54" s="33" t="n"/>
      <c r="FC54" s="33" t="n"/>
      <c r="FD54" s="33" t="n"/>
      <c r="FE54" s="33" t="n"/>
      <c r="FF54" s="33" t="n"/>
      <c r="FG54" s="33" t="n"/>
      <c r="FH54" s="33" t="n"/>
      <c r="FI54" s="33" t="n"/>
      <c r="FJ54" s="33" t="n"/>
      <c r="FK54" s="33" t="n"/>
      <c r="FL54" s="33" t="n"/>
      <c r="FM54" s="33" t="n"/>
      <c r="FN54" s="33" t="n"/>
      <c r="FO54" s="33" t="n"/>
      <c r="FP54" s="33" t="n"/>
      <c r="FQ54" s="33" t="n"/>
      <c r="FR54" s="33" t="n"/>
      <c r="FS54" s="33" t="n"/>
      <c r="FT54" s="33" t="n"/>
      <c r="FU54" s="33" t="n"/>
      <c r="FV54" s="33" t="n"/>
      <c r="FW54" s="33" t="n"/>
      <c r="FX54" s="33" t="n"/>
      <c r="FY54" s="33" t="n"/>
      <c r="FZ54" s="33" t="n"/>
      <c r="GA54" s="33" t="n"/>
      <c r="GB54" s="33" t="n"/>
      <c r="GC54" s="33" t="n"/>
      <c r="GD54" s="33" t="n"/>
      <c r="GE54" s="33" t="n"/>
      <c r="GF54" s="33" t="n"/>
      <c r="GG54" s="33" t="n"/>
      <c r="GH54" s="33" t="n"/>
      <c r="GI54" s="33" t="n"/>
      <c r="GJ54" s="33" t="n"/>
      <c r="GK54" s="33" t="n"/>
      <c r="GL54" s="33" t="n"/>
      <c r="GM54" s="33" t="n"/>
      <c r="GN54" s="33" t="n"/>
      <c r="GO54" s="33" t="n"/>
      <c r="GP54" s="33" t="n"/>
      <c r="GQ54" s="33" t="n"/>
      <c r="GR54" s="33" t="n"/>
      <c r="GS54" s="33" t="n"/>
      <c r="GT54" s="33" t="n"/>
      <c r="GU54" s="33" t="n"/>
      <c r="GV54" s="33" t="n"/>
      <c r="GW54" s="33" t="n"/>
      <c r="GX54" s="33" t="n"/>
      <c r="GY54" s="33" t="n"/>
      <c r="GZ54" s="33" t="n"/>
      <c r="HA54" s="33" t="n"/>
      <c r="HB54" s="33" t="n"/>
      <c r="HC54" s="33" t="n"/>
      <c r="HD54" s="33" t="n"/>
      <c r="HE54" s="33" t="n"/>
      <c r="HF54" s="33" t="n"/>
      <c r="HG54" s="33" t="n"/>
      <c r="HH54" s="33" t="n"/>
      <c r="HI54" s="33" t="n"/>
      <c r="HJ54" s="33" t="n"/>
      <c r="HK54" s="33" t="n"/>
      <c r="HL54" s="33" t="n"/>
      <c r="HM54" s="33" t="n"/>
      <c r="HN54" s="33" t="n"/>
      <c r="HO54" s="33" t="n"/>
      <c r="HP54" s="33" t="n"/>
      <c r="HQ54" s="33" t="n"/>
      <c r="HR54" s="33" t="n"/>
      <c r="HS54" s="33" t="n"/>
      <c r="HT54" s="33" t="n"/>
      <c r="HU54" s="33" t="n"/>
      <c r="HV54" s="33" t="n"/>
      <c r="HW54" s="33" t="n"/>
      <c r="HX54" s="33" t="n"/>
      <c r="HY54" s="33" t="n"/>
      <c r="HZ54" s="33" t="n"/>
      <c r="IA54" s="33" t="n"/>
      <c r="IB54" s="33" t="n"/>
      <c r="IC54" s="33" t="n"/>
      <c r="ID54" s="33" t="n"/>
      <c r="IE54" s="33" t="n"/>
      <c r="IF54" s="33" t="n"/>
      <c r="IG54" s="33" t="n"/>
      <c r="IH54" s="33" t="n"/>
      <c r="II54" s="33" t="n"/>
      <c r="IJ54" s="33" t="n"/>
      <c r="IK54" s="33" t="n"/>
      <c r="IL54" s="33" t="n"/>
      <c r="IM54" s="33" t="n"/>
      <c r="IN54" s="33" t="n"/>
      <c r="IO54" s="33" t="n"/>
      <c r="IP54" s="33" t="n"/>
      <c r="IQ54" s="33" t="n"/>
      <c r="IR54" s="33" t="n"/>
      <c r="IS54" s="33" t="n"/>
      <c r="IT54" s="33" t="n"/>
      <c r="IU54" s="33" t="n"/>
      <c r="IV54" s="33" t="n"/>
      <c r="IW54" s="33" t="n"/>
      <c r="IX54" s="33" t="n"/>
      <c r="IY54" s="33" t="n"/>
      <c r="IZ54" s="33" t="n"/>
      <c r="JA54" s="33" t="n"/>
      <c r="JB54" s="33" t="n"/>
      <c r="JC54" s="33" t="n"/>
      <c r="JD54" s="33" t="n"/>
      <c r="JE54" s="33" t="n"/>
      <c r="JF54" s="33" t="n"/>
      <c r="JG54" s="33" t="n"/>
      <c r="JH54" s="33" t="n"/>
      <c r="JI54" s="33" t="n"/>
      <c r="JJ54" s="33" t="n"/>
      <c r="JK54" s="33" t="n"/>
      <c r="JL54" s="33" t="n"/>
      <c r="JM54" s="33" t="n"/>
      <c r="JN54" s="33" t="n"/>
      <c r="JO54" s="33" t="n"/>
      <c r="JP54" s="33" t="n"/>
      <c r="JQ54" s="33" t="n"/>
      <c r="JR54" s="33" t="n"/>
      <c r="JS54" s="33" t="n"/>
      <c r="JT54" s="33" t="n"/>
      <c r="JU54" s="33" t="n"/>
      <c r="JV54" s="33" t="n"/>
      <c r="JW54" s="33" t="n"/>
      <c r="JX54" s="33" t="n"/>
      <c r="JY54" s="33" t="n"/>
      <c r="JZ54" s="33" t="n"/>
      <c r="KA54" s="33" t="n"/>
      <c r="KB54" s="33" t="n"/>
      <c r="KC54" s="33" t="n"/>
      <c r="KD54" s="33" t="n"/>
      <c r="KE54" s="33" t="n"/>
      <c r="KF54" s="33" t="n"/>
      <c r="KG54" s="33" t="n"/>
      <c r="KH54" s="33" t="n"/>
      <c r="KI54" s="33" t="n"/>
      <c r="KJ54" s="33" t="n"/>
      <c r="KK54" s="33" t="n"/>
      <c r="KL54" s="33" t="n"/>
      <c r="KM54" s="33" t="n"/>
      <c r="KN54" s="33" t="n"/>
      <c r="KO54" s="33" t="n"/>
      <c r="KP54" s="33" t="n"/>
      <c r="KQ54" s="33" t="n"/>
      <c r="KR54" s="33" t="n"/>
      <c r="KS54" s="33" t="n"/>
      <c r="KT54" s="33" t="n"/>
      <c r="KU54" s="33" t="n"/>
      <c r="KV54" s="33" t="n"/>
      <c r="KW54" s="33" t="n"/>
      <c r="KX54" s="33" t="n"/>
      <c r="KY54" s="33" t="n"/>
      <c r="KZ54" s="33" t="n"/>
      <c r="LA54" s="33" t="n"/>
      <c r="LB54" s="33" t="n"/>
      <c r="LC54" s="33" t="n"/>
      <c r="LD54" s="33" t="n"/>
      <c r="LE54" s="33" t="n"/>
      <c r="LF54" s="33" t="n"/>
      <c r="LG54" s="33" t="n"/>
      <c r="LH54" s="33" t="n"/>
      <c r="LI54" s="33" t="n"/>
      <c r="LJ54" s="33" t="n"/>
      <c r="LK54" s="33" t="n"/>
      <c r="LL54" s="33" t="n"/>
      <c r="LM54" s="33" t="n"/>
      <c r="LN54" s="33" t="n"/>
      <c r="LO54" s="33" t="n"/>
      <c r="LP54" s="33" t="n"/>
      <c r="LQ54" s="33" t="n"/>
      <c r="LR54" s="33" t="n"/>
      <c r="LS54" s="33" t="n"/>
      <c r="LT54" s="33" t="n"/>
      <c r="LU54" s="33" t="n"/>
      <c r="LV54" s="33" t="n"/>
      <c r="LW54" s="33" t="n"/>
      <c r="LX54" s="33" t="n"/>
      <c r="LY54" s="33" t="n"/>
      <c r="LZ54" s="33" t="n"/>
      <c r="MA54" s="33" t="n"/>
      <c r="MB54" s="33" t="n"/>
      <c r="MC54" s="33" t="n"/>
      <c r="MD54" s="33" t="n"/>
      <c r="ME54" s="33" t="n"/>
      <c r="MF54" s="33" t="n"/>
      <c r="MG54" s="33" t="n"/>
      <c r="MH54" s="33" t="n"/>
      <c r="MI54" s="33" t="n"/>
      <c r="MJ54" s="33" t="n"/>
      <c r="MK54" s="33" t="n"/>
      <c r="ML54" s="33" t="n"/>
      <c r="MM54" s="33" t="n"/>
      <c r="MN54" s="33" t="n"/>
      <c r="MO54" s="33" t="n"/>
      <c r="MP54" s="33" t="n"/>
      <c r="MQ54" s="33" t="n"/>
      <c r="MR54" s="33" t="n"/>
      <c r="MS54" s="33" t="n"/>
      <c r="MT54" s="33" t="n"/>
      <c r="MU54" s="33" t="n"/>
      <c r="MV54" s="33" t="n"/>
      <c r="MW54" s="33" t="n"/>
      <c r="MX54" s="33" t="n"/>
      <c r="MY54" s="33" t="n"/>
      <c r="MZ54" s="33" t="n"/>
      <c r="NA54" s="33" t="n"/>
      <c r="NB54" s="33" t="n"/>
      <c r="NC54" s="33" t="n"/>
      <c r="ND54" s="33" t="n"/>
      <c r="NE54" s="33" t="n"/>
      <c r="NF54" s="33" t="n"/>
      <c r="NG54" s="33" t="n"/>
      <c r="NH54" s="33" t="n"/>
      <c r="NI54" s="33" t="n"/>
      <c r="NJ54" s="33" t="n"/>
      <c r="NK54" s="33" t="n"/>
      <c r="NL54" s="33" t="n"/>
      <c r="NM54" s="33" t="n"/>
      <c r="NN54" s="33" t="n"/>
      <c r="NO54" s="33" t="n"/>
      <c r="NP54" s="33" t="n"/>
      <c r="NQ54" s="33" t="n"/>
      <c r="NR54" s="33" t="n"/>
      <c r="NS54" s="33" t="n"/>
      <c r="NT54" s="33" t="n"/>
      <c r="NU54" s="33" t="n"/>
      <c r="NV54" s="33" t="n"/>
      <c r="NW54" s="33" t="n"/>
      <c r="NX54" s="33" t="n"/>
      <c r="NY54" s="33" t="n"/>
      <c r="NZ54" s="33" t="n"/>
      <c r="OA54" s="33" t="n"/>
      <c r="OB54" s="33" t="n"/>
      <c r="OC54" s="33" t="n"/>
      <c r="OD54" s="33" t="n"/>
      <c r="OE54" s="33" t="n"/>
      <c r="OF54" s="33" t="n"/>
      <c r="OG54" s="33" t="n"/>
      <c r="OH54" s="33" t="n"/>
      <c r="OI54" s="33" t="n"/>
      <c r="OJ54" s="33" t="n"/>
      <c r="OK54" s="33" t="n"/>
      <c r="OL54" s="33" t="n"/>
      <c r="OM54" s="33" t="n"/>
      <c r="ON54" s="33" t="n"/>
      <c r="OO54" s="33" t="n"/>
      <c r="OP54" s="33" t="n"/>
      <c r="OQ54" s="33" t="n"/>
      <c r="OR54" s="33" t="n"/>
      <c r="OS54" s="33" t="n"/>
      <c r="OT54" s="33" t="n"/>
      <c r="OU54" s="33" t="n"/>
      <c r="OV54" s="33" t="n"/>
      <c r="OW54" s="33" t="n"/>
      <c r="OX54" s="33" t="n"/>
      <c r="OY54" s="33" t="n"/>
      <c r="OZ54" s="33" t="n"/>
      <c r="PA54" s="33" t="n"/>
      <c r="PB54" s="33" t="n"/>
      <c r="PC54" s="33" t="n"/>
      <c r="PD54" s="33" t="n"/>
      <c r="PE54" s="33" t="n"/>
      <c r="PF54" s="33" t="n"/>
      <c r="PG54" s="33" t="n"/>
      <c r="PH54" s="33" t="n"/>
      <c r="PI54" s="33" t="n"/>
      <c r="PJ54" s="33" t="n"/>
      <c r="PK54" s="33" t="n"/>
      <c r="PL54" s="33" t="n"/>
      <c r="PM54" s="33" t="n"/>
      <c r="PN54" s="33" t="n"/>
      <c r="PO54" s="33" t="n"/>
      <c r="PP54" s="33" t="n"/>
      <c r="PQ54" s="33" t="n"/>
      <c r="PR54" s="33" t="n"/>
      <c r="PS54" s="33" t="n"/>
      <c r="PT54" s="33" t="n"/>
      <c r="PU54" s="33" t="n"/>
      <c r="PV54" s="33" t="n"/>
      <c r="PW54" s="33" t="n"/>
      <c r="PX54" s="33" t="n"/>
      <c r="PY54" s="33" t="n"/>
      <c r="PZ54" s="33" t="n"/>
      <c r="QA54" s="33" t="n"/>
      <c r="QB54" s="33" t="n"/>
      <c r="QC54" s="33" t="n"/>
      <c r="QD54" s="33" t="n"/>
      <c r="QE54" s="33" t="n"/>
      <c r="QF54" s="33" t="n"/>
      <c r="QG54" s="33" t="n"/>
      <c r="QH54" s="33" t="n"/>
      <c r="QI54" s="33" t="n"/>
      <c r="QJ54" s="33" t="n"/>
      <c r="QK54" s="33" t="n"/>
      <c r="QL54" s="33" t="n"/>
      <c r="QM54" s="33" t="n"/>
      <c r="QN54" s="33" t="n"/>
      <c r="QO54" s="33" t="n"/>
      <c r="QP54" s="33" t="n"/>
      <c r="QQ54" s="33" t="n"/>
      <c r="QR54" s="33" t="n"/>
      <c r="QS54" s="33" t="n"/>
      <c r="QT54" s="33" t="n"/>
      <c r="QU54" s="33" t="n"/>
      <c r="QV54" s="33" t="n"/>
      <c r="QW54" s="33" t="n"/>
      <c r="QX54" s="33" t="n"/>
      <c r="QY54" s="33" t="n"/>
      <c r="QZ54" s="33" t="n"/>
      <c r="RA54" s="33" t="n"/>
      <c r="RB54" s="33" t="n"/>
      <c r="RC54" s="33" t="n"/>
      <c r="RD54" s="33" t="n"/>
      <c r="RE54" s="33" t="n"/>
      <c r="RF54" s="33" t="n"/>
      <c r="RG54" s="33" t="n"/>
      <c r="RH54" s="33" t="n"/>
      <c r="RI54" s="33" t="n"/>
      <c r="RJ54" s="33" t="n"/>
      <c r="RK54" s="33" t="n"/>
      <c r="RL54" s="33" t="n"/>
      <c r="RM54" s="33" t="n"/>
      <c r="RN54" s="33" t="n"/>
      <c r="RO54" s="33" t="n"/>
      <c r="RP54" s="33" t="n"/>
      <c r="RQ54" s="33" t="n"/>
      <c r="RR54" s="33" t="n"/>
      <c r="RS54" s="33" t="n"/>
      <c r="RT54" s="33" t="n"/>
      <c r="RU54" s="33" t="n"/>
      <c r="RV54" s="33" t="n"/>
      <c r="RW54" s="33" t="n"/>
    </row>
    <row r="55" ht="5.25" customHeight="1"/>
    <row r="56" ht="13.05" customHeight="1">
      <c r="E56" s="21" t="inlineStr">
        <is>
          <t>Enterprise Value</t>
        </is>
      </c>
      <c r="F56" s="29" t="n"/>
      <c r="G56" s="29" t="inlineStr">
        <is>
          <t>kEUR</t>
        </is>
      </c>
      <c r="H56" s="29" t="n"/>
      <c r="I56" s="29" t="n"/>
      <c r="J56" s="32" t="n"/>
      <c r="K56" s="29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3" t="n"/>
      <c r="AY56" s="33" t="n"/>
      <c r="AZ56" s="33" t="n"/>
      <c r="BA56" s="33" t="n"/>
      <c r="BB56" s="33" t="n"/>
      <c r="BC56" s="33" t="n"/>
      <c r="BD56" s="33" t="n"/>
      <c r="BE56" s="33" t="n"/>
      <c r="BF56" s="33" t="n"/>
      <c r="BG56" s="33" t="n"/>
      <c r="BH56" s="33" t="n"/>
      <c r="BI56" s="33" t="n"/>
      <c r="BJ56" s="33" t="n"/>
      <c r="BK56" s="33" t="n"/>
      <c r="BL56" s="33" t="n"/>
      <c r="BM56" s="33" t="n"/>
      <c r="BN56" s="33" t="n"/>
      <c r="BO56" s="33" t="n"/>
      <c r="BP56" s="33" t="n"/>
      <c r="BQ56" s="33" t="n"/>
      <c r="BR56" s="33" t="n"/>
      <c r="BS56" s="33" t="n"/>
      <c r="BT56" s="33" t="n"/>
      <c r="BU56" s="33" t="n"/>
      <c r="BV56" s="33" t="n"/>
      <c r="BW56" s="33" t="n"/>
      <c r="BX56" s="33" t="n"/>
      <c r="BY56" s="33" t="n"/>
      <c r="BZ56" s="33" t="n"/>
      <c r="CA56" s="33" t="n"/>
      <c r="CB56" s="33" t="n"/>
      <c r="CC56" s="33" t="n"/>
      <c r="CD56" s="33" t="n"/>
      <c r="CE56" s="33" t="n"/>
      <c r="CF56" s="33" t="n"/>
      <c r="CG56" s="33" t="n"/>
      <c r="CH56" s="33" t="n"/>
      <c r="CI56" s="33" t="n"/>
      <c r="CJ56" s="33" t="n"/>
      <c r="CK56" s="33" t="n"/>
      <c r="CL56" s="33" t="n"/>
      <c r="CM56" s="33" t="n"/>
      <c r="CN56" s="33" t="n"/>
      <c r="CO56" s="33" t="n"/>
      <c r="CP56" s="33" t="n"/>
      <c r="CQ56" s="33" t="n"/>
      <c r="CR56" s="33" t="n"/>
      <c r="CS56" s="33" t="n"/>
      <c r="CT56" s="33" t="n"/>
      <c r="CU56" s="33" t="n"/>
      <c r="CV56" s="33" t="n"/>
      <c r="CW56" s="33" t="n"/>
      <c r="CX56" s="33" t="n"/>
      <c r="CY56" s="33" t="n"/>
      <c r="CZ56" s="33" t="n"/>
      <c r="DA56" s="33" t="n"/>
      <c r="DB56" s="33" t="n"/>
      <c r="DC56" s="33" t="n"/>
      <c r="DD56" s="33" t="n"/>
      <c r="DE56" s="33" t="n"/>
      <c r="DF56" s="33" t="n"/>
      <c r="DG56" s="33" t="n"/>
      <c r="DH56" s="33" t="n"/>
      <c r="DI56" s="33" t="n"/>
      <c r="DJ56" s="33" t="n"/>
      <c r="DK56" s="33" t="n"/>
      <c r="DL56" s="33" t="n"/>
      <c r="DM56" s="33" t="n"/>
      <c r="DN56" s="33" t="n"/>
      <c r="DO56" s="33" t="n"/>
      <c r="DP56" s="33" t="n"/>
      <c r="DQ56" s="33" t="n"/>
      <c r="DR56" s="33" t="n"/>
      <c r="DS56" s="33" t="n"/>
      <c r="DT56" s="33" t="n"/>
      <c r="DU56" s="33" t="n"/>
      <c r="DV56" s="33" t="n"/>
      <c r="DW56" s="33" t="n"/>
      <c r="DX56" s="33" t="n"/>
      <c r="DY56" s="33" t="n"/>
      <c r="DZ56" s="33" t="n"/>
      <c r="EA56" s="33" t="n"/>
      <c r="EB56" s="33" t="n"/>
      <c r="EC56" s="33" t="n"/>
      <c r="ED56" s="33" t="n"/>
      <c r="EE56" s="33" t="n"/>
      <c r="EF56" s="33" t="n"/>
      <c r="EG56" s="33" t="n"/>
      <c r="EH56" s="33" t="n"/>
      <c r="EI56" s="33" t="n"/>
      <c r="EJ56" s="33" t="n"/>
      <c r="EK56" s="33" t="n"/>
      <c r="EL56" s="33" t="n"/>
      <c r="EM56" s="33" t="n"/>
      <c r="EN56" s="33" t="n"/>
      <c r="EO56" s="33" t="n"/>
      <c r="EP56" s="33" t="n"/>
      <c r="EQ56" s="33" t="n"/>
      <c r="ER56" s="33" t="n"/>
      <c r="ES56" s="33" t="n"/>
      <c r="ET56" s="33" t="n"/>
      <c r="EU56" s="33" t="n"/>
      <c r="EV56" s="33" t="n"/>
      <c r="EW56" s="33" t="n"/>
      <c r="EX56" s="33" t="n"/>
      <c r="EY56" s="33" t="n"/>
      <c r="EZ56" s="33" t="n"/>
      <c r="FA56" s="33" t="n"/>
      <c r="FB56" s="33" t="n"/>
      <c r="FC56" s="33" t="n"/>
      <c r="FD56" s="33" t="n"/>
      <c r="FE56" s="33" t="n"/>
      <c r="FF56" s="33" t="n"/>
      <c r="FG56" s="33" t="n"/>
      <c r="FH56" s="33" t="n"/>
      <c r="FI56" s="33" t="n"/>
      <c r="FJ56" s="33" t="n"/>
      <c r="FK56" s="33" t="n"/>
      <c r="FL56" s="33" t="n"/>
      <c r="FM56" s="33" t="n"/>
      <c r="FN56" s="33" t="n"/>
      <c r="FO56" s="33" t="n"/>
      <c r="FP56" s="33" t="n"/>
      <c r="FQ56" s="33" t="n"/>
      <c r="FR56" s="33" t="n"/>
      <c r="FS56" s="33" t="n"/>
      <c r="FT56" s="33" t="n"/>
      <c r="FU56" s="33" t="n"/>
      <c r="FV56" s="33" t="n"/>
      <c r="FW56" s="33" t="n"/>
      <c r="FX56" s="33" t="n"/>
      <c r="FY56" s="33" t="n"/>
      <c r="FZ56" s="33" t="n"/>
      <c r="GA56" s="33" t="n"/>
      <c r="GB56" s="33" t="n"/>
      <c r="GC56" s="33" t="n"/>
      <c r="GD56" s="33" t="n"/>
      <c r="GE56" s="33" t="n"/>
      <c r="GF56" s="33" t="n"/>
      <c r="GG56" s="33" t="n"/>
      <c r="GH56" s="33" t="n"/>
      <c r="GI56" s="33" t="n"/>
      <c r="GJ56" s="33" t="n"/>
      <c r="GK56" s="33" t="n"/>
      <c r="GL56" s="33" t="n"/>
      <c r="GM56" s="33" t="n"/>
      <c r="GN56" s="33" t="n"/>
      <c r="GO56" s="33" t="n"/>
      <c r="GP56" s="33" t="n"/>
      <c r="GQ56" s="33" t="n"/>
      <c r="GR56" s="33" t="n"/>
      <c r="GS56" s="33" t="n"/>
      <c r="GT56" s="33" t="n"/>
      <c r="GU56" s="33" t="n"/>
      <c r="GV56" s="33" t="n"/>
      <c r="GW56" s="33" t="n"/>
      <c r="GX56" s="33" t="n"/>
      <c r="GY56" s="33" t="n"/>
      <c r="GZ56" s="33" t="n"/>
      <c r="HA56" s="33" t="n"/>
      <c r="HB56" s="33" t="n"/>
      <c r="HC56" s="33" t="n"/>
      <c r="HD56" s="33" t="n"/>
      <c r="HE56" s="33" t="n"/>
      <c r="HF56" s="33" t="n"/>
      <c r="HG56" s="33" t="n"/>
      <c r="HH56" s="33" t="n"/>
      <c r="HI56" s="33" t="n"/>
      <c r="HJ56" s="33" t="n"/>
      <c r="HK56" s="33" t="n"/>
      <c r="HL56" s="33" t="n"/>
      <c r="HM56" s="33" t="n"/>
      <c r="HN56" s="33" t="n"/>
      <c r="HO56" s="33" t="n"/>
      <c r="HP56" s="33" t="n"/>
      <c r="HQ56" s="33" t="n"/>
      <c r="HR56" s="33" t="n"/>
      <c r="HS56" s="33" t="n"/>
      <c r="HT56" s="33" t="n"/>
      <c r="HU56" s="33" t="n"/>
      <c r="HV56" s="33" t="n"/>
      <c r="HW56" s="33" t="n"/>
      <c r="HX56" s="33" t="n"/>
      <c r="HY56" s="33" t="n"/>
      <c r="HZ56" s="33" t="n"/>
      <c r="IA56" s="33" t="n"/>
      <c r="IB56" s="33" t="n"/>
      <c r="IC56" s="33" t="n"/>
      <c r="ID56" s="33" t="n"/>
      <c r="IE56" s="33" t="n"/>
      <c r="IF56" s="33" t="n"/>
      <c r="IG56" s="33" t="n"/>
      <c r="IH56" s="33" t="n"/>
      <c r="II56" s="33" t="n"/>
      <c r="IJ56" s="33" t="n"/>
      <c r="IK56" s="33" t="n"/>
      <c r="IL56" s="33" t="n"/>
      <c r="IM56" s="33" t="n"/>
      <c r="IN56" s="33" t="n"/>
      <c r="IO56" s="33" t="n"/>
      <c r="IP56" s="33" t="n"/>
      <c r="IQ56" s="33" t="n"/>
      <c r="IR56" s="33" t="n"/>
      <c r="IS56" s="33" t="n"/>
      <c r="IT56" s="33" t="n"/>
      <c r="IU56" s="33" t="n"/>
      <c r="IV56" s="33" t="n"/>
      <c r="IW56" s="33" t="n"/>
      <c r="IX56" s="33" t="n"/>
      <c r="IY56" s="33" t="n"/>
      <c r="IZ56" s="33" t="n"/>
      <c r="JA56" s="33" t="n"/>
      <c r="JB56" s="33" t="n"/>
      <c r="JC56" s="33" t="n"/>
      <c r="JD56" s="33" t="n"/>
      <c r="JE56" s="33" t="n"/>
      <c r="JF56" s="33" t="n"/>
      <c r="JG56" s="33" t="n"/>
      <c r="JH56" s="33" t="n"/>
      <c r="JI56" s="33" t="n"/>
      <c r="JJ56" s="33" t="n"/>
      <c r="JK56" s="33" t="n"/>
      <c r="JL56" s="33" t="n"/>
      <c r="JM56" s="33" t="n"/>
      <c r="JN56" s="33" t="n"/>
      <c r="JO56" s="33" t="n"/>
      <c r="JP56" s="33" t="n"/>
      <c r="JQ56" s="33" t="n"/>
      <c r="JR56" s="33" t="n"/>
      <c r="JS56" s="33" t="n"/>
      <c r="JT56" s="33" t="n"/>
      <c r="JU56" s="33" t="n"/>
      <c r="JV56" s="33" t="n"/>
      <c r="JW56" s="33" t="n"/>
      <c r="JX56" s="33" t="n"/>
      <c r="JY56" s="33" t="n"/>
      <c r="JZ56" s="33" t="n"/>
      <c r="KA56" s="33" t="n"/>
      <c r="KB56" s="33" t="n"/>
      <c r="KC56" s="33" t="n"/>
      <c r="KD56" s="33" t="n"/>
      <c r="KE56" s="33" t="n"/>
      <c r="KF56" s="33" t="n"/>
      <c r="KG56" s="33" t="n"/>
      <c r="KH56" s="33" t="n"/>
      <c r="KI56" s="33" t="n"/>
      <c r="KJ56" s="33" t="n"/>
      <c r="KK56" s="33" t="n"/>
      <c r="KL56" s="33" t="n"/>
      <c r="KM56" s="33" t="n"/>
      <c r="KN56" s="33" t="n"/>
      <c r="KO56" s="33" t="n"/>
      <c r="KP56" s="33" t="n"/>
      <c r="KQ56" s="33" t="n"/>
      <c r="KR56" s="33" t="n"/>
      <c r="KS56" s="33" t="n"/>
      <c r="KT56" s="33" t="n"/>
      <c r="KU56" s="33" t="n"/>
      <c r="KV56" s="33" t="n"/>
      <c r="KW56" s="33" t="n"/>
      <c r="KX56" s="33" t="n"/>
      <c r="KY56" s="33" t="n"/>
      <c r="KZ56" s="33" t="n"/>
      <c r="LA56" s="33" t="n"/>
      <c r="LB56" s="33" t="n"/>
      <c r="LC56" s="33" t="n"/>
      <c r="LD56" s="33" t="n"/>
      <c r="LE56" s="33" t="n"/>
      <c r="LF56" s="33" t="n"/>
      <c r="LG56" s="33" t="n"/>
      <c r="LH56" s="33" t="n"/>
      <c r="LI56" s="33" t="n"/>
      <c r="LJ56" s="33" t="n"/>
      <c r="LK56" s="33" t="n"/>
      <c r="LL56" s="33" t="n"/>
      <c r="LM56" s="33" t="n"/>
      <c r="LN56" s="33" t="n"/>
      <c r="LO56" s="33" t="n"/>
      <c r="LP56" s="33" t="n"/>
      <c r="LQ56" s="33" t="n"/>
      <c r="LR56" s="33" t="n"/>
      <c r="LS56" s="33" t="n"/>
      <c r="LT56" s="33" t="n"/>
      <c r="LU56" s="33" t="n"/>
      <c r="LV56" s="33" t="n"/>
      <c r="LW56" s="33" t="n"/>
      <c r="LX56" s="33" t="n"/>
      <c r="LY56" s="33" t="n"/>
      <c r="LZ56" s="33" t="n"/>
      <c r="MA56" s="33" t="n"/>
      <c r="MB56" s="33" t="n"/>
      <c r="MC56" s="33" t="n"/>
      <c r="MD56" s="33" t="n"/>
      <c r="ME56" s="33" t="n"/>
      <c r="MF56" s="33" t="n"/>
      <c r="MG56" s="33" t="n"/>
      <c r="MH56" s="33" t="n"/>
      <c r="MI56" s="33" t="n"/>
      <c r="MJ56" s="33" t="n"/>
      <c r="MK56" s="33" t="n"/>
      <c r="ML56" s="33" t="n"/>
      <c r="MM56" s="33" t="n"/>
      <c r="MN56" s="33" t="n"/>
      <c r="MO56" s="33" t="n"/>
      <c r="MP56" s="33" t="n"/>
      <c r="MQ56" s="33" t="n"/>
      <c r="MR56" s="33" t="n"/>
      <c r="MS56" s="33" t="n"/>
      <c r="MT56" s="33" t="n"/>
      <c r="MU56" s="33" t="n"/>
      <c r="MV56" s="33" t="n"/>
      <c r="MW56" s="33" t="n"/>
      <c r="MX56" s="33" t="n"/>
      <c r="MY56" s="33" t="n"/>
      <c r="MZ56" s="33" t="n"/>
      <c r="NA56" s="33" t="n"/>
      <c r="NB56" s="33" t="n"/>
      <c r="NC56" s="33" t="n"/>
      <c r="ND56" s="33" t="n"/>
      <c r="NE56" s="33" t="n"/>
      <c r="NF56" s="33" t="n"/>
      <c r="NG56" s="33" t="n"/>
      <c r="NH56" s="33" t="n"/>
      <c r="NI56" s="33" t="n"/>
      <c r="NJ56" s="33" t="n"/>
      <c r="NK56" s="33" t="n"/>
      <c r="NL56" s="33" t="n"/>
      <c r="NM56" s="33" t="n"/>
      <c r="NN56" s="33" t="n"/>
      <c r="NO56" s="33" t="n"/>
      <c r="NP56" s="33" t="n"/>
      <c r="NQ56" s="33" t="n"/>
      <c r="NR56" s="33" t="n"/>
      <c r="NS56" s="33" t="n"/>
      <c r="NT56" s="33" t="n"/>
      <c r="NU56" s="33" t="n"/>
      <c r="NV56" s="33" t="n"/>
      <c r="NW56" s="33" t="n"/>
      <c r="NX56" s="33" t="n"/>
      <c r="NY56" s="33" t="n"/>
      <c r="NZ56" s="33" t="n"/>
      <c r="OA56" s="33" t="n"/>
      <c r="OB56" s="33" t="n"/>
      <c r="OC56" s="33" t="n"/>
      <c r="OD56" s="33" t="n"/>
      <c r="OE56" s="33" t="n"/>
      <c r="OF56" s="33" t="n"/>
      <c r="OG56" s="33" t="n"/>
      <c r="OH56" s="33" t="n"/>
      <c r="OI56" s="33" t="n"/>
      <c r="OJ56" s="33" t="n"/>
      <c r="OK56" s="33" t="n"/>
      <c r="OL56" s="33" t="n"/>
      <c r="OM56" s="33" t="n"/>
      <c r="ON56" s="33" t="n"/>
      <c r="OO56" s="33" t="n"/>
      <c r="OP56" s="33" t="n"/>
      <c r="OQ56" s="33" t="n"/>
      <c r="OR56" s="33" t="n"/>
      <c r="OS56" s="33" t="n"/>
      <c r="OT56" s="33" t="n"/>
      <c r="OU56" s="33" t="n"/>
      <c r="OV56" s="33" t="n"/>
      <c r="OW56" s="33" t="n"/>
      <c r="OX56" s="33" t="n"/>
      <c r="OY56" s="33" t="n"/>
      <c r="OZ56" s="33" t="n"/>
      <c r="PA56" s="33" t="n"/>
      <c r="PB56" s="33" t="n"/>
      <c r="PC56" s="33" t="n"/>
      <c r="PD56" s="33" t="n"/>
      <c r="PE56" s="33" t="n"/>
      <c r="PF56" s="33" t="n"/>
      <c r="PG56" s="33" t="n"/>
      <c r="PH56" s="33" t="n"/>
      <c r="PI56" s="33" t="n"/>
      <c r="PJ56" s="33" t="n"/>
      <c r="PK56" s="33" t="n"/>
      <c r="PL56" s="33" t="n"/>
      <c r="PM56" s="33" t="n"/>
      <c r="PN56" s="33" t="n"/>
      <c r="PO56" s="33" t="n"/>
      <c r="PP56" s="33" t="n"/>
      <c r="PQ56" s="33" t="n"/>
      <c r="PR56" s="33" t="n"/>
      <c r="PS56" s="33" t="n"/>
      <c r="PT56" s="33" t="n"/>
      <c r="PU56" s="33" t="n"/>
      <c r="PV56" s="33" t="n"/>
      <c r="PW56" s="33" t="n"/>
      <c r="PX56" s="33" t="n"/>
      <c r="PY56" s="33" t="n"/>
      <c r="PZ56" s="33" t="n"/>
      <c r="QA56" s="33" t="n"/>
      <c r="QB56" s="33" t="n"/>
      <c r="QC56" s="33" t="n"/>
      <c r="QD56" s="33" t="n"/>
      <c r="QE56" s="33" t="n"/>
      <c r="QF56" s="33" t="n"/>
      <c r="QG56" s="33" t="n"/>
      <c r="QH56" s="33" t="n"/>
      <c r="QI56" s="33" t="n"/>
      <c r="QJ56" s="33" t="n"/>
      <c r="QK56" s="33" t="n"/>
      <c r="QL56" s="33" t="n"/>
      <c r="QM56" s="33" t="n"/>
      <c r="QN56" s="33" t="n"/>
      <c r="QO56" s="33" t="n"/>
      <c r="QP56" s="33" t="n"/>
      <c r="QQ56" s="33" t="n"/>
      <c r="QR56" s="33" t="n"/>
      <c r="QS56" s="33" t="n"/>
      <c r="QT56" s="33" t="n"/>
      <c r="QU56" s="33" t="n"/>
      <c r="QV56" s="33" t="n"/>
      <c r="QW56" s="33" t="n"/>
      <c r="QX56" s="33" t="n"/>
      <c r="QY56" s="33" t="n"/>
      <c r="QZ56" s="33" t="n"/>
      <c r="RA56" s="33" t="n"/>
      <c r="RB56" s="33" t="n"/>
      <c r="RC56" s="33" t="n"/>
      <c r="RD56" s="33" t="n"/>
      <c r="RE56" s="33" t="n"/>
      <c r="RF56" s="33" t="n"/>
      <c r="RG56" s="33" t="n"/>
      <c r="RH56" s="33" t="n"/>
      <c r="RI56" s="33" t="n"/>
      <c r="RJ56" s="33" t="n"/>
      <c r="RK56" s="33" t="n"/>
      <c r="RL56" s="33" t="n"/>
      <c r="RM56" s="33" t="n"/>
      <c r="RN56" s="33" t="n"/>
      <c r="RO56" s="33" t="n"/>
      <c r="RP56" s="33" t="n"/>
      <c r="RQ56" s="33" t="n"/>
      <c r="RR56" s="33" t="n"/>
      <c r="RS56" s="33" t="n"/>
      <c r="RT56" s="33" t="n"/>
      <c r="RU56" s="33" t="n"/>
      <c r="RV56" s="33" t="n"/>
      <c r="RW56" s="33" t="n"/>
    </row>
    <row r="57" ht="5.25" customHeight="1">
      <c r="A57" s="38" t="n"/>
      <c r="B57" s="38" t="n"/>
      <c r="C57" s="38" t="n"/>
      <c r="D57" s="38" t="n"/>
      <c r="E57" s="38" t="inlineStr">
        <is>
          <t>Depreciation</t>
        </is>
      </c>
      <c r="F57" s="38" t="n"/>
      <c r="G57" s="38" t="n"/>
    </row>
    <row r="58" ht="13.05" customHeight="1">
      <c r="E58" s="21" t="inlineStr">
        <is>
          <t>Breakeven Price (DKK/MWh)</t>
        </is>
      </c>
      <c r="F58" s="29" t="n"/>
      <c r="G58" s="29" t="inlineStr">
        <is>
          <t>kEUR</t>
        </is>
      </c>
      <c r="H58" s="29" t="n"/>
      <c r="I58" s="29" t="n"/>
      <c r="J58" s="32" t="n"/>
      <c r="K58" s="29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3" t="n"/>
      <c r="AY58" s="33" t="n"/>
      <c r="AZ58" s="33" t="n"/>
      <c r="BA58" s="33" t="n"/>
      <c r="BB58" s="33" t="n"/>
      <c r="BC58" s="33" t="n"/>
      <c r="BD58" s="33" t="n"/>
      <c r="BE58" s="33" t="n"/>
      <c r="BF58" s="33" t="n"/>
      <c r="BG58" s="33" t="n"/>
      <c r="BH58" s="33" t="n"/>
      <c r="BI58" s="33" t="n"/>
      <c r="BJ58" s="33" t="n"/>
      <c r="BK58" s="33" t="n"/>
      <c r="BL58" s="33" t="n"/>
      <c r="BM58" s="33" t="n"/>
      <c r="BN58" s="33" t="n"/>
      <c r="BO58" s="33" t="n"/>
      <c r="BP58" s="33" t="n"/>
      <c r="BQ58" s="33" t="n"/>
      <c r="BR58" s="33" t="n"/>
      <c r="BS58" s="33" t="n"/>
      <c r="BT58" s="33" t="n"/>
      <c r="BU58" s="33" t="n"/>
      <c r="BV58" s="33" t="n"/>
      <c r="BW58" s="33" t="n"/>
      <c r="BX58" s="33" t="n"/>
      <c r="BY58" s="33" t="n"/>
      <c r="BZ58" s="33" t="n"/>
      <c r="CA58" s="33" t="n"/>
      <c r="CB58" s="33" t="n"/>
      <c r="CC58" s="33" t="n"/>
      <c r="CD58" s="33" t="n"/>
      <c r="CE58" s="33" t="n"/>
      <c r="CF58" s="33" t="n"/>
      <c r="CG58" s="33" t="n"/>
      <c r="CH58" s="33" t="n"/>
      <c r="CI58" s="33" t="n"/>
      <c r="CJ58" s="33" t="n"/>
      <c r="CK58" s="33" t="n"/>
      <c r="CL58" s="33" t="n"/>
      <c r="CM58" s="33" t="n"/>
      <c r="CN58" s="33" t="n"/>
      <c r="CO58" s="33" t="n"/>
      <c r="CP58" s="33" t="n"/>
      <c r="CQ58" s="33" t="n"/>
      <c r="CR58" s="33" t="n"/>
      <c r="CS58" s="33" t="n"/>
      <c r="CT58" s="33" t="n"/>
      <c r="CU58" s="33" t="n"/>
      <c r="CV58" s="33" t="n"/>
      <c r="CW58" s="33" t="n"/>
      <c r="CX58" s="33" t="n"/>
      <c r="CY58" s="33" t="n"/>
      <c r="CZ58" s="33" t="n"/>
      <c r="DA58" s="33" t="n"/>
      <c r="DB58" s="33" t="n"/>
      <c r="DC58" s="33" t="n"/>
      <c r="DD58" s="33" t="n"/>
      <c r="DE58" s="33" t="n"/>
      <c r="DF58" s="33" t="n"/>
      <c r="DG58" s="33" t="n"/>
      <c r="DH58" s="33" t="n"/>
      <c r="DI58" s="33" t="n"/>
      <c r="DJ58" s="33" t="n"/>
      <c r="DK58" s="33" t="n"/>
      <c r="DL58" s="33" t="n"/>
      <c r="DM58" s="33" t="n"/>
      <c r="DN58" s="33" t="n"/>
      <c r="DO58" s="33" t="n"/>
      <c r="DP58" s="33" t="n"/>
      <c r="DQ58" s="33" t="n"/>
      <c r="DR58" s="33" t="n"/>
      <c r="DS58" s="33" t="n"/>
      <c r="DT58" s="33" t="n"/>
      <c r="DU58" s="33" t="n"/>
      <c r="DV58" s="33" t="n"/>
      <c r="DW58" s="33" t="n"/>
      <c r="DX58" s="33" t="n"/>
      <c r="DY58" s="33" t="n"/>
      <c r="DZ58" s="33" t="n"/>
      <c r="EA58" s="33" t="n"/>
      <c r="EB58" s="33" t="n"/>
      <c r="EC58" s="33" t="n"/>
      <c r="ED58" s="33" t="n"/>
      <c r="EE58" s="33" t="n"/>
      <c r="EF58" s="33" t="n"/>
      <c r="EG58" s="33" t="n"/>
      <c r="EH58" s="33" t="n"/>
      <c r="EI58" s="33" t="n"/>
      <c r="EJ58" s="33" t="n"/>
      <c r="EK58" s="33" t="n"/>
      <c r="EL58" s="33" t="n"/>
      <c r="EM58" s="33" t="n"/>
      <c r="EN58" s="33" t="n"/>
      <c r="EO58" s="33" t="n"/>
      <c r="EP58" s="33" t="n"/>
      <c r="EQ58" s="33" t="n"/>
      <c r="ER58" s="33" t="n"/>
      <c r="ES58" s="33" t="n"/>
      <c r="ET58" s="33" t="n"/>
      <c r="EU58" s="33" t="n"/>
      <c r="EV58" s="33" t="n"/>
      <c r="EW58" s="33" t="n"/>
      <c r="EX58" s="33" t="n"/>
      <c r="EY58" s="33" t="n"/>
      <c r="EZ58" s="33" t="n"/>
      <c r="FA58" s="33" t="n"/>
      <c r="FB58" s="33" t="n"/>
      <c r="FC58" s="33" t="n"/>
      <c r="FD58" s="33" t="n"/>
      <c r="FE58" s="33" t="n"/>
      <c r="FF58" s="33" t="n"/>
      <c r="FG58" s="33" t="n"/>
      <c r="FH58" s="33" t="n"/>
      <c r="FI58" s="33" t="n"/>
      <c r="FJ58" s="33" t="n"/>
      <c r="FK58" s="33" t="n"/>
      <c r="FL58" s="33" t="n"/>
      <c r="FM58" s="33" t="n"/>
      <c r="FN58" s="33" t="n"/>
      <c r="FO58" s="33" t="n"/>
      <c r="FP58" s="33" t="n"/>
      <c r="FQ58" s="33" t="n"/>
      <c r="FR58" s="33" t="n"/>
      <c r="FS58" s="33" t="n"/>
      <c r="FT58" s="33" t="n"/>
      <c r="FU58" s="33" t="n"/>
      <c r="FV58" s="33" t="n"/>
      <c r="FW58" s="33" t="n"/>
      <c r="FX58" s="33" t="n"/>
      <c r="FY58" s="33" t="n"/>
      <c r="FZ58" s="33" t="n"/>
      <c r="GA58" s="33" t="n"/>
      <c r="GB58" s="33" t="n"/>
      <c r="GC58" s="33" t="n"/>
      <c r="GD58" s="33" t="n"/>
      <c r="GE58" s="33" t="n"/>
      <c r="GF58" s="33" t="n"/>
      <c r="GG58" s="33" t="n"/>
      <c r="GH58" s="33" t="n"/>
      <c r="GI58" s="33" t="n"/>
      <c r="GJ58" s="33" t="n"/>
      <c r="GK58" s="33" t="n"/>
      <c r="GL58" s="33" t="n"/>
      <c r="GM58" s="33" t="n"/>
      <c r="GN58" s="33" t="n"/>
      <c r="GO58" s="33" t="n"/>
      <c r="GP58" s="33" t="n"/>
      <c r="GQ58" s="33" t="n"/>
      <c r="GR58" s="33" t="n"/>
      <c r="GS58" s="33" t="n"/>
      <c r="GT58" s="33" t="n"/>
      <c r="GU58" s="33" t="n"/>
      <c r="GV58" s="33" t="n"/>
      <c r="GW58" s="33" t="n"/>
      <c r="GX58" s="33" t="n"/>
      <c r="GY58" s="33" t="n"/>
      <c r="GZ58" s="33" t="n"/>
      <c r="HA58" s="33" t="n"/>
      <c r="HB58" s="33" t="n"/>
      <c r="HC58" s="33" t="n"/>
      <c r="HD58" s="33" t="n"/>
      <c r="HE58" s="33" t="n"/>
      <c r="HF58" s="33" t="n"/>
      <c r="HG58" s="33" t="n"/>
      <c r="HH58" s="33" t="n"/>
      <c r="HI58" s="33" t="n"/>
      <c r="HJ58" s="33" t="n"/>
      <c r="HK58" s="33" t="n"/>
      <c r="HL58" s="33" t="n"/>
      <c r="HM58" s="33" t="n"/>
      <c r="HN58" s="33" t="n"/>
      <c r="HO58" s="33" t="n"/>
      <c r="HP58" s="33" t="n"/>
      <c r="HQ58" s="33" t="n"/>
      <c r="HR58" s="33" t="n"/>
      <c r="HS58" s="33" t="n"/>
      <c r="HT58" s="33" t="n"/>
      <c r="HU58" s="33" t="n"/>
      <c r="HV58" s="33" t="n"/>
      <c r="HW58" s="33" t="n"/>
      <c r="HX58" s="33" t="n"/>
      <c r="HY58" s="33" t="n"/>
      <c r="HZ58" s="33" t="n"/>
      <c r="IA58" s="33" t="n"/>
      <c r="IB58" s="33" t="n"/>
      <c r="IC58" s="33" t="n"/>
      <c r="ID58" s="33" t="n"/>
      <c r="IE58" s="33" t="n"/>
      <c r="IF58" s="33" t="n"/>
      <c r="IG58" s="33" t="n"/>
      <c r="IH58" s="33" t="n"/>
      <c r="II58" s="33" t="n"/>
      <c r="IJ58" s="33" t="n"/>
      <c r="IK58" s="33" t="n"/>
      <c r="IL58" s="33" t="n"/>
      <c r="IM58" s="33" t="n"/>
      <c r="IN58" s="33" t="n"/>
      <c r="IO58" s="33" t="n"/>
      <c r="IP58" s="33" t="n"/>
      <c r="IQ58" s="33" t="n"/>
      <c r="IR58" s="33" t="n"/>
      <c r="IS58" s="33" t="n"/>
      <c r="IT58" s="33" t="n"/>
      <c r="IU58" s="33" t="n"/>
      <c r="IV58" s="33" t="n"/>
      <c r="IW58" s="33" t="n"/>
      <c r="IX58" s="33" t="n"/>
      <c r="IY58" s="33" t="n"/>
      <c r="IZ58" s="33" t="n"/>
      <c r="JA58" s="33" t="n"/>
      <c r="JB58" s="33" t="n"/>
      <c r="JC58" s="33" t="n"/>
      <c r="JD58" s="33" t="n"/>
      <c r="JE58" s="33" t="n"/>
      <c r="JF58" s="33" t="n"/>
      <c r="JG58" s="33" t="n"/>
      <c r="JH58" s="33" t="n"/>
      <c r="JI58" s="33" t="n"/>
      <c r="JJ58" s="33" t="n"/>
      <c r="JK58" s="33" t="n"/>
      <c r="JL58" s="33" t="n"/>
      <c r="JM58" s="33" t="n"/>
      <c r="JN58" s="33" t="n"/>
      <c r="JO58" s="33" t="n"/>
      <c r="JP58" s="33" t="n"/>
      <c r="JQ58" s="33" t="n"/>
      <c r="JR58" s="33" t="n"/>
      <c r="JS58" s="33" t="n"/>
      <c r="JT58" s="33" t="n"/>
      <c r="JU58" s="33" t="n"/>
      <c r="JV58" s="33" t="n"/>
      <c r="JW58" s="33" t="n"/>
      <c r="JX58" s="33" t="n"/>
      <c r="JY58" s="33" t="n"/>
      <c r="JZ58" s="33" t="n"/>
      <c r="KA58" s="33" t="n"/>
      <c r="KB58" s="33" t="n"/>
      <c r="KC58" s="33" t="n"/>
      <c r="KD58" s="33" t="n"/>
      <c r="KE58" s="33" t="n"/>
      <c r="KF58" s="33" t="n"/>
      <c r="KG58" s="33" t="n"/>
      <c r="KH58" s="33" t="n"/>
      <c r="KI58" s="33" t="n"/>
      <c r="KJ58" s="33" t="n"/>
      <c r="KK58" s="33" t="n"/>
      <c r="KL58" s="33" t="n"/>
      <c r="KM58" s="33" t="n"/>
      <c r="KN58" s="33" t="n"/>
      <c r="KO58" s="33" t="n"/>
      <c r="KP58" s="33" t="n"/>
      <c r="KQ58" s="33" t="n"/>
      <c r="KR58" s="33" t="n"/>
      <c r="KS58" s="33" t="n"/>
      <c r="KT58" s="33" t="n"/>
      <c r="KU58" s="33" t="n"/>
      <c r="KV58" s="33" t="n"/>
      <c r="KW58" s="33" t="n"/>
      <c r="KX58" s="33" t="n"/>
      <c r="KY58" s="33" t="n"/>
      <c r="KZ58" s="33" t="n"/>
      <c r="LA58" s="33" t="n"/>
      <c r="LB58" s="33" t="n"/>
      <c r="LC58" s="33" t="n"/>
      <c r="LD58" s="33" t="n"/>
      <c r="LE58" s="33" t="n"/>
      <c r="LF58" s="33" t="n"/>
      <c r="LG58" s="33" t="n"/>
      <c r="LH58" s="33" t="n"/>
      <c r="LI58" s="33" t="n"/>
      <c r="LJ58" s="33" t="n"/>
      <c r="LK58" s="33" t="n"/>
      <c r="LL58" s="33" t="n"/>
      <c r="LM58" s="33" t="n"/>
      <c r="LN58" s="33" t="n"/>
      <c r="LO58" s="33" t="n"/>
      <c r="LP58" s="33" t="n"/>
      <c r="LQ58" s="33" t="n"/>
      <c r="LR58" s="33" t="n"/>
      <c r="LS58" s="33" t="n"/>
      <c r="LT58" s="33" t="n"/>
      <c r="LU58" s="33" t="n"/>
      <c r="LV58" s="33" t="n"/>
      <c r="LW58" s="33" t="n"/>
      <c r="LX58" s="33" t="n"/>
      <c r="LY58" s="33" t="n"/>
      <c r="LZ58" s="33" t="n"/>
      <c r="MA58" s="33" t="n"/>
      <c r="MB58" s="33" t="n"/>
      <c r="MC58" s="33" t="n"/>
      <c r="MD58" s="33" t="n"/>
      <c r="ME58" s="33" t="n"/>
      <c r="MF58" s="33" t="n"/>
      <c r="MG58" s="33" t="n"/>
      <c r="MH58" s="33" t="n"/>
      <c r="MI58" s="33" t="n"/>
      <c r="MJ58" s="33" t="n"/>
      <c r="MK58" s="33" t="n"/>
      <c r="ML58" s="33" t="n"/>
      <c r="MM58" s="33" t="n"/>
      <c r="MN58" s="33" t="n"/>
      <c r="MO58" s="33" t="n"/>
      <c r="MP58" s="33" t="n"/>
      <c r="MQ58" s="33" t="n"/>
      <c r="MR58" s="33" t="n"/>
      <c r="MS58" s="33" t="n"/>
      <c r="MT58" s="33" t="n"/>
      <c r="MU58" s="33" t="n"/>
      <c r="MV58" s="33" t="n"/>
      <c r="MW58" s="33" t="n"/>
      <c r="MX58" s="33" t="n"/>
      <c r="MY58" s="33" t="n"/>
      <c r="MZ58" s="33" t="n"/>
      <c r="NA58" s="33" t="n"/>
      <c r="NB58" s="33" t="n"/>
      <c r="NC58" s="33" t="n"/>
      <c r="ND58" s="33" t="n"/>
      <c r="NE58" s="33" t="n"/>
      <c r="NF58" s="33" t="n"/>
      <c r="NG58" s="33" t="n"/>
      <c r="NH58" s="33" t="n"/>
      <c r="NI58" s="33" t="n"/>
      <c r="NJ58" s="33" t="n"/>
      <c r="NK58" s="33" t="n"/>
      <c r="NL58" s="33" t="n"/>
      <c r="NM58" s="33" t="n"/>
      <c r="NN58" s="33" t="n"/>
      <c r="NO58" s="33" t="n"/>
      <c r="NP58" s="33" t="n"/>
      <c r="NQ58" s="33" t="n"/>
      <c r="NR58" s="33" t="n"/>
      <c r="NS58" s="33" t="n"/>
      <c r="NT58" s="33" t="n"/>
      <c r="NU58" s="33" t="n"/>
      <c r="NV58" s="33" t="n"/>
      <c r="NW58" s="33" t="n"/>
      <c r="NX58" s="33" t="n"/>
      <c r="NY58" s="33" t="n"/>
      <c r="NZ58" s="33" t="n"/>
      <c r="OA58" s="33" t="n"/>
      <c r="OB58" s="33" t="n"/>
      <c r="OC58" s="33" t="n"/>
      <c r="OD58" s="33" t="n"/>
      <c r="OE58" s="33" t="n"/>
      <c r="OF58" s="33" t="n"/>
      <c r="OG58" s="33" t="n"/>
      <c r="OH58" s="33" t="n"/>
      <c r="OI58" s="33" t="n"/>
      <c r="OJ58" s="33" t="n"/>
      <c r="OK58" s="33" t="n"/>
      <c r="OL58" s="33" t="n"/>
      <c r="OM58" s="33" t="n"/>
      <c r="ON58" s="33" t="n"/>
      <c r="OO58" s="33" t="n"/>
      <c r="OP58" s="33" t="n"/>
      <c r="OQ58" s="33" t="n"/>
      <c r="OR58" s="33" t="n"/>
      <c r="OS58" s="33" t="n"/>
      <c r="OT58" s="33" t="n"/>
      <c r="OU58" s="33" t="n"/>
      <c r="OV58" s="33" t="n"/>
      <c r="OW58" s="33" t="n"/>
      <c r="OX58" s="33" t="n"/>
      <c r="OY58" s="33" t="n"/>
      <c r="OZ58" s="33" t="n"/>
      <c r="PA58" s="33" t="n"/>
      <c r="PB58" s="33" t="n"/>
      <c r="PC58" s="33" t="n"/>
      <c r="PD58" s="33" t="n"/>
      <c r="PE58" s="33" t="n"/>
      <c r="PF58" s="33" t="n"/>
      <c r="PG58" s="33" t="n"/>
      <c r="PH58" s="33" t="n"/>
      <c r="PI58" s="33" t="n"/>
      <c r="PJ58" s="33" t="n"/>
      <c r="PK58" s="33" t="n"/>
      <c r="PL58" s="33" t="n"/>
      <c r="PM58" s="33" t="n"/>
      <c r="PN58" s="33" t="n"/>
      <c r="PO58" s="33" t="n"/>
      <c r="PP58" s="33" t="n"/>
      <c r="PQ58" s="33" t="n"/>
      <c r="PR58" s="33" t="n"/>
      <c r="PS58" s="33" t="n"/>
      <c r="PT58" s="33" t="n"/>
      <c r="PU58" s="33" t="n"/>
      <c r="PV58" s="33" t="n"/>
      <c r="PW58" s="33" t="n"/>
      <c r="PX58" s="33" t="n"/>
      <c r="PY58" s="33" t="n"/>
      <c r="PZ58" s="33" t="n"/>
      <c r="QA58" s="33" t="n"/>
      <c r="QB58" s="33" t="n"/>
      <c r="QC58" s="33" t="n"/>
      <c r="QD58" s="33" t="n"/>
      <c r="QE58" s="33" t="n"/>
      <c r="QF58" s="33" t="n"/>
      <c r="QG58" s="33" t="n"/>
      <c r="QH58" s="33" t="n"/>
      <c r="QI58" s="33" t="n"/>
      <c r="QJ58" s="33" t="n"/>
      <c r="QK58" s="33" t="n"/>
      <c r="QL58" s="33" t="n"/>
      <c r="QM58" s="33" t="n"/>
      <c r="QN58" s="33" t="n"/>
      <c r="QO58" s="33" t="n"/>
      <c r="QP58" s="33" t="n"/>
      <c r="QQ58" s="33" t="n"/>
      <c r="QR58" s="33" t="n"/>
      <c r="QS58" s="33" t="n"/>
      <c r="QT58" s="33" t="n"/>
      <c r="QU58" s="33" t="n"/>
      <c r="QV58" s="33" t="n"/>
      <c r="QW58" s="33" t="n"/>
      <c r="QX58" s="33" t="n"/>
      <c r="QY58" s="33" t="n"/>
      <c r="QZ58" s="33" t="n"/>
      <c r="RA58" s="33" t="n"/>
      <c r="RB58" s="33" t="n"/>
      <c r="RC58" s="33" t="n"/>
      <c r="RD58" s="33" t="n"/>
      <c r="RE58" s="33" t="n"/>
      <c r="RF58" s="33" t="n"/>
      <c r="RG58" s="33" t="n"/>
      <c r="RH58" s="33" t="n"/>
      <c r="RI58" s="33" t="n"/>
      <c r="RJ58" s="33" t="n"/>
      <c r="RK58" s="33" t="n"/>
      <c r="RL58" s="33" t="n"/>
      <c r="RM58" s="33" t="n"/>
      <c r="RN58" s="33" t="n"/>
      <c r="RO58" s="33" t="n"/>
      <c r="RP58" s="33" t="n"/>
      <c r="RQ58" s="33" t="n"/>
      <c r="RR58" s="33" t="n"/>
      <c r="RS58" s="33" t="n"/>
      <c r="RT58" s="33" t="n"/>
      <c r="RU58" s="33" t="n"/>
      <c r="RV58" s="33" t="n"/>
      <c r="RW58" s="33" t="n"/>
    </row>
    <row r="59" ht="5.25" customHeight="1"/>
    <row r="60" ht="13.05" customHeight="1">
      <c r="E60" s="21" t="inlineStr">
        <is>
          <t>Dividends Paid</t>
        </is>
      </c>
      <c r="F60" s="29" t="n"/>
      <c r="G60" s="29" t="inlineStr">
        <is>
          <t>kEUR</t>
        </is>
      </c>
      <c r="H60" s="29" t="n"/>
      <c r="I60" s="29" t="n"/>
      <c r="J60" s="32" t="n">
        <v>42495.87476311181</v>
      </c>
      <c r="K60" s="29" t="n"/>
      <c r="L60" s="33" t="n">
        <v>0</v>
      </c>
      <c r="M60" s="33" t="n">
        <v>0</v>
      </c>
      <c r="N60" s="33" t="n">
        <v>0</v>
      </c>
      <c r="O60" s="33" t="n">
        <v>0</v>
      </c>
      <c r="P60" s="33" t="n">
        <v>0</v>
      </c>
      <c r="Q60" s="33" t="n">
        <v>0</v>
      </c>
      <c r="R60" s="33" t="n">
        <v>0</v>
      </c>
      <c r="S60" s="33" t="n">
        <v>0</v>
      </c>
      <c r="T60" s="33" t="n">
        <v>0</v>
      </c>
      <c r="U60" s="33" t="n">
        <v>0</v>
      </c>
      <c r="V60" s="33" t="n">
        <v>0</v>
      </c>
      <c r="W60" s="33" t="n">
        <v>0</v>
      </c>
      <c r="X60" s="33" t="n">
        <v>0</v>
      </c>
      <c r="Y60" s="33" t="n">
        <v>0</v>
      </c>
      <c r="Z60" s="33" t="n">
        <v>0</v>
      </c>
      <c r="AA60" s="33" t="n">
        <v>0</v>
      </c>
      <c r="AB60" s="33" t="n">
        <v>0</v>
      </c>
      <c r="AC60" s="33" t="n">
        <v>0</v>
      </c>
      <c r="AD60" s="33" t="n">
        <v>0</v>
      </c>
      <c r="AE60" s="33" t="n">
        <v>0</v>
      </c>
      <c r="AF60" s="33" t="n">
        <v>0</v>
      </c>
      <c r="AG60" s="33" t="n">
        <v>0</v>
      </c>
      <c r="AH60" s="33" t="n">
        <v>0</v>
      </c>
      <c r="AI60" s="33" t="n">
        <v>0</v>
      </c>
      <c r="AJ60" s="33" t="n">
        <v>0</v>
      </c>
      <c r="AK60" s="33" t="n">
        <v>0</v>
      </c>
      <c r="AL60" s="33" t="n">
        <v>0</v>
      </c>
      <c r="AM60" s="33" t="n">
        <v>0</v>
      </c>
      <c r="AN60" s="33" t="n">
        <v>0</v>
      </c>
      <c r="AO60" s="33" t="n">
        <v>0</v>
      </c>
      <c r="AP60" s="33" t="n">
        <v>0</v>
      </c>
      <c r="AQ60" s="33" t="n">
        <v>0</v>
      </c>
      <c r="AR60" s="33" t="n">
        <v>0</v>
      </c>
      <c r="AS60" s="33" t="n">
        <v>0</v>
      </c>
      <c r="AT60" s="33" t="n">
        <v>0</v>
      </c>
      <c r="AU60" s="33" t="n">
        <v>0</v>
      </c>
      <c r="AV60" s="33" t="n">
        <v>0</v>
      </c>
      <c r="AW60" s="33" t="n">
        <v>0</v>
      </c>
      <c r="AX60" s="33" t="n">
        <v>0</v>
      </c>
      <c r="AY60" s="33" t="n">
        <v>0</v>
      </c>
      <c r="AZ60" s="33" t="n">
        <v>0</v>
      </c>
      <c r="BA60" s="33" t="n">
        <v>0</v>
      </c>
      <c r="BB60" s="33" t="n">
        <v>0</v>
      </c>
      <c r="BC60" s="33" t="n">
        <v>0</v>
      </c>
      <c r="BD60" s="33" t="n">
        <v>0</v>
      </c>
      <c r="BE60" s="33" t="n">
        <v>0</v>
      </c>
      <c r="BF60" s="33" t="n">
        <v>0</v>
      </c>
      <c r="BG60" s="33" t="n">
        <v>0</v>
      </c>
      <c r="BH60" s="33" t="n">
        <v>0</v>
      </c>
      <c r="BI60" s="33" t="n">
        <v>0</v>
      </c>
      <c r="BJ60" s="33" t="n">
        <v>0</v>
      </c>
      <c r="BK60" s="33" t="n">
        <v>0</v>
      </c>
      <c r="BL60" s="33" t="n">
        <v>0</v>
      </c>
      <c r="BM60" s="33" t="n">
        <v>0</v>
      </c>
      <c r="BN60" s="33" t="n">
        <v>0</v>
      </c>
      <c r="BO60" s="33" t="n">
        <v>0</v>
      </c>
      <c r="BP60" s="33" t="n">
        <v>0</v>
      </c>
      <c r="BQ60" s="33" t="n">
        <v>0</v>
      </c>
      <c r="BR60" s="33" t="n">
        <v>0</v>
      </c>
      <c r="BS60" s="33" t="n">
        <v>0</v>
      </c>
      <c r="BT60" s="33" t="n">
        <v>0</v>
      </c>
      <c r="BU60" s="33" t="n">
        <v>0</v>
      </c>
      <c r="BV60" s="33" t="n">
        <v>0</v>
      </c>
      <c r="BW60" s="33" t="n">
        <v>0</v>
      </c>
      <c r="BX60" s="33" t="n">
        <v>0</v>
      </c>
      <c r="BY60" s="33" t="n">
        <v>0</v>
      </c>
      <c r="BZ60" s="33" t="n">
        <v>0</v>
      </c>
      <c r="CA60" s="33" t="n">
        <v>0</v>
      </c>
      <c r="CB60" s="33" t="n">
        <v>0</v>
      </c>
      <c r="CC60" s="33" t="n">
        <v>0</v>
      </c>
      <c r="CD60" s="33" t="n">
        <v>0</v>
      </c>
      <c r="CE60" s="33" t="n">
        <v>0</v>
      </c>
      <c r="CF60" s="33" t="n">
        <v>0</v>
      </c>
      <c r="CG60" s="33" t="n">
        <v>0</v>
      </c>
      <c r="CH60" s="33" t="n">
        <v>0</v>
      </c>
      <c r="CI60" s="33" t="n">
        <v>0</v>
      </c>
      <c r="CJ60" s="33" t="n">
        <v>0</v>
      </c>
      <c r="CK60" s="33" t="n">
        <v>0</v>
      </c>
      <c r="CL60" s="33" t="n">
        <v>0</v>
      </c>
      <c r="CM60" s="33" t="n">
        <v>0</v>
      </c>
      <c r="CN60" s="33" t="n">
        <v>0</v>
      </c>
      <c r="CO60" s="33" t="n">
        <v>0</v>
      </c>
      <c r="CP60" s="33" t="n">
        <v>0</v>
      </c>
      <c r="CQ60" s="33" t="n">
        <v>0</v>
      </c>
      <c r="CR60" s="33" t="n">
        <v>0</v>
      </c>
      <c r="CS60" s="33" t="n">
        <v>0</v>
      </c>
      <c r="CT60" s="33" t="n">
        <v>0</v>
      </c>
      <c r="CU60" s="33" t="n">
        <v>0</v>
      </c>
      <c r="CV60" s="33" t="n">
        <v>0</v>
      </c>
      <c r="CW60" s="33" t="n">
        <v>0</v>
      </c>
      <c r="CX60" s="33" t="n">
        <v>0</v>
      </c>
      <c r="CY60" s="33" t="n">
        <v>0</v>
      </c>
      <c r="CZ60" s="33" t="n">
        <v>0</v>
      </c>
      <c r="DA60" s="33" t="n">
        <v>0</v>
      </c>
      <c r="DB60" s="33" t="n">
        <v>0</v>
      </c>
      <c r="DC60" s="33" t="n">
        <v>0</v>
      </c>
      <c r="DD60" s="33" t="n">
        <v>0</v>
      </c>
      <c r="DE60" s="33" t="n">
        <v>0</v>
      </c>
      <c r="DF60" s="33" t="n">
        <v>0</v>
      </c>
      <c r="DG60" s="33" t="n">
        <v>0</v>
      </c>
      <c r="DH60" s="33" t="n">
        <v>0</v>
      </c>
      <c r="DI60" s="33" t="n">
        <v>0</v>
      </c>
      <c r="DJ60" s="33" t="n">
        <v>0</v>
      </c>
      <c r="DK60" s="33" t="n">
        <v>0</v>
      </c>
      <c r="DL60" s="33" t="n">
        <v>0</v>
      </c>
      <c r="DM60" s="33" t="n">
        <v>0</v>
      </c>
      <c r="DN60" s="33" t="n">
        <v>0</v>
      </c>
      <c r="DO60" s="33" t="n">
        <v>0</v>
      </c>
      <c r="DP60" s="33" t="n">
        <v>0</v>
      </c>
      <c r="DQ60" s="33" t="n">
        <v>0</v>
      </c>
      <c r="DR60" s="33" t="n">
        <v>0</v>
      </c>
      <c r="DS60" s="33" t="n">
        <v>0</v>
      </c>
      <c r="DT60" s="33" t="n">
        <v>0</v>
      </c>
      <c r="DU60" s="33" t="n">
        <v>0</v>
      </c>
      <c r="DV60" s="33" t="n">
        <v>0</v>
      </c>
      <c r="DW60" s="33" t="n">
        <v>0</v>
      </c>
      <c r="DX60" s="33" t="n">
        <v>0</v>
      </c>
      <c r="DY60" s="33" t="n">
        <v>0</v>
      </c>
      <c r="DZ60" s="33" t="n">
        <v>0</v>
      </c>
      <c r="EA60" s="33" t="n">
        <v>0</v>
      </c>
      <c r="EB60" s="33" t="n">
        <v>0</v>
      </c>
      <c r="EC60" s="33" t="n">
        <v>0</v>
      </c>
      <c r="ED60" s="33" t="n">
        <v>0</v>
      </c>
      <c r="EE60" s="33" t="n">
        <v>0</v>
      </c>
      <c r="EF60" s="33" t="n">
        <v>0</v>
      </c>
      <c r="EG60" s="33" t="n">
        <v>0</v>
      </c>
      <c r="EH60" s="33" t="n">
        <v>0</v>
      </c>
      <c r="EI60" s="33" t="n">
        <v>0</v>
      </c>
      <c r="EJ60" s="33" t="n">
        <v>0</v>
      </c>
      <c r="EK60" s="33" t="n">
        <v>0</v>
      </c>
      <c r="EL60" s="33" t="n">
        <v>0</v>
      </c>
      <c r="EM60" s="33" t="n">
        <v>0</v>
      </c>
      <c r="EN60" s="33" t="n">
        <v>0</v>
      </c>
      <c r="EO60" s="33" t="n">
        <v>0</v>
      </c>
      <c r="EP60" s="33" t="n">
        <v>0</v>
      </c>
      <c r="EQ60" s="33" t="n">
        <v>0</v>
      </c>
      <c r="ER60" s="33" t="n">
        <v>0</v>
      </c>
      <c r="ES60" s="33" t="n">
        <v>0</v>
      </c>
      <c r="ET60" s="33" t="n">
        <v>0</v>
      </c>
      <c r="EU60" s="33" t="n">
        <v>0</v>
      </c>
      <c r="EV60" s="33" t="n">
        <v>0</v>
      </c>
      <c r="EW60" s="33" t="n">
        <v>0</v>
      </c>
      <c r="EX60" s="33" t="n">
        <v>0</v>
      </c>
      <c r="EY60" s="33" t="n">
        <v>0</v>
      </c>
      <c r="EZ60" s="33" t="n">
        <v>0</v>
      </c>
      <c r="FA60" s="33" t="n">
        <v>0</v>
      </c>
      <c r="FB60" s="33" t="n">
        <v>0</v>
      </c>
      <c r="FC60" s="33" t="n">
        <v>0</v>
      </c>
      <c r="FD60" s="33" t="n">
        <v>0</v>
      </c>
      <c r="FE60" s="33" t="n">
        <v>0</v>
      </c>
      <c r="FF60" s="33" t="n">
        <v>0</v>
      </c>
      <c r="FG60" s="33" t="n">
        <v>0</v>
      </c>
      <c r="FH60" s="33" t="n">
        <v>0</v>
      </c>
      <c r="FI60" s="33" t="n">
        <v>0</v>
      </c>
      <c r="FJ60" s="33" t="n">
        <v>0</v>
      </c>
      <c r="FK60" s="33" t="n">
        <v>0</v>
      </c>
      <c r="FL60" s="33" t="n">
        <v>0</v>
      </c>
      <c r="FM60" s="33" t="n">
        <v>0</v>
      </c>
      <c r="FN60" s="33" t="n">
        <v>0</v>
      </c>
      <c r="FO60" s="33" t="n">
        <v>0</v>
      </c>
      <c r="FP60" s="33" t="n">
        <v>0</v>
      </c>
      <c r="FQ60" s="33" t="n">
        <v>0</v>
      </c>
      <c r="FR60" s="33" t="n">
        <v>0</v>
      </c>
      <c r="FS60" s="33" t="n">
        <v>0</v>
      </c>
      <c r="FT60" s="33" t="n">
        <v>0</v>
      </c>
      <c r="FU60" s="33" t="n">
        <v>0</v>
      </c>
      <c r="FV60" s="33" t="n">
        <v>0</v>
      </c>
      <c r="FW60" s="33" t="n">
        <v>0</v>
      </c>
      <c r="FX60" s="33" t="n">
        <v>0</v>
      </c>
      <c r="FY60" s="33" t="n">
        <v>0</v>
      </c>
      <c r="FZ60" s="33" t="n">
        <v>0</v>
      </c>
      <c r="GA60" s="33" t="n">
        <v>0</v>
      </c>
      <c r="GB60" s="33" t="n">
        <v>0</v>
      </c>
      <c r="GC60" s="33" t="n">
        <v>0</v>
      </c>
      <c r="GD60" s="33" t="n">
        <v>0</v>
      </c>
      <c r="GE60" s="33" t="n">
        <v>0</v>
      </c>
      <c r="GF60" s="33" t="n">
        <v>0</v>
      </c>
      <c r="GG60" s="33" t="n">
        <v>0</v>
      </c>
      <c r="GH60" s="33" t="n">
        <v>0</v>
      </c>
      <c r="GI60" s="33" t="n">
        <v>0</v>
      </c>
      <c r="GJ60" s="33" t="n">
        <v>0</v>
      </c>
      <c r="GK60" s="33" t="n">
        <v>0</v>
      </c>
      <c r="GL60" s="33" t="n">
        <v>0</v>
      </c>
      <c r="GM60" s="33" t="n">
        <v>0</v>
      </c>
      <c r="GN60" s="33" t="n">
        <v>0</v>
      </c>
      <c r="GO60" s="33" t="n">
        <v>0</v>
      </c>
      <c r="GP60" s="33" t="n">
        <v>0</v>
      </c>
      <c r="GQ60" s="33" t="n">
        <v>0</v>
      </c>
      <c r="GR60" s="33" t="n">
        <v>0</v>
      </c>
      <c r="GS60" s="33" t="n">
        <v>0</v>
      </c>
      <c r="GT60" s="33" t="n">
        <v>0</v>
      </c>
      <c r="GU60" s="33" t="n">
        <v>0</v>
      </c>
      <c r="GV60" s="33" t="n">
        <v>0</v>
      </c>
      <c r="GW60" s="33" t="n">
        <v>0</v>
      </c>
      <c r="GX60" s="33" t="n">
        <v>0</v>
      </c>
      <c r="GY60" s="33" t="n">
        <v>0</v>
      </c>
      <c r="GZ60" s="33" t="n">
        <v>0</v>
      </c>
      <c r="HA60" s="33" t="n">
        <v>0</v>
      </c>
      <c r="HB60" s="33" t="n">
        <v>0</v>
      </c>
      <c r="HC60" s="33" t="n">
        <v>0</v>
      </c>
      <c r="HD60" s="33" t="n">
        <v>0</v>
      </c>
      <c r="HE60" s="33" t="n">
        <v>0</v>
      </c>
      <c r="HF60" s="33" t="n">
        <v>0</v>
      </c>
      <c r="HG60" s="33" t="n">
        <v>0</v>
      </c>
      <c r="HH60" s="33" t="n">
        <v>0</v>
      </c>
      <c r="HI60" s="33" t="n">
        <v>0</v>
      </c>
      <c r="HJ60" s="33" t="n">
        <v>0</v>
      </c>
      <c r="HK60" s="33" t="n">
        <v>0</v>
      </c>
      <c r="HL60" s="33" t="n">
        <v>0</v>
      </c>
      <c r="HM60" s="33" t="n">
        <v>0</v>
      </c>
      <c r="HN60" s="33" t="n">
        <v>0</v>
      </c>
      <c r="HO60" s="33" t="n">
        <v>0</v>
      </c>
      <c r="HP60" s="33" t="n">
        <v>0</v>
      </c>
      <c r="HQ60" s="33" t="n">
        <v>0</v>
      </c>
      <c r="HR60" s="33" t="n">
        <v>0</v>
      </c>
      <c r="HS60" s="33" t="n">
        <v>0</v>
      </c>
      <c r="HT60" s="33" t="n">
        <v>0</v>
      </c>
      <c r="HU60" s="33" t="n">
        <v>0</v>
      </c>
      <c r="HV60" s="33" t="n">
        <v>0</v>
      </c>
      <c r="HW60" s="33" t="n">
        <v>0</v>
      </c>
      <c r="HX60" s="33" t="n">
        <v>0</v>
      </c>
      <c r="HY60" s="33" t="n">
        <v>0</v>
      </c>
      <c r="HZ60" s="33" t="n">
        <v>0</v>
      </c>
      <c r="IA60" s="33" t="n">
        <v>0</v>
      </c>
      <c r="IB60" s="33" t="n">
        <v>0</v>
      </c>
      <c r="IC60" s="33" t="n">
        <v>0</v>
      </c>
      <c r="ID60" s="33" t="n">
        <v>0</v>
      </c>
      <c r="IE60" s="33" t="n">
        <v>0</v>
      </c>
      <c r="IF60" s="33" t="n">
        <v>0</v>
      </c>
      <c r="IG60" s="33" t="n">
        <v>0</v>
      </c>
      <c r="IH60" s="33" t="n">
        <v>0</v>
      </c>
      <c r="II60" s="33" t="n">
        <v>0</v>
      </c>
      <c r="IJ60" s="33" t="n">
        <v>0</v>
      </c>
      <c r="IK60" s="33" t="n">
        <v>0</v>
      </c>
      <c r="IL60" s="33" t="n">
        <v>0</v>
      </c>
      <c r="IM60" s="33" t="n">
        <v>0</v>
      </c>
      <c r="IN60" s="33" t="n">
        <v>0</v>
      </c>
      <c r="IO60" s="33" t="n">
        <v>0</v>
      </c>
      <c r="IP60" s="33" t="n">
        <v>0</v>
      </c>
      <c r="IQ60" s="33" t="n">
        <v>0</v>
      </c>
      <c r="IR60" s="33" t="n">
        <v>0</v>
      </c>
      <c r="IS60" s="33" t="n">
        <v>0</v>
      </c>
      <c r="IT60" s="33" t="n">
        <v>0</v>
      </c>
      <c r="IU60" s="33" t="n">
        <v>0</v>
      </c>
      <c r="IV60" s="33" t="n">
        <v>0</v>
      </c>
      <c r="IW60" s="33" t="n">
        <v>0</v>
      </c>
      <c r="IX60" s="33" t="n">
        <v>0</v>
      </c>
      <c r="IY60" s="33" t="n">
        <v>0</v>
      </c>
      <c r="IZ60" s="33" t="n">
        <v>0</v>
      </c>
      <c r="JA60" s="33" t="n">
        <v>0</v>
      </c>
      <c r="JB60" s="33" t="n">
        <v>0</v>
      </c>
      <c r="JC60" s="33" t="n">
        <v>0</v>
      </c>
      <c r="JD60" s="33" t="n">
        <v>0</v>
      </c>
      <c r="JE60" s="33" t="n">
        <v>0</v>
      </c>
      <c r="JF60" s="33" t="n">
        <v>0</v>
      </c>
      <c r="JG60" s="33" t="n">
        <v>0</v>
      </c>
      <c r="JH60" s="33" t="n">
        <v>0</v>
      </c>
      <c r="JI60" s="33" t="n">
        <v>0</v>
      </c>
      <c r="JJ60" s="33" t="n">
        <v>0</v>
      </c>
      <c r="JK60" s="33" t="n">
        <v>0</v>
      </c>
      <c r="JL60" s="33" t="n">
        <v>0</v>
      </c>
      <c r="JM60" s="33" t="n">
        <v>0</v>
      </c>
      <c r="JN60" s="33" t="n">
        <v>0</v>
      </c>
      <c r="JO60" s="33" t="n">
        <v>0</v>
      </c>
      <c r="JP60" s="33" t="n">
        <v>0</v>
      </c>
      <c r="JQ60" s="33" t="n">
        <v>0</v>
      </c>
      <c r="JR60" s="33" t="n">
        <v>0</v>
      </c>
      <c r="JS60" s="33" t="n">
        <v>0</v>
      </c>
      <c r="JT60" s="33" t="n">
        <v>0</v>
      </c>
      <c r="JU60" s="33" t="n">
        <v>0</v>
      </c>
      <c r="JV60" s="33" t="n">
        <v>0</v>
      </c>
      <c r="JW60" s="33" t="n">
        <v>0</v>
      </c>
      <c r="JX60" s="33" t="n">
        <v>0</v>
      </c>
      <c r="JY60" s="33" t="n">
        <v>0</v>
      </c>
      <c r="JZ60" s="33" t="n">
        <v>0</v>
      </c>
      <c r="KA60" s="33" t="n">
        <v>0</v>
      </c>
      <c r="KB60" s="33" t="n">
        <v>0</v>
      </c>
      <c r="KC60" s="33" t="n">
        <v>0</v>
      </c>
      <c r="KD60" s="33" t="n">
        <v>0</v>
      </c>
      <c r="KE60" s="33" t="n">
        <v>0</v>
      </c>
      <c r="KF60" s="33" t="n">
        <v>0</v>
      </c>
      <c r="KG60" s="33" t="n">
        <v>0</v>
      </c>
      <c r="KH60" s="33" t="n">
        <v>0</v>
      </c>
      <c r="KI60" s="33" t="n">
        <v>0</v>
      </c>
      <c r="KJ60" s="33" t="n">
        <v>0</v>
      </c>
      <c r="KK60" s="33" t="n">
        <v>0</v>
      </c>
      <c r="KL60" s="33" t="n">
        <v>0</v>
      </c>
      <c r="KM60" s="33" t="n">
        <v>0</v>
      </c>
      <c r="KN60" s="33" t="n">
        <v>0</v>
      </c>
      <c r="KO60" s="33" t="n">
        <v>0</v>
      </c>
      <c r="KP60" s="33" t="n">
        <v>0</v>
      </c>
      <c r="KQ60" s="33" t="n">
        <v>0</v>
      </c>
      <c r="KR60" s="33" t="n">
        <v>0</v>
      </c>
      <c r="KS60" s="33" t="n">
        <v>0</v>
      </c>
      <c r="KT60" s="33" t="n">
        <v>0</v>
      </c>
      <c r="KU60" s="33" t="n">
        <v>0</v>
      </c>
      <c r="KV60" s="33" t="n">
        <v>0</v>
      </c>
      <c r="KW60" s="33" t="n">
        <v>0</v>
      </c>
      <c r="KX60" s="33" t="n">
        <v>0</v>
      </c>
      <c r="KY60" s="33" t="n">
        <v>0</v>
      </c>
      <c r="KZ60" s="33" t="n">
        <v>0</v>
      </c>
      <c r="LA60" s="33" t="n">
        <v>0</v>
      </c>
      <c r="LB60" s="33" t="n">
        <v>0</v>
      </c>
      <c r="LC60" s="33" t="n">
        <v>0</v>
      </c>
      <c r="LD60" s="33" t="n">
        <v>0</v>
      </c>
      <c r="LE60" s="33" t="n">
        <v>0</v>
      </c>
      <c r="LF60" s="33" t="n">
        <v>0</v>
      </c>
      <c r="LG60" s="33" t="n">
        <v>0</v>
      </c>
      <c r="LH60" s="33" t="n">
        <v>0</v>
      </c>
      <c r="LI60" s="33" t="n">
        <v>0</v>
      </c>
      <c r="LJ60" s="33" t="n">
        <v>0</v>
      </c>
      <c r="LK60" s="33" t="n">
        <v>0</v>
      </c>
      <c r="LL60" s="33" t="n">
        <v>0</v>
      </c>
      <c r="LM60" s="33" t="n">
        <v>0</v>
      </c>
      <c r="LN60" s="33" t="n">
        <v>0</v>
      </c>
      <c r="LO60" s="33" t="n">
        <v>0</v>
      </c>
      <c r="LP60" s="33" t="n">
        <v>0</v>
      </c>
      <c r="LQ60" s="33" t="n">
        <v>0</v>
      </c>
      <c r="LR60" s="33" t="n">
        <v>0</v>
      </c>
      <c r="LS60" s="33" t="n">
        <v>0</v>
      </c>
      <c r="LT60" s="33" t="n">
        <v>0</v>
      </c>
      <c r="LU60" s="33" t="n">
        <v>0</v>
      </c>
      <c r="LV60" s="33" t="n">
        <v>0</v>
      </c>
      <c r="LW60" s="33" t="n">
        <v>0</v>
      </c>
      <c r="LX60" s="33" t="n">
        <v>0</v>
      </c>
      <c r="LY60" s="33" t="n">
        <v>0</v>
      </c>
      <c r="LZ60" s="33" t="n">
        <v>0</v>
      </c>
      <c r="MA60" s="33" t="n">
        <v>0</v>
      </c>
      <c r="MB60" s="33" t="n">
        <v>0</v>
      </c>
      <c r="MC60" s="33" t="n">
        <v>0</v>
      </c>
      <c r="MD60" s="33" t="n">
        <v>0</v>
      </c>
      <c r="ME60" s="33" t="n">
        <v>0</v>
      </c>
      <c r="MF60" s="33" t="n">
        <v>0</v>
      </c>
      <c r="MG60" s="33" t="n">
        <v>0</v>
      </c>
      <c r="MH60" s="33" t="n">
        <v>0</v>
      </c>
      <c r="MI60" s="33" t="n">
        <v>0</v>
      </c>
      <c r="MJ60" s="33" t="n">
        <v>0</v>
      </c>
      <c r="MK60" s="33" t="n">
        <v>0</v>
      </c>
      <c r="ML60" s="33" t="n">
        <v>0</v>
      </c>
      <c r="MM60" s="33" t="n">
        <v>0</v>
      </c>
      <c r="MN60" s="33" t="n">
        <v>0</v>
      </c>
      <c r="MO60" s="33" t="n">
        <v>0</v>
      </c>
      <c r="MP60" s="33" t="n">
        <v>0</v>
      </c>
      <c r="MQ60" s="33" t="n">
        <v>0</v>
      </c>
      <c r="MR60" s="33" t="n">
        <v>0</v>
      </c>
      <c r="MS60" s="33" t="n">
        <v>0</v>
      </c>
      <c r="MT60" s="33" t="n">
        <v>0</v>
      </c>
      <c r="MU60" s="33" t="n">
        <v>0</v>
      </c>
      <c r="MV60" s="33" t="n">
        <v>0</v>
      </c>
      <c r="MW60" s="33" t="n">
        <v>0</v>
      </c>
      <c r="MX60" s="33" t="n">
        <v>0</v>
      </c>
      <c r="MY60" s="33" t="n">
        <v>0</v>
      </c>
      <c r="MZ60" s="33" t="n">
        <v>0</v>
      </c>
      <c r="NA60" s="33" t="n">
        <v>0</v>
      </c>
      <c r="NB60" s="33" t="n">
        <v>0</v>
      </c>
      <c r="NC60" s="33" t="n">
        <v>0</v>
      </c>
      <c r="ND60" s="33" t="n">
        <v>0</v>
      </c>
      <c r="NE60" s="33" t="n">
        <v>0</v>
      </c>
      <c r="NF60" s="33" t="n">
        <v>0</v>
      </c>
      <c r="NG60" s="33" t="n">
        <v>0</v>
      </c>
      <c r="NH60" s="33" t="n">
        <v>0</v>
      </c>
      <c r="NI60" s="33" t="n">
        <v>0</v>
      </c>
      <c r="NJ60" s="33" t="n">
        <v>0</v>
      </c>
      <c r="NK60" s="33" t="n">
        <v>0</v>
      </c>
      <c r="NL60" s="33" t="n">
        <v>0</v>
      </c>
      <c r="NM60" s="33" t="n">
        <v>0</v>
      </c>
      <c r="NN60" s="33" t="n">
        <v>0</v>
      </c>
      <c r="NO60" s="33" t="n">
        <v>0</v>
      </c>
      <c r="NP60" s="33" t="n">
        <v>0</v>
      </c>
      <c r="NQ60" s="33" t="n">
        <v>0</v>
      </c>
      <c r="NR60" s="33" t="n">
        <v>0</v>
      </c>
      <c r="NS60" s="33" t="n">
        <v>0</v>
      </c>
      <c r="NT60" s="33" t="n">
        <v>0</v>
      </c>
      <c r="NU60" s="33" t="n">
        <v>0</v>
      </c>
      <c r="NV60" s="33" t="n">
        <v>0</v>
      </c>
      <c r="NW60" s="33" t="n">
        <v>0</v>
      </c>
      <c r="NX60" s="33" t="n">
        <v>0</v>
      </c>
      <c r="NY60" s="33" t="n">
        <v>0</v>
      </c>
      <c r="NZ60" s="33" t="n">
        <v>0</v>
      </c>
      <c r="OA60" s="33" t="n">
        <v>0</v>
      </c>
      <c r="OB60" s="33" t="n">
        <v>0</v>
      </c>
      <c r="OC60" s="33" t="n">
        <v>0</v>
      </c>
      <c r="OD60" s="33" t="n">
        <v>0</v>
      </c>
      <c r="OE60" s="33" t="n">
        <v>0</v>
      </c>
      <c r="OF60" s="33" t="n">
        <v>0</v>
      </c>
      <c r="OG60" s="33" t="n">
        <v>0</v>
      </c>
      <c r="OH60" s="33" t="n">
        <v>0</v>
      </c>
      <c r="OI60" s="33" t="n">
        <v>0</v>
      </c>
      <c r="OJ60" s="33" t="n">
        <v>0</v>
      </c>
      <c r="OK60" s="33" t="n">
        <v>0</v>
      </c>
      <c r="OL60" s="33" t="n">
        <v>0</v>
      </c>
      <c r="OM60" s="33" t="n">
        <v>0</v>
      </c>
      <c r="ON60" s="33" t="n">
        <v>0</v>
      </c>
      <c r="OO60" s="33" t="n">
        <v>0</v>
      </c>
      <c r="OP60" s="33" t="n">
        <v>0</v>
      </c>
      <c r="OQ60" s="33" t="n">
        <v>0</v>
      </c>
      <c r="OR60" s="33" t="n">
        <v>0</v>
      </c>
      <c r="OS60" s="33" t="n">
        <v>0</v>
      </c>
      <c r="OT60" s="33" t="n">
        <v>0</v>
      </c>
      <c r="OU60" s="33" t="n">
        <v>0</v>
      </c>
      <c r="OV60" s="33" t="n">
        <v>0</v>
      </c>
      <c r="OW60" s="33" t="n">
        <v>0</v>
      </c>
      <c r="OX60" s="33" t="n">
        <v>0</v>
      </c>
      <c r="OY60" s="33" t="n">
        <v>0</v>
      </c>
      <c r="OZ60" s="33" t="n">
        <v>0</v>
      </c>
      <c r="PA60" s="33" t="n">
        <v>0</v>
      </c>
      <c r="PB60" s="33" t="n">
        <v>0</v>
      </c>
      <c r="PC60" s="33" t="n">
        <v>0</v>
      </c>
      <c r="PD60" s="33" t="n">
        <v>0</v>
      </c>
      <c r="PE60" s="33" t="n">
        <v>0</v>
      </c>
      <c r="PF60" s="33" t="n">
        <v>0</v>
      </c>
      <c r="PG60" s="33" t="n">
        <v>0</v>
      </c>
      <c r="PH60" s="33" t="n">
        <v>0</v>
      </c>
      <c r="PI60" s="33" t="n">
        <v>0</v>
      </c>
      <c r="PJ60" s="33" t="n">
        <v>0</v>
      </c>
      <c r="PK60" s="33" t="n">
        <v>0</v>
      </c>
      <c r="PL60" s="33" t="n">
        <v>0</v>
      </c>
      <c r="PM60" s="33" t="n">
        <v>0</v>
      </c>
      <c r="PN60" s="33" t="n">
        <v>0</v>
      </c>
      <c r="PO60" s="33" t="n">
        <v>0</v>
      </c>
      <c r="PP60" s="33" t="n">
        <v>0</v>
      </c>
      <c r="PQ60" s="33" t="n">
        <v>0</v>
      </c>
      <c r="PR60" s="33" t="n">
        <v>0</v>
      </c>
      <c r="PS60" s="33" t="n">
        <v>0</v>
      </c>
      <c r="PT60" s="33" t="n">
        <v>0</v>
      </c>
      <c r="PU60" s="33" t="n">
        <v>0</v>
      </c>
      <c r="PV60" s="33" t="n">
        <v>0</v>
      </c>
      <c r="PW60" s="33" t="n">
        <v>0</v>
      </c>
      <c r="PX60" s="33" t="n">
        <v>0</v>
      </c>
      <c r="PY60" s="33" t="n">
        <v>0</v>
      </c>
      <c r="PZ60" s="33" t="n">
        <v>0</v>
      </c>
      <c r="QA60" s="33" t="n">
        <v>0</v>
      </c>
      <c r="QB60" s="33" t="n">
        <v>0</v>
      </c>
      <c r="QC60" s="33" t="n">
        <v>10103.42722780611</v>
      </c>
      <c r="QD60" s="33" t="n">
        <v>0</v>
      </c>
      <c r="QE60" s="33" t="n">
        <v>0</v>
      </c>
      <c r="QF60" s="33" t="n">
        <v>0</v>
      </c>
      <c r="QG60" s="33" t="n">
        <v>0</v>
      </c>
      <c r="QH60" s="33" t="n">
        <v>0</v>
      </c>
      <c r="QI60" s="33" t="n">
        <v>0</v>
      </c>
      <c r="QJ60" s="33" t="n">
        <v>0</v>
      </c>
      <c r="QK60" s="33" t="n">
        <v>0</v>
      </c>
      <c r="QL60" s="33" t="n">
        <v>0</v>
      </c>
      <c r="QM60" s="33" t="n">
        <v>0</v>
      </c>
      <c r="QN60" s="33" t="n">
        <v>0</v>
      </c>
      <c r="QO60" s="33" t="n">
        <v>32392.4475353057</v>
      </c>
      <c r="QP60" s="33" t="n">
        <v>0</v>
      </c>
      <c r="QQ60" s="33" t="n">
        <v>0</v>
      </c>
      <c r="QR60" s="33" t="n">
        <v>0</v>
      </c>
      <c r="QS60" s="33" t="n">
        <v>0</v>
      </c>
      <c r="QT60" s="33" t="n">
        <v>0</v>
      </c>
      <c r="QU60" s="33" t="n">
        <v>0</v>
      </c>
      <c r="QV60" s="33" t="n">
        <v>0</v>
      </c>
      <c r="QW60" s="33" t="n">
        <v>0</v>
      </c>
      <c r="QX60" s="33" t="n">
        <v>0</v>
      </c>
      <c r="QY60" s="33" t="n">
        <v>0</v>
      </c>
      <c r="QZ60" s="33" t="n">
        <v>0</v>
      </c>
      <c r="RA60" s="33" t="n">
        <v>0</v>
      </c>
      <c r="RB60" s="33" t="n">
        <v>0</v>
      </c>
      <c r="RC60" s="33" t="n">
        <v>0</v>
      </c>
      <c r="RD60" s="33" t="n">
        <v>0</v>
      </c>
      <c r="RE60" s="33" t="n">
        <v>0</v>
      </c>
      <c r="RF60" s="33" t="n">
        <v>0</v>
      </c>
      <c r="RG60" s="33" t="n">
        <v>0</v>
      </c>
      <c r="RH60" s="33" t="n">
        <v>0</v>
      </c>
      <c r="RI60" s="33" t="n">
        <v>0</v>
      </c>
      <c r="RJ60" s="33" t="n">
        <v>0</v>
      </c>
      <c r="RK60" s="33" t="n">
        <v>0</v>
      </c>
      <c r="RL60" s="33" t="n">
        <v>0</v>
      </c>
      <c r="RM60" s="33" t="n">
        <v>0</v>
      </c>
      <c r="RN60" s="33" t="n">
        <v>0</v>
      </c>
      <c r="RO60" s="33" t="n">
        <v>0</v>
      </c>
      <c r="RP60" s="33" t="n">
        <v>0</v>
      </c>
      <c r="RQ60" s="33" t="n">
        <v>0</v>
      </c>
      <c r="RR60" s="33" t="n">
        <v>0</v>
      </c>
      <c r="RS60" s="33" t="n">
        <v>0</v>
      </c>
      <c r="RT60" s="33" t="n">
        <v>0</v>
      </c>
      <c r="RU60" s="33" t="n">
        <v>0</v>
      </c>
      <c r="RV60" s="33" t="n">
        <v>0</v>
      </c>
      <c r="RW60" s="33" t="n">
        <v>0</v>
      </c>
    </row>
    <row r="61" hidden="1" outlineLevel="1" ht="13.05" customHeight="1">
      <c r="E61" s="21" t="inlineStr">
        <is>
          <t>capital_reduction</t>
        </is>
      </c>
      <c r="F61" s="29" t="n"/>
      <c r="G61" s="29" t="inlineStr">
        <is>
          <t>kEUR</t>
        </is>
      </c>
      <c r="H61" s="29" t="n"/>
      <c r="I61" s="29" t="n"/>
      <c r="J61" s="32" t="n">
        <v>3721.763862567976</v>
      </c>
      <c r="K61" s="29" t="n"/>
      <c r="L61" s="33" t="n">
        <v>0</v>
      </c>
      <c r="M61" s="33" t="n">
        <v>0</v>
      </c>
      <c r="N61" s="33" t="n">
        <v>0</v>
      </c>
      <c r="O61" s="33" t="n">
        <v>0</v>
      </c>
      <c r="P61" s="33" t="n">
        <v>0</v>
      </c>
      <c r="Q61" s="33" t="n">
        <v>0</v>
      </c>
      <c r="R61" s="33" t="n">
        <v>0</v>
      </c>
      <c r="S61" s="33" t="n">
        <v>0</v>
      </c>
      <c r="T61" s="33" t="n">
        <v>0</v>
      </c>
      <c r="U61" s="33" t="n">
        <v>0</v>
      </c>
      <c r="V61" s="33" t="n">
        <v>0</v>
      </c>
      <c r="W61" s="33" t="n">
        <v>0</v>
      </c>
      <c r="X61" s="33" t="n">
        <v>0</v>
      </c>
      <c r="Y61" s="33" t="n">
        <v>0</v>
      </c>
      <c r="Z61" s="33" t="n">
        <v>0</v>
      </c>
      <c r="AA61" s="33" t="n">
        <v>0</v>
      </c>
      <c r="AB61" s="33" t="n">
        <v>0</v>
      </c>
      <c r="AC61" s="33" t="n">
        <v>0</v>
      </c>
      <c r="AD61" s="33" t="n">
        <v>0</v>
      </c>
      <c r="AE61" s="33" t="n">
        <v>0</v>
      </c>
      <c r="AF61" s="33" t="n">
        <v>0</v>
      </c>
      <c r="AG61" s="33" t="n">
        <v>0</v>
      </c>
      <c r="AH61" s="33" t="n">
        <v>0</v>
      </c>
      <c r="AI61" s="33" t="n">
        <v>0</v>
      </c>
      <c r="AJ61" s="33" t="n">
        <v>0</v>
      </c>
      <c r="AK61" s="33" t="n">
        <v>0</v>
      </c>
      <c r="AL61" s="33" t="n">
        <v>0</v>
      </c>
      <c r="AM61" s="33" t="n">
        <v>0</v>
      </c>
      <c r="AN61" s="33" t="n">
        <v>0</v>
      </c>
      <c r="AO61" s="33" t="n">
        <v>0</v>
      </c>
      <c r="AP61" s="33" t="n">
        <v>0</v>
      </c>
      <c r="AQ61" s="33" t="n">
        <v>0</v>
      </c>
      <c r="AR61" s="33" t="n">
        <v>0</v>
      </c>
      <c r="AS61" s="33" t="n">
        <v>0</v>
      </c>
      <c r="AT61" s="33" t="n">
        <v>0</v>
      </c>
      <c r="AU61" s="33" t="n">
        <v>0</v>
      </c>
      <c r="AV61" s="33" t="n">
        <v>0</v>
      </c>
      <c r="AW61" s="33" t="n">
        <v>0</v>
      </c>
      <c r="AX61" s="33" t="n">
        <v>0</v>
      </c>
      <c r="AY61" s="33" t="n">
        <v>0</v>
      </c>
      <c r="AZ61" s="33" t="n">
        <v>0</v>
      </c>
      <c r="BA61" s="33" t="n">
        <v>0</v>
      </c>
      <c r="BB61" s="33" t="n">
        <v>0</v>
      </c>
      <c r="BC61" s="33" t="n">
        <v>0</v>
      </c>
      <c r="BD61" s="33" t="n">
        <v>0</v>
      </c>
      <c r="BE61" s="33" t="n">
        <v>0</v>
      </c>
      <c r="BF61" s="33" t="n">
        <v>0</v>
      </c>
      <c r="BG61" s="33" t="n">
        <v>0</v>
      </c>
      <c r="BH61" s="33" t="n">
        <v>0</v>
      </c>
      <c r="BI61" s="33" t="n">
        <v>0</v>
      </c>
      <c r="BJ61" s="33" t="n">
        <v>0</v>
      </c>
      <c r="BK61" s="33" t="n">
        <v>0</v>
      </c>
      <c r="BL61" s="33" t="n">
        <v>0</v>
      </c>
      <c r="BM61" s="33" t="n">
        <v>0</v>
      </c>
      <c r="BN61" s="33" t="n">
        <v>0</v>
      </c>
      <c r="BO61" s="33" t="n">
        <v>0</v>
      </c>
      <c r="BP61" s="33" t="n">
        <v>0</v>
      </c>
      <c r="BQ61" s="33" t="n">
        <v>0</v>
      </c>
      <c r="BR61" s="33" t="n">
        <v>0</v>
      </c>
      <c r="BS61" s="33" t="n">
        <v>0</v>
      </c>
      <c r="BT61" s="33" t="n">
        <v>0</v>
      </c>
      <c r="BU61" s="33" t="n">
        <v>0</v>
      </c>
      <c r="BV61" s="33" t="n">
        <v>0</v>
      </c>
      <c r="BW61" s="33" t="n">
        <v>0</v>
      </c>
      <c r="BX61" s="33" t="n">
        <v>0</v>
      </c>
      <c r="BY61" s="33" t="n">
        <v>0</v>
      </c>
      <c r="BZ61" s="33" t="n">
        <v>0</v>
      </c>
      <c r="CA61" s="33" t="n">
        <v>0</v>
      </c>
      <c r="CB61" s="33" t="n">
        <v>0</v>
      </c>
      <c r="CC61" s="33" t="n">
        <v>0</v>
      </c>
      <c r="CD61" s="33" t="n">
        <v>0</v>
      </c>
      <c r="CE61" s="33" t="n">
        <v>0</v>
      </c>
      <c r="CF61" s="33" t="n">
        <v>0</v>
      </c>
      <c r="CG61" s="33" t="n">
        <v>0</v>
      </c>
      <c r="CH61" s="33" t="n">
        <v>0</v>
      </c>
      <c r="CI61" s="33" t="n">
        <v>0</v>
      </c>
      <c r="CJ61" s="33" t="n">
        <v>0</v>
      </c>
      <c r="CK61" s="33" t="n">
        <v>0</v>
      </c>
      <c r="CL61" s="33" t="n">
        <v>0</v>
      </c>
      <c r="CM61" s="33" t="n">
        <v>0</v>
      </c>
      <c r="CN61" s="33" t="n">
        <v>0</v>
      </c>
      <c r="CO61" s="33" t="n">
        <v>0</v>
      </c>
      <c r="CP61" s="33" t="n">
        <v>0</v>
      </c>
      <c r="CQ61" s="33" t="n">
        <v>0</v>
      </c>
      <c r="CR61" s="33" t="n">
        <v>0</v>
      </c>
      <c r="CS61" s="33" t="n">
        <v>0</v>
      </c>
      <c r="CT61" s="33" t="n">
        <v>0</v>
      </c>
      <c r="CU61" s="33" t="n">
        <v>0</v>
      </c>
      <c r="CV61" s="33" t="n">
        <v>0</v>
      </c>
      <c r="CW61" s="33" t="n">
        <v>0</v>
      </c>
      <c r="CX61" s="33" t="n">
        <v>0</v>
      </c>
      <c r="CY61" s="33" t="n">
        <v>0</v>
      </c>
      <c r="CZ61" s="33" t="n">
        <v>0</v>
      </c>
      <c r="DA61" s="33" t="n">
        <v>0</v>
      </c>
      <c r="DB61" s="33" t="n">
        <v>0</v>
      </c>
      <c r="DC61" s="33" t="n">
        <v>0</v>
      </c>
      <c r="DD61" s="33" t="n">
        <v>0</v>
      </c>
      <c r="DE61" s="33" t="n">
        <v>0</v>
      </c>
      <c r="DF61" s="33" t="n">
        <v>0</v>
      </c>
      <c r="DG61" s="33" t="n">
        <v>0</v>
      </c>
      <c r="DH61" s="33" t="n">
        <v>0</v>
      </c>
      <c r="DI61" s="33" t="n">
        <v>0</v>
      </c>
      <c r="DJ61" s="33" t="n">
        <v>0</v>
      </c>
      <c r="DK61" s="33" t="n">
        <v>0</v>
      </c>
      <c r="DL61" s="33" t="n">
        <v>0</v>
      </c>
      <c r="DM61" s="33" t="n">
        <v>0</v>
      </c>
      <c r="DN61" s="33" t="n">
        <v>0</v>
      </c>
      <c r="DO61" s="33" t="n">
        <v>0</v>
      </c>
      <c r="DP61" s="33" t="n">
        <v>0</v>
      </c>
      <c r="DQ61" s="33" t="n">
        <v>0</v>
      </c>
      <c r="DR61" s="33" t="n">
        <v>0</v>
      </c>
      <c r="DS61" s="33" t="n">
        <v>0</v>
      </c>
      <c r="DT61" s="33" t="n">
        <v>0</v>
      </c>
      <c r="DU61" s="33" t="n">
        <v>0</v>
      </c>
      <c r="DV61" s="33" t="n">
        <v>0</v>
      </c>
      <c r="DW61" s="33" t="n">
        <v>0</v>
      </c>
      <c r="DX61" s="33" t="n">
        <v>0</v>
      </c>
      <c r="DY61" s="33" t="n">
        <v>0</v>
      </c>
      <c r="DZ61" s="33" t="n">
        <v>0</v>
      </c>
      <c r="EA61" s="33" t="n">
        <v>0</v>
      </c>
      <c r="EB61" s="33" t="n">
        <v>0</v>
      </c>
      <c r="EC61" s="33" t="n">
        <v>0</v>
      </c>
      <c r="ED61" s="33" t="n">
        <v>0</v>
      </c>
      <c r="EE61" s="33" t="n">
        <v>0</v>
      </c>
      <c r="EF61" s="33" t="n">
        <v>0</v>
      </c>
      <c r="EG61" s="33" t="n">
        <v>0</v>
      </c>
      <c r="EH61" s="33" t="n">
        <v>0</v>
      </c>
      <c r="EI61" s="33" t="n">
        <v>0</v>
      </c>
      <c r="EJ61" s="33" t="n">
        <v>0</v>
      </c>
      <c r="EK61" s="33" t="n">
        <v>0</v>
      </c>
      <c r="EL61" s="33" t="n">
        <v>0</v>
      </c>
      <c r="EM61" s="33" t="n">
        <v>0</v>
      </c>
      <c r="EN61" s="33" t="n">
        <v>0</v>
      </c>
      <c r="EO61" s="33" t="n">
        <v>0</v>
      </c>
      <c r="EP61" s="33" t="n">
        <v>0</v>
      </c>
      <c r="EQ61" s="33" t="n">
        <v>0</v>
      </c>
      <c r="ER61" s="33" t="n">
        <v>0</v>
      </c>
      <c r="ES61" s="33" t="n">
        <v>0</v>
      </c>
      <c r="ET61" s="33" t="n">
        <v>0</v>
      </c>
      <c r="EU61" s="33" t="n">
        <v>0</v>
      </c>
      <c r="EV61" s="33" t="n">
        <v>0</v>
      </c>
      <c r="EW61" s="33" t="n">
        <v>0</v>
      </c>
      <c r="EX61" s="33" t="n">
        <v>0</v>
      </c>
      <c r="EY61" s="33" t="n">
        <v>0</v>
      </c>
      <c r="EZ61" s="33" t="n">
        <v>0</v>
      </c>
      <c r="FA61" s="33" t="n">
        <v>0</v>
      </c>
      <c r="FB61" s="33" t="n">
        <v>0</v>
      </c>
      <c r="FC61" s="33" t="n">
        <v>0</v>
      </c>
      <c r="FD61" s="33" t="n">
        <v>0</v>
      </c>
      <c r="FE61" s="33" t="n">
        <v>0</v>
      </c>
      <c r="FF61" s="33" t="n">
        <v>0</v>
      </c>
      <c r="FG61" s="33" t="n">
        <v>0</v>
      </c>
      <c r="FH61" s="33" t="n">
        <v>0</v>
      </c>
      <c r="FI61" s="33" t="n">
        <v>0</v>
      </c>
      <c r="FJ61" s="33" t="n">
        <v>0</v>
      </c>
      <c r="FK61" s="33" t="n">
        <v>0</v>
      </c>
      <c r="FL61" s="33" t="n">
        <v>0</v>
      </c>
      <c r="FM61" s="33" t="n">
        <v>0</v>
      </c>
      <c r="FN61" s="33" t="n">
        <v>0</v>
      </c>
      <c r="FO61" s="33" t="n">
        <v>0</v>
      </c>
      <c r="FP61" s="33" t="n">
        <v>0</v>
      </c>
      <c r="FQ61" s="33" t="n">
        <v>0</v>
      </c>
      <c r="FR61" s="33" t="n">
        <v>0</v>
      </c>
      <c r="FS61" s="33" t="n">
        <v>0</v>
      </c>
      <c r="FT61" s="33" t="n">
        <v>0</v>
      </c>
      <c r="FU61" s="33" t="n">
        <v>0</v>
      </c>
      <c r="FV61" s="33" t="n">
        <v>0</v>
      </c>
      <c r="FW61" s="33" t="n">
        <v>0</v>
      </c>
      <c r="FX61" s="33" t="n">
        <v>0</v>
      </c>
      <c r="FY61" s="33" t="n">
        <v>0</v>
      </c>
      <c r="FZ61" s="33" t="n">
        <v>0</v>
      </c>
      <c r="GA61" s="33" t="n">
        <v>0</v>
      </c>
      <c r="GB61" s="33" t="n">
        <v>0</v>
      </c>
      <c r="GC61" s="33" t="n">
        <v>0</v>
      </c>
      <c r="GD61" s="33" t="n">
        <v>0</v>
      </c>
      <c r="GE61" s="33" t="n">
        <v>0</v>
      </c>
      <c r="GF61" s="33" t="n">
        <v>0</v>
      </c>
      <c r="GG61" s="33" t="n">
        <v>0</v>
      </c>
      <c r="GH61" s="33" t="n">
        <v>0</v>
      </c>
      <c r="GI61" s="33" t="n">
        <v>0</v>
      </c>
      <c r="GJ61" s="33" t="n">
        <v>0</v>
      </c>
      <c r="GK61" s="33" t="n">
        <v>0</v>
      </c>
      <c r="GL61" s="33" t="n">
        <v>0</v>
      </c>
      <c r="GM61" s="33" t="n">
        <v>0</v>
      </c>
      <c r="GN61" s="33" t="n">
        <v>0</v>
      </c>
      <c r="GO61" s="33" t="n">
        <v>0</v>
      </c>
      <c r="GP61" s="33" t="n">
        <v>0</v>
      </c>
      <c r="GQ61" s="33" t="n">
        <v>0</v>
      </c>
      <c r="GR61" s="33" t="n">
        <v>0</v>
      </c>
      <c r="GS61" s="33" t="n">
        <v>0</v>
      </c>
      <c r="GT61" s="33" t="n">
        <v>0</v>
      </c>
      <c r="GU61" s="33" t="n">
        <v>0</v>
      </c>
      <c r="GV61" s="33" t="n">
        <v>0</v>
      </c>
      <c r="GW61" s="33" t="n">
        <v>0</v>
      </c>
      <c r="GX61" s="33" t="n">
        <v>0</v>
      </c>
      <c r="GY61" s="33" t="n">
        <v>0</v>
      </c>
      <c r="GZ61" s="33" t="n">
        <v>0</v>
      </c>
      <c r="HA61" s="33" t="n">
        <v>0</v>
      </c>
      <c r="HB61" s="33" t="n">
        <v>0</v>
      </c>
      <c r="HC61" s="33" t="n">
        <v>0</v>
      </c>
      <c r="HD61" s="33" t="n">
        <v>0</v>
      </c>
      <c r="HE61" s="33" t="n">
        <v>0</v>
      </c>
      <c r="HF61" s="33" t="n">
        <v>0</v>
      </c>
      <c r="HG61" s="33" t="n">
        <v>0</v>
      </c>
      <c r="HH61" s="33" t="n">
        <v>0</v>
      </c>
      <c r="HI61" s="33" t="n">
        <v>0</v>
      </c>
      <c r="HJ61" s="33" t="n">
        <v>0</v>
      </c>
      <c r="HK61" s="33" t="n">
        <v>0</v>
      </c>
      <c r="HL61" s="33" t="n">
        <v>0</v>
      </c>
      <c r="HM61" s="33" t="n">
        <v>0</v>
      </c>
      <c r="HN61" s="33" t="n">
        <v>0</v>
      </c>
      <c r="HO61" s="33" t="n">
        <v>0</v>
      </c>
      <c r="HP61" s="33" t="n">
        <v>0</v>
      </c>
      <c r="HQ61" s="33" t="n">
        <v>0</v>
      </c>
      <c r="HR61" s="33" t="n">
        <v>0</v>
      </c>
      <c r="HS61" s="33" t="n">
        <v>0</v>
      </c>
      <c r="HT61" s="33" t="n">
        <v>0</v>
      </c>
      <c r="HU61" s="33" t="n">
        <v>0</v>
      </c>
      <c r="HV61" s="33" t="n">
        <v>0</v>
      </c>
      <c r="HW61" s="33" t="n">
        <v>0</v>
      </c>
      <c r="HX61" s="33" t="n">
        <v>0</v>
      </c>
      <c r="HY61" s="33" t="n">
        <v>0</v>
      </c>
      <c r="HZ61" s="33" t="n">
        <v>0</v>
      </c>
      <c r="IA61" s="33" t="n">
        <v>0</v>
      </c>
      <c r="IB61" s="33" t="n">
        <v>0</v>
      </c>
      <c r="IC61" s="33" t="n">
        <v>0</v>
      </c>
      <c r="ID61" s="33" t="n">
        <v>0</v>
      </c>
      <c r="IE61" s="33" t="n">
        <v>0</v>
      </c>
      <c r="IF61" s="33" t="n">
        <v>0</v>
      </c>
      <c r="IG61" s="33" t="n">
        <v>0</v>
      </c>
      <c r="IH61" s="33" t="n">
        <v>0</v>
      </c>
      <c r="II61" s="33" t="n">
        <v>0</v>
      </c>
      <c r="IJ61" s="33" t="n">
        <v>0</v>
      </c>
      <c r="IK61" s="33" t="n">
        <v>0</v>
      </c>
      <c r="IL61" s="33" t="n">
        <v>0</v>
      </c>
      <c r="IM61" s="33" t="n">
        <v>0</v>
      </c>
      <c r="IN61" s="33" t="n">
        <v>0</v>
      </c>
      <c r="IO61" s="33" t="n">
        <v>0</v>
      </c>
      <c r="IP61" s="33" t="n">
        <v>0</v>
      </c>
      <c r="IQ61" s="33" t="n">
        <v>0</v>
      </c>
      <c r="IR61" s="33" t="n">
        <v>0</v>
      </c>
      <c r="IS61" s="33" t="n">
        <v>0</v>
      </c>
      <c r="IT61" s="33" t="n">
        <v>0</v>
      </c>
      <c r="IU61" s="33" t="n">
        <v>0</v>
      </c>
      <c r="IV61" s="33" t="n">
        <v>0</v>
      </c>
      <c r="IW61" s="33" t="n">
        <v>0</v>
      </c>
      <c r="IX61" s="33" t="n">
        <v>0</v>
      </c>
      <c r="IY61" s="33" t="n">
        <v>0</v>
      </c>
      <c r="IZ61" s="33" t="n">
        <v>0</v>
      </c>
      <c r="JA61" s="33" t="n">
        <v>0</v>
      </c>
      <c r="JB61" s="33" t="n">
        <v>0</v>
      </c>
      <c r="JC61" s="33" t="n">
        <v>0</v>
      </c>
      <c r="JD61" s="33" t="n">
        <v>0</v>
      </c>
      <c r="JE61" s="33" t="n">
        <v>0</v>
      </c>
      <c r="JF61" s="33" t="n">
        <v>0</v>
      </c>
      <c r="JG61" s="33" t="n">
        <v>0</v>
      </c>
      <c r="JH61" s="33" t="n">
        <v>0</v>
      </c>
      <c r="JI61" s="33" t="n">
        <v>0</v>
      </c>
      <c r="JJ61" s="33" t="n">
        <v>0</v>
      </c>
      <c r="JK61" s="33" t="n">
        <v>0</v>
      </c>
      <c r="JL61" s="33" t="n">
        <v>0</v>
      </c>
      <c r="JM61" s="33" t="n">
        <v>0</v>
      </c>
      <c r="JN61" s="33" t="n">
        <v>0</v>
      </c>
      <c r="JO61" s="33" t="n">
        <v>0</v>
      </c>
      <c r="JP61" s="33" t="n">
        <v>0</v>
      </c>
      <c r="JQ61" s="33" t="n">
        <v>0</v>
      </c>
      <c r="JR61" s="33" t="n">
        <v>0</v>
      </c>
      <c r="JS61" s="33" t="n">
        <v>0</v>
      </c>
      <c r="JT61" s="33" t="n">
        <v>0</v>
      </c>
      <c r="JU61" s="33" t="n">
        <v>0</v>
      </c>
      <c r="JV61" s="33" t="n">
        <v>0</v>
      </c>
      <c r="JW61" s="33" t="n">
        <v>0</v>
      </c>
      <c r="JX61" s="33" t="n">
        <v>0</v>
      </c>
      <c r="JY61" s="33" t="n">
        <v>0</v>
      </c>
      <c r="JZ61" s="33" t="n">
        <v>0</v>
      </c>
      <c r="KA61" s="33" t="n">
        <v>0</v>
      </c>
      <c r="KB61" s="33" t="n">
        <v>0</v>
      </c>
      <c r="KC61" s="33" t="n">
        <v>0</v>
      </c>
      <c r="KD61" s="33" t="n">
        <v>0</v>
      </c>
      <c r="KE61" s="33" t="n">
        <v>0</v>
      </c>
      <c r="KF61" s="33" t="n">
        <v>0</v>
      </c>
      <c r="KG61" s="33" t="n">
        <v>0</v>
      </c>
      <c r="KH61" s="33" t="n">
        <v>0</v>
      </c>
      <c r="KI61" s="33" t="n">
        <v>0</v>
      </c>
      <c r="KJ61" s="33" t="n">
        <v>0</v>
      </c>
      <c r="KK61" s="33" t="n">
        <v>0</v>
      </c>
      <c r="KL61" s="33" t="n">
        <v>0</v>
      </c>
      <c r="KM61" s="33" t="n">
        <v>0</v>
      </c>
      <c r="KN61" s="33" t="n">
        <v>0</v>
      </c>
      <c r="KO61" s="33" t="n">
        <v>0</v>
      </c>
      <c r="KP61" s="33" t="n">
        <v>0</v>
      </c>
      <c r="KQ61" s="33" t="n">
        <v>0</v>
      </c>
      <c r="KR61" s="33" t="n">
        <v>0</v>
      </c>
      <c r="KS61" s="33" t="n">
        <v>0</v>
      </c>
      <c r="KT61" s="33" t="n">
        <v>0</v>
      </c>
      <c r="KU61" s="33" t="n">
        <v>0</v>
      </c>
      <c r="KV61" s="33" t="n">
        <v>0</v>
      </c>
      <c r="KW61" s="33" t="n">
        <v>0</v>
      </c>
      <c r="KX61" s="33" t="n">
        <v>0</v>
      </c>
      <c r="KY61" s="33" t="n">
        <v>0</v>
      </c>
      <c r="KZ61" s="33" t="n">
        <v>0</v>
      </c>
      <c r="LA61" s="33" t="n">
        <v>0</v>
      </c>
      <c r="LB61" s="33" t="n">
        <v>0</v>
      </c>
      <c r="LC61" s="33" t="n">
        <v>0</v>
      </c>
      <c r="LD61" s="33" t="n">
        <v>0</v>
      </c>
      <c r="LE61" s="33" t="n">
        <v>0</v>
      </c>
      <c r="LF61" s="33" t="n">
        <v>0</v>
      </c>
      <c r="LG61" s="33" t="n">
        <v>0</v>
      </c>
      <c r="LH61" s="33" t="n">
        <v>0</v>
      </c>
      <c r="LI61" s="33" t="n">
        <v>0</v>
      </c>
      <c r="LJ61" s="33" t="n">
        <v>0</v>
      </c>
      <c r="LK61" s="33" t="n">
        <v>0</v>
      </c>
      <c r="LL61" s="33" t="n">
        <v>0</v>
      </c>
      <c r="LM61" s="33" t="n">
        <v>0</v>
      </c>
      <c r="LN61" s="33" t="n">
        <v>0</v>
      </c>
      <c r="LO61" s="33" t="n">
        <v>0</v>
      </c>
      <c r="LP61" s="33" t="n">
        <v>0</v>
      </c>
      <c r="LQ61" s="33" t="n">
        <v>0</v>
      </c>
      <c r="LR61" s="33" t="n">
        <v>0</v>
      </c>
      <c r="LS61" s="33" t="n">
        <v>0</v>
      </c>
      <c r="LT61" s="33" t="n">
        <v>0</v>
      </c>
      <c r="LU61" s="33" t="n">
        <v>0</v>
      </c>
      <c r="LV61" s="33" t="n">
        <v>0</v>
      </c>
      <c r="LW61" s="33" t="n">
        <v>0</v>
      </c>
      <c r="LX61" s="33" t="n">
        <v>0</v>
      </c>
      <c r="LY61" s="33" t="n">
        <v>0</v>
      </c>
      <c r="LZ61" s="33" t="n">
        <v>0</v>
      </c>
      <c r="MA61" s="33" t="n">
        <v>0</v>
      </c>
      <c r="MB61" s="33" t="n">
        <v>0</v>
      </c>
      <c r="MC61" s="33" t="n">
        <v>0</v>
      </c>
      <c r="MD61" s="33" t="n">
        <v>0</v>
      </c>
      <c r="ME61" s="33" t="n">
        <v>0</v>
      </c>
      <c r="MF61" s="33" t="n">
        <v>0</v>
      </c>
      <c r="MG61" s="33" t="n">
        <v>0</v>
      </c>
      <c r="MH61" s="33" t="n">
        <v>0</v>
      </c>
      <c r="MI61" s="33" t="n">
        <v>0</v>
      </c>
      <c r="MJ61" s="33" t="n">
        <v>0</v>
      </c>
      <c r="MK61" s="33" t="n">
        <v>0</v>
      </c>
      <c r="ML61" s="33" t="n">
        <v>0</v>
      </c>
      <c r="MM61" s="33" t="n">
        <v>0</v>
      </c>
      <c r="MN61" s="33" t="n">
        <v>0</v>
      </c>
      <c r="MO61" s="33" t="n">
        <v>0</v>
      </c>
      <c r="MP61" s="33" t="n">
        <v>0</v>
      </c>
      <c r="MQ61" s="33" t="n">
        <v>0</v>
      </c>
      <c r="MR61" s="33" t="n">
        <v>0</v>
      </c>
      <c r="MS61" s="33" t="n">
        <v>0</v>
      </c>
      <c r="MT61" s="33" t="n">
        <v>0</v>
      </c>
      <c r="MU61" s="33" t="n">
        <v>0</v>
      </c>
      <c r="MV61" s="33" t="n">
        <v>0</v>
      </c>
      <c r="MW61" s="33" t="n">
        <v>0</v>
      </c>
      <c r="MX61" s="33" t="n">
        <v>0</v>
      </c>
      <c r="MY61" s="33" t="n">
        <v>0</v>
      </c>
      <c r="MZ61" s="33" t="n">
        <v>0</v>
      </c>
      <c r="NA61" s="33" t="n">
        <v>0</v>
      </c>
      <c r="NB61" s="33" t="n">
        <v>0</v>
      </c>
      <c r="NC61" s="33" t="n">
        <v>0</v>
      </c>
      <c r="ND61" s="33" t="n">
        <v>0</v>
      </c>
      <c r="NE61" s="33" t="n">
        <v>0</v>
      </c>
      <c r="NF61" s="33" t="n">
        <v>0</v>
      </c>
      <c r="NG61" s="33" t="n">
        <v>0</v>
      </c>
      <c r="NH61" s="33" t="n">
        <v>0</v>
      </c>
      <c r="NI61" s="33" t="n">
        <v>0</v>
      </c>
      <c r="NJ61" s="33" t="n">
        <v>0</v>
      </c>
      <c r="NK61" s="33" t="n">
        <v>0</v>
      </c>
      <c r="NL61" s="33" t="n">
        <v>0</v>
      </c>
      <c r="NM61" s="33" t="n">
        <v>0</v>
      </c>
      <c r="NN61" s="33" t="n">
        <v>0</v>
      </c>
      <c r="NO61" s="33" t="n">
        <v>0</v>
      </c>
      <c r="NP61" s="33" t="n">
        <v>0</v>
      </c>
      <c r="NQ61" s="33" t="n">
        <v>0</v>
      </c>
      <c r="NR61" s="33" t="n">
        <v>0</v>
      </c>
      <c r="NS61" s="33" t="n">
        <v>0</v>
      </c>
      <c r="NT61" s="33" t="n">
        <v>0</v>
      </c>
      <c r="NU61" s="33" t="n">
        <v>0</v>
      </c>
      <c r="NV61" s="33" t="n">
        <v>0</v>
      </c>
      <c r="NW61" s="33" t="n">
        <v>0</v>
      </c>
      <c r="NX61" s="33" t="n">
        <v>0</v>
      </c>
      <c r="NY61" s="33" t="n">
        <v>0</v>
      </c>
      <c r="NZ61" s="33" t="n">
        <v>0</v>
      </c>
      <c r="OA61" s="33" t="n">
        <v>0</v>
      </c>
      <c r="OB61" s="33" t="n">
        <v>0</v>
      </c>
      <c r="OC61" s="33" t="n">
        <v>0</v>
      </c>
      <c r="OD61" s="33" t="n">
        <v>0</v>
      </c>
      <c r="OE61" s="33" t="n">
        <v>0</v>
      </c>
      <c r="OF61" s="33" t="n">
        <v>0</v>
      </c>
      <c r="OG61" s="33" t="n">
        <v>0</v>
      </c>
      <c r="OH61" s="33" t="n">
        <v>0</v>
      </c>
      <c r="OI61" s="33" t="n">
        <v>0</v>
      </c>
      <c r="OJ61" s="33" t="n">
        <v>0</v>
      </c>
      <c r="OK61" s="33" t="n">
        <v>0</v>
      </c>
      <c r="OL61" s="33" t="n">
        <v>0</v>
      </c>
      <c r="OM61" s="33" t="n">
        <v>0</v>
      </c>
      <c r="ON61" s="33" t="n">
        <v>0</v>
      </c>
      <c r="OO61" s="33" t="n">
        <v>0</v>
      </c>
      <c r="OP61" s="33" t="n">
        <v>0</v>
      </c>
      <c r="OQ61" s="33" t="n">
        <v>0</v>
      </c>
      <c r="OR61" s="33" t="n">
        <v>0</v>
      </c>
      <c r="OS61" s="33" t="n">
        <v>0</v>
      </c>
      <c r="OT61" s="33" t="n">
        <v>0</v>
      </c>
      <c r="OU61" s="33" t="n">
        <v>0</v>
      </c>
      <c r="OV61" s="33" t="n">
        <v>0</v>
      </c>
      <c r="OW61" s="33" t="n">
        <v>0</v>
      </c>
      <c r="OX61" s="33" t="n">
        <v>0</v>
      </c>
      <c r="OY61" s="33" t="n">
        <v>0</v>
      </c>
      <c r="OZ61" s="33" t="n">
        <v>0</v>
      </c>
      <c r="PA61" s="33" t="n">
        <v>0</v>
      </c>
      <c r="PB61" s="33" t="n">
        <v>0</v>
      </c>
      <c r="PC61" s="33" t="n">
        <v>0</v>
      </c>
      <c r="PD61" s="33" t="n">
        <v>0</v>
      </c>
      <c r="PE61" s="33" t="n">
        <v>0</v>
      </c>
      <c r="PF61" s="33" t="n">
        <v>0</v>
      </c>
      <c r="PG61" s="33" t="n">
        <v>0</v>
      </c>
      <c r="PH61" s="33" t="n">
        <v>0</v>
      </c>
      <c r="PI61" s="33" t="n">
        <v>0</v>
      </c>
      <c r="PJ61" s="33" t="n">
        <v>0</v>
      </c>
      <c r="PK61" s="33" t="n">
        <v>0</v>
      </c>
      <c r="PL61" s="33" t="n">
        <v>0</v>
      </c>
      <c r="PM61" s="33" t="n">
        <v>0</v>
      </c>
      <c r="PN61" s="33" t="n">
        <v>0</v>
      </c>
      <c r="PO61" s="33" t="n">
        <v>0</v>
      </c>
      <c r="PP61" s="33" t="n">
        <v>0</v>
      </c>
      <c r="PQ61" s="33" t="n">
        <v>0</v>
      </c>
      <c r="PR61" s="33" t="n">
        <v>0</v>
      </c>
      <c r="PS61" s="33" t="n">
        <v>0</v>
      </c>
      <c r="PT61" s="33" t="n">
        <v>0</v>
      </c>
      <c r="PU61" s="33" t="n">
        <v>0</v>
      </c>
      <c r="PV61" s="33" t="n">
        <v>0</v>
      </c>
      <c r="PW61" s="33" t="n">
        <v>0</v>
      </c>
      <c r="PX61" s="33" t="n">
        <v>0</v>
      </c>
      <c r="PY61" s="33" t="n">
        <v>0</v>
      </c>
      <c r="PZ61" s="33" t="n">
        <v>0</v>
      </c>
      <c r="QA61" s="33" t="n">
        <v>0</v>
      </c>
      <c r="QB61" s="33" t="n">
        <v>0</v>
      </c>
      <c r="QC61" s="33" t="n">
        <v>622.6030253117897</v>
      </c>
      <c r="QD61" s="33" t="n">
        <v>0</v>
      </c>
      <c r="QE61" s="33" t="n">
        <v>0</v>
      </c>
      <c r="QF61" s="33" t="n">
        <v>0</v>
      </c>
      <c r="QG61" s="33" t="n">
        <v>0</v>
      </c>
      <c r="QH61" s="33" t="n">
        <v>0</v>
      </c>
      <c r="QI61" s="33" t="n">
        <v>0</v>
      </c>
      <c r="QJ61" s="33" t="n">
        <v>0</v>
      </c>
      <c r="QK61" s="33" t="n">
        <v>0</v>
      </c>
      <c r="QL61" s="33" t="n">
        <v>0</v>
      </c>
      <c r="QM61" s="33" t="n">
        <v>0</v>
      </c>
      <c r="QN61" s="33" t="n">
        <v>0</v>
      </c>
      <c r="QO61" s="33" t="n">
        <v>3099.160837256186</v>
      </c>
      <c r="QP61" s="33" t="n">
        <v>0</v>
      </c>
      <c r="QQ61" s="33" t="n">
        <v>0</v>
      </c>
      <c r="QR61" s="33" t="n">
        <v>0</v>
      </c>
      <c r="QS61" s="33" t="n">
        <v>0</v>
      </c>
      <c r="QT61" s="33" t="n">
        <v>0</v>
      </c>
      <c r="QU61" s="33" t="n">
        <v>0</v>
      </c>
      <c r="QV61" s="33" t="n">
        <v>0</v>
      </c>
      <c r="QW61" s="33" t="n">
        <v>0</v>
      </c>
      <c r="QX61" s="33" t="n">
        <v>0</v>
      </c>
      <c r="QY61" s="33" t="n">
        <v>0</v>
      </c>
      <c r="QZ61" s="33" t="n">
        <v>0</v>
      </c>
      <c r="RA61" s="33" t="n">
        <v>0</v>
      </c>
      <c r="RB61" s="33" t="n">
        <v>0</v>
      </c>
      <c r="RC61" s="33" t="n">
        <v>0</v>
      </c>
      <c r="RD61" s="33" t="n">
        <v>0</v>
      </c>
      <c r="RE61" s="33" t="n">
        <v>0</v>
      </c>
      <c r="RF61" s="33" t="n">
        <v>0</v>
      </c>
      <c r="RG61" s="33" t="n">
        <v>0</v>
      </c>
      <c r="RH61" s="33" t="n">
        <v>0</v>
      </c>
      <c r="RI61" s="33" t="n">
        <v>0</v>
      </c>
      <c r="RJ61" s="33" t="n">
        <v>0</v>
      </c>
      <c r="RK61" s="33" t="n">
        <v>0</v>
      </c>
      <c r="RL61" s="33" t="n">
        <v>0</v>
      </c>
      <c r="RM61" s="33" t="n">
        <v>0</v>
      </c>
      <c r="RN61" s="33" t="n">
        <v>0</v>
      </c>
      <c r="RO61" s="33" t="n">
        <v>0</v>
      </c>
      <c r="RP61" s="33" t="n">
        <v>0</v>
      </c>
      <c r="RQ61" s="33" t="n">
        <v>0</v>
      </c>
      <c r="RR61" s="33" t="n">
        <v>0</v>
      </c>
      <c r="RS61" s="33" t="n">
        <v>0</v>
      </c>
      <c r="RT61" s="33" t="n">
        <v>0</v>
      </c>
      <c r="RU61" s="33" t="n">
        <v>0</v>
      </c>
      <c r="RV61" s="33" t="n">
        <v>0</v>
      </c>
      <c r="RW61" s="33" t="n">
        <v>0</v>
      </c>
    </row>
    <row r="62" hidden="1" outlineLevel="1" ht="13.05" customHeight="1">
      <c r="E62" s="21" t="inlineStr">
        <is>
          <t>total_distribution</t>
        </is>
      </c>
      <c r="F62" s="29" t="n"/>
      <c r="G62" s="29" t="inlineStr">
        <is>
          <t>kEUR</t>
        </is>
      </c>
      <c r="H62" s="29" t="n"/>
      <c r="I62" s="29" t="n"/>
      <c r="J62" s="32" t="n">
        <v>46217.63862567979</v>
      </c>
      <c r="K62" s="29" t="n"/>
      <c r="L62" s="33" t="n">
        <v>0</v>
      </c>
      <c r="M62" s="33" t="n">
        <v>0</v>
      </c>
      <c r="N62" s="33" t="n">
        <v>0</v>
      </c>
      <c r="O62" s="33" t="n">
        <v>0</v>
      </c>
      <c r="P62" s="33" t="n">
        <v>0</v>
      </c>
      <c r="Q62" s="33" t="n">
        <v>0</v>
      </c>
      <c r="R62" s="33" t="n">
        <v>0</v>
      </c>
      <c r="S62" s="33" t="n">
        <v>0</v>
      </c>
      <c r="T62" s="33" t="n">
        <v>0</v>
      </c>
      <c r="U62" s="33" t="n">
        <v>0</v>
      </c>
      <c r="V62" s="33" t="n">
        <v>0</v>
      </c>
      <c r="W62" s="33" t="n">
        <v>0</v>
      </c>
      <c r="X62" s="33" t="n">
        <v>0</v>
      </c>
      <c r="Y62" s="33" t="n">
        <v>0</v>
      </c>
      <c r="Z62" s="33" t="n">
        <v>0</v>
      </c>
      <c r="AA62" s="33" t="n">
        <v>0</v>
      </c>
      <c r="AB62" s="33" t="n">
        <v>0</v>
      </c>
      <c r="AC62" s="33" t="n">
        <v>0</v>
      </c>
      <c r="AD62" s="33" t="n">
        <v>0</v>
      </c>
      <c r="AE62" s="33" t="n">
        <v>0</v>
      </c>
      <c r="AF62" s="33" t="n">
        <v>0</v>
      </c>
      <c r="AG62" s="33" t="n">
        <v>0</v>
      </c>
      <c r="AH62" s="33" t="n">
        <v>0</v>
      </c>
      <c r="AI62" s="33" t="n">
        <v>0</v>
      </c>
      <c r="AJ62" s="33" t="n">
        <v>0</v>
      </c>
      <c r="AK62" s="33" t="n">
        <v>0</v>
      </c>
      <c r="AL62" s="33" t="n">
        <v>0</v>
      </c>
      <c r="AM62" s="33" t="n">
        <v>0</v>
      </c>
      <c r="AN62" s="33" t="n">
        <v>0</v>
      </c>
      <c r="AO62" s="33" t="n">
        <v>0</v>
      </c>
      <c r="AP62" s="33" t="n">
        <v>0</v>
      </c>
      <c r="AQ62" s="33" t="n">
        <v>0</v>
      </c>
      <c r="AR62" s="33" t="n">
        <v>0</v>
      </c>
      <c r="AS62" s="33" t="n">
        <v>0</v>
      </c>
      <c r="AT62" s="33" t="n">
        <v>0</v>
      </c>
      <c r="AU62" s="33" t="n">
        <v>0</v>
      </c>
      <c r="AV62" s="33" t="n">
        <v>0</v>
      </c>
      <c r="AW62" s="33" t="n">
        <v>0</v>
      </c>
      <c r="AX62" s="33" t="n">
        <v>0</v>
      </c>
      <c r="AY62" s="33" t="n">
        <v>0</v>
      </c>
      <c r="AZ62" s="33" t="n">
        <v>0</v>
      </c>
      <c r="BA62" s="33" t="n">
        <v>0</v>
      </c>
      <c r="BB62" s="33" t="n">
        <v>0</v>
      </c>
      <c r="BC62" s="33" t="n">
        <v>0</v>
      </c>
      <c r="BD62" s="33" t="n">
        <v>0</v>
      </c>
      <c r="BE62" s="33" t="n">
        <v>0</v>
      </c>
      <c r="BF62" s="33" t="n">
        <v>0</v>
      </c>
      <c r="BG62" s="33" t="n">
        <v>0</v>
      </c>
      <c r="BH62" s="33" t="n">
        <v>0</v>
      </c>
      <c r="BI62" s="33" t="n">
        <v>0</v>
      </c>
      <c r="BJ62" s="33" t="n">
        <v>0</v>
      </c>
      <c r="BK62" s="33" t="n">
        <v>0</v>
      </c>
      <c r="BL62" s="33" t="n">
        <v>0</v>
      </c>
      <c r="BM62" s="33" t="n">
        <v>0</v>
      </c>
      <c r="BN62" s="33" t="n">
        <v>0</v>
      </c>
      <c r="BO62" s="33" t="n">
        <v>0</v>
      </c>
      <c r="BP62" s="33" t="n">
        <v>0</v>
      </c>
      <c r="BQ62" s="33" t="n">
        <v>0</v>
      </c>
      <c r="BR62" s="33" t="n">
        <v>0</v>
      </c>
      <c r="BS62" s="33" t="n">
        <v>0</v>
      </c>
      <c r="BT62" s="33" t="n">
        <v>0</v>
      </c>
      <c r="BU62" s="33" t="n">
        <v>0</v>
      </c>
      <c r="BV62" s="33" t="n">
        <v>0</v>
      </c>
      <c r="BW62" s="33" t="n">
        <v>0</v>
      </c>
      <c r="BX62" s="33" t="n">
        <v>0</v>
      </c>
      <c r="BY62" s="33" t="n">
        <v>0</v>
      </c>
      <c r="BZ62" s="33" t="n">
        <v>0</v>
      </c>
      <c r="CA62" s="33" t="n">
        <v>0</v>
      </c>
      <c r="CB62" s="33" t="n">
        <v>0</v>
      </c>
      <c r="CC62" s="33" t="n">
        <v>0</v>
      </c>
      <c r="CD62" s="33" t="n">
        <v>0</v>
      </c>
      <c r="CE62" s="33" t="n">
        <v>0</v>
      </c>
      <c r="CF62" s="33" t="n">
        <v>0</v>
      </c>
      <c r="CG62" s="33" t="n">
        <v>0</v>
      </c>
      <c r="CH62" s="33" t="n">
        <v>0</v>
      </c>
      <c r="CI62" s="33" t="n">
        <v>0</v>
      </c>
      <c r="CJ62" s="33" t="n">
        <v>0</v>
      </c>
      <c r="CK62" s="33" t="n">
        <v>0</v>
      </c>
      <c r="CL62" s="33" t="n">
        <v>0</v>
      </c>
      <c r="CM62" s="33" t="n">
        <v>0</v>
      </c>
      <c r="CN62" s="33" t="n">
        <v>0</v>
      </c>
      <c r="CO62" s="33" t="n">
        <v>0</v>
      </c>
      <c r="CP62" s="33" t="n">
        <v>0</v>
      </c>
      <c r="CQ62" s="33" t="n">
        <v>0</v>
      </c>
      <c r="CR62" s="33" t="n">
        <v>0</v>
      </c>
      <c r="CS62" s="33" t="n">
        <v>0</v>
      </c>
      <c r="CT62" s="33" t="n">
        <v>0</v>
      </c>
      <c r="CU62" s="33" t="n">
        <v>0</v>
      </c>
      <c r="CV62" s="33" t="n">
        <v>0</v>
      </c>
      <c r="CW62" s="33" t="n">
        <v>0</v>
      </c>
      <c r="CX62" s="33" t="n">
        <v>0</v>
      </c>
      <c r="CY62" s="33" t="n">
        <v>0</v>
      </c>
      <c r="CZ62" s="33" t="n">
        <v>0</v>
      </c>
      <c r="DA62" s="33" t="n">
        <v>0</v>
      </c>
      <c r="DB62" s="33" t="n">
        <v>0</v>
      </c>
      <c r="DC62" s="33" t="n">
        <v>0</v>
      </c>
      <c r="DD62" s="33" t="n">
        <v>0</v>
      </c>
      <c r="DE62" s="33" t="n">
        <v>0</v>
      </c>
      <c r="DF62" s="33" t="n">
        <v>0</v>
      </c>
      <c r="DG62" s="33" t="n">
        <v>0</v>
      </c>
      <c r="DH62" s="33" t="n">
        <v>0</v>
      </c>
      <c r="DI62" s="33" t="n">
        <v>0</v>
      </c>
      <c r="DJ62" s="33" t="n">
        <v>0</v>
      </c>
      <c r="DK62" s="33" t="n">
        <v>0</v>
      </c>
      <c r="DL62" s="33" t="n">
        <v>0</v>
      </c>
      <c r="DM62" s="33" t="n">
        <v>0</v>
      </c>
      <c r="DN62" s="33" t="n">
        <v>0</v>
      </c>
      <c r="DO62" s="33" t="n">
        <v>0</v>
      </c>
      <c r="DP62" s="33" t="n">
        <v>0</v>
      </c>
      <c r="DQ62" s="33" t="n">
        <v>0</v>
      </c>
      <c r="DR62" s="33" t="n">
        <v>0</v>
      </c>
      <c r="DS62" s="33" t="n">
        <v>0</v>
      </c>
      <c r="DT62" s="33" t="n">
        <v>0</v>
      </c>
      <c r="DU62" s="33" t="n">
        <v>0</v>
      </c>
      <c r="DV62" s="33" t="n">
        <v>0</v>
      </c>
      <c r="DW62" s="33" t="n">
        <v>0</v>
      </c>
      <c r="DX62" s="33" t="n">
        <v>0</v>
      </c>
      <c r="DY62" s="33" t="n">
        <v>0</v>
      </c>
      <c r="DZ62" s="33" t="n">
        <v>0</v>
      </c>
      <c r="EA62" s="33" t="n">
        <v>0</v>
      </c>
      <c r="EB62" s="33" t="n">
        <v>0</v>
      </c>
      <c r="EC62" s="33" t="n">
        <v>0</v>
      </c>
      <c r="ED62" s="33" t="n">
        <v>0</v>
      </c>
      <c r="EE62" s="33" t="n">
        <v>0</v>
      </c>
      <c r="EF62" s="33" t="n">
        <v>0</v>
      </c>
      <c r="EG62" s="33" t="n">
        <v>0</v>
      </c>
      <c r="EH62" s="33" t="n">
        <v>0</v>
      </c>
      <c r="EI62" s="33" t="n">
        <v>0</v>
      </c>
      <c r="EJ62" s="33" t="n">
        <v>0</v>
      </c>
      <c r="EK62" s="33" t="n">
        <v>0</v>
      </c>
      <c r="EL62" s="33" t="n">
        <v>0</v>
      </c>
      <c r="EM62" s="33" t="n">
        <v>0</v>
      </c>
      <c r="EN62" s="33" t="n">
        <v>0</v>
      </c>
      <c r="EO62" s="33" t="n">
        <v>0</v>
      </c>
      <c r="EP62" s="33" t="n">
        <v>0</v>
      </c>
      <c r="EQ62" s="33" t="n">
        <v>0</v>
      </c>
      <c r="ER62" s="33" t="n">
        <v>0</v>
      </c>
      <c r="ES62" s="33" t="n">
        <v>0</v>
      </c>
      <c r="ET62" s="33" t="n">
        <v>0</v>
      </c>
      <c r="EU62" s="33" t="n">
        <v>0</v>
      </c>
      <c r="EV62" s="33" t="n">
        <v>0</v>
      </c>
      <c r="EW62" s="33" t="n">
        <v>0</v>
      </c>
      <c r="EX62" s="33" t="n">
        <v>0</v>
      </c>
      <c r="EY62" s="33" t="n">
        <v>0</v>
      </c>
      <c r="EZ62" s="33" t="n">
        <v>0</v>
      </c>
      <c r="FA62" s="33" t="n">
        <v>0</v>
      </c>
      <c r="FB62" s="33" t="n">
        <v>0</v>
      </c>
      <c r="FC62" s="33" t="n">
        <v>0</v>
      </c>
      <c r="FD62" s="33" t="n">
        <v>0</v>
      </c>
      <c r="FE62" s="33" t="n">
        <v>0</v>
      </c>
      <c r="FF62" s="33" t="n">
        <v>0</v>
      </c>
      <c r="FG62" s="33" t="n">
        <v>0</v>
      </c>
      <c r="FH62" s="33" t="n">
        <v>0</v>
      </c>
      <c r="FI62" s="33" t="n">
        <v>0</v>
      </c>
      <c r="FJ62" s="33" t="n">
        <v>0</v>
      </c>
      <c r="FK62" s="33" t="n">
        <v>0</v>
      </c>
      <c r="FL62" s="33" t="n">
        <v>0</v>
      </c>
      <c r="FM62" s="33" t="n">
        <v>0</v>
      </c>
      <c r="FN62" s="33" t="n">
        <v>0</v>
      </c>
      <c r="FO62" s="33" t="n">
        <v>0</v>
      </c>
      <c r="FP62" s="33" t="n">
        <v>0</v>
      </c>
      <c r="FQ62" s="33" t="n">
        <v>0</v>
      </c>
      <c r="FR62" s="33" t="n">
        <v>0</v>
      </c>
      <c r="FS62" s="33" t="n">
        <v>0</v>
      </c>
      <c r="FT62" s="33" t="n">
        <v>0</v>
      </c>
      <c r="FU62" s="33" t="n">
        <v>0</v>
      </c>
      <c r="FV62" s="33" t="n">
        <v>0</v>
      </c>
      <c r="FW62" s="33" t="n">
        <v>0</v>
      </c>
      <c r="FX62" s="33" t="n">
        <v>0</v>
      </c>
      <c r="FY62" s="33" t="n">
        <v>0</v>
      </c>
      <c r="FZ62" s="33" t="n">
        <v>0</v>
      </c>
      <c r="GA62" s="33" t="n">
        <v>0</v>
      </c>
      <c r="GB62" s="33" t="n">
        <v>0</v>
      </c>
      <c r="GC62" s="33" t="n">
        <v>0</v>
      </c>
      <c r="GD62" s="33" t="n">
        <v>0</v>
      </c>
      <c r="GE62" s="33" t="n">
        <v>0</v>
      </c>
      <c r="GF62" s="33" t="n">
        <v>0</v>
      </c>
      <c r="GG62" s="33" t="n">
        <v>0</v>
      </c>
      <c r="GH62" s="33" t="n">
        <v>0</v>
      </c>
      <c r="GI62" s="33" t="n">
        <v>0</v>
      </c>
      <c r="GJ62" s="33" t="n">
        <v>0</v>
      </c>
      <c r="GK62" s="33" t="n">
        <v>0</v>
      </c>
      <c r="GL62" s="33" t="n">
        <v>0</v>
      </c>
      <c r="GM62" s="33" t="n">
        <v>0</v>
      </c>
      <c r="GN62" s="33" t="n">
        <v>0</v>
      </c>
      <c r="GO62" s="33" t="n">
        <v>0</v>
      </c>
      <c r="GP62" s="33" t="n">
        <v>0</v>
      </c>
      <c r="GQ62" s="33" t="n">
        <v>0</v>
      </c>
      <c r="GR62" s="33" t="n">
        <v>0</v>
      </c>
      <c r="GS62" s="33" t="n">
        <v>0</v>
      </c>
      <c r="GT62" s="33" t="n">
        <v>0</v>
      </c>
      <c r="GU62" s="33" t="n">
        <v>0</v>
      </c>
      <c r="GV62" s="33" t="n">
        <v>0</v>
      </c>
      <c r="GW62" s="33" t="n">
        <v>0</v>
      </c>
      <c r="GX62" s="33" t="n">
        <v>0</v>
      </c>
      <c r="GY62" s="33" t="n">
        <v>0</v>
      </c>
      <c r="GZ62" s="33" t="n">
        <v>0</v>
      </c>
      <c r="HA62" s="33" t="n">
        <v>0</v>
      </c>
      <c r="HB62" s="33" t="n">
        <v>0</v>
      </c>
      <c r="HC62" s="33" t="n">
        <v>0</v>
      </c>
      <c r="HD62" s="33" t="n">
        <v>0</v>
      </c>
      <c r="HE62" s="33" t="n">
        <v>0</v>
      </c>
      <c r="HF62" s="33" t="n">
        <v>0</v>
      </c>
      <c r="HG62" s="33" t="n">
        <v>0</v>
      </c>
      <c r="HH62" s="33" t="n">
        <v>0</v>
      </c>
      <c r="HI62" s="33" t="n">
        <v>0</v>
      </c>
      <c r="HJ62" s="33" t="n">
        <v>0</v>
      </c>
      <c r="HK62" s="33" t="n">
        <v>0</v>
      </c>
      <c r="HL62" s="33" t="n">
        <v>0</v>
      </c>
      <c r="HM62" s="33" t="n">
        <v>0</v>
      </c>
      <c r="HN62" s="33" t="n">
        <v>0</v>
      </c>
      <c r="HO62" s="33" t="n">
        <v>0</v>
      </c>
      <c r="HP62" s="33" t="n">
        <v>0</v>
      </c>
      <c r="HQ62" s="33" t="n">
        <v>0</v>
      </c>
      <c r="HR62" s="33" t="n">
        <v>0</v>
      </c>
      <c r="HS62" s="33" t="n">
        <v>0</v>
      </c>
      <c r="HT62" s="33" t="n">
        <v>0</v>
      </c>
      <c r="HU62" s="33" t="n">
        <v>0</v>
      </c>
      <c r="HV62" s="33" t="n">
        <v>0</v>
      </c>
      <c r="HW62" s="33" t="n">
        <v>0</v>
      </c>
      <c r="HX62" s="33" t="n">
        <v>0</v>
      </c>
      <c r="HY62" s="33" t="n">
        <v>0</v>
      </c>
      <c r="HZ62" s="33" t="n">
        <v>0</v>
      </c>
      <c r="IA62" s="33" t="n">
        <v>0</v>
      </c>
      <c r="IB62" s="33" t="n">
        <v>0</v>
      </c>
      <c r="IC62" s="33" t="n">
        <v>0</v>
      </c>
      <c r="ID62" s="33" t="n">
        <v>0</v>
      </c>
      <c r="IE62" s="33" t="n">
        <v>0</v>
      </c>
      <c r="IF62" s="33" t="n">
        <v>0</v>
      </c>
      <c r="IG62" s="33" t="n">
        <v>0</v>
      </c>
      <c r="IH62" s="33" t="n">
        <v>0</v>
      </c>
      <c r="II62" s="33" t="n">
        <v>0</v>
      </c>
      <c r="IJ62" s="33" t="n">
        <v>0</v>
      </c>
      <c r="IK62" s="33" t="n">
        <v>0</v>
      </c>
      <c r="IL62" s="33" t="n">
        <v>0</v>
      </c>
      <c r="IM62" s="33" t="n">
        <v>0</v>
      </c>
      <c r="IN62" s="33" t="n">
        <v>0</v>
      </c>
      <c r="IO62" s="33" t="n">
        <v>0</v>
      </c>
      <c r="IP62" s="33" t="n">
        <v>0</v>
      </c>
      <c r="IQ62" s="33" t="n">
        <v>0</v>
      </c>
      <c r="IR62" s="33" t="n">
        <v>0</v>
      </c>
      <c r="IS62" s="33" t="n">
        <v>0</v>
      </c>
      <c r="IT62" s="33" t="n">
        <v>0</v>
      </c>
      <c r="IU62" s="33" t="n">
        <v>0</v>
      </c>
      <c r="IV62" s="33" t="n">
        <v>0</v>
      </c>
      <c r="IW62" s="33" t="n">
        <v>0</v>
      </c>
      <c r="IX62" s="33" t="n">
        <v>0</v>
      </c>
      <c r="IY62" s="33" t="n">
        <v>0</v>
      </c>
      <c r="IZ62" s="33" t="n">
        <v>0</v>
      </c>
      <c r="JA62" s="33" t="n">
        <v>0</v>
      </c>
      <c r="JB62" s="33" t="n">
        <v>0</v>
      </c>
      <c r="JC62" s="33" t="n">
        <v>0</v>
      </c>
      <c r="JD62" s="33" t="n">
        <v>0</v>
      </c>
      <c r="JE62" s="33" t="n">
        <v>0</v>
      </c>
      <c r="JF62" s="33" t="n">
        <v>0</v>
      </c>
      <c r="JG62" s="33" t="n">
        <v>0</v>
      </c>
      <c r="JH62" s="33" t="n">
        <v>0</v>
      </c>
      <c r="JI62" s="33" t="n">
        <v>0</v>
      </c>
      <c r="JJ62" s="33" t="n">
        <v>0</v>
      </c>
      <c r="JK62" s="33" t="n">
        <v>0</v>
      </c>
      <c r="JL62" s="33" t="n">
        <v>0</v>
      </c>
      <c r="JM62" s="33" t="n">
        <v>0</v>
      </c>
      <c r="JN62" s="33" t="n">
        <v>0</v>
      </c>
      <c r="JO62" s="33" t="n">
        <v>0</v>
      </c>
      <c r="JP62" s="33" t="n">
        <v>0</v>
      </c>
      <c r="JQ62" s="33" t="n">
        <v>0</v>
      </c>
      <c r="JR62" s="33" t="n">
        <v>0</v>
      </c>
      <c r="JS62" s="33" t="n">
        <v>0</v>
      </c>
      <c r="JT62" s="33" t="n">
        <v>0</v>
      </c>
      <c r="JU62" s="33" t="n">
        <v>0</v>
      </c>
      <c r="JV62" s="33" t="n">
        <v>0</v>
      </c>
      <c r="JW62" s="33" t="n">
        <v>0</v>
      </c>
      <c r="JX62" s="33" t="n">
        <v>0</v>
      </c>
      <c r="JY62" s="33" t="n">
        <v>0</v>
      </c>
      <c r="JZ62" s="33" t="n">
        <v>0</v>
      </c>
      <c r="KA62" s="33" t="n">
        <v>0</v>
      </c>
      <c r="KB62" s="33" t="n">
        <v>0</v>
      </c>
      <c r="KC62" s="33" t="n">
        <v>0</v>
      </c>
      <c r="KD62" s="33" t="n">
        <v>0</v>
      </c>
      <c r="KE62" s="33" t="n">
        <v>0</v>
      </c>
      <c r="KF62" s="33" t="n">
        <v>0</v>
      </c>
      <c r="KG62" s="33" t="n">
        <v>0</v>
      </c>
      <c r="KH62" s="33" t="n">
        <v>0</v>
      </c>
      <c r="KI62" s="33" t="n">
        <v>0</v>
      </c>
      <c r="KJ62" s="33" t="n">
        <v>0</v>
      </c>
      <c r="KK62" s="33" t="n">
        <v>0</v>
      </c>
      <c r="KL62" s="33" t="n">
        <v>0</v>
      </c>
      <c r="KM62" s="33" t="n">
        <v>0</v>
      </c>
      <c r="KN62" s="33" t="n">
        <v>0</v>
      </c>
      <c r="KO62" s="33" t="n">
        <v>0</v>
      </c>
      <c r="KP62" s="33" t="n">
        <v>0</v>
      </c>
      <c r="KQ62" s="33" t="n">
        <v>0</v>
      </c>
      <c r="KR62" s="33" t="n">
        <v>0</v>
      </c>
      <c r="KS62" s="33" t="n">
        <v>0</v>
      </c>
      <c r="KT62" s="33" t="n">
        <v>0</v>
      </c>
      <c r="KU62" s="33" t="n">
        <v>0</v>
      </c>
      <c r="KV62" s="33" t="n">
        <v>0</v>
      </c>
      <c r="KW62" s="33" t="n">
        <v>0</v>
      </c>
      <c r="KX62" s="33" t="n">
        <v>0</v>
      </c>
      <c r="KY62" s="33" t="n">
        <v>0</v>
      </c>
      <c r="KZ62" s="33" t="n">
        <v>0</v>
      </c>
      <c r="LA62" s="33" t="n">
        <v>0</v>
      </c>
      <c r="LB62" s="33" t="n">
        <v>0</v>
      </c>
      <c r="LC62" s="33" t="n">
        <v>0</v>
      </c>
      <c r="LD62" s="33" t="n">
        <v>0</v>
      </c>
      <c r="LE62" s="33" t="n">
        <v>0</v>
      </c>
      <c r="LF62" s="33" t="n">
        <v>0</v>
      </c>
      <c r="LG62" s="33" t="n">
        <v>0</v>
      </c>
      <c r="LH62" s="33" t="n">
        <v>0</v>
      </c>
      <c r="LI62" s="33" t="n">
        <v>0</v>
      </c>
      <c r="LJ62" s="33" t="n">
        <v>0</v>
      </c>
      <c r="LK62" s="33" t="n">
        <v>0</v>
      </c>
      <c r="LL62" s="33" t="n">
        <v>0</v>
      </c>
      <c r="LM62" s="33" t="n">
        <v>0</v>
      </c>
      <c r="LN62" s="33" t="n">
        <v>0</v>
      </c>
      <c r="LO62" s="33" t="n">
        <v>0</v>
      </c>
      <c r="LP62" s="33" t="n">
        <v>0</v>
      </c>
      <c r="LQ62" s="33" t="n">
        <v>0</v>
      </c>
      <c r="LR62" s="33" t="n">
        <v>0</v>
      </c>
      <c r="LS62" s="33" t="n">
        <v>0</v>
      </c>
      <c r="LT62" s="33" t="n">
        <v>0</v>
      </c>
      <c r="LU62" s="33" t="n">
        <v>0</v>
      </c>
      <c r="LV62" s="33" t="n">
        <v>0</v>
      </c>
      <c r="LW62" s="33" t="n">
        <v>0</v>
      </c>
      <c r="LX62" s="33" t="n">
        <v>0</v>
      </c>
      <c r="LY62" s="33" t="n">
        <v>0</v>
      </c>
      <c r="LZ62" s="33" t="n">
        <v>0</v>
      </c>
      <c r="MA62" s="33" t="n">
        <v>0</v>
      </c>
      <c r="MB62" s="33" t="n">
        <v>0</v>
      </c>
      <c r="MC62" s="33" t="n">
        <v>0</v>
      </c>
      <c r="MD62" s="33" t="n">
        <v>0</v>
      </c>
      <c r="ME62" s="33" t="n">
        <v>0</v>
      </c>
      <c r="MF62" s="33" t="n">
        <v>0</v>
      </c>
      <c r="MG62" s="33" t="n">
        <v>0</v>
      </c>
      <c r="MH62" s="33" t="n">
        <v>0</v>
      </c>
      <c r="MI62" s="33" t="n">
        <v>0</v>
      </c>
      <c r="MJ62" s="33" t="n">
        <v>0</v>
      </c>
      <c r="MK62" s="33" t="n">
        <v>0</v>
      </c>
      <c r="ML62" s="33" t="n">
        <v>0</v>
      </c>
      <c r="MM62" s="33" t="n">
        <v>0</v>
      </c>
      <c r="MN62" s="33" t="n">
        <v>0</v>
      </c>
      <c r="MO62" s="33" t="n">
        <v>0</v>
      </c>
      <c r="MP62" s="33" t="n">
        <v>0</v>
      </c>
      <c r="MQ62" s="33" t="n">
        <v>0</v>
      </c>
      <c r="MR62" s="33" t="n">
        <v>0</v>
      </c>
      <c r="MS62" s="33" t="n">
        <v>0</v>
      </c>
      <c r="MT62" s="33" t="n">
        <v>0</v>
      </c>
      <c r="MU62" s="33" t="n">
        <v>0</v>
      </c>
      <c r="MV62" s="33" t="n">
        <v>0</v>
      </c>
      <c r="MW62" s="33" t="n">
        <v>0</v>
      </c>
      <c r="MX62" s="33" t="n">
        <v>0</v>
      </c>
      <c r="MY62" s="33" t="n">
        <v>0</v>
      </c>
      <c r="MZ62" s="33" t="n">
        <v>0</v>
      </c>
      <c r="NA62" s="33" t="n">
        <v>0</v>
      </c>
      <c r="NB62" s="33" t="n">
        <v>0</v>
      </c>
      <c r="NC62" s="33" t="n">
        <v>0</v>
      </c>
      <c r="ND62" s="33" t="n">
        <v>0</v>
      </c>
      <c r="NE62" s="33" t="n">
        <v>0</v>
      </c>
      <c r="NF62" s="33" t="n">
        <v>0</v>
      </c>
      <c r="NG62" s="33" t="n">
        <v>0</v>
      </c>
      <c r="NH62" s="33" t="n">
        <v>0</v>
      </c>
      <c r="NI62" s="33" t="n">
        <v>0</v>
      </c>
      <c r="NJ62" s="33" t="n">
        <v>0</v>
      </c>
      <c r="NK62" s="33" t="n">
        <v>0</v>
      </c>
      <c r="NL62" s="33" t="n">
        <v>0</v>
      </c>
      <c r="NM62" s="33" t="n">
        <v>0</v>
      </c>
      <c r="NN62" s="33" t="n">
        <v>0</v>
      </c>
      <c r="NO62" s="33" t="n">
        <v>0</v>
      </c>
      <c r="NP62" s="33" t="n">
        <v>0</v>
      </c>
      <c r="NQ62" s="33" t="n">
        <v>0</v>
      </c>
      <c r="NR62" s="33" t="n">
        <v>0</v>
      </c>
      <c r="NS62" s="33" t="n">
        <v>0</v>
      </c>
      <c r="NT62" s="33" t="n">
        <v>0</v>
      </c>
      <c r="NU62" s="33" t="n">
        <v>0</v>
      </c>
      <c r="NV62" s="33" t="n">
        <v>0</v>
      </c>
      <c r="NW62" s="33" t="n">
        <v>0</v>
      </c>
      <c r="NX62" s="33" t="n">
        <v>0</v>
      </c>
      <c r="NY62" s="33" t="n">
        <v>0</v>
      </c>
      <c r="NZ62" s="33" t="n">
        <v>0</v>
      </c>
      <c r="OA62" s="33" t="n">
        <v>0</v>
      </c>
      <c r="OB62" s="33" t="n">
        <v>0</v>
      </c>
      <c r="OC62" s="33" t="n">
        <v>0</v>
      </c>
      <c r="OD62" s="33" t="n">
        <v>0</v>
      </c>
      <c r="OE62" s="33" t="n">
        <v>0</v>
      </c>
      <c r="OF62" s="33" t="n">
        <v>0</v>
      </c>
      <c r="OG62" s="33" t="n">
        <v>0</v>
      </c>
      <c r="OH62" s="33" t="n">
        <v>0</v>
      </c>
      <c r="OI62" s="33" t="n">
        <v>0</v>
      </c>
      <c r="OJ62" s="33" t="n">
        <v>0</v>
      </c>
      <c r="OK62" s="33" t="n">
        <v>0</v>
      </c>
      <c r="OL62" s="33" t="n">
        <v>0</v>
      </c>
      <c r="OM62" s="33" t="n">
        <v>0</v>
      </c>
      <c r="ON62" s="33" t="n">
        <v>0</v>
      </c>
      <c r="OO62" s="33" t="n">
        <v>0</v>
      </c>
      <c r="OP62" s="33" t="n">
        <v>0</v>
      </c>
      <c r="OQ62" s="33" t="n">
        <v>0</v>
      </c>
      <c r="OR62" s="33" t="n">
        <v>0</v>
      </c>
      <c r="OS62" s="33" t="n">
        <v>0</v>
      </c>
      <c r="OT62" s="33" t="n">
        <v>0</v>
      </c>
      <c r="OU62" s="33" t="n">
        <v>0</v>
      </c>
      <c r="OV62" s="33" t="n">
        <v>0</v>
      </c>
      <c r="OW62" s="33" t="n">
        <v>0</v>
      </c>
      <c r="OX62" s="33" t="n">
        <v>0</v>
      </c>
      <c r="OY62" s="33" t="n">
        <v>0</v>
      </c>
      <c r="OZ62" s="33" t="n">
        <v>0</v>
      </c>
      <c r="PA62" s="33" t="n">
        <v>0</v>
      </c>
      <c r="PB62" s="33" t="n">
        <v>0</v>
      </c>
      <c r="PC62" s="33" t="n">
        <v>0</v>
      </c>
      <c r="PD62" s="33" t="n">
        <v>0</v>
      </c>
      <c r="PE62" s="33" t="n">
        <v>0</v>
      </c>
      <c r="PF62" s="33" t="n">
        <v>0</v>
      </c>
      <c r="PG62" s="33" t="n">
        <v>0</v>
      </c>
      <c r="PH62" s="33" t="n">
        <v>0</v>
      </c>
      <c r="PI62" s="33" t="n">
        <v>0</v>
      </c>
      <c r="PJ62" s="33" t="n">
        <v>0</v>
      </c>
      <c r="PK62" s="33" t="n">
        <v>0</v>
      </c>
      <c r="PL62" s="33" t="n">
        <v>0</v>
      </c>
      <c r="PM62" s="33" t="n">
        <v>0</v>
      </c>
      <c r="PN62" s="33" t="n">
        <v>0</v>
      </c>
      <c r="PO62" s="33" t="n">
        <v>0</v>
      </c>
      <c r="PP62" s="33" t="n">
        <v>0</v>
      </c>
      <c r="PQ62" s="33" t="n">
        <v>0</v>
      </c>
      <c r="PR62" s="33" t="n">
        <v>0</v>
      </c>
      <c r="PS62" s="33" t="n">
        <v>0</v>
      </c>
      <c r="PT62" s="33" t="n">
        <v>0</v>
      </c>
      <c r="PU62" s="33" t="n">
        <v>0</v>
      </c>
      <c r="PV62" s="33" t="n">
        <v>0</v>
      </c>
      <c r="PW62" s="33" t="n">
        <v>0</v>
      </c>
      <c r="PX62" s="33" t="n">
        <v>0</v>
      </c>
      <c r="PY62" s="33" t="n">
        <v>0</v>
      </c>
      <c r="PZ62" s="33" t="n">
        <v>0</v>
      </c>
      <c r="QA62" s="33" t="n">
        <v>0</v>
      </c>
      <c r="QB62" s="33" t="n">
        <v>0</v>
      </c>
      <c r="QC62" s="33" t="n">
        <v>10726.0302531179</v>
      </c>
      <c r="QD62" s="33" t="n">
        <v>0</v>
      </c>
      <c r="QE62" s="33" t="n">
        <v>0</v>
      </c>
      <c r="QF62" s="33" t="n">
        <v>0</v>
      </c>
      <c r="QG62" s="33" t="n">
        <v>0</v>
      </c>
      <c r="QH62" s="33" t="n">
        <v>0</v>
      </c>
      <c r="QI62" s="33" t="n">
        <v>0</v>
      </c>
      <c r="QJ62" s="33" t="n">
        <v>0</v>
      </c>
      <c r="QK62" s="33" t="n">
        <v>0</v>
      </c>
      <c r="QL62" s="33" t="n">
        <v>0</v>
      </c>
      <c r="QM62" s="33" t="n">
        <v>0</v>
      </c>
      <c r="QN62" s="33" t="n">
        <v>0</v>
      </c>
      <c r="QO62" s="33" t="n">
        <v>35491.60837256188</v>
      </c>
      <c r="QP62" s="33" t="n">
        <v>0</v>
      </c>
      <c r="QQ62" s="33" t="n">
        <v>0</v>
      </c>
      <c r="QR62" s="33" t="n">
        <v>0</v>
      </c>
      <c r="QS62" s="33" t="n">
        <v>0</v>
      </c>
      <c r="QT62" s="33" t="n">
        <v>0</v>
      </c>
      <c r="QU62" s="33" t="n">
        <v>0</v>
      </c>
      <c r="QV62" s="33" t="n">
        <v>0</v>
      </c>
      <c r="QW62" s="33" t="n">
        <v>0</v>
      </c>
      <c r="QX62" s="33" t="n">
        <v>0</v>
      </c>
      <c r="QY62" s="33" t="n">
        <v>0</v>
      </c>
      <c r="QZ62" s="33" t="n">
        <v>0</v>
      </c>
      <c r="RA62" s="33" t="n">
        <v>0</v>
      </c>
      <c r="RB62" s="33" t="n">
        <v>0</v>
      </c>
      <c r="RC62" s="33" t="n">
        <v>0</v>
      </c>
      <c r="RD62" s="33" t="n">
        <v>0</v>
      </c>
      <c r="RE62" s="33" t="n">
        <v>0</v>
      </c>
      <c r="RF62" s="33" t="n">
        <v>0</v>
      </c>
      <c r="RG62" s="33" t="n">
        <v>0</v>
      </c>
      <c r="RH62" s="33" t="n">
        <v>0</v>
      </c>
      <c r="RI62" s="33" t="n">
        <v>0</v>
      </c>
      <c r="RJ62" s="33" t="n">
        <v>0</v>
      </c>
      <c r="RK62" s="33" t="n">
        <v>0</v>
      </c>
      <c r="RL62" s="33" t="n">
        <v>0</v>
      </c>
      <c r="RM62" s="33" t="n">
        <v>0</v>
      </c>
      <c r="RN62" s="33" t="n">
        <v>0</v>
      </c>
      <c r="RO62" s="33" t="n">
        <v>0</v>
      </c>
      <c r="RP62" s="33" t="n">
        <v>0</v>
      </c>
      <c r="RQ62" s="33" t="n">
        <v>0</v>
      </c>
      <c r="RR62" s="33" t="n">
        <v>0</v>
      </c>
      <c r="RS62" s="33" t="n">
        <v>0</v>
      </c>
      <c r="RT62" s="33" t="n">
        <v>0</v>
      </c>
      <c r="RU62" s="33" t="n">
        <v>0</v>
      </c>
      <c r="RV62" s="33" t="n">
        <v>0</v>
      </c>
      <c r="RW62" s="33" t="n">
        <v>0</v>
      </c>
    </row>
    <row r="63" ht="13.05" customHeight="1">
      <c r="A63" s="38" t="n"/>
      <c r="B63" s="38" t="n"/>
      <c r="C63" s="38" t="n"/>
      <c r="D63" s="38" t="n"/>
      <c r="E63" s="38" t="inlineStr">
        <is>
          <t>Finance Costs</t>
        </is>
      </c>
      <c r="F63" s="38" t="n"/>
      <c r="G63" s="38" t="inlineStr">
        <is>
          <t>kEUR</t>
        </is>
      </c>
      <c r="H63" s="29" t="n"/>
      <c r="I63" s="29" t="n"/>
      <c r="J63" s="32" t="n">
        <v>186076379.8532607</v>
      </c>
      <c r="K63" s="29" t="n"/>
      <c r="L63" s="33" t="n">
        <v>-3050.416666666667</v>
      </c>
      <c r="M63" s="33" t="n">
        <v>-6100.833333333333</v>
      </c>
      <c r="N63" s="33" t="n">
        <v>-9151.25</v>
      </c>
      <c r="O63" s="33" t="n">
        <v>-12201.66666666667</v>
      </c>
      <c r="P63" s="33" t="n">
        <v>-15252.08333333333</v>
      </c>
      <c r="Q63" s="33" t="n">
        <v>-18302.5</v>
      </c>
      <c r="R63" s="33" t="n">
        <v>-21352.91666666667</v>
      </c>
      <c r="S63" s="33" t="n">
        <v>-24403.33333333334</v>
      </c>
      <c r="T63" s="33" t="n">
        <v>-27453.75</v>
      </c>
      <c r="U63" s="33" t="n">
        <v>-30504.16666666667</v>
      </c>
      <c r="V63" s="33" t="n">
        <v>-33554.58333333334</v>
      </c>
      <c r="W63" s="33" t="n">
        <v>-36605</v>
      </c>
      <c r="X63" s="33" t="n">
        <v>-39655.41666666666</v>
      </c>
      <c r="Y63" s="33" t="n">
        <v>-42705.83333333333</v>
      </c>
      <c r="Z63" s="33" t="n">
        <v>-45756.24999999999</v>
      </c>
      <c r="AA63" s="33" t="n">
        <v>-48806.66666666666</v>
      </c>
      <c r="AB63" s="33" t="n">
        <v>-51857.08333333332</v>
      </c>
      <c r="AC63" s="33" t="n">
        <v>-54907.49999999999</v>
      </c>
      <c r="AD63" s="33" t="n">
        <v>-57957.91666666665</v>
      </c>
      <c r="AE63" s="33" t="n">
        <v>-61008.33333333331</v>
      </c>
      <c r="AF63" s="33" t="n">
        <v>-64058.74999999998</v>
      </c>
      <c r="AG63" s="33" t="n">
        <v>-67109.16666666664</v>
      </c>
      <c r="AH63" s="33" t="n">
        <v>-70159.58333333331</v>
      </c>
      <c r="AI63" s="33" t="n">
        <v>-73209.99999999999</v>
      </c>
      <c r="AJ63" s="33" t="n">
        <v>-76260.41666666666</v>
      </c>
      <c r="AK63" s="33" t="n">
        <v>-79310.83333333333</v>
      </c>
      <c r="AL63" s="33" t="n">
        <v>-82361.25</v>
      </c>
      <c r="AM63" s="33" t="n">
        <v>-85411.66666666667</v>
      </c>
      <c r="AN63" s="33" t="n">
        <v>-88462.08333333334</v>
      </c>
      <c r="AO63" s="33" t="n">
        <v>-91512.50000000001</v>
      </c>
      <c r="AP63" s="33" t="n">
        <v>-94562.91666666669</v>
      </c>
      <c r="AQ63" s="33" t="n">
        <v>-97613.33333333336</v>
      </c>
      <c r="AR63" s="33" t="n">
        <v>-100663.75</v>
      </c>
      <c r="AS63" s="33" t="n">
        <v>-103714.1666666667</v>
      </c>
      <c r="AT63" s="33" t="n">
        <v>-106764.5833333334</v>
      </c>
      <c r="AU63" s="33" t="n">
        <v>-109815</v>
      </c>
      <c r="AV63" s="33" t="n">
        <v>-112865.4166666667</v>
      </c>
      <c r="AW63" s="33" t="n">
        <v>-115915.8333333334</v>
      </c>
      <c r="AX63" s="33" t="n">
        <v>-118966.2500000001</v>
      </c>
      <c r="AY63" s="33" t="n">
        <v>-122016.6666666667</v>
      </c>
      <c r="AZ63" s="33" t="n">
        <v>-125067.0833333334</v>
      </c>
      <c r="BA63" s="33" t="n">
        <v>-128117.5000000001</v>
      </c>
      <c r="BB63" s="33" t="n">
        <v>-131167.9166666667</v>
      </c>
      <c r="BC63" s="33" t="n">
        <v>-134218.3333333334</v>
      </c>
      <c r="BD63" s="33" t="n">
        <v>-137268.7500000001</v>
      </c>
      <c r="BE63" s="33" t="n">
        <v>-140319.1666666667</v>
      </c>
      <c r="BF63" s="33" t="n">
        <v>-143369.5833333334</v>
      </c>
      <c r="BG63" s="33" t="n">
        <v>-146420</v>
      </c>
      <c r="BH63" s="33" t="n">
        <v>-150558.6166666667</v>
      </c>
      <c r="BI63" s="33" t="n">
        <v>-154809.6661148148</v>
      </c>
      <c r="BJ63" s="33" t="n">
        <v>-159173.1483444445</v>
      </c>
      <c r="BK63" s="33" t="n">
        <v>-163649.0633555556</v>
      </c>
      <c r="BL63" s="33" t="n">
        <v>-168237.4111481482</v>
      </c>
      <c r="BM63" s="33" t="n">
        <v>-172938.1917222223</v>
      </c>
      <c r="BN63" s="33" t="n">
        <v>-177751.4050777778</v>
      </c>
      <c r="BO63" s="33" t="n">
        <v>-182677.0512148148</v>
      </c>
      <c r="BP63" s="33" t="n">
        <v>-187715.1301333334</v>
      </c>
      <c r="BQ63" s="33" t="n">
        <v>-192865.6418333334</v>
      </c>
      <c r="BR63" s="33" t="n">
        <v>-198128.5863148148</v>
      </c>
      <c r="BS63" s="33" t="n">
        <v>-203503.9635777778</v>
      </c>
      <c r="BT63" s="33" t="n">
        <v>-210043.7002888889</v>
      </c>
      <c r="BU63" s="33" t="n">
        <v>-216695.8697814815</v>
      </c>
      <c r="BV63" s="33" t="n">
        <v>-223460.4720555556</v>
      </c>
      <c r="BW63" s="33" t="n">
        <v>-230337.5071111111</v>
      </c>
      <c r="BX63" s="33" t="n">
        <v>-237326.9749481482</v>
      </c>
      <c r="BY63" s="33" t="n">
        <v>-244428.8755666667</v>
      </c>
      <c r="BZ63" s="33" t="n">
        <v>-251643.2089666667</v>
      </c>
      <c r="CA63" s="33" t="n">
        <v>-258969.9751481482</v>
      </c>
      <c r="CB63" s="33" t="n">
        <v>-266409.1741111111</v>
      </c>
      <c r="CC63" s="33" t="n">
        <v>-273960.8058555556</v>
      </c>
      <c r="CD63" s="33" t="n">
        <v>-281624.8703814815</v>
      </c>
      <c r="CE63" s="33" t="n">
        <v>-289401.3676888889</v>
      </c>
      <c r="CF63" s="33" t="n">
        <v>-298307.1602222223</v>
      </c>
      <c r="CG63" s="33" t="n">
        <v>-307325.3855370371</v>
      </c>
      <c r="CH63" s="33" t="n">
        <v>-316456.0436333334</v>
      </c>
      <c r="CI63" s="33" t="n">
        <v>-325699.1345111112</v>
      </c>
      <c r="CJ63" s="33" t="n">
        <v>-335054.6581703704</v>
      </c>
      <c r="CK63" s="33" t="n">
        <v>-344522.6146111112</v>
      </c>
      <c r="CL63" s="33" t="n">
        <v>-354103.0038333334</v>
      </c>
      <c r="CM63" s="33" t="n">
        <v>-363795.8258370371</v>
      </c>
      <c r="CN63" s="33" t="n">
        <v>-373601.0806222223</v>
      </c>
      <c r="CO63" s="33" t="n">
        <v>-383518.768188889</v>
      </c>
      <c r="CP63" s="33" t="n">
        <v>-393548.8885370371</v>
      </c>
      <c r="CQ63" s="33" t="n">
        <v>-397042.5774269761</v>
      </c>
      <c r="CR63" s="33" t="n">
        <v>-385958.5502605368</v>
      </c>
      <c r="CS63" s="33" t="n">
        <v>-374862.7531312748</v>
      </c>
      <c r="CT63" s="33" t="n">
        <v>-363755.1652405015</v>
      </c>
      <c r="CU63" s="33" t="n">
        <v>-352635.7657527749</v>
      </c>
      <c r="CV63" s="33" t="n">
        <v>-341504.5337958348</v>
      </c>
      <c r="CW63" s="33" t="n">
        <v>-330361.4484605376</v>
      </c>
      <c r="CX63" s="33" t="n">
        <v>-319192.9968670135</v>
      </c>
      <c r="CY63" s="33" t="n">
        <v>-307999.1580321565</v>
      </c>
      <c r="CZ63" s="33" t="n">
        <v>-296779.9109357815</v>
      </c>
      <c r="DA63" s="33" t="n">
        <v>-285535.2345205586</v>
      </c>
      <c r="DB63" s="33" t="n">
        <v>-274265.1076919475</v>
      </c>
      <c r="DC63" s="33" t="n">
        <v>-262969.5093181318</v>
      </c>
      <c r="DD63" s="33" t="n">
        <v>-260352.4534419284</v>
      </c>
      <c r="DE63" s="33" t="n">
        <v>-257709.8836447956</v>
      </c>
      <c r="DF63" s="33" t="n">
        <v>-255041.7786826928</v>
      </c>
      <c r="DG63" s="33" t="n">
        <v>-252348.1172740392</v>
      </c>
      <c r="DH63" s="33" t="n">
        <v>-249628.8780996473</v>
      </c>
      <c r="DI63" s="33" t="n">
        <v>-246884.0398026564</v>
      </c>
      <c r="DJ63" s="33" t="n">
        <v>-244113.5809884664</v>
      </c>
      <c r="DK63" s="33" t="n">
        <v>-241317.4802246704</v>
      </c>
      <c r="DL63" s="33" t="n">
        <v>-238495.7160409887</v>
      </c>
      <c r="DM63" s="33" t="n">
        <v>-235648.2669292013</v>
      </c>
      <c r="DN63" s="33" t="n">
        <v>-232775.111343081</v>
      </c>
      <c r="DO63" s="33" t="n">
        <v>-229876.2276983264</v>
      </c>
      <c r="DP63" s="33" t="n">
        <v>-226682.8436017096</v>
      </c>
      <c r="DQ63" s="33" t="n">
        <v>-223463.6881633635</v>
      </c>
      <c r="DR63" s="33" t="n">
        <v>-220218.7396843594</v>
      </c>
      <c r="DS63" s="33" t="n">
        <v>-216947.9764274248</v>
      </c>
      <c r="DT63" s="33" t="n">
        <v>-213651.3766168751</v>
      </c>
      <c r="DU63" s="33" t="n">
        <v>-210328.9184385458</v>
      </c>
      <c r="DV63" s="33" t="n">
        <v>-206980.5800397247</v>
      </c>
      <c r="DW63" s="33" t="n">
        <v>-203606.3395290839</v>
      </c>
      <c r="DX63" s="33" t="n">
        <v>-200206.174976611</v>
      </c>
      <c r="DY63" s="33" t="n">
        <v>-196780.0644135413</v>
      </c>
      <c r="DZ63" s="33" t="n">
        <v>-193327.9858322892</v>
      </c>
      <c r="EA63" s="33" t="n">
        <v>-189849.9171863793</v>
      </c>
      <c r="EB63" s="33" t="n">
        <v>-184875.4009382547</v>
      </c>
      <c r="EC63" s="33" t="n">
        <v>-179874.8504155779</v>
      </c>
      <c r="ED63" s="33" t="n">
        <v>-174848.2434547923</v>
      </c>
      <c r="EE63" s="33" t="n">
        <v>-169795.5578531756</v>
      </c>
      <c r="EF63" s="33" t="n">
        <v>-164716.7713687715</v>
      </c>
      <c r="EG63" s="33" t="n">
        <v>-159611.8617203198</v>
      </c>
      <c r="EH63" s="33" t="n">
        <v>-154480.8065871871</v>
      </c>
      <c r="EI63" s="33" t="n">
        <v>-149323.5836092973</v>
      </c>
      <c r="EJ63" s="33" t="n">
        <v>-144140.1703870617</v>
      </c>
      <c r="EK63" s="33" t="n">
        <v>-138930.5444813095</v>
      </c>
      <c r="EL63" s="33" t="n">
        <v>-133694.6834132174</v>
      </c>
      <c r="EM63" s="33" t="n">
        <v>-128432.5646642401</v>
      </c>
      <c r="EN63" s="33" t="n">
        <v>-125242.8184698356</v>
      </c>
      <c r="EO63" s="33" t="n">
        <v>-122026.7694380071</v>
      </c>
      <c r="EP63" s="33" t="n">
        <v>-118784.3949306208</v>
      </c>
      <c r="EQ63" s="33" t="n">
        <v>-115515.6722695386</v>
      </c>
      <c r="ER63" s="33" t="n">
        <v>-112220.5787365484</v>
      </c>
      <c r="ES63" s="33" t="n">
        <v>-108899.0915732924</v>
      </c>
      <c r="ET63" s="33" t="n">
        <v>-105551.1879811967</v>
      </c>
      <c r="EU63" s="33" t="n">
        <v>-102176.8451214</v>
      </c>
      <c r="EV63" s="33" t="n">
        <v>-98776.04011468247</v>
      </c>
      <c r="EW63" s="33" t="n">
        <v>-95348.75004139454</v>
      </c>
      <c r="EX63" s="33" t="n">
        <v>-91894.95194138522</v>
      </c>
      <c r="EY63" s="33" t="n">
        <v>-88414.62281393075</v>
      </c>
      <c r="EZ63" s="33" t="n">
        <v>-84009.17511467409</v>
      </c>
      <c r="FA63" s="33" t="n">
        <v>-79577.15026451918</v>
      </c>
      <c r="FB63" s="33" t="n">
        <v>-75118.52514059299</v>
      </c>
      <c r="FC63" s="33" t="n">
        <v>-70633.27657916205</v>
      </c>
      <c r="FD63" s="33" t="n">
        <v>-66121.38137556029</v>
      </c>
      <c r="FE63" s="33" t="n">
        <v>-61582.81628411671</v>
      </c>
      <c r="FF63" s="33" t="n">
        <v>-57017.5580180829</v>
      </c>
      <c r="FG63" s="33" t="n">
        <v>-52425.58324956047</v>
      </c>
      <c r="FH63" s="33" t="n">
        <v>-47806.86860942833</v>
      </c>
      <c r="FI63" s="33" t="n">
        <v>-43161.39068726983</v>
      </c>
      <c r="FJ63" s="33" t="n">
        <v>-38489.1260312998</v>
      </c>
      <c r="FK63" s="33" t="n">
        <v>-33790.05114829144</v>
      </c>
      <c r="FL63" s="33" t="n">
        <v>-28115.88437735818</v>
      </c>
      <c r="FM63" s="33" t="n">
        <v>-22414.86026831509</v>
      </c>
      <c r="FN63" s="33" t="n">
        <v>-16686.95520317059</v>
      </c>
      <c r="FO63" s="33" t="n">
        <v>-10932.14552219778</v>
      </c>
      <c r="FP63" s="33" t="n">
        <v>-5150.407523860696</v>
      </c>
      <c r="FQ63" s="33" t="n">
        <v>658.2825352596092</v>
      </c>
      <c r="FR63" s="33" t="n">
        <v>6493.948440539035</v>
      </c>
      <c r="FS63" s="33" t="n">
        <v>12356.6140193846</v>
      </c>
      <c r="FT63" s="33" t="n">
        <v>18246.30314130871</v>
      </c>
      <c r="FU63" s="33" t="n">
        <v>24163.03971800355</v>
      </c>
      <c r="FV63" s="33" t="n">
        <v>30106.84770341564</v>
      </c>
      <c r="FW63" s="33" t="n">
        <v>36077.7510938205</v>
      </c>
      <c r="FX63" s="33" t="n">
        <v>39203.76853410037</v>
      </c>
      <c r="FY63" s="33" t="n">
        <v>42356.92949921032</v>
      </c>
      <c r="FZ63" s="33" t="n">
        <v>45537.25811286219</v>
      </c>
      <c r="GA63" s="33" t="n">
        <v>48744.77854139677</v>
      </c>
      <c r="GB63" s="33" t="n">
        <v>51979.51499385918</v>
      </c>
      <c r="GC63" s="33" t="n">
        <v>55241.49172207431</v>
      </c>
      <c r="GD63" s="33" t="n">
        <v>58530.73302072242</v>
      </c>
      <c r="GE63" s="33" t="n">
        <v>61847.26322741489</v>
      </c>
      <c r="GF63" s="33" t="n">
        <v>65191.10672277006</v>
      </c>
      <c r="GG63" s="33" t="n">
        <v>68562.28793048923</v>
      </c>
      <c r="GH63" s="33" t="n">
        <v>71960.83131743279</v>
      </c>
      <c r="GI63" s="33" t="n">
        <v>75386.76139369651</v>
      </c>
      <c r="GJ63" s="33" t="n">
        <v>78567.76368922068</v>
      </c>
      <c r="GK63" s="33" t="n">
        <v>81776.20182426836</v>
      </c>
      <c r="GL63" s="33" t="n">
        <v>85012.10043910032</v>
      </c>
      <c r="GM63" s="33" t="n">
        <v>88275.48421751917</v>
      </c>
      <c r="GN63" s="33" t="n">
        <v>91566.37788694618</v>
      </c>
      <c r="GO63" s="33" t="n">
        <v>94884.80621849844</v>
      </c>
      <c r="GP63" s="33" t="n">
        <v>98230.79402706608</v>
      </c>
      <c r="GQ63" s="33" t="n">
        <v>101604.3661713896</v>
      </c>
      <c r="GR63" s="33" t="n">
        <v>105005.5475541372</v>
      </c>
      <c r="GS63" s="33" t="n">
        <v>108434.3631219828</v>
      </c>
      <c r="GT63" s="33" t="n">
        <v>111890.8378656834</v>
      </c>
      <c r="GU63" s="33" t="n">
        <v>115374.9968201573</v>
      </c>
      <c r="GV63" s="33" t="n">
        <v>120838.0361704669</v>
      </c>
      <c r="GW63" s="33" t="n">
        <v>126328.8099341818</v>
      </c>
      <c r="GX63" s="33" t="n">
        <v>131847.3432791723</v>
      </c>
      <c r="GY63" s="33" t="n">
        <v>137393.661417783</v>
      </c>
      <c r="GZ63" s="33" t="n">
        <v>142967.7896069111</v>
      </c>
      <c r="HA63" s="33" t="n">
        <v>148569.7531480852</v>
      </c>
      <c r="HB63" s="33" t="n">
        <v>154199.5773875442</v>
      </c>
      <c r="HC63" s="33" t="n">
        <v>159857.2877163164</v>
      </c>
      <c r="HD63" s="33" t="n">
        <v>165542.9095702985</v>
      </c>
      <c r="HE63" s="33" t="n">
        <v>171256.468430335</v>
      </c>
      <c r="HF63" s="33" t="n">
        <v>176997.9898222974</v>
      </c>
      <c r="HG63" s="33" t="n">
        <v>182767.4993171643</v>
      </c>
      <c r="HH63" s="33" t="n">
        <v>186635.0618699338</v>
      </c>
      <c r="HI63" s="33" t="n">
        <v>190530.6638032035</v>
      </c>
      <c r="HJ63" s="33" t="n">
        <v>194454.330823751</v>
      </c>
      <c r="HK63" s="33" t="n">
        <v>198406.08868378</v>
      </c>
      <c r="HL63" s="33" t="n">
        <v>202385.9631810011</v>
      </c>
      <c r="HM63" s="33" t="n">
        <v>206393.9801587118</v>
      </c>
      <c r="HN63" s="33" t="n">
        <v>210430.1655058775</v>
      </c>
      <c r="HO63" s="33" t="n">
        <v>214494.5451572118</v>
      </c>
      <c r="HP63" s="33" t="n">
        <v>218587.1450932575</v>
      </c>
      <c r="HQ63" s="33" t="n">
        <v>222707.9913404678</v>
      </c>
      <c r="HR63" s="33" t="n">
        <v>226857.1099712868</v>
      </c>
      <c r="HS63" s="33" t="n">
        <v>231034.5271042317</v>
      </c>
      <c r="HT63" s="33" t="n">
        <v>235098.7643489977</v>
      </c>
      <c r="HU63" s="33" t="n">
        <v>239191.352471467</v>
      </c>
      <c r="HV63" s="33" t="n">
        <v>243312.3177288632</v>
      </c>
      <c r="HW63" s="33" t="n">
        <v>247461.6864248094</v>
      </c>
      <c r="HX63" s="33" t="n">
        <v>251639.4849094096</v>
      </c>
      <c r="HY63" s="33" t="n">
        <v>255845.7395793308</v>
      </c>
      <c r="HZ63" s="33" t="n">
        <v>260080.476877886</v>
      </c>
      <c r="IA63" s="33" t="n">
        <v>264343.7232951157</v>
      </c>
      <c r="IB63" s="33" t="n">
        <v>268635.5053678713</v>
      </c>
      <c r="IC63" s="33" t="n">
        <v>272955.8496798971</v>
      </c>
      <c r="ID63" s="33" t="n">
        <v>277304.7828619137</v>
      </c>
      <c r="IE63" s="33" t="n">
        <v>281682.331591701</v>
      </c>
      <c r="IF63" s="33" t="n">
        <v>287474.7168223836</v>
      </c>
      <c r="IG63" s="33" t="n">
        <v>293295.7710979063</v>
      </c>
      <c r="IH63" s="33" t="n">
        <v>299145.5212377256</v>
      </c>
      <c r="II63" s="33" t="n">
        <v>305023.9941086908</v>
      </c>
      <c r="IJ63" s="33" t="n">
        <v>310931.2166251274</v>
      </c>
      <c r="IK63" s="33" t="n">
        <v>316867.2157489213</v>
      </c>
      <c r="IL63" s="33" t="n">
        <v>322832.0184896028</v>
      </c>
      <c r="IM63" s="33" t="n">
        <v>328825.6519044304</v>
      </c>
      <c r="IN63" s="33" t="n">
        <v>334848.1430984758</v>
      </c>
      <c r="IO63" s="33" t="n">
        <v>340899.5192247078</v>
      </c>
      <c r="IP63" s="33" t="n">
        <v>346979.8074840773</v>
      </c>
      <c r="IQ63" s="33" t="n">
        <v>353089.035125602</v>
      </c>
      <c r="IR63" s="33" t="n">
        <v>357274.186636073</v>
      </c>
      <c r="IS63" s="33" t="n">
        <v>361488.3321712746</v>
      </c>
      <c r="IT63" s="33" t="n">
        <v>365731.4991249351</v>
      </c>
      <c r="IU63" s="33" t="n">
        <v>370003.7149391901</v>
      </c>
      <c r="IV63" s="33" t="n">
        <v>374305.0071046681</v>
      </c>
      <c r="IW63" s="33" t="n">
        <v>378635.4031605765</v>
      </c>
      <c r="IX63" s="33" t="n">
        <v>382994.930694787</v>
      </c>
      <c r="IY63" s="33" t="n">
        <v>387383.6173439218</v>
      </c>
      <c r="IZ63" s="33" t="n">
        <v>391801.4907934399</v>
      </c>
      <c r="JA63" s="33" t="n">
        <v>396248.578777723</v>
      </c>
      <c r="JB63" s="33" t="n">
        <v>400724.9090801624</v>
      </c>
      <c r="JC63" s="33" t="n">
        <v>405230.5095332453</v>
      </c>
      <c r="JD63" s="33" t="n">
        <v>409918.0638769369</v>
      </c>
      <c r="JE63" s="33" t="n">
        <v>414634.9441838817</v>
      </c>
      <c r="JF63" s="33" t="n">
        <v>419381.1784343762</v>
      </c>
      <c r="JG63" s="33" t="n">
        <v>424156.7946581606</v>
      </c>
      <c r="JH63" s="33" t="n">
        <v>428961.8209345066</v>
      </c>
      <c r="JI63" s="33" t="n">
        <v>433796.2853923048</v>
      </c>
      <c r="JJ63" s="33" t="n">
        <v>438660.2162101521</v>
      </c>
      <c r="JK63" s="33" t="n">
        <v>443553.6416164401</v>
      </c>
      <c r="JL63" s="33" t="n">
        <v>448476.5898894425</v>
      </c>
      <c r="JM63" s="33" t="n">
        <v>453429.0893574037</v>
      </c>
      <c r="JN63" s="33" t="n">
        <v>458411.1683986266</v>
      </c>
      <c r="JO63" s="33" t="n">
        <v>463422.8554415617</v>
      </c>
      <c r="JP63" s="33" t="n">
        <v>470039.5490861813</v>
      </c>
      <c r="JQ63" s="33" t="n">
        <v>476685.9077402103</v>
      </c>
      <c r="JR63" s="33" t="n">
        <v>483361.9599830731</v>
      </c>
      <c r="JS63" s="33" t="n">
        <v>490067.734444697</v>
      </c>
      <c r="JT63" s="33" t="n">
        <v>496803.2598056009</v>
      </c>
      <c r="JU63" s="33" t="n">
        <v>503568.5647969853</v>
      </c>
      <c r="JV63" s="33" t="n">
        <v>510363.6782008215</v>
      </c>
      <c r="JW63" s="33" t="n">
        <v>517188.6288499412</v>
      </c>
      <c r="JX63" s="33" t="n">
        <v>524043.4456281269</v>
      </c>
      <c r="JY63" s="33" t="n">
        <v>530928.1574702013</v>
      </c>
      <c r="JZ63" s="33" t="n">
        <v>537842.793362118</v>
      </c>
      <c r="KA63" s="33" t="n">
        <v>544787.3823410515</v>
      </c>
      <c r="KB63" s="33" t="n">
        <v>549403.0917161986</v>
      </c>
      <c r="KC63" s="33" t="n">
        <v>554048.812406737</v>
      </c>
      <c r="KD63" s="33" t="n">
        <v>558724.5736040482</v>
      </c>
      <c r="KE63" s="33" t="n">
        <v>563430.4045510977</v>
      </c>
      <c r="KF63" s="33" t="n">
        <v>568166.3345425259</v>
      </c>
      <c r="KG63" s="33" t="n">
        <v>572932.3929247403</v>
      </c>
      <c r="KH63" s="33" t="n">
        <v>577728.6090960061</v>
      </c>
      <c r="KI63" s="33" t="n">
        <v>582555.0125065382</v>
      </c>
      <c r="KJ63" s="33" t="n">
        <v>587411.6326585927</v>
      </c>
      <c r="KK63" s="33" t="n">
        <v>592298.4991065594</v>
      </c>
      <c r="KL63" s="33" t="n">
        <v>597215.6414570537</v>
      </c>
      <c r="KM63" s="33" t="n">
        <v>602163.0893690086</v>
      </c>
      <c r="KN63" s="33" t="n">
        <v>606936.8209712245</v>
      </c>
      <c r="KO63" s="33" t="n">
        <v>611740.9176100905</v>
      </c>
      <c r="KP63" s="33" t="n">
        <v>616575.4091020485</v>
      </c>
      <c r="KQ63" s="33" t="n">
        <v>621440.325316229</v>
      </c>
      <c r="KR63" s="33" t="n">
        <v>626335.6961745442</v>
      </c>
      <c r="KS63" s="33" t="n">
        <v>631261.5516517811</v>
      </c>
      <c r="KT63" s="33" t="n">
        <v>636217.9217756954</v>
      </c>
      <c r="KU63" s="33" t="n">
        <v>641204.8366271048</v>
      </c>
      <c r="KV63" s="33" t="n">
        <v>646222.3263399825</v>
      </c>
      <c r="KW63" s="33" t="n">
        <v>651270.4211015516</v>
      </c>
      <c r="KX63" s="33" t="n">
        <v>656349.1511523791</v>
      </c>
      <c r="KY63" s="33" t="n">
        <v>661458.54678647</v>
      </c>
      <c r="KZ63" s="33" t="n">
        <v>668610.0940063115</v>
      </c>
      <c r="LA63" s="33" t="n">
        <v>675792.3675581184</v>
      </c>
      <c r="LB63" s="33" t="n">
        <v>683005.3978967771</v>
      </c>
      <c r="LC63" s="33" t="n">
        <v>690249.2155309909</v>
      </c>
      <c r="LD63" s="33" t="n">
        <v>697523.8510233747</v>
      </c>
      <c r="LE63" s="33" t="n">
        <v>704829.334990551</v>
      </c>
      <c r="LF63" s="33" t="n">
        <v>712165.6981032446</v>
      </c>
      <c r="LG63" s="33" t="n">
        <v>719532.9710863788</v>
      </c>
      <c r="LH63" s="33" t="n">
        <v>726931.1847191704</v>
      </c>
      <c r="LI63" s="33" t="n">
        <v>734360.3698352267</v>
      </c>
      <c r="LJ63" s="33" t="n">
        <v>741820.5573226406</v>
      </c>
      <c r="LK63" s="33" t="n">
        <v>749311.7781240873</v>
      </c>
      <c r="LL63" s="33" t="n">
        <v>754429.211459876</v>
      </c>
      <c r="LM63" s="33" t="n">
        <v>759577.7401591814</v>
      </c>
      <c r="LN63" s="33" t="n">
        <v>764757.3953290051</v>
      </c>
      <c r="LO63" s="33" t="n">
        <v>769968.2081313177</v>
      </c>
      <c r="LP63" s="33" t="n">
        <v>775210.2097831566</v>
      </c>
      <c r="LQ63" s="33" t="n">
        <v>780483.4315567225</v>
      </c>
      <c r="LR63" s="33" t="n">
        <v>785787.9047794772</v>
      </c>
      <c r="LS63" s="33" t="n">
        <v>791123.6608342411</v>
      </c>
      <c r="LT63" s="33" t="n">
        <v>796490.7311592912</v>
      </c>
      <c r="LU63" s="33" t="n">
        <v>801889.1472484593</v>
      </c>
      <c r="LV63" s="33" t="n">
        <v>807318.9406512297</v>
      </c>
      <c r="LW63" s="33" t="n">
        <v>808010.1429728377</v>
      </c>
      <c r="LX63" s="33" t="n">
        <v>809883.4002957945</v>
      </c>
      <c r="LY63" s="33" t="n">
        <v>811788.129915707</v>
      </c>
      <c r="LZ63" s="33" t="n">
        <v>813724.3636056558</v>
      </c>
      <c r="MA63" s="33" t="n">
        <v>815692.1331948674</v>
      </c>
      <c r="MB63" s="33" t="n">
        <v>817691.4705688136</v>
      </c>
      <c r="MC63" s="33" t="n">
        <v>819722.4076693113</v>
      </c>
      <c r="MD63" s="33" t="n">
        <v>821784.9764946214</v>
      </c>
      <c r="ME63" s="33" t="n">
        <v>823879.2090995491</v>
      </c>
      <c r="MF63" s="33" t="n">
        <v>826005.1375955436</v>
      </c>
      <c r="MG63" s="33" t="n">
        <v>828162.7941507982</v>
      </c>
      <c r="MH63" s="33" t="n">
        <v>830352.2109903506</v>
      </c>
      <c r="MI63" s="33" t="n">
        <v>832573.4203961832</v>
      </c>
      <c r="MJ63" s="33" t="n">
        <v>834660.5555983771</v>
      </c>
      <c r="MK63" s="33" t="n">
        <v>836779.5481020535</v>
      </c>
      <c r="ML63" s="33" t="n">
        <v>838930.4303606336</v>
      </c>
      <c r="MM63" s="33" t="n">
        <v>841113.2348848875</v>
      </c>
      <c r="MN63" s="33" t="n">
        <v>843327.9942430346</v>
      </c>
      <c r="MO63" s="33" t="n">
        <v>845574.741060846</v>
      </c>
      <c r="MP63" s="33" t="n">
        <v>847853.5080217454</v>
      </c>
      <c r="MQ63" s="33" t="n">
        <v>850164.3278669114</v>
      </c>
      <c r="MR63" s="33" t="n">
        <v>852507.2333953797</v>
      </c>
      <c r="MS63" s="33" t="n">
        <v>854882.257464145</v>
      </c>
      <c r="MT63" s="33" t="n">
        <v>857289.4329882634</v>
      </c>
      <c r="MU63" s="33" t="n">
        <v>859728.7929409556</v>
      </c>
      <c r="MV63" s="33" t="n">
        <v>862029.6662975539</v>
      </c>
      <c r="MW63" s="33" t="n">
        <v>864362.7902040706</v>
      </c>
      <c r="MX63" s="33" t="n">
        <v>866728.197808836</v>
      </c>
      <c r="MY63" s="33" t="n">
        <v>869125.9223187568</v>
      </c>
      <c r="MZ63" s="33" t="n">
        <v>871555.9969994196</v>
      </c>
      <c r="NA63" s="33" t="n">
        <v>874018.4551751947</v>
      </c>
      <c r="NB63" s="33" t="n">
        <v>876513.3302293395</v>
      </c>
      <c r="NC63" s="33" t="n">
        <v>879040.6556041035</v>
      </c>
      <c r="ND63" s="33" t="n">
        <v>881600.4648008314</v>
      </c>
      <c r="NE63" s="33" t="n">
        <v>884192.7913800684</v>
      </c>
      <c r="NF63" s="33" t="n">
        <v>886817.6689616643</v>
      </c>
      <c r="NG63" s="33" t="n">
        <v>889475.1312248788</v>
      </c>
      <c r="NH63" s="33" t="n">
        <v>891989.6581355638</v>
      </c>
      <c r="NI63" s="33" t="n">
        <v>894536.8372650354</v>
      </c>
      <c r="NJ63" s="33" t="n">
        <v>897116.7024714123</v>
      </c>
      <c r="NK63" s="33" t="n">
        <v>899729.2876726442</v>
      </c>
      <c r="NL63" s="33" t="n">
        <v>902374.6268466172</v>
      </c>
      <c r="NM63" s="33" t="n">
        <v>905052.7540312595</v>
      </c>
      <c r="NN63" s="33" t="n">
        <v>907763.7033246476</v>
      </c>
      <c r="NO63" s="33" t="n">
        <v>910507.5088851131</v>
      </c>
      <c r="NP63" s="33" t="n">
        <v>913284.2049313482</v>
      </c>
      <c r="NQ63" s="33" t="n">
        <v>916093.8257425134</v>
      </c>
      <c r="NR63" s="33" t="n">
        <v>918936.4056583436</v>
      </c>
      <c r="NS63" s="33" t="n">
        <v>921811.9790792555</v>
      </c>
      <c r="NT63" s="33" t="n">
        <v>924540.1288537266</v>
      </c>
      <c r="NU63" s="33" t="n">
        <v>927301.3411165868</v>
      </c>
      <c r="NV63" s="33" t="n">
        <v>930095.6504509423</v>
      </c>
      <c r="NW63" s="33" t="n">
        <v>932923.0915010107</v>
      </c>
      <c r="NX63" s="33" t="n">
        <v>935783.6989722294</v>
      </c>
      <c r="NY63" s="33" t="n">
        <v>938677.5076313638</v>
      </c>
      <c r="NZ63" s="33" t="n">
        <v>941604.5523066156</v>
      </c>
      <c r="OA63" s="33" t="n">
        <v>944564.8678877315</v>
      </c>
      <c r="OB63" s="33" t="n">
        <v>947558.4893261116</v>
      </c>
      <c r="OC63" s="33" t="n">
        <v>950585.4516349188</v>
      </c>
      <c r="OD63" s="33" t="n">
        <v>953645.7898891877</v>
      </c>
      <c r="OE63" s="33" t="n">
        <v>956739.5392259337</v>
      </c>
      <c r="OF63" s="33" t="n">
        <v>959688.4171770248</v>
      </c>
      <c r="OG63" s="33" t="n">
        <v>962670.7766710056</v>
      </c>
      <c r="OH63" s="33" t="n">
        <v>965686.6530314931</v>
      </c>
      <c r="OI63" s="33" t="n">
        <v>968736.081644524</v>
      </c>
      <c r="OJ63" s="33" t="n">
        <v>971819.0979586662</v>
      </c>
      <c r="OK63" s="33" t="n">
        <v>974935.7374851282</v>
      </c>
      <c r="OL63" s="33" t="n">
        <v>978072.5438640931</v>
      </c>
      <c r="OM63" s="33" t="n">
        <v>981229.5527323841</v>
      </c>
      <c r="ON63" s="33" t="n">
        <v>984406.7997897981</v>
      </c>
      <c r="OO63" s="33" t="n">
        <v>987604.3207992174</v>
      </c>
      <c r="OP63" s="33" t="n">
        <v>990822.1515867208</v>
      </c>
      <c r="OQ63" s="33" t="n">
        <v>994060.3280416952</v>
      </c>
      <c r="OR63" s="33" t="n">
        <v>997171.9925082712</v>
      </c>
      <c r="OS63" s="33" t="n">
        <v>1000304.074611465</v>
      </c>
      <c r="OT63" s="33" t="n">
        <v>1003456.610431259</v>
      </c>
      <c r="OU63" s="33" t="n">
        <v>1006629.636111394</v>
      </c>
      <c r="OV63" s="33" t="n">
        <v>1009823.187859481</v>
      </c>
      <c r="OW63" s="33" t="n">
        <v>1013037.301947111</v>
      </c>
      <c r="OX63" s="33" t="n">
        <v>1016272.014709974</v>
      </c>
      <c r="OY63" s="33" t="n">
        <v>1019527.362547966</v>
      </c>
      <c r="OZ63" s="33" t="n">
        <v>1022803.381925305</v>
      </c>
      <c r="PA63" s="33" t="n">
        <v>1026100.109370647</v>
      </c>
      <c r="PB63" s="33" t="n">
        <v>1029417.581477196</v>
      </c>
      <c r="PC63" s="33" t="n">
        <v>1032755.834902821</v>
      </c>
      <c r="PD63" s="33" t="n">
        <v>1035968.009859495</v>
      </c>
      <c r="PE63" s="33" t="n">
        <v>1039201.03964543</v>
      </c>
      <c r="PF63" s="33" t="n">
        <v>1042454.961113173</v>
      </c>
      <c r="PG63" s="33" t="n">
        <v>1045729.811180391</v>
      </c>
      <c r="PH63" s="33" t="n">
        <v>1049025.626829991</v>
      </c>
      <c r="PI63" s="33" t="n">
        <v>1052342.44511023</v>
      </c>
      <c r="PJ63" s="33" t="n">
        <v>1055680.303134835</v>
      </c>
      <c r="PK63" s="33" t="n">
        <v>1059039.238083115</v>
      </c>
      <c r="PL63" s="33" t="n">
        <v>1062419.287200079</v>
      </c>
      <c r="PM63" s="33" t="n">
        <v>1065820.487796551</v>
      </c>
      <c r="PN63" s="33" t="n">
        <v>1069242.877249289</v>
      </c>
      <c r="PO63" s="33" t="n">
        <v>1072686.493001097</v>
      </c>
      <c r="PP63" s="33" t="n">
        <v>1075999.35207568</v>
      </c>
      <c r="PQ63" s="33" t="n">
        <v>1079333.512533556</v>
      </c>
      <c r="PR63" s="33" t="n">
        <v>1082689.012016376</v>
      </c>
      <c r="PS63" s="33" t="n">
        <v>1086065.888232308</v>
      </c>
      <c r="PT63" s="33" t="n">
        <v>1089464.178956155</v>
      </c>
      <c r="PU63" s="33" t="n">
        <v>1092883.922029469</v>
      </c>
      <c r="PV63" s="33" t="n">
        <v>1096325.155360675</v>
      </c>
      <c r="PW63" s="33" t="n">
        <v>1099787.916925185</v>
      </c>
      <c r="PX63" s="33" t="n">
        <v>1103272.244765515</v>
      </c>
      <c r="PY63" s="33" t="n">
        <v>1106778.176991409</v>
      </c>
      <c r="PZ63" s="33" t="n">
        <v>1110305.751779953</v>
      </c>
      <c r="QA63" s="33" t="n">
        <v>1113855.007375696</v>
      </c>
      <c r="QB63" s="33" t="n">
        <v>1117582.622921387</v>
      </c>
      <c r="QC63" s="33" t="n">
        <v>1121331.99596624</v>
      </c>
      <c r="QD63" s="33" t="n">
        <v>1114999.737730103</v>
      </c>
      <c r="QE63" s="33" t="n">
        <v>1118792.741184182</v>
      </c>
      <c r="QF63" s="33" t="n">
        <v>1122607.617684325</v>
      </c>
      <c r="QG63" s="33" t="n">
        <v>1126444.40588237</v>
      </c>
      <c r="QH63" s="33" t="n">
        <v>1130303.144498454</v>
      </c>
      <c r="QI63" s="33" t="n">
        <v>1134183.872321136</v>
      </c>
      <c r="QJ63" s="33" t="n">
        <v>1138086.62820752</v>
      </c>
      <c r="QK63" s="33" t="n">
        <v>1142011.451083374</v>
      </c>
      <c r="QL63" s="33" t="n">
        <v>1145958.379943251</v>
      </c>
      <c r="QM63" s="33" t="n">
        <v>1137373.442464196</v>
      </c>
      <c r="QN63" s="33" t="n">
        <v>1129871.284616929</v>
      </c>
      <c r="QO63" s="33" t="n">
        <v>1122369.126769663</v>
      </c>
      <c r="QP63" s="33" t="n">
        <v>1082474.52138709</v>
      </c>
      <c r="QQ63" s="33" t="n">
        <v>1074972.363539823</v>
      </c>
      <c r="QR63" s="33" t="n">
        <v>1067470.205692556</v>
      </c>
      <c r="QS63" s="33" t="n">
        <v>1059968.047845289</v>
      </c>
      <c r="QT63" s="33" t="n">
        <v>1052465.889998022</v>
      </c>
      <c r="QU63" s="33" t="n">
        <v>1044963.732150756</v>
      </c>
      <c r="QV63" s="33" t="n">
        <v>1037461.574303489</v>
      </c>
      <c r="QW63" s="33" t="n">
        <v>1029959.416456222</v>
      </c>
      <c r="QX63" s="33" t="n">
        <v>1022457.258608955</v>
      </c>
      <c r="QY63" s="33" t="n">
        <v>1014955.100761689</v>
      </c>
      <c r="QZ63" s="33" t="n">
        <v>1007329.77162834</v>
      </c>
      <c r="RA63" s="33" t="n">
        <v>999704.4424949923</v>
      </c>
      <c r="RB63" s="33" t="n">
        <v>992079.1133616441</v>
      </c>
      <c r="RC63" s="33" t="n">
        <v>984453.7842282959</v>
      </c>
      <c r="RD63" s="33" t="n">
        <v>976828.4550949477</v>
      </c>
      <c r="RE63" s="33" t="n">
        <v>969203.1259615995</v>
      </c>
      <c r="RF63" s="33" t="n">
        <v>961577.7968282513</v>
      </c>
      <c r="RG63" s="33" t="n">
        <v>953952.4676949031</v>
      </c>
      <c r="RH63" s="33" t="n">
        <v>946327.138561555</v>
      </c>
      <c r="RI63" s="33" t="n">
        <v>938701.8094282068</v>
      </c>
      <c r="RJ63" s="33" t="n">
        <v>931076.4802948586</v>
      </c>
      <c r="RK63" s="33" t="n">
        <v>923451.1511615104</v>
      </c>
      <c r="RL63" s="33" t="n">
        <v>915697.4253712588</v>
      </c>
      <c r="RM63" s="33" t="n">
        <v>907943.6995810071</v>
      </c>
      <c r="RN63" s="33" t="n">
        <v>900189.9737907555</v>
      </c>
      <c r="RO63" s="33" t="n">
        <v>892436.2480005039</v>
      </c>
      <c r="RP63" s="33" t="n">
        <v>884682.5222102522</v>
      </c>
      <c r="RQ63" s="33" t="n">
        <v>876928.7964200006</v>
      </c>
      <c r="RR63" s="33" t="n">
        <v>869175.070629749</v>
      </c>
      <c r="RS63" s="33" t="n">
        <v>861421.3448394974</v>
      </c>
      <c r="RT63" s="33" t="n">
        <v>853667.6190492457</v>
      </c>
      <c r="RU63" s="33" t="n">
        <v>845913.8932589941</v>
      </c>
      <c r="RV63" s="33" t="n">
        <v>838160.1674687425</v>
      </c>
      <c r="RW63" s="33" t="n">
        <v>830406.4416784908</v>
      </c>
    </row>
    <row r="79" ht="13.05" customHeight="1">
      <c r="A79" s="38" t="n"/>
      <c r="B79" s="38" t="n"/>
      <c r="C79" s="38" t="n"/>
      <c r="D79" s="38" t="n"/>
      <c r="E79" s="38" t="inlineStr">
        <is>
          <t>Assets</t>
        </is>
      </c>
      <c r="F79" s="38" t="n"/>
      <c r="G79" s="38" t="n"/>
    </row>
    <row r="92" ht="13.05" customHeight="1">
      <c r="A92" s="38" t="n"/>
      <c r="B92" s="38" t="n"/>
      <c r="C92" s="38" t="n"/>
      <c r="D92" s="38" t="n"/>
      <c r="E92" s="38" t="inlineStr">
        <is>
          <t>Liabilities &amp; Equity</t>
        </is>
      </c>
      <c r="F92" s="38" t="n"/>
      <c r="G92" s="38" t="n"/>
    </row>
    <row r="111" ht="13.05" customHeight="1">
      <c r="A111" s="38" t="n"/>
      <c r="B111" s="38" t="n"/>
      <c r="C111" s="38" t="n"/>
      <c r="D111" s="38" t="n"/>
      <c r="E111" s="38" t="inlineStr">
        <is>
          <t>Operating Cash Flow</t>
        </is>
      </c>
      <c r="F111" s="38" t="n"/>
      <c r="G111" s="38" t="n"/>
    </row>
    <row r="122" ht="13.05" customHeight="1">
      <c r="A122" s="38" t="n"/>
      <c r="B122" s="38" t="n"/>
      <c r="C122" s="38" t="n"/>
      <c r="D122" s="38" t="n"/>
      <c r="E122" s="38" t="inlineStr">
        <is>
          <t>Investing Cash Flow</t>
        </is>
      </c>
      <c r="F122" s="38" t="n"/>
      <c r="G122" s="38" t="n"/>
    </row>
    <row r="128" ht="13.05" customHeight="1">
      <c r="A128" s="38" t="n"/>
      <c r="B128" s="38" t="n"/>
      <c r="C128" s="38" t="n"/>
      <c r="D128" s="38" t="n"/>
      <c r="E128" s="38" t="inlineStr">
        <is>
          <t>Financing Cash Flow</t>
        </is>
      </c>
      <c r="F128" s="38" t="n"/>
      <c r="G128" s="38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9CCFF"/>
    <outlinePr summaryBelow="1" summaryRight="1"/>
    <pageSetUpPr/>
  </sheetPr>
  <dimension ref="A1:AY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</cols>
  <sheetData>
    <row r="1" ht="25.15" customHeight="1">
      <c r="E1" s="20" t="inlineStr">
        <is>
          <t>FS_Annual</t>
        </is>
      </c>
    </row>
    <row r="2" ht="25.15" customHeight="1">
      <c r="E2" s="21" t="n"/>
      <c r="L2" s="24" t="n">
        <v>2023</v>
      </c>
      <c r="M2" s="24" t="n">
        <v>2024</v>
      </c>
      <c r="N2" s="24" t="n">
        <v>2025</v>
      </c>
      <c r="O2" s="24" t="n">
        <v>2026</v>
      </c>
      <c r="P2" s="24" t="n">
        <v>2027</v>
      </c>
      <c r="Q2" s="24" t="n">
        <v>2028</v>
      </c>
      <c r="R2" s="24" t="n">
        <v>2029</v>
      </c>
      <c r="S2" s="24" t="n">
        <v>2030</v>
      </c>
      <c r="T2" s="24" t="n">
        <v>2031</v>
      </c>
      <c r="U2" s="24" t="n">
        <v>2032</v>
      </c>
      <c r="V2" s="24" t="n">
        <v>2033</v>
      </c>
      <c r="W2" s="24" t="n">
        <v>2034</v>
      </c>
      <c r="X2" s="24" t="n">
        <v>2035</v>
      </c>
      <c r="Y2" s="24" t="n">
        <v>2036</v>
      </c>
      <c r="Z2" s="24" t="n">
        <v>2037</v>
      </c>
      <c r="AA2" s="24" t="n">
        <v>2038</v>
      </c>
      <c r="AB2" s="24" t="n">
        <v>2039</v>
      </c>
      <c r="AC2" s="24" t="n">
        <v>2040</v>
      </c>
      <c r="AD2" s="24" t="n">
        <v>2041</v>
      </c>
      <c r="AE2" s="24" t="n">
        <v>2042</v>
      </c>
      <c r="AF2" s="24" t="n">
        <v>2043</v>
      </c>
      <c r="AG2" s="24" t="n">
        <v>2044</v>
      </c>
      <c r="AH2" s="24" t="n">
        <v>2045</v>
      </c>
      <c r="AI2" s="24" t="n">
        <v>2046</v>
      </c>
      <c r="AJ2" s="24" t="n">
        <v>2047</v>
      </c>
      <c r="AK2" s="24" t="n">
        <v>2048</v>
      </c>
      <c r="AL2" s="24" t="n">
        <v>2049</v>
      </c>
      <c r="AM2" s="24" t="n">
        <v>2050</v>
      </c>
      <c r="AN2" s="24" t="n">
        <v>2051</v>
      </c>
      <c r="AO2" s="24" t="n">
        <v>2052</v>
      </c>
      <c r="AP2" s="24" t="n">
        <v>2053</v>
      </c>
      <c r="AQ2" s="24" t="n">
        <v>2054</v>
      </c>
      <c r="AR2" s="24" t="n">
        <v>2055</v>
      </c>
      <c r="AS2" s="24" t="n">
        <v>2056</v>
      </c>
      <c r="AT2" s="24" t="n">
        <v>2057</v>
      </c>
      <c r="AU2" s="24" t="n">
        <v>2058</v>
      </c>
      <c r="AV2" s="24" t="n">
        <v>2059</v>
      </c>
      <c r="AW2" s="24" t="n">
        <v>2060</v>
      </c>
      <c r="AX2" s="24" t="n">
        <v>2061</v>
      </c>
      <c r="AY2" s="24" t="n">
        <v>2062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Construction</t>
        </is>
      </c>
      <c r="Q3" s="23" t="inlineStr">
        <is>
          <t>Construction</t>
        </is>
      </c>
      <c r="R3" s="23" t="inlineStr">
        <is>
          <t>Construction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2024</v>
      </c>
      <c r="N4" s="24" t="n">
        <v>2025</v>
      </c>
      <c r="O4" s="24" t="n">
        <v>2026</v>
      </c>
      <c r="P4" s="24" t="n">
        <v>2027</v>
      </c>
      <c r="Q4" s="24" t="n">
        <v>2028</v>
      </c>
      <c r="R4" s="24" t="n">
        <v>2029</v>
      </c>
      <c r="S4" s="24" t="n">
        <v>2030</v>
      </c>
      <c r="T4" s="24" t="n">
        <v>2031</v>
      </c>
      <c r="U4" s="24" t="n">
        <v>2032</v>
      </c>
      <c r="V4" s="24" t="n">
        <v>2033</v>
      </c>
      <c r="W4" s="24" t="n">
        <v>2034</v>
      </c>
      <c r="X4" s="24" t="n">
        <v>2035</v>
      </c>
      <c r="Y4" s="24" t="n">
        <v>2036</v>
      </c>
      <c r="Z4" s="24" t="n">
        <v>2037</v>
      </c>
      <c r="AA4" s="24" t="n">
        <v>2038</v>
      </c>
      <c r="AB4" s="24" t="n">
        <v>2039</v>
      </c>
      <c r="AC4" s="24" t="n">
        <v>2040</v>
      </c>
      <c r="AD4" s="24" t="n">
        <v>2041</v>
      </c>
      <c r="AE4" s="24" t="n">
        <v>2042</v>
      </c>
      <c r="AF4" s="24" t="n">
        <v>2043</v>
      </c>
      <c r="AG4" s="24" t="n">
        <v>2044</v>
      </c>
      <c r="AH4" s="24" t="n">
        <v>2045</v>
      </c>
      <c r="AI4" s="24" t="n">
        <v>2046</v>
      </c>
      <c r="AJ4" s="24" t="n">
        <v>2047</v>
      </c>
      <c r="AK4" s="24" t="n">
        <v>2048</v>
      </c>
      <c r="AL4" s="24" t="n">
        <v>2049</v>
      </c>
      <c r="AM4" s="24" t="n">
        <v>2050</v>
      </c>
      <c r="AN4" s="24" t="n">
        <v>2051</v>
      </c>
      <c r="AO4" s="24" t="n">
        <v>2052</v>
      </c>
      <c r="AP4" s="24" t="n">
        <v>2053</v>
      </c>
      <c r="AQ4" s="24" t="n">
        <v>2054</v>
      </c>
      <c r="AR4" s="24" t="n">
        <v>2055</v>
      </c>
      <c r="AS4" s="24" t="n">
        <v>2056</v>
      </c>
      <c r="AT4" s="24" t="n">
        <v>2057</v>
      </c>
      <c r="AU4" s="24" t="n">
        <v>2058</v>
      </c>
      <c r="AV4" s="24" t="n">
        <v>2059</v>
      </c>
      <c r="AW4" s="24" t="n">
        <v>2060</v>
      </c>
      <c r="AX4" s="24" t="n">
        <v>2061</v>
      </c>
      <c r="AY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2023</v>
      </c>
      <c r="M5" s="2" t="n">
        <v>2024</v>
      </c>
      <c r="N5" s="2" t="n">
        <v>2025</v>
      </c>
      <c r="O5" s="2" t="n">
        <v>2026</v>
      </c>
      <c r="P5" s="2" t="n">
        <v>2027</v>
      </c>
      <c r="Q5" s="2" t="n">
        <v>2028</v>
      </c>
      <c r="R5" s="2" t="n">
        <v>2029</v>
      </c>
      <c r="S5" s="2" t="n">
        <v>2030</v>
      </c>
      <c r="T5" s="2" t="n">
        <v>2031</v>
      </c>
      <c r="U5" s="2" t="n">
        <v>2032</v>
      </c>
      <c r="V5" s="2" t="n">
        <v>2033</v>
      </c>
      <c r="W5" s="2" t="n">
        <v>2034</v>
      </c>
      <c r="X5" s="2" t="n">
        <v>2035</v>
      </c>
      <c r="Y5" s="2" t="n">
        <v>2036</v>
      </c>
      <c r="Z5" s="2" t="n">
        <v>2037</v>
      </c>
      <c r="AA5" s="2" t="n">
        <v>2038</v>
      </c>
      <c r="AB5" s="2" t="n">
        <v>2039</v>
      </c>
      <c r="AC5" s="2" t="n">
        <v>2040</v>
      </c>
      <c r="AD5" s="2" t="n">
        <v>2041</v>
      </c>
      <c r="AE5" s="2" t="n">
        <v>2042</v>
      </c>
      <c r="AF5" s="2" t="n">
        <v>2043</v>
      </c>
      <c r="AG5" s="2" t="n">
        <v>2044</v>
      </c>
      <c r="AH5" s="2" t="n">
        <v>2045</v>
      </c>
      <c r="AI5" s="2" t="n">
        <v>2046</v>
      </c>
      <c r="AJ5" s="2" t="n">
        <v>2047</v>
      </c>
      <c r="AK5" s="2" t="n">
        <v>2048</v>
      </c>
      <c r="AL5" s="2" t="n">
        <v>2049</v>
      </c>
      <c r="AM5" s="2" t="n">
        <v>2050</v>
      </c>
      <c r="AN5" s="2" t="n">
        <v>2051</v>
      </c>
      <c r="AO5" s="2" t="n">
        <v>2052</v>
      </c>
      <c r="AP5" s="2" t="n">
        <v>2053</v>
      </c>
      <c r="AQ5" s="2" t="n">
        <v>2054</v>
      </c>
      <c r="AR5" s="2" t="n">
        <v>2055</v>
      </c>
      <c r="AS5" s="2" t="n">
        <v>2056</v>
      </c>
      <c r="AT5" s="2" t="n">
        <v>2057</v>
      </c>
      <c r="AU5" s="2" t="n">
        <v>2058</v>
      </c>
      <c r="AV5" s="2" t="n">
        <v>2059</v>
      </c>
      <c r="AW5" s="2" t="n">
        <v>2060</v>
      </c>
      <c r="AX5" s="2" t="n">
        <v>2061</v>
      </c>
      <c r="AY5" s="2" t="n">
        <v>2062</v>
      </c>
    </row>
    <row r="6" ht="13.05" customHeight="1">
      <c r="E6" s="26" t="inlineStr">
        <is>
          <t>Gross Revenue</t>
        </is>
      </c>
      <c r="F6" s="26" t="n"/>
      <c r="G6" s="26" t="inlineStr">
        <is>
          <t>kEUR</t>
        </is>
      </c>
      <c r="H6" s="26" t="n"/>
      <c r="I6" s="26" t="n"/>
      <c r="J6" s="27" t="n">
        <v>4980700.495299425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6648.864239690722</v>
      </c>
      <c r="S6" s="28" t="n">
        <v>255586.7727883998</v>
      </c>
      <c r="T6" s="28" t="n">
        <v>152560.9493857314</v>
      </c>
      <c r="U6" s="28" t="n">
        <v>157309.1305644534</v>
      </c>
      <c r="V6" s="28" t="n">
        <v>176578.1086851647</v>
      </c>
      <c r="W6" s="28" t="n">
        <v>153118.6930748858</v>
      </c>
      <c r="X6" s="28" t="n">
        <v>165726.7103903518</v>
      </c>
      <c r="Y6" s="28" t="n">
        <v>194494.0049890852</v>
      </c>
      <c r="Z6" s="28" t="n">
        <v>163442.439308414</v>
      </c>
      <c r="AA6" s="28" t="n">
        <v>162594.8942526054</v>
      </c>
      <c r="AB6" s="28" t="n">
        <v>199985.2695882893</v>
      </c>
      <c r="AC6" s="28" t="n">
        <v>170963.4843483485</v>
      </c>
      <c r="AD6" s="28" t="n">
        <v>172723.4772444576</v>
      </c>
      <c r="AE6" s="28" t="n">
        <v>200796.2070884545</v>
      </c>
      <c r="AF6" s="28" t="n">
        <v>171749.653222736</v>
      </c>
      <c r="AG6" s="28" t="n">
        <v>178926.8159598679</v>
      </c>
      <c r="AH6" s="28" t="n">
        <v>210620.7170316085</v>
      </c>
      <c r="AI6" s="28" t="n">
        <v>174999.4000475478</v>
      </c>
      <c r="AJ6" s="28" t="n">
        <v>176447.930963566</v>
      </c>
      <c r="AK6" s="28" t="n">
        <v>216008.3985603233</v>
      </c>
      <c r="AL6" s="28" t="n">
        <v>173179.9149319962</v>
      </c>
      <c r="AM6" s="28" t="n">
        <v>123294.6159854776</v>
      </c>
      <c r="AN6" s="28" t="n">
        <v>125934.6619502666</v>
      </c>
      <c r="AO6" s="28" t="n">
        <v>128631.2378992767</v>
      </c>
      <c r="AP6" s="28" t="n">
        <v>131385.554280795</v>
      </c>
      <c r="AQ6" s="28" t="n">
        <v>134198.8474618325</v>
      </c>
      <c r="AR6" s="28" t="n">
        <v>137072.380283109</v>
      </c>
      <c r="AS6" s="28" t="n">
        <v>140007.442625921</v>
      </c>
      <c r="AT6" s="28" t="n">
        <v>143005.3519911486</v>
      </c>
      <c r="AU6" s="28" t="n">
        <v>146067.454090659</v>
      </c>
      <c r="AV6" s="28" t="n">
        <v>136641.1120649607</v>
      </c>
      <c r="AW6" s="28" t="n">
        <v>0</v>
      </c>
      <c r="AX6" s="28" t="n">
        <v>0</v>
      </c>
      <c r="AY6" s="28" t="n">
        <v>0</v>
      </c>
    </row>
    <row r="7" hidden="1" outlineLevel="1" ht="13.05" customHeight="1">
      <c r="E7" s="26" t="inlineStr">
        <is>
          <t>Total OPEX</t>
        </is>
      </c>
      <c r="F7" s="26" t="n"/>
      <c r="G7" s="26" t="inlineStr">
        <is>
          <t>kEUR</t>
        </is>
      </c>
      <c r="H7" s="26" t="n"/>
      <c r="I7" s="26" t="n"/>
      <c r="J7" s="27" t="n">
        <v>2099444.430994115</v>
      </c>
      <c r="K7" s="26" t="n"/>
      <c r="L7" s="28" t="n">
        <v>36605</v>
      </c>
      <c r="M7" s="28" t="n">
        <v>36605</v>
      </c>
      <c r="N7" s="28" t="n">
        <v>36605</v>
      </c>
      <c r="O7" s="28" t="n">
        <v>36605</v>
      </c>
      <c r="P7" s="28" t="n">
        <v>36605</v>
      </c>
      <c r="Q7" s="28" t="n">
        <v>36605</v>
      </c>
      <c r="R7" s="28" t="n">
        <v>36605</v>
      </c>
      <c r="S7" s="28" t="n">
        <v>36605</v>
      </c>
      <c r="T7" s="28" t="n">
        <v>37520.125</v>
      </c>
      <c r="U7" s="28" t="n">
        <v>38458.128125</v>
      </c>
      <c r="V7" s="28" t="n">
        <v>39419.58132812499</v>
      </c>
      <c r="W7" s="28" t="n">
        <v>40405.07086132811</v>
      </c>
      <c r="X7" s="28" t="n">
        <v>41415.19763286131</v>
      </c>
      <c r="Y7" s="28" t="n">
        <v>42450.57757368284</v>
      </c>
      <c r="Z7" s="28" t="n">
        <v>43511.84201302491</v>
      </c>
      <c r="AA7" s="28" t="n">
        <v>44599.63806335052</v>
      </c>
      <c r="AB7" s="28" t="n">
        <v>45714.62901493428</v>
      </c>
      <c r="AC7" s="28" t="n">
        <v>46857.49474030764</v>
      </c>
      <c r="AD7" s="28" t="n">
        <v>48028.93210881533</v>
      </c>
      <c r="AE7" s="28" t="n">
        <v>49229.6554115357</v>
      </c>
      <c r="AF7" s="28" t="n">
        <v>50460.39679682409</v>
      </c>
      <c r="AG7" s="28" t="n">
        <v>51721.9067167447</v>
      </c>
      <c r="AH7" s="28" t="n">
        <v>53014.9543846633</v>
      </c>
      <c r="AI7" s="28" t="n">
        <v>54340.32824427988</v>
      </c>
      <c r="AJ7" s="28" t="n">
        <v>55698.83645038687</v>
      </c>
      <c r="AK7" s="28" t="n">
        <v>57091.30736164654</v>
      </c>
      <c r="AL7" s="28" t="n">
        <v>58518.59004568769</v>
      </c>
      <c r="AM7" s="28" t="n">
        <v>59981.55479682988</v>
      </c>
      <c r="AN7" s="28" t="n">
        <v>61481.09366675062</v>
      </c>
      <c r="AO7" s="28" t="n">
        <v>63018.1210084194</v>
      </c>
      <c r="AP7" s="28" t="n">
        <v>64593.57403362986</v>
      </c>
      <c r="AQ7" s="28" t="n">
        <v>66208.41338447059</v>
      </c>
      <c r="AR7" s="28" t="n">
        <v>67863.62371908236</v>
      </c>
      <c r="AS7" s="28" t="n">
        <v>69560.21431205941</v>
      </c>
      <c r="AT7" s="28" t="n">
        <v>71299.2196698609</v>
      </c>
      <c r="AU7" s="28" t="n">
        <v>73081.70016160741</v>
      </c>
      <c r="AV7" s="28" t="n">
        <v>74908.74266564759</v>
      </c>
      <c r="AW7" s="28" t="n">
        <v>76781.46123228877</v>
      </c>
      <c r="AX7" s="28" t="n">
        <v>78700.99776309601</v>
      </c>
      <c r="AY7" s="28" t="n">
        <v>80668.52270717338</v>
      </c>
    </row>
    <row r="8" hidden="1" outlineLevel="1" ht="13.05" customHeight="1">
      <c r="E8" s="51" t="inlineStr">
        <is>
          <t>EBITDA</t>
        </is>
      </c>
      <c r="F8" s="51" t="n"/>
      <c r="G8" s="51" t="inlineStr">
        <is>
          <t>kEUR</t>
        </is>
      </c>
      <c r="H8" s="51" t="n"/>
      <c r="I8" s="51" t="n"/>
      <c r="J8" s="52" t="n">
        <v>2881256.06430531</v>
      </c>
      <c r="K8" s="51" t="n"/>
      <c r="L8" s="53" t="n">
        <v>-36605</v>
      </c>
      <c r="M8" s="53" t="n">
        <v>-36605</v>
      </c>
      <c r="N8" s="53" t="n">
        <v>-36605</v>
      </c>
      <c r="O8" s="53" t="n">
        <v>-36605</v>
      </c>
      <c r="P8" s="53" t="n">
        <v>-36605</v>
      </c>
      <c r="Q8" s="53" t="n">
        <v>-36605</v>
      </c>
      <c r="R8" s="53" t="n">
        <v>-29956.13576030928</v>
      </c>
      <c r="S8" s="53" t="n">
        <v>218981.7727883998</v>
      </c>
      <c r="T8" s="53" t="n">
        <v>115040.8243857314</v>
      </c>
      <c r="U8" s="53" t="n">
        <v>118851.0024394534</v>
      </c>
      <c r="V8" s="53" t="n">
        <v>137158.5273570397</v>
      </c>
      <c r="W8" s="53" t="n">
        <v>112713.6222135577</v>
      </c>
      <c r="X8" s="53" t="n">
        <v>124311.5127574905</v>
      </c>
      <c r="Y8" s="53" t="n">
        <v>152043.4274154024</v>
      </c>
      <c r="Z8" s="53" t="n">
        <v>119930.5972953891</v>
      </c>
      <c r="AA8" s="53" t="n">
        <v>117995.2561892549</v>
      </c>
      <c r="AB8" s="53" t="n">
        <v>154270.640573355</v>
      </c>
      <c r="AC8" s="53" t="n">
        <v>124105.9896080409</v>
      </c>
      <c r="AD8" s="53" t="n">
        <v>124694.5451356422</v>
      </c>
      <c r="AE8" s="53" t="n">
        <v>151566.5516769188</v>
      </c>
      <c r="AF8" s="53" t="n">
        <v>121289.2564259119</v>
      </c>
      <c r="AG8" s="53" t="n">
        <v>127204.9092431232</v>
      </c>
      <c r="AH8" s="53" t="n">
        <v>157605.7626469453</v>
      </c>
      <c r="AI8" s="53" t="n">
        <v>120659.071803268</v>
      </c>
      <c r="AJ8" s="53" t="n">
        <v>120749.0945131791</v>
      </c>
      <c r="AK8" s="53" t="n">
        <v>158917.0911986768</v>
      </c>
      <c r="AL8" s="53" t="n">
        <v>114661.3248863085</v>
      </c>
      <c r="AM8" s="53" t="n">
        <v>63313.06118864773</v>
      </c>
      <c r="AN8" s="53" t="n">
        <v>64453.56828351601</v>
      </c>
      <c r="AO8" s="53" t="n">
        <v>65613.11689085732</v>
      </c>
      <c r="AP8" s="53" t="n">
        <v>66791.98024716511</v>
      </c>
      <c r="AQ8" s="53" t="n">
        <v>67990.43407736189</v>
      </c>
      <c r="AR8" s="53" t="n">
        <v>69208.7565640266</v>
      </c>
      <c r="AS8" s="53" t="n">
        <v>70447.22831386163</v>
      </c>
      <c r="AT8" s="53" t="n">
        <v>71706.13232128767</v>
      </c>
      <c r="AU8" s="53" t="n">
        <v>72985.75392905163</v>
      </c>
      <c r="AV8" s="53" t="n">
        <v>61732.36939931308</v>
      </c>
      <c r="AW8" s="53" t="n">
        <v>-76781.46123228877</v>
      </c>
      <c r="AX8" s="53" t="n">
        <v>-78700.99776309601</v>
      </c>
      <c r="AY8" s="53" t="n">
        <v>-80668.52270717338</v>
      </c>
    </row>
    <row r="9" hidden="1" outlineLevel="1" ht="13.05" customHeight="1">
      <c r="E9" s="26" t="inlineStr">
        <is>
          <t>Depreciation &amp; Amortisation</t>
        </is>
      </c>
      <c r="F9" s="26" t="n"/>
      <c r="G9" s="26" t="inlineStr">
        <is>
          <t>kEUR</t>
        </is>
      </c>
      <c r="H9" s="26" t="n"/>
      <c r="I9" s="26" t="n"/>
      <c r="J9" s="27" t="n">
        <v>816346.5835004596</v>
      </c>
      <c r="K9" s="26" t="n"/>
      <c r="L9" s="28" t="n">
        <v>0</v>
      </c>
      <c r="M9" s="28" t="n">
        <v>0</v>
      </c>
      <c r="N9" s="28" t="n">
        <v>0</v>
      </c>
      <c r="O9" s="28" t="n">
        <v>0</v>
      </c>
      <c r="P9" s="28" t="n">
        <v>13058.4</v>
      </c>
      <c r="Q9" s="28" t="n">
        <v>25681.52</v>
      </c>
      <c r="R9" s="28" t="n">
        <v>37883.86933333334</v>
      </c>
      <c r="S9" s="28" t="n">
        <v>36621.07368888889</v>
      </c>
      <c r="T9" s="28" t="n">
        <v>35400.3712325926</v>
      </c>
      <c r="U9" s="28" t="n">
        <v>34220.35885817284</v>
      </c>
      <c r="V9" s="28" t="n">
        <v>33079.68022956708</v>
      </c>
      <c r="W9" s="28" t="n">
        <v>31977.02422191483</v>
      </c>
      <c r="X9" s="28" t="n">
        <v>30911.12341451768</v>
      </c>
      <c r="Y9" s="28" t="n">
        <v>29880.75263403375</v>
      </c>
      <c r="Z9" s="28" t="n">
        <v>28884.72754623263</v>
      </c>
      <c r="AA9" s="28" t="n">
        <v>27921.90329469154</v>
      </c>
      <c r="AB9" s="28" t="n">
        <v>26991.17318486849</v>
      </c>
      <c r="AC9" s="28" t="n">
        <v>26091.46741203954</v>
      </c>
      <c r="AD9" s="28" t="n">
        <v>25221.75183163822</v>
      </c>
      <c r="AE9" s="28" t="n">
        <v>24381.02677058361</v>
      </c>
      <c r="AF9" s="28" t="n">
        <v>23568.32587823082</v>
      </c>
      <c r="AG9" s="28" t="n">
        <v>22782.71501562313</v>
      </c>
      <c r="AH9" s="28" t="n">
        <v>22023.29118176903</v>
      </c>
      <c r="AI9" s="28" t="n">
        <v>21289.18147571006</v>
      </c>
      <c r="AJ9" s="28" t="n">
        <v>20579.54209318639</v>
      </c>
      <c r="AK9" s="28" t="n">
        <v>19893.55735674685</v>
      </c>
      <c r="AL9" s="28" t="n">
        <v>19230.43877818861</v>
      </c>
      <c r="AM9" s="28" t="n">
        <v>18589.42415224899</v>
      </c>
      <c r="AN9" s="28" t="n">
        <v>17969.77668050736</v>
      </c>
      <c r="AO9" s="28" t="n">
        <v>17370.78412449045</v>
      </c>
      <c r="AP9" s="28" t="n">
        <v>16791.75798700743</v>
      </c>
      <c r="AQ9" s="28" t="n">
        <v>16232.03272077385</v>
      </c>
      <c r="AR9" s="28" t="n">
        <v>15690.96496341472</v>
      </c>
      <c r="AS9" s="28" t="n">
        <v>15167.93279796757</v>
      </c>
      <c r="AT9" s="28" t="n">
        <v>14662.33503803531</v>
      </c>
      <c r="AU9" s="28" t="n">
        <v>14173.59053676747</v>
      </c>
      <c r="AV9" s="28" t="n">
        <v>13701.13751887522</v>
      </c>
      <c r="AW9" s="28" t="n">
        <v>13244.43293491271</v>
      </c>
      <c r="AX9" s="28" t="n">
        <v>12802.95183708229</v>
      </c>
      <c r="AY9" s="28" t="n">
        <v>12376.18677584621</v>
      </c>
    </row>
    <row r="10" hidden="1" outlineLevel="1" ht="13.05" customHeight="1">
      <c r="E10" s="51" t="inlineStr">
        <is>
          <t>EBIT</t>
        </is>
      </c>
      <c r="F10" s="51" t="n"/>
      <c r="G10" s="51" t="inlineStr">
        <is>
          <t>kEUR</t>
        </is>
      </c>
      <c r="H10" s="51" t="n"/>
      <c r="I10" s="51" t="n"/>
      <c r="J10" s="52" t="n">
        <v>2064909.48080485</v>
      </c>
      <c r="K10" s="51" t="n"/>
      <c r="L10" s="53" t="n">
        <v>-36605</v>
      </c>
      <c r="M10" s="53" t="n">
        <v>-36605</v>
      </c>
      <c r="N10" s="53" t="n">
        <v>-36605</v>
      </c>
      <c r="O10" s="53" t="n">
        <v>-36605</v>
      </c>
      <c r="P10" s="53" t="n">
        <v>-49663.4</v>
      </c>
      <c r="Q10" s="53" t="n">
        <v>-62286.52</v>
      </c>
      <c r="R10" s="53" t="n">
        <v>-67840.00509364261</v>
      </c>
      <c r="S10" s="53" t="n">
        <v>182360.6990995109</v>
      </c>
      <c r="T10" s="53" t="n">
        <v>79640.45315313882</v>
      </c>
      <c r="U10" s="53" t="n">
        <v>84630.64358128053</v>
      </c>
      <c r="V10" s="53" t="n">
        <v>104078.8471274727</v>
      </c>
      <c r="W10" s="53" t="n">
        <v>80736.59799164286</v>
      </c>
      <c r="X10" s="53" t="n">
        <v>93400.38934297281</v>
      </c>
      <c r="Y10" s="53" t="n">
        <v>122162.6747813686</v>
      </c>
      <c r="Z10" s="53" t="n">
        <v>91045.86974915644</v>
      </c>
      <c r="AA10" s="53" t="n">
        <v>90073.35289456334</v>
      </c>
      <c r="AB10" s="53" t="n">
        <v>127279.4673884865</v>
      </c>
      <c r="AC10" s="53" t="n">
        <v>98014.52219600139</v>
      </c>
      <c r="AD10" s="53" t="n">
        <v>99472.79330400402</v>
      </c>
      <c r="AE10" s="53" t="n">
        <v>127185.5249063352</v>
      </c>
      <c r="AF10" s="53" t="n">
        <v>97720.93054768111</v>
      </c>
      <c r="AG10" s="53" t="n">
        <v>104422.1942275</v>
      </c>
      <c r="AH10" s="53" t="n">
        <v>135582.4714651762</v>
      </c>
      <c r="AI10" s="53" t="n">
        <v>99369.89032755789</v>
      </c>
      <c r="AJ10" s="53" t="n">
        <v>100169.5524199927</v>
      </c>
      <c r="AK10" s="53" t="n">
        <v>139023.53384193</v>
      </c>
      <c r="AL10" s="53" t="n">
        <v>95430.88610811993</v>
      </c>
      <c r="AM10" s="53" t="n">
        <v>44723.63703639873</v>
      </c>
      <c r="AN10" s="53" t="n">
        <v>46483.79160300866</v>
      </c>
      <c r="AO10" s="53" t="n">
        <v>48242.33276636688</v>
      </c>
      <c r="AP10" s="53" t="n">
        <v>50000.22226015768</v>
      </c>
      <c r="AQ10" s="53" t="n">
        <v>51758.40135658803</v>
      </c>
      <c r="AR10" s="53" t="n">
        <v>53517.79160061188</v>
      </c>
      <c r="AS10" s="53" t="n">
        <v>55279.29551589406</v>
      </c>
      <c r="AT10" s="53" t="n">
        <v>57043.79728325235</v>
      </c>
      <c r="AU10" s="53" t="n">
        <v>58812.16339228415</v>
      </c>
      <c r="AV10" s="53" t="n">
        <v>48031.23188043786</v>
      </c>
      <c r="AW10" s="53" t="n">
        <v>-90025.89416720149</v>
      </c>
      <c r="AX10" s="53" t="n">
        <v>-91503.94960017828</v>
      </c>
      <c r="AY10" s="53" t="n">
        <v>-93044.7094830196</v>
      </c>
    </row>
    <row r="11" hidden="1" outlineLevel="1" ht="13.05" customHeight="1">
      <c r="E11" s="26" t="inlineStr">
        <is>
          <t>Interest Expense</t>
        </is>
      </c>
      <c r="F11" s="26" t="n"/>
      <c r="G11" s="26" t="inlineStr">
        <is>
          <t>kEUR</t>
        </is>
      </c>
      <c r="H11" s="26" t="n"/>
      <c r="I11" s="26" t="n"/>
      <c r="J11" s="27" t="n">
        <v>700231.3630666732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7420.563577777777</v>
      </c>
      <c r="Q11" s="28" t="n">
        <v>23610.88411111112</v>
      </c>
      <c r="R11" s="28" t="n">
        <v>39801.20464444446</v>
      </c>
      <c r="S11" s="28" t="n">
        <v>48287.63099066669</v>
      </c>
      <c r="T11" s="28" t="n">
        <v>46547.17153333339</v>
      </c>
      <c r="U11" s="28" t="n">
        <v>44604.33306933342</v>
      </c>
      <c r="V11" s="28" t="n">
        <v>42661.49460533346</v>
      </c>
      <c r="W11" s="28" t="n">
        <v>40718.65614133349</v>
      </c>
      <c r="X11" s="28" t="n">
        <v>38775.81767733352</v>
      </c>
      <c r="Y11" s="28" t="n">
        <v>36832.97921333356</v>
      </c>
      <c r="Z11" s="28" t="n">
        <v>34890.14074933359</v>
      </c>
      <c r="AA11" s="28" t="n">
        <v>32947.30228533363</v>
      </c>
      <c r="AB11" s="28" t="n">
        <v>31004.46382133366</v>
      </c>
      <c r="AC11" s="28" t="n">
        <v>29061.62535733367</v>
      </c>
      <c r="AD11" s="28" t="n">
        <v>27118.78689333367</v>
      </c>
      <c r="AE11" s="28" t="n">
        <v>25175.94842933366</v>
      </c>
      <c r="AF11" s="28" t="n">
        <v>23233.10996533366</v>
      </c>
      <c r="AG11" s="28" t="n">
        <v>21290.27150133365</v>
      </c>
      <c r="AH11" s="28" t="n">
        <v>19347.43303733365</v>
      </c>
      <c r="AI11" s="28" t="n">
        <v>17404.59457333364</v>
      </c>
      <c r="AJ11" s="28" t="n">
        <v>15461.75610933363</v>
      </c>
      <c r="AK11" s="28" t="n">
        <v>13518.91764533363</v>
      </c>
      <c r="AL11" s="28" t="n">
        <v>11576.07918133362</v>
      </c>
      <c r="AM11" s="28" t="n">
        <v>9633.240717333616</v>
      </c>
      <c r="AN11" s="28" t="n">
        <v>7690.402253333611</v>
      </c>
      <c r="AO11" s="28" t="n">
        <v>5747.563789333613</v>
      </c>
      <c r="AP11" s="28" t="n">
        <v>3804.725325333618</v>
      </c>
      <c r="AQ11" s="28" t="n">
        <v>1861.886861333617</v>
      </c>
      <c r="AR11" s="28" t="n">
        <v>202.3790066668085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</row>
    <row r="12" hidden="1" outlineLevel="1" ht="13.05" customHeight="1">
      <c r="E12" s="51" t="inlineStr">
        <is>
          <t>EBT</t>
        </is>
      </c>
      <c r="F12" s="51" t="n"/>
      <c r="G12" s="51" t="inlineStr">
        <is>
          <t>kEUR</t>
        </is>
      </c>
      <c r="H12" s="51" t="n"/>
      <c r="I12" s="51" t="n"/>
      <c r="J12" s="52" t="n">
        <v>1364678.117738177</v>
      </c>
      <c r="K12" s="51" t="n"/>
      <c r="L12" s="53" t="n">
        <v>-36605</v>
      </c>
      <c r="M12" s="53" t="n">
        <v>-36605</v>
      </c>
      <c r="N12" s="53" t="n">
        <v>-36605</v>
      </c>
      <c r="O12" s="53" t="n">
        <v>-36605</v>
      </c>
      <c r="P12" s="53" t="n">
        <v>-57083.96357777778</v>
      </c>
      <c r="Q12" s="53" t="n">
        <v>-85897.40411111111</v>
      </c>
      <c r="R12" s="53" t="n">
        <v>-107641.2097380871</v>
      </c>
      <c r="S12" s="53" t="n">
        <v>134073.0681088442</v>
      </c>
      <c r="T12" s="53" t="n">
        <v>33093.28161980543</v>
      </c>
      <c r="U12" s="53" t="n">
        <v>40026.31051194711</v>
      </c>
      <c r="V12" s="53" t="n">
        <v>61417.3525221392</v>
      </c>
      <c r="W12" s="53" t="n">
        <v>40017.94185030937</v>
      </c>
      <c r="X12" s="53" t="n">
        <v>54624.57166563929</v>
      </c>
      <c r="Y12" s="53" t="n">
        <v>85329.69556803504</v>
      </c>
      <c r="Z12" s="53" t="n">
        <v>56155.72899982285</v>
      </c>
      <c r="AA12" s="53" t="n">
        <v>57126.05060922971</v>
      </c>
      <c r="AB12" s="53" t="n">
        <v>96275.00356715287</v>
      </c>
      <c r="AC12" s="53" t="n">
        <v>68952.89683866772</v>
      </c>
      <c r="AD12" s="53" t="n">
        <v>72354.00641067036</v>
      </c>
      <c r="AE12" s="53" t="n">
        <v>102009.5764770015</v>
      </c>
      <c r="AF12" s="53" t="n">
        <v>74487.82058234746</v>
      </c>
      <c r="AG12" s="53" t="n">
        <v>83131.92272616639</v>
      </c>
      <c r="AH12" s="53" t="n">
        <v>116235.0384278426</v>
      </c>
      <c r="AI12" s="53" t="n">
        <v>81965.29575422427</v>
      </c>
      <c r="AJ12" s="53" t="n">
        <v>84707.79631065906</v>
      </c>
      <c r="AK12" s="53" t="n">
        <v>125504.6161965963</v>
      </c>
      <c r="AL12" s="53" t="n">
        <v>83854.8069267863</v>
      </c>
      <c r="AM12" s="53" t="n">
        <v>35090.39631906511</v>
      </c>
      <c r="AN12" s="53" t="n">
        <v>38793.38934967505</v>
      </c>
      <c r="AO12" s="53" t="n">
        <v>42494.76897703327</v>
      </c>
      <c r="AP12" s="53" t="n">
        <v>46195.49693482406</v>
      </c>
      <c r="AQ12" s="53" t="n">
        <v>49896.51449525441</v>
      </c>
      <c r="AR12" s="53" t="n">
        <v>53315.41259394506</v>
      </c>
      <c r="AS12" s="53" t="n">
        <v>55279.29551589406</v>
      </c>
      <c r="AT12" s="53" t="n">
        <v>57043.79728325235</v>
      </c>
      <c r="AU12" s="53" t="n">
        <v>58812.16339228415</v>
      </c>
      <c r="AV12" s="53" t="n">
        <v>48031.23188043786</v>
      </c>
      <c r="AW12" s="53" t="n">
        <v>-90025.89416720149</v>
      </c>
      <c r="AX12" s="53" t="n">
        <v>-91503.94960017828</v>
      </c>
      <c r="AY12" s="53" t="n">
        <v>-93044.7094830196</v>
      </c>
    </row>
    <row r="13" hidden="1" outlineLevel="1" ht="13.05" customHeight="1">
      <c r="E13" s="29" t="inlineStr">
        <is>
          <t>Tax Charge</t>
        </is>
      </c>
      <c r="F13" s="29" t="n"/>
      <c r="G13" s="29" t="inlineStr">
        <is>
          <t>kEUR</t>
        </is>
      </c>
      <c r="H13" s="29" t="n"/>
      <c r="I13" s="29" t="n"/>
      <c r="J13" s="32" t="n">
        <v>491775.8012965729</v>
      </c>
      <c r="K13" s="29" t="n"/>
      <c r="L13" s="33" t="n">
        <v>0</v>
      </c>
      <c r="M13" s="33" t="n">
        <v>0</v>
      </c>
      <c r="N13" s="33" t="n">
        <v>0</v>
      </c>
      <c r="O13" s="33" t="n">
        <v>0</v>
      </c>
      <c r="P13" s="33" t="n">
        <v>0</v>
      </c>
      <c r="Q13" s="33" t="n">
        <v>0</v>
      </c>
      <c r="R13" s="33" t="n">
        <v>0</v>
      </c>
      <c r="S13" s="33" t="n">
        <v>0</v>
      </c>
      <c r="T13" s="33" t="n">
        <v>0</v>
      </c>
      <c r="U13" s="33" t="n">
        <v>0</v>
      </c>
      <c r="V13" s="33" t="n">
        <v>0</v>
      </c>
      <c r="W13" s="33" t="n">
        <v>0</v>
      </c>
      <c r="X13" s="33" t="n">
        <v>0</v>
      </c>
      <c r="Y13" s="33" t="n">
        <v>15461.8933259231</v>
      </c>
      <c r="Z13" s="33" t="n">
        <v>16846.71869994685</v>
      </c>
      <c r="AA13" s="33" t="n">
        <v>17137.81518276891</v>
      </c>
      <c r="AB13" s="33" t="n">
        <v>28882.50107014586</v>
      </c>
      <c r="AC13" s="33" t="n">
        <v>20685.86905160032</v>
      </c>
      <c r="AD13" s="33" t="n">
        <v>21706.2019232011</v>
      </c>
      <c r="AE13" s="33" t="n">
        <v>30602.87294310045</v>
      </c>
      <c r="AF13" s="33" t="n">
        <v>22346.34617470423</v>
      </c>
      <c r="AG13" s="33" t="n">
        <v>24939.57681784991</v>
      </c>
      <c r="AH13" s="33" t="n">
        <v>34870.51152835278</v>
      </c>
      <c r="AI13" s="33" t="n">
        <v>24589.58872626727</v>
      </c>
      <c r="AJ13" s="33" t="n">
        <v>25412.33889319772</v>
      </c>
      <c r="AK13" s="33" t="n">
        <v>37651.3848589789</v>
      </c>
      <c r="AL13" s="33" t="n">
        <v>25156.44207803589</v>
      </c>
      <c r="AM13" s="33" t="n">
        <v>10527.11889571954</v>
      </c>
      <c r="AN13" s="33" t="n">
        <v>11638.01680490251</v>
      </c>
      <c r="AO13" s="33" t="n">
        <v>12748.43069310997</v>
      </c>
      <c r="AP13" s="33" t="n">
        <v>13858.64908044722</v>
      </c>
      <c r="AQ13" s="33" t="n">
        <v>14968.95434857633</v>
      </c>
      <c r="AR13" s="33" t="n">
        <v>15994.62377818352</v>
      </c>
      <c r="AS13" s="33" t="n">
        <v>16583.78865476822</v>
      </c>
      <c r="AT13" s="33" t="n">
        <v>17113.13918497571</v>
      </c>
      <c r="AU13" s="33" t="n">
        <v>17643.64901768525</v>
      </c>
      <c r="AV13" s="33" t="n">
        <v>14409.36956413136</v>
      </c>
      <c r="AW13" s="33" t="n">
        <v>0</v>
      </c>
      <c r="AX13" s="33" t="n">
        <v>0</v>
      </c>
      <c r="AY13" s="33" t="n">
        <v>0</v>
      </c>
    </row>
    <row r="14" ht="13.05" customHeight="1">
      <c r="E14" s="40" t="inlineStr">
        <is>
          <t>Net Income</t>
        </is>
      </c>
      <c r="F14" s="41" t="n"/>
      <c r="G14" s="41" t="inlineStr">
        <is>
          <t>kEUR</t>
        </is>
      </c>
      <c r="H14" s="41" t="n"/>
      <c r="I14" s="41" t="n"/>
      <c r="J14" s="42" t="n">
        <v>872902.3164416042</v>
      </c>
      <c r="K14" s="41" t="n"/>
      <c r="L14" s="43" t="n">
        <v>-36605</v>
      </c>
      <c r="M14" s="43" t="n">
        <v>-36605</v>
      </c>
      <c r="N14" s="43" t="n">
        <v>-36605</v>
      </c>
      <c r="O14" s="43" t="n">
        <v>-36605</v>
      </c>
      <c r="P14" s="43" t="n">
        <v>-57083.96357777778</v>
      </c>
      <c r="Q14" s="43" t="n">
        <v>-85897.40411111111</v>
      </c>
      <c r="R14" s="43" t="n">
        <v>-107641.2097380871</v>
      </c>
      <c r="S14" s="43" t="n">
        <v>134073.0681088442</v>
      </c>
      <c r="T14" s="43" t="n">
        <v>33093.28161980543</v>
      </c>
      <c r="U14" s="43" t="n">
        <v>40026.31051194711</v>
      </c>
      <c r="V14" s="43" t="n">
        <v>61417.3525221392</v>
      </c>
      <c r="W14" s="43" t="n">
        <v>40017.94185030937</v>
      </c>
      <c r="X14" s="43" t="n">
        <v>54624.57166563929</v>
      </c>
      <c r="Y14" s="43" t="n">
        <v>69867.80224211194</v>
      </c>
      <c r="Z14" s="43" t="n">
        <v>39309.01029987599</v>
      </c>
      <c r="AA14" s="43" t="n">
        <v>39988.2354264608</v>
      </c>
      <c r="AB14" s="43" t="n">
        <v>67392.50249700701</v>
      </c>
      <c r="AC14" s="43" t="n">
        <v>48267.0277870674</v>
      </c>
      <c r="AD14" s="43" t="n">
        <v>50647.80448746926</v>
      </c>
      <c r="AE14" s="43" t="n">
        <v>71406.70353390106</v>
      </c>
      <c r="AF14" s="43" t="n">
        <v>52141.47440764323</v>
      </c>
      <c r="AG14" s="43" t="n">
        <v>58192.34590831648</v>
      </c>
      <c r="AH14" s="43" t="n">
        <v>81364.52689948979</v>
      </c>
      <c r="AI14" s="43" t="n">
        <v>57375.70702795699</v>
      </c>
      <c r="AJ14" s="43" t="n">
        <v>59295.45741746135</v>
      </c>
      <c r="AK14" s="43" t="n">
        <v>87853.23133761741</v>
      </c>
      <c r="AL14" s="43" t="n">
        <v>58698.36484875041</v>
      </c>
      <c r="AM14" s="43" t="n">
        <v>24563.27742334558</v>
      </c>
      <c r="AN14" s="43" t="n">
        <v>27155.37254477254</v>
      </c>
      <c r="AO14" s="43" t="n">
        <v>29746.33828392329</v>
      </c>
      <c r="AP14" s="43" t="n">
        <v>32336.84785437684</v>
      </c>
      <c r="AQ14" s="43" t="n">
        <v>34927.56014667809</v>
      </c>
      <c r="AR14" s="43" t="n">
        <v>37320.78881576154</v>
      </c>
      <c r="AS14" s="43" t="n">
        <v>38695.50686112583</v>
      </c>
      <c r="AT14" s="43" t="n">
        <v>39930.65809827665</v>
      </c>
      <c r="AU14" s="43" t="n">
        <v>41168.5143745989</v>
      </c>
      <c r="AV14" s="43" t="n">
        <v>33621.86231630651</v>
      </c>
      <c r="AW14" s="43" t="n">
        <v>-90025.89416720149</v>
      </c>
      <c r="AX14" s="43" t="n">
        <v>-91503.94960017828</v>
      </c>
      <c r="AY14" s="43" t="n">
        <v>-93044.7094830196</v>
      </c>
    </row>
    <row r="15" ht="13.05" customHeight="1">
      <c r="E15" s="39" t="inlineStr">
        <is>
          <t>Cash Flow</t>
        </is>
      </c>
      <c r="F15" s="39" t="n"/>
      <c r="G15" s="39" t="n"/>
    </row>
    <row r="16" ht="13.05" customHeight="1">
      <c r="E16" s="40" t="inlineStr">
        <is>
          <t>Net Income</t>
        </is>
      </c>
      <c r="F16" s="41" t="n"/>
      <c r="G16" s="41" t="inlineStr">
        <is>
          <t>kEUR</t>
        </is>
      </c>
      <c r="H16" s="41" t="n"/>
      <c r="I16" s="41" t="n"/>
      <c r="J16" s="42" t="n">
        <v>872902.3164416042</v>
      </c>
      <c r="K16" s="41" t="n"/>
      <c r="L16" s="43" t="n">
        <v>-36605</v>
      </c>
      <c r="M16" s="43" t="n">
        <v>-36605</v>
      </c>
      <c r="N16" s="43" t="n">
        <v>-36605</v>
      </c>
      <c r="O16" s="43" t="n">
        <v>-36605</v>
      </c>
      <c r="P16" s="43" t="n">
        <v>-57083.96357777778</v>
      </c>
      <c r="Q16" s="43" t="n">
        <v>-85897.40411111111</v>
      </c>
      <c r="R16" s="43" t="n">
        <v>-107641.2097380871</v>
      </c>
      <c r="S16" s="43" t="n">
        <v>134073.0681088442</v>
      </c>
      <c r="T16" s="43" t="n">
        <v>33093.28161980543</v>
      </c>
      <c r="U16" s="43" t="n">
        <v>40026.31051194711</v>
      </c>
      <c r="V16" s="43" t="n">
        <v>61417.3525221392</v>
      </c>
      <c r="W16" s="43" t="n">
        <v>40017.94185030937</v>
      </c>
      <c r="X16" s="43" t="n">
        <v>54624.57166563929</v>
      </c>
      <c r="Y16" s="43" t="n">
        <v>69867.80224211194</v>
      </c>
      <c r="Z16" s="43" t="n">
        <v>39309.01029987599</v>
      </c>
      <c r="AA16" s="43" t="n">
        <v>39988.2354264608</v>
      </c>
      <c r="AB16" s="43" t="n">
        <v>67392.50249700701</v>
      </c>
      <c r="AC16" s="43" t="n">
        <v>48267.0277870674</v>
      </c>
      <c r="AD16" s="43" t="n">
        <v>50647.80448746926</v>
      </c>
      <c r="AE16" s="43" t="n">
        <v>71406.70353390106</v>
      </c>
      <c r="AF16" s="43" t="n">
        <v>52141.47440764323</v>
      </c>
      <c r="AG16" s="43" t="n">
        <v>58192.34590831648</v>
      </c>
      <c r="AH16" s="43" t="n">
        <v>81364.52689948979</v>
      </c>
      <c r="AI16" s="43" t="n">
        <v>57375.70702795699</v>
      </c>
      <c r="AJ16" s="43" t="n">
        <v>59295.45741746135</v>
      </c>
      <c r="AK16" s="43" t="n">
        <v>87853.23133761741</v>
      </c>
      <c r="AL16" s="43" t="n">
        <v>58698.36484875041</v>
      </c>
      <c r="AM16" s="43" t="n">
        <v>24563.27742334558</v>
      </c>
      <c r="AN16" s="43" t="n">
        <v>27155.37254477254</v>
      </c>
      <c r="AO16" s="43" t="n">
        <v>29746.33828392329</v>
      </c>
      <c r="AP16" s="43" t="n">
        <v>32336.84785437684</v>
      </c>
      <c r="AQ16" s="43" t="n">
        <v>34927.56014667809</v>
      </c>
      <c r="AR16" s="43" t="n">
        <v>37320.78881576154</v>
      </c>
      <c r="AS16" s="43" t="n">
        <v>38695.50686112583</v>
      </c>
      <c r="AT16" s="43" t="n">
        <v>39930.65809827665</v>
      </c>
      <c r="AU16" s="43" t="n">
        <v>41168.5143745989</v>
      </c>
      <c r="AV16" s="43" t="n">
        <v>33621.86231630651</v>
      </c>
      <c r="AW16" s="43" t="n">
        <v>-90025.89416720149</v>
      </c>
      <c r="AX16" s="43" t="n">
        <v>-91503.94960017828</v>
      </c>
      <c r="AY16" s="43" t="n">
        <v>-93044.7094830196</v>
      </c>
    </row>
    <row r="17" hidden="1" outlineLevel="1" ht="13.05" customHeight="1">
      <c r="E17" s="26" t="inlineStr">
        <is>
          <t>Depreciation &amp; Amortisation</t>
        </is>
      </c>
      <c r="F17" s="26" t="n"/>
      <c r="G17" s="26" t="inlineStr">
        <is>
          <t>kEUR</t>
        </is>
      </c>
      <c r="H17" s="26" t="n"/>
      <c r="I17" s="26" t="n"/>
      <c r="J17" s="27" t="n">
        <v>816346.5835004596</v>
      </c>
      <c r="K17" s="26" t="n"/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13058.4</v>
      </c>
      <c r="Q17" s="28" t="n">
        <v>25681.52</v>
      </c>
      <c r="R17" s="28" t="n">
        <v>37883.86933333334</v>
      </c>
      <c r="S17" s="28" t="n">
        <v>36621.07368888889</v>
      </c>
      <c r="T17" s="28" t="n">
        <v>35400.3712325926</v>
      </c>
      <c r="U17" s="28" t="n">
        <v>34220.35885817284</v>
      </c>
      <c r="V17" s="28" t="n">
        <v>33079.68022956708</v>
      </c>
      <c r="W17" s="28" t="n">
        <v>31977.02422191483</v>
      </c>
      <c r="X17" s="28" t="n">
        <v>30911.12341451768</v>
      </c>
      <c r="Y17" s="28" t="n">
        <v>29880.75263403375</v>
      </c>
      <c r="Z17" s="28" t="n">
        <v>28884.72754623263</v>
      </c>
      <c r="AA17" s="28" t="n">
        <v>27921.90329469154</v>
      </c>
      <c r="AB17" s="28" t="n">
        <v>26991.17318486849</v>
      </c>
      <c r="AC17" s="28" t="n">
        <v>26091.46741203954</v>
      </c>
      <c r="AD17" s="28" t="n">
        <v>25221.75183163822</v>
      </c>
      <c r="AE17" s="28" t="n">
        <v>24381.02677058361</v>
      </c>
      <c r="AF17" s="28" t="n">
        <v>23568.32587823082</v>
      </c>
      <c r="AG17" s="28" t="n">
        <v>22782.71501562313</v>
      </c>
      <c r="AH17" s="28" t="n">
        <v>22023.29118176903</v>
      </c>
      <c r="AI17" s="28" t="n">
        <v>21289.18147571006</v>
      </c>
      <c r="AJ17" s="28" t="n">
        <v>20579.54209318639</v>
      </c>
      <c r="AK17" s="28" t="n">
        <v>19893.55735674685</v>
      </c>
      <c r="AL17" s="28" t="n">
        <v>19230.43877818861</v>
      </c>
      <c r="AM17" s="28" t="n">
        <v>18589.42415224899</v>
      </c>
      <c r="AN17" s="28" t="n">
        <v>17969.77668050736</v>
      </c>
      <c r="AO17" s="28" t="n">
        <v>17370.78412449045</v>
      </c>
      <c r="AP17" s="28" t="n">
        <v>16791.75798700743</v>
      </c>
      <c r="AQ17" s="28" t="n">
        <v>16232.03272077385</v>
      </c>
      <c r="AR17" s="28" t="n">
        <v>15690.96496341472</v>
      </c>
      <c r="AS17" s="28" t="n">
        <v>15167.93279796757</v>
      </c>
      <c r="AT17" s="28" t="n">
        <v>14662.33503803531</v>
      </c>
      <c r="AU17" s="28" t="n">
        <v>14173.59053676747</v>
      </c>
      <c r="AV17" s="28" t="n">
        <v>13701.13751887522</v>
      </c>
      <c r="AW17" s="28" t="n">
        <v>13244.43293491271</v>
      </c>
      <c r="AX17" s="28" t="n">
        <v>12802.95183708229</v>
      </c>
      <c r="AY17" s="28" t="n">
        <v>12376.18677584621</v>
      </c>
    </row>
    <row r="18" hidden="1" outlineLevel="1" ht="13.05" customHeight="1">
      <c r="E18" s="29" t="inlineStr">
        <is>
          <t>Working Capital Change</t>
        </is>
      </c>
      <c r="F18" s="29" t="n"/>
      <c r="G18" s="29" t="inlineStr">
        <is>
          <t>kEUR</t>
        </is>
      </c>
      <c r="H18" s="29" t="n"/>
      <c r="I18" s="29" t="n"/>
      <c r="J18" s="32" t="n">
        <v>0</v>
      </c>
      <c r="K18" s="29" t="n"/>
      <c r="L18" s="33" t="n">
        <v>0</v>
      </c>
      <c r="M18" s="33" t="n">
        <v>0</v>
      </c>
      <c r="N18" s="33" t="n">
        <v>0</v>
      </c>
      <c r="O18" s="33" t="n">
        <v>0</v>
      </c>
      <c r="P18" s="33" t="n">
        <v>0</v>
      </c>
      <c r="Q18" s="33" t="n">
        <v>0</v>
      </c>
      <c r="R18" s="33" t="n">
        <v>0</v>
      </c>
      <c r="S18" s="33" t="n">
        <v>0</v>
      </c>
      <c r="T18" s="33" t="n">
        <v>0</v>
      </c>
      <c r="U18" s="33" t="n">
        <v>0</v>
      </c>
      <c r="V18" s="33" t="n">
        <v>0</v>
      </c>
      <c r="W18" s="33" t="n">
        <v>0</v>
      </c>
      <c r="X18" s="33" t="n">
        <v>0</v>
      </c>
      <c r="Y18" s="33" t="n">
        <v>0</v>
      </c>
      <c r="Z18" s="33" t="n">
        <v>0</v>
      </c>
      <c r="AA18" s="33" t="n">
        <v>0</v>
      </c>
      <c r="AB18" s="33" t="n">
        <v>0</v>
      </c>
      <c r="AC18" s="33" t="n">
        <v>0</v>
      </c>
      <c r="AD18" s="33" t="n">
        <v>0</v>
      </c>
      <c r="AE18" s="33" t="n">
        <v>0</v>
      </c>
      <c r="AF18" s="33" t="n">
        <v>0</v>
      </c>
      <c r="AG18" s="33" t="n">
        <v>0</v>
      </c>
      <c r="AH18" s="33" t="n">
        <v>0</v>
      </c>
      <c r="AI18" s="33" t="n">
        <v>0</v>
      </c>
      <c r="AJ18" s="33" t="n">
        <v>0</v>
      </c>
      <c r="AK18" s="33" t="n">
        <v>0</v>
      </c>
      <c r="AL18" s="33" t="n">
        <v>0</v>
      </c>
      <c r="AM18" s="33" t="n">
        <v>0</v>
      </c>
      <c r="AN18" s="33" t="n">
        <v>0</v>
      </c>
      <c r="AO18" s="33" t="n">
        <v>0</v>
      </c>
      <c r="AP18" s="33" t="n">
        <v>0</v>
      </c>
      <c r="AQ18" s="33" t="n">
        <v>0</v>
      </c>
      <c r="AR18" s="33" t="n">
        <v>0</v>
      </c>
      <c r="AS18" s="33" t="n">
        <v>0</v>
      </c>
      <c r="AT18" s="33" t="n">
        <v>0</v>
      </c>
      <c r="AU18" s="33" t="n">
        <v>0</v>
      </c>
      <c r="AV18" s="33" t="n">
        <v>0</v>
      </c>
      <c r="AW18" s="33" t="n">
        <v>0</v>
      </c>
      <c r="AX18" s="33" t="n">
        <v>0</v>
      </c>
      <c r="AY18" s="33" t="n">
        <v>0</v>
      </c>
    </row>
    <row r="19" hidden="1" outlineLevel="1" ht="13.05" customHeight="1">
      <c r="E19" s="35" t="inlineStr">
        <is>
          <t>Cash Flow from Operations</t>
        </is>
      </c>
      <c r="F19" s="35" t="n"/>
      <c r="G19" s="35" t="inlineStr">
        <is>
          <t>kEUR</t>
        </is>
      </c>
      <c r="H19" s="35" t="n"/>
      <c r="I19" s="35" t="n"/>
      <c r="J19" s="36" t="n">
        <v>1689248.899942064</v>
      </c>
      <c r="K19" s="35" t="n"/>
      <c r="L19" s="37" t="n">
        <v>-36605</v>
      </c>
      <c r="M19" s="37" t="n">
        <v>-36605</v>
      </c>
      <c r="N19" s="37" t="n">
        <v>-36605</v>
      </c>
      <c r="O19" s="37" t="n">
        <v>-36605</v>
      </c>
      <c r="P19" s="37" t="n">
        <v>-44025.56357777778</v>
      </c>
      <c r="Q19" s="37" t="n">
        <v>-60215.88411111111</v>
      </c>
      <c r="R19" s="37" t="n">
        <v>-69757.34040475373</v>
      </c>
      <c r="S19" s="37" t="n">
        <v>170694.1417977331</v>
      </c>
      <c r="T19" s="37" t="n">
        <v>68493.65285239802</v>
      </c>
      <c r="U19" s="37" t="n">
        <v>74246.66937011995</v>
      </c>
      <c r="V19" s="37" t="n">
        <v>94497.03275170628</v>
      </c>
      <c r="W19" s="37" t="n">
        <v>71994.96607222421</v>
      </c>
      <c r="X19" s="37" t="n">
        <v>85535.69508015698</v>
      </c>
      <c r="Y19" s="37" t="n">
        <v>99748.5548761457</v>
      </c>
      <c r="Z19" s="37" t="n">
        <v>68193.73784610862</v>
      </c>
      <c r="AA19" s="37" t="n">
        <v>67910.13872115234</v>
      </c>
      <c r="AB19" s="37" t="n">
        <v>94383.67568187549</v>
      </c>
      <c r="AC19" s="37" t="n">
        <v>74358.49519910694</v>
      </c>
      <c r="AD19" s="37" t="n">
        <v>75869.55631910748</v>
      </c>
      <c r="AE19" s="37" t="n">
        <v>95787.73030448466</v>
      </c>
      <c r="AF19" s="37" t="n">
        <v>75709.80028587405</v>
      </c>
      <c r="AG19" s="37" t="n">
        <v>80975.0609239396</v>
      </c>
      <c r="AH19" s="37" t="n">
        <v>103387.8180812588</v>
      </c>
      <c r="AI19" s="37" t="n">
        <v>78664.88850366704</v>
      </c>
      <c r="AJ19" s="37" t="n">
        <v>79874.99951064774</v>
      </c>
      <c r="AK19" s="37" t="n">
        <v>107746.7886943643</v>
      </c>
      <c r="AL19" s="37" t="n">
        <v>77928.80362693903</v>
      </c>
      <c r="AM19" s="37" t="n">
        <v>43152.70157559458</v>
      </c>
      <c r="AN19" s="37" t="n">
        <v>45125.1492252799</v>
      </c>
      <c r="AO19" s="37" t="n">
        <v>47117.12240841374</v>
      </c>
      <c r="AP19" s="37" t="n">
        <v>49128.60584138427</v>
      </c>
      <c r="AQ19" s="37" t="n">
        <v>51159.59286745195</v>
      </c>
      <c r="AR19" s="37" t="n">
        <v>53011.75377917627</v>
      </c>
      <c r="AS19" s="37" t="n">
        <v>53863.4396590934</v>
      </c>
      <c r="AT19" s="37" t="n">
        <v>54592.99313631197</v>
      </c>
      <c r="AU19" s="37" t="n">
        <v>55342.10491136638</v>
      </c>
      <c r="AV19" s="37" t="n">
        <v>47322.99983518173</v>
      </c>
      <c r="AW19" s="37" t="n">
        <v>-76781.46123228877</v>
      </c>
      <c r="AX19" s="37" t="n">
        <v>-78700.99776309601</v>
      </c>
      <c r="AY19" s="37" t="n">
        <v>-80668.52270717338</v>
      </c>
    </row>
    <row r="20" ht="5.25" customHeight="1">
      <c r="A20" s="38" t="n"/>
      <c r="B20" s="38" t="n"/>
      <c r="C20" s="38" t="n"/>
      <c r="D20" s="38" t="n"/>
      <c r="E20" s="38" t="inlineStr">
        <is>
          <t>Revenue</t>
        </is>
      </c>
      <c r="F20" s="38" t="n"/>
      <c r="G20" s="38" t="n"/>
    </row>
    <row r="21" hidden="1" outlineLevel="1" ht="13.05" customHeight="1">
      <c r="E21" s="26" t="inlineStr">
        <is>
          <t>Capital Expenditure</t>
        </is>
      </c>
      <c r="F21" s="26" t="n"/>
      <c r="G21" s="26" t="inlineStr">
        <is>
          <t>kEUR</t>
        </is>
      </c>
      <c r="H21" s="26" t="n"/>
      <c r="I21" s="26" t="n"/>
      <c r="J21" s="27" t="n">
        <v>1175256</v>
      </c>
      <c r="K21" s="26" t="n"/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391752</v>
      </c>
      <c r="Q21" s="28" t="n">
        <v>391752</v>
      </c>
      <c r="R21" s="28" t="n">
        <v>391752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</row>
    <row r="22" hidden="1" outlineLevel="1" ht="13.05" customHeight="1">
      <c r="E22" s="35" t="inlineStr">
        <is>
          <t>Cash Flow from Investing</t>
        </is>
      </c>
      <c r="F22" s="35" t="n"/>
      <c r="G22" s="35" t="inlineStr">
        <is>
          <t>kEUR</t>
        </is>
      </c>
      <c r="H22" s="35" t="n"/>
      <c r="I22" s="35" t="n"/>
      <c r="J22" s="36" t="n">
        <v>-1175256</v>
      </c>
      <c r="K22" s="35" t="n"/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-391752</v>
      </c>
      <c r="Q22" s="37" t="n">
        <v>-391752</v>
      </c>
      <c r="R22" s="37" t="n">
        <v>-391752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37" t="n">
        <v>0</v>
      </c>
      <c r="AJ22" s="37" t="n">
        <v>0</v>
      </c>
      <c r="AK22" s="37" t="n">
        <v>0</v>
      </c>
      <c r="AL22" s="37" t="n">
        <v>0</v>
      </c>
      <c r="AM22" s="37" t="n">
        <v>0</v>
      </c>
      <c r="AN22" s="37" t="n">
        <v>0</v>
      </c>
      <c r="AO22" s="37" t="n">
        <v>0</v>
      </c>
      <c r="AP22" s="37" t="n">
        <v>0</v>
      </c>
      <c r="AQ22" s="37" t="n">
        <v>0</v>
      </c>
      <c r="AR22" s="37" t="n">
        <v>0</v>
      </c>
      <c r="AS22" s="37" t="n">
        <v>0</v>
      </c>
      <c r="AT22" s="37" t="n">
        <v>0</v>
      </c>
      <c r="AU22" s="37" t="n">
        <v>0</v>
      </c>
      <c r="AV22" s="37" t="n">
        <v>0</v>
      </c>
      <c r="AW22" s="37" t="n">
        <v>0</v>
      </c>
      <c r="AX22" s="37" t="n">
        <v>0</v>
      </c>
      <c r="AY22" s="37" t="n">
        <v>0</v>
      </c>
    </row>
    <row r="23" ht="5.25" customHeight="1">
      <c r="A23" s="38" t="n"/>
      <c r="B23" s="38" t="n"/>
      <c r="C23" s="38" t="n"/>
      <c r="D23" s="38" t="n"/>
      <c r="E23" s="38" t="inlineStr">
        <is>
          <t>Operating Costs</t>
        </is>
      </c>
      <c r="F23" s="38" t="n"/>
      <c r="G23" s="38" t="n"/>
    </row>
    <row r="24" hidden="1" outlineLevel="1" ht="13.05" customHeight="1">
      <c r="E24" s="26" t="inlineStr">
        <is>
          <t>Debt Drawdown</t>
        </is>
      </c>
      <c r="F24" s="26" t="n"/>
      <c r="G24" s="26" t="inlineStr">
        <is>
          <t>kEUR</t>
        </is>
      </c>
      <c r="H24" s="26" t="n"/>
      <c r="I24" s="26" t="n"/>
      <c r="J24" s="27" t="n">
        <v>846184</v>
      </c>
      <c r="K24" s="26" t="n"/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282061.3333333333</v>
      </c>
      <c r="Q24" s="28" t="n">
        <v>282061.3333333333</v>
      </c>
      <c r="R24" s="28" t="n">
        <v>282061.3333333333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</row>
    <row r="25" hidden="1" outlineLevel="1" ht="13.05" customHeight="1">
      <c r="E25" s="26" t="inlineStr">
        <is>
          <t>Principal Repayment</t>
        </is>
      </c>
      <c r="F25" s="26" t="n"/>
      <c r="G25" s="26" t="inlineStr">
        <is>
          <t>kEUR</t>
        </is>
      </c>
      <c r="H25" s="26" t="n"/>
      <c r="I25" s="26" t="n"/>
      <c r="J25" s="27" t="n">
        <v>846184.000000005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19744.29333333333</v>
      </c>
      <c r="T25" s="28" t="n">
        <v>33847.36</v>
      </c>
      <c r="U25" s="28" t="n">
        <v>33847.36</v>
      </c>
      <c r="V25" s="28" t="n">
        <v>33847.36</v>
      </c>
      <c r="W25" s="28" t="n">
        <v>33847.36</v>
      </c>
      <c r="X25" s="28" t="n">
        <v>33847.36</v>
      </c>
      <c r="Y25" s="28" t="n">
        <v>33847.36</v>
      </c>
      <c r="Z25" s="28" t="n">
        <v>33847.36</v>
      </c>
      <c r="AA25" s="28" t="n">
        <v>33847.36</v>
      </c>
      <c r="AB25" s="28" t="n">
        <v>33847.36</v>
      </c>
      <c r="AC25" s="28" t="n">
        <v>33847.36</v>
      </c>
      <c r="AD25" s="28" t="n">
        <v>33847.36</v>
      </c>
      <c r="AE25" s="28" t="n">
        <v>33847.36</v>
      </c>
      <c r="AF25" s="28" t="n">
        <v>33847.36</v>
      </c>
      <c r="AG25" s="28" t="n">
        <v>33847.36</v>
      </c>
      <c r="AH25" s="28" t="n">
        <v>33847.36</v>
      </c>
      <c r="AI25" s="28" t="n">
        <v>33847.36</v>
      </c>
      <c r="AJ25" s="28" t="n">
        <v>33847.36</v>
      </c>
      <c r="AK25" s="28" t="n">
        <v>33847.36</v>
      </c>
      <c r="AL25" s="28" t="n">
        <v>33847.36</v>
      </c>
      <c r="AM25" s="28" t="n">
        <v>33847.36</v>
      </c>
      <c r="AN25" s="28" t="n">
        <v>33847.36</v>
      </c>
      <c r="AO25" s="28" t="n">
        <v>33847.36</v>
      </c>
      <c r="AP25" s="28" t="n">
        <v>33847.36</v>
      </c>
      <c r="AQ25" s="28" t="n">
        <v>33847.36</v>
      </c>
      <c r="AR25" s="28" t="n">
        <v>14103.06666667161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</row>
    <row r="26" hidden="1" outlineLevel="1" ht="13.05" customHeight="1">
      <c r="E26" s="29" t="inlineStr">
        <is>
          <t>Interest Paid</t>
        </is>
      </c>
      <c r="F26" s="29" t="n"/>
      <c r="G26" s="29" t="inlineStr">
        <is>
          <t>kEUR</t>
        </is>
      </c>
      <c r="H26" s="29" t="n"/>
      <c r="I26" s="29" t="n"/>
      <c r="J26" s="32" t="n">
        <v>700231.3630666732</v>
      </c>
      <c r="K26" s="29" t="n"/>
      <c r="L26" s="33" t="n">
        <v>0</v>
      </c>
      <c r="M26" s="33" t="n">
        <v>0</v>
      </c>
      <c r="N26" s="33" t="n">
        <v>0</v>
      </c>
      <c r="O26" s="33" t="n">
        <v>0</v>
      </c>
      <c r="P26" s="33" t="n">
        <v>7420.563577777777</v>
      </c>
      <c r="Q26" s="33" t="n">
        <v>23610.88411111112</v>
      </c>
      <c r="R26" s="33" t="n">
        <v>39801.20464444446</v>
      </c>
      <c r="S26" s="33" t="n">
        <v>48287.63099066669</v>
      </c>
      <c r="T26" s="33" t="n">
        <v>46547.17153333339</v>
      </c>
      <c r="U26" s="33" t="n">
        <v>44604.33306933342</v>
      </c>
      <c r="V26" s="33" t="n">
        <v>42661.49460533346</v>
      </c>
      <c r="W26" s="33" t="n">
        <v>40718.65614133349</v>
      </c>
      <c r="X26" s="33" t="n">
        <v>38775.81767733352</v>
      </c>
      <c r="Y26" s="33" t="n">
        <v>36832.97921333356</v>
      </c>
      <c r="Z26" s="33" t="n">
        <v>34890.14074933359</v>
      </c>
      <c r="AA26" s="33" t="n">
        <v>32947.30228533363</v>
      </c>
      <c r="AB26" s="33" t="n">
        <v>31004.46382133366</v>
      </c>
      <c r="AC26" s="33" t="n">
        <v>29061.62535733367</v>
      </c>
      <c r="AD26" s="33" t="n">
        <v>27118.78689333367</v>
      </c>
      <c r="AE26" s="33" t="n">
        <v>25175.94842933366</v>
      </c>
      <c r="AF26" s="33" t="n">
        <v>23233.10996533366</v>
      </c>
      <c r="AG26" s="33" t="n">
        <v>21290.27150133365</v>
      </c>
      <c r="AH26" s="33" t="n">
        <v>19347.43303733365</v>
      </c>
      <c r="AI26" s="33" t="n">
        <v>17404.59457333364</v>
      </c>
      <c r="AJ26" s="33" t="n">
        <v>15461.75610933363</v>
      </c>
      <c r="AK26" s="33" t="n">
        <v>13518.91764533363</v>
      </c>
      <c r="AL26" s="33" t="n">
        <v>11576.07918133362</v>
      </c>
      <c r="AM26" s="33" t="n">
        <v>9633.240717333616</v>
      </c>
      <c r="AN26" s="33" t="n">
        <v>7690.402253333611</v>
      </c>
      <c r="AO26" s="33" t="n">
        <v>5747.563789333613</v>
      </c>
      <c r="AP26" s="33" t="n">
        <v>3804.725325333618</v>
      </c>
      <c r="AQ26" s="33" t="n">
        <v>1861.886861333617</v>
      </c>
      <c r="AR26" s="33" t="n">
        <v>202.3790066668085</v>
      </c>
      <c r="AS26" s="33" t="n">
        <v>0</v>
      </c>
      <c r="AT26" s="33" t="n">
        <v>0</v>
      </c>
      <c r="AU26" s="33" t="n">
        <v>0</v>
      </c>
      <c r="AV26" s="33" t="n">
        <v>0</v>
      </c>
      <c r="AW26" s="33" t="n">
        <v>0</v>
      </c>
      <c r="AX26" s="33" t="n">
        <v>0</v>
      </c>
      <c r="AY26" s="33" t="n">
        <v>0</v>
      </c>
    </row>
    <row r="27" hidden="1" outlineLevel="1" ht="13.05" customHeight="1">
      <c r="E27" s="29" t="inlineStr">
        <is>
          <t>Dividends Paid</t>
        </is>
      </c>
      <c r="F27" s="29" t="n"/>
      <c r="G27" s="29" t="inlineStr">
        <is>
          <t>kEUR</t>
        </is>
      </c>
      <c r="H27" s="29" t="n"/>
      <c r="I27" s="29" t="n"/>
      <c r="J27" s="32" t="n">
        <v>42495.87476311181</v>
      </c>
      <c r="K27" s="29" t="n"/>
      <c r="L27" s="33" t="n">
        <v>0</v>
      </c>
      <c r="M27" s="33" t="n">
        <v>0</v>
      </c>
      <c r="N27" s="33" t="n">
        <v>0</v>
      </c>
      <c r="O27" s="33" t="n">
        <v>0</v>
      </c>
      <c r="P27" s="33" t="n">
        <v>0</v>
      </c>
      <c r="Q27" s="33" t="n">
        <v>0</v>
      </c>
      <c r="R27" s="33" t="n">
        <v>0</v>
      </c>
      <c r="S27" s="33" t="n">
        <v>0</v>
      </c>
      <c r="T27" s="33" t="n">
        <v>0</v>
      </c>
      <c r="U27" s="33" t="n">
        <v>0</v>
      </c>
      <c r="V27" s="33" t="n">
        <v>0</v>
      </c>
      <c r="W27" s="33" t="n">
        <v>0</v>
      </c>
      <c r="X27" s="33" t="n">
        <v>0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0</v>
      </c>
      <c r="AE27" s="33" t="n">
        <v>0</v>
      </c>
      <c r="AF27" s="33" t="n">
        <v>0</v>
      </c>
      <c r="AG27" s="33" t="n">
        <v>0</v>
      </c>
      <c r="AH27" s="33" t="n">
        <v>0</v>
      </c>
      <c r="AI27" s="33" t="n">
        <v>0</v>
      </c>
      <c r="AJ27" s="33" t="n">
        <v>0</v>
      </c>
      <c r="AK27" s="33" t="n">
        <v>0</v>
      </c>
      <c r="AL27" s="33" t="n">
        <v>0</v>
      </c>
      <c r="AM27" s="33" t="n">
        <v>0</v>
      </c>
      <c r="AN27" s="33" t="n">
        <v>0</v>
      </c>
      <c r="AO27" s="33" t="n">
        <v>0</v>
      </c>
      <c r="AP27" s="33" t="n">
        <v>0</v>
      </c>
      <c r="AQ27" s="33" t="n">
        <v>0</v>
      </c>
      <c r="AR27" s="33" t="n">
        <v>0</v>
      </c>
      <c r="AS27" s="33" t="n">
        <v>0</v>
      </c>
      <c r="AT27" s="33" t="n">
        <v>0</v>
      </c>
      <c r="AU27" s="33" t="n">
        <v>0</v>
      </c>
      <c r="AV27" s="33" t="n">
        <v>10103.42722780611</v>
      </c>
      <c r="AW27" s="33" t="n">
        <v>32392.4475353057</v>
      </c>
      <c r="AX27" s="33" t="n">
        <v>0</v>
      </c>
      <c r="AY27" s="33" t="n">
        <v>0</v>
      </c>
    </row>
    <row r="28" hidden="1" outlineLevel="1" ht="13.05" customHeight="1">
      <c r="E28" s="35" t="inlineStr">
        <is>
          <t>Cash Flow from Financing</t>
        </is>
      </c>
      <c r="F28" s="35" t="n"/>
      <c r="G28" s="35" t="inlineStr">
        <is>
          <t>kEUR</t>
        </is>
      </c>
      <c r="H28" s="35" t="n"/>
      <c r="I28" s="35" t="n"/>
      <c r="J28" s="36" t="n">
        <v>-742727.2378297899</v>
      </c>
      <c r="K28" s="35" t="n"/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274640.7697555555</v>
      </c>
      <c r="Q28" s="37" t="n">
        <v>258450.4492222222</v>
      </c>
      <c r="R28" s="37" t="n">
        <v>242260.1286888889</v>
      </c>
      <c r="S28" s="37" t="n">
        <v>-68031.92432400002</v>
      </c>
      <c r="T28" s="37" t="n">
        <v>-80394.53153333339</v>
      </c>
      <c r="U28" s="37" t="n">
        <v>-78451.69306933341</v>
      </c>
      <c r="V28" s="37" t="n">
        <v>-76508.85460533346</v>
      </c>
      <c r="W28" s="37" t="n">
        <v>-74566.01614133349</v>
      </c>
      <c r="X28" s="37" t="n">
        <v>-72623.17767733352</v>
      </c>
      <c r="Y28" s="37" t="n">
        <v>-70680.33921333356</v>
      </c>
      <c r="Z28" s="37" t="n">
        <v>-68737.50074933359</v>
      </c>
      <c r="AA28" s="37" t="n">
        <v>-66794.66228533363</v>
      </c>
      <c r="AB28" s="37" t="n">
        <v>-64851.82382133366</v>
      </c>
      <c r="AC28" s="37" t="n">
        <v>-62908.98535733367</v>
      </c>
      <c r="AD28" s="37" t="n">
        <v>-60966.14689333367</v>
      </c>
      <c r="AE28" s="37" t="n">
        <v>-59023.30842933366</v>
      </c>
      <c r="AF28" s="37" t="n">
        <v>-57080.46996533366</v>
      </c>
      <c r="AG28" s="37" t="n">
        <v>-55137.63150133365</v>
      </c>
      <c r="AH28" s="37" t="n">
        <v>-53194.79303733364</v>
      </c>
      <c r="AI28" s="37" t="n">
        <v>-51251.95457333363</v>
      </c>
      <c r="AJ28" s="37" t="n">
        <v>-49309.11610933363</v>
      </c>
      <c r="AK28" s="37" t="n">
        <v>-47366.27764533363</v>
      </c>
      <c r="AL28" s="37" t="n">
        <v>-45423.43918133362</v>
      </c>
      <c r="AM28" s="37" t="n">
        <v>-43480.60071733362</v>
      </c>
      <c r="AN28" s="37" t="n">
        <v>-41537.76225333361</v>
      </c>
      <c r="AO28" s="37" t="n">
        <v>-39594.92378933361</v>
      </c>
      <c r="AP28" s="37" t="n">
        <v>-37652.08532533362</v>
      </c>
      <c r="AQ28" s="37" t="n">
        <v>-35709.24686133362</v>
      </c>
      <c r="AR28" s="37" t="n">
        <v>-14305.44567333842</v>
      </c>
      <c r="AS28" s="37" t="n">
        <v>0</v>
      </c>
      <c r="AT28" s="37" t="n">
        <v>0</v>
      </c>
      <c r="AU28" s="37" t="n">
        <v>0</v>
      </c>
      <c r="AV28" s="37" t="n">
        <v>-10103.42722780611</v>
      </c>
      <c r="AW28" s="37" t="n">
        <v>-32392.4475353057</v>
      </c>
      <c r="AX28" s="37" t="n">
        <v>0</v>
      </c>
      <c r="AY28" s="37" t="n">
        <v>0</v>
      </c>
    </row>
    <row r="29" ht="5.25" customHeight="1"/>
    <row r="30" hidden="1" outlineLevel="1" ht="13.05" customHeight="1">
      <c r="E30" s="35" t="inlineStr">
        <is>
          <t>Net Cash Flow</t>
        </is>
      </c>
      <c r="F30" s="35" t="n"/>
      <c r="G30" s="35" t="inlineStr">
        <is>
          <t>kEUR</t>
        </is>
      </c>
      <c r="H30" s="35" t="n"/>
      <c r="I30" s="35" t="n"/>
      <c r="J30" s="36" t="n">
        <v>-228734.3378877262</v>
      </c>
      <c r="K30" s="35" t="n"/>
      <c r="L30" s="37" t="n">
        <v>-36605</v>
      </c>
      <c r="M30" s="37" t="n">
        <v>-36605</v>
      </c>
      <c r="N30" s="37" t="n">
        <v>-36605</v>
      </c>
      <c r="O30" s="37" t="n">
        <v>-36605</v>
      </c>
      <c r="P30" s="37" t="n">
        <v>-161136.7938222222</v>
      </c>
      <c r="Q30" s="37" t="n">
        <v>-193517.4348888889</v>
      </c>
      <c r="R30" s="37" t="n">
        <v>-219249.2117158649</v>
      </c>
      <c r="S30" s="37" t="n">
        <v>102662.2174737331</v>
      </c>
      <c r="T30" s="37" t="n">
        <v>-11900.87868093536</v>
      </c>
      <c r="U30" s="37" t="n">
        <v>-4205.023699213471</v>
      </c>
      <c r="V30" s="37" t="n">
        <v>17988.17814637283</v>
      </c>
      <c r="W30" s="37" t="n">
        <v>-2571.05006910928</v>
      </c>
      <c r="X30" s="37" t="n">
        <v>12912.51740282345</v>
      </c>
      <c r="Y30" s="37" t="n">
        <v>29068.21566281214</v>
      </c>
      <c r="Z30" s="37" t="n">
        <v>-543.7629032249715</v>
      </c>
      <c r="AA30" s="37" t="n">
        <v>1115.476435818712</v>
      </c>
      <c r="AB30" s="37" t="n">
        <v>29531.85186054183</v>
      </c>
      <c r="AC30" s="37" t="n">
        <v>11449.50984177326</v>
      </c>
      <c r="AD30" s="37" t="n">
        <v>14903.40942577381</v>
      </c>
      <c r="AE30" s="37" t="n">
        <v>36764.42187515101</v>
      </c>
      <c r="AF30" s="37" t="n">
        <v>18629.33032054039</v>
      </c>
      <c r="AG30" s="37" t="n">
        <v>25837.42942260596</v>
      </c>
      <c r="AH30" s="37" t="n">
        <v>50193.02504392518</v>
      </c>
      <c r="AI30" s="37" t="n">
        <v>27412.93393033341</v>
      </c>
      <c r="AJ30" s="37" t="n">
        <v>30565.88340131412</v>
      </c>
      <c r="AK30" s="37" t="n">
        <v>60380.51104903064</v>
      </c>
      <c r="AL30" s="37" t="n">
        <v>32505.36444560541</v>
      </c>
      <c r="AM30" s="37" t="n">
        <v>-327.8991417390407</v>
      </c>
      <c r="AN30" s="37" t="n">
        <v>3587.386971946287</v>
      </c>
      <c r="AO30" s="37" t="n">
        <v>7522.198619080124</v>
      </c>
      <c r="AP30" s="37" t="n">
        <v>11476.52051605066</v>
      </c>
      <c r="AQ30" s="37" t="n">
        <v>15450.34600611833</v>
      </c>
      <c r="AR30" s="37" t="n">
        <v>38706.30810583785</v>
      </c>
      <c r="AS30" s="37" t="n">
        <v>53863.4396590934</v>
      </c>
      <c r="AT30" s="37" t="n">
        <v>54592.99313631197</v>
      </c>
      <c r="AU30" s="37" t="n">
        <v>55342.10491136638</v>
      </c>
      <c r="AV30" s="37" t="n">
        <v>37219.57260737562</v>
      </c>
      <c r="AW30" s="37" t="n">
        <v>-109173.9087675945</v>
      </c>
      <c r="AX30" s="37" t="n">
        <v>-78700.99776309601</v>
      </c>
      <c r="AY30" s="37" t="n">
        <v>-80668.52270717338</v>
      </c>
    </row>
    <row r="31" hidden="1" outlineLevel="1" ht="13.05" customHeight="1">
      <c r="E31" s="29" t="inlineStr">
        <is>
          <t>Opening Cash</t>
        </is>
      </c>
      <c r="F31" s="29" t="n"/>
      <c r="G31" s="29" t="inlineStr">
        <is>
          <t>kEUR</t>
        </is>
      </c>
      <c r="H31" s="29" t="n"/>
      <c r="I31" s="29" t="n"/>
      <c r="J31" s="32" t="n">
        <v>-163828074.1825624</v>
      </c>
      <c r="K31" s="29" t="n"/>
      <c r="L31" s="33" t="n">
        <v>-201327.5</v>
      </c>
      <c r="M31" s="33" t="n">
        <v>-640587.4999999999</v>
      </c>
      <c r="N31" s="33" t="n">
        <v>-1079847.5</v>
      </c>
      <c r="O31" s="33" t="n">
        <v>-1519107.500000001</v>
      </c>
      <c r="P31" s="33" t="n">
        <v>-2611136.590518519</v>
      </c>
      <c r="Q31" s="33" t="n">
        <v>-4722871.642251853</v>
      </c>
      <c r="R31" s="33" t="n">
        <v>-7223174.386785187</v>
      </c>
      <c r="S31" s="33" t="n">
        <v>-8033748.603944784</v>
      </c>
      <c r="T31" s="33" t="n">
        <v>-7482982.60759593</v>
      </c>
      <c r="U31" s="33" t="n">
        <v>-7583503.087343684</v>
      </c>
      <c r="V31" s="33" t="n">
        <v>-7511938.694776434</v>
      </c>
      <c r="W31" s="33" t="n">
        <v>-7409195.057642516</v>
      </c>
      <c r="X31" s="33" t="n">
        <v>-7354927.61245028</v>
      </c>
      <c r="Y31" s="33" t="n">
        <v>-7111161.485661818</v>
      </c>
      <c r="Z31" s="33" t="n">
        <v>-6925250.067842886</v>
      </c>
      <c r="AA31" s="33" t="n">
        <v>-6922691.578418218</v>
      </c>
      <c r="AB31" s="33" t="n">
        <v>-6753058.871463909</v>
      </c>
      <c r="AC31" s="33" t="n">
        <v>-6498173.527697953</v>
      </c>
      <c r="AD31" s="33" t="n">
        <v>-6341827.901437545</v>
      </c>
      <c r="AE31" s="33" t="n">
        <v>-6042797.321677734</v>
      </c>
      <c r="AF31" s="33" t="n">
        <v>-5701414.147420072</v>
      </c>
      <c r="AG31" s="33" t="n">
        <v>-5438265.527124524</v>
      </c>
      <c r="AH31" s="33" t="n">
        <v>-4994309.512163206</v>
      </c>
      <c r="AI31" s="33" t="n">
        <v>-4517333.674159676</v>
      </c>
      <c r="AJ31" s="33" t="n">
        <v>-4171088.276102549</v>
      </c>
      <c r="AK31" s="33" t="n">
        <v>-3640369.347127119</v>
      </c>
      <c r="AL31" s="33" t="n">
        <v>-3042934.760863439</v>
      </c>
      <c r="AM31" s="33" t="n">
        <v>-2859742.717254042</v>
      </c>
      <c r="AN31" s="33" t="n">
        <v>-2842198.977749025</v>
      </c>
      <c r="AO31" s="33" t="n">
        <v>-2777565.603790697</v>
      </c>
      <c r="AP31" s="33" t="n">
        <v>-2665608.398504388</v>
      </c>
      <c r="AQ31" s="33" t="n">
        <v>-2506093.301516282</v>
      </c>
      <c r="AR31" s="33" t="n">
        <v>-2240030.346682419</v>
      </c>
      <c r="AS31" s="33" t="n">
        <v>-1641204.952137877</v>
      </c>
      <c r="AT31" s="33" t="n">
        <v>-990894.205678256</v>
      </c>
      <c r="AU31" s="33" t="n">
        <v>-331722.5974168224</v>
      </c>
      <c r="AV31" s="33" t="n">
        <v>256224.5703288325</v>
      </c>
      <c r="AW31" s="33" t="n">
        <v>-268513.4159289984</v>
      </c>
      <c r="AX31" s="33" t="n">
        <v>-1265233.296706515</v>
      </c>
      <c r="AY31" s="33" t="n">
        <v>-2220466.657056092</v>
      </c>
    </row>
    <row r="32" ht="13.05" customHeight="1">
      <c r="E32" s="40" t="inlineStr">
        <is>
          <t>Closing Cash</t>
        </is>
      </c>
      <c r="F32" s="41" t="n"/>
      <c r="G32" s="41" t="inlineStr">
        <is>
          <t>kEUR</t>
        </is>
      </c>
      <c r="H32" s="41" t="n"/>
      <c r="I32" s="41" t="n"/>
      <c r="J32" s="42" t="n">
        <v>-164056808.5204501</v>
      </c>
      <c r="K32" s="41" t="n"/>
      <c r="L32" s="43" t="n">
        <v>-237932.5</v>
      </c>
      <c r="M32" s="43" t="n">
        <v>-677192.4999999999</v>
      </c>
      <c r="N32" s="43" t="n">
        <v>-1116452.5</v>
      </c>
      <c r="O32" s="43" t="n">
        <v>-1555712.500000001</v>
      </c>
      <c r="P32" s="43" t="n">
        <v>-2772273.384340741</v>
      </c>
      <c r="Q32" s="43" t="n">
        <v>-4916389.077140742</v>
      </c>
      <c r="R32" s="43" t="n">
        <v>-7442423.598501052</v>
      </c>
      <c r="S32" s="43" t="n">
        <v>-7931086.386471051</v>
      </c>
      <c r="T32" s="43" t="n">
        <v>-7494883.486276866</v>
      </c>
      <c r="U32" s="43" t="n">
        <v>-7587708.111042898</v>
      </c>
      <c r="V32" s="43" t="n">
        <v>-7493950.516630062</v>
      </c>
      <c r="W32" s="43" t="n">
        <v>-7411766.107711624</v>
      </c>
      <c r="X32" s="43" t="n">
        <v>-7342015.095047457</v>
      </c>
      <c r="Y32" s="43" t="n">
        <v>-7082093.269999006</v>
      </c>
      <c r="Z32" s="43" t="n">
        <v>-6925793.830746111</v>
      </c>
      <c r="AA32" s="43" t="n">
        <v>-6921576.101982398</v>
      </c>
      <c r="AB32" s="43" t="n">
        <v>-6723527.019603367</v>
      </c>
      <c r="AC32" s="43" t="n">
        <v>-6486724.017856181</v>
      </c>
      <c r="AD32" s="43" t="n">
        <v>-6326924.492011772</v>
      </c>
      <c r="AE32" s="43" t="n">
        <v>-6006032.899802583</v>
      </c>
      <c r="AF32" s="43" t="n">
        <v>-5682784.817099531</v>
      </c>
      <c r="AG32" s="43" t="n">
        <v>-5412428.097701918</v>
      </c>
      <c r="AH32" s="43" t="n">
        <v>-4944116.487119282</v>
      </c>
      <c r="AI32" s="43" t="n">
        <v>-4489920.740229342</v>
      </c>
      <c r="AJ32" s="43" t="n">
        <v>-4140522.392701235</v>
      </c>
      <c r="AK32" s="43" t="n">
        <v>-3579988.836078089</v>
      </c>
      <c r="AL32" s="43" t="n">
        <v>-3010429.396417834</v>
      </c>
      <c r="AM32" s="43" t="n">
        <v>-2860070.616395781</v>
      </c>
      <c r="AN32" s="43" t="n">
        <v>-2838611.590777079</v>
      </c>
      <c r="AO32" s="43" t="n">
        <v>-2770043.405171616</v>
      </c>
      <c r="AP32" s="43" t="n">
        <v>-2654131.877988338</v>
      </c>
      <c r="AQ32" s="43" t="n">
        <v>-2490642.955510164</v>
      </c>
      <c r="AR32" s="43" t="n">
        <v>-2201324.038576581</v>
      </c>
      <c r="AS32" s="43" t="n">
        <v>-1587341.512478784</v>
      </c>
      <c r="AT32" s="43" t="n">
        <v>-936301.212541944</v>
      </c>
      <c r="AU32" s="43" t="n">
        <v>-276380.4925054561</v>
      </c>
      <c r="AV32" s="43" t="n">
        <v>293444.1429362081</v>
      </c>
      <c r="AW32" s="43" t="n">
        <v>-377687.3246965929</v>
      </c>
      <c r="AX32" s="43" t="n">
        <v>-1343934.294469611</v>
      </c>
      <c r="AY32" s="43" t="n">
        <v>-2301135.179763265</v>
      </c>
    </row>
    <row r="33" ht="13.05" customHeight="1">
      <c r="E33" s="39" t="inlineStr">
        <is>
          <t>Balance Sheet</t>
        </is>
      </c>
      <c r="F33" s="39" t="n"/>
      <c r="G33" s="39" t="n"/>
    </row>
    <row r="34" ht="13.05" customHeight="1">
      <c r="E34" s="29" t="inlineStr">
        <is>
          <t>Fixed Assets — Gross</t>
        </is>
      </c>
      <c r="F34" s="29" t="n"/>
      <c r="G34" s="29" t="inlineStr">
        <is>
          <t>kEUR</t>
        </is>
      </c>
      <c r="H34" s="29" t="n"/>
      <c r="I34" s="29" t="n"/>
      <c r="J34" s="32" t="n">
        <v>41133960</v>
      </c>
      <c r="K34" s="29" t="n"/>
      <c r="L34" s="33" t="n">
        <v>0</v>
      </c>
      <c r="M34" s="33" t="n">
        <v>0</v>
      </c>
      <c r="N34" s="33" t="n">
        <v>0</v>
      </c>
      <c r="O34" s="33" t="n">
        <v>0</v>
      </c>
      <c r="P34" s="33" t="n">
        <v>391752</v>
      </c>
      <c r="Q34" s="33" t="n">
        <v>783504</v>
      </c>
      <c r="R34" s="33" t="n">
        <v>1175256</v>
      </c>
      <c r="S34" s="33" t="n">
        <v>1175256</v>
      </c>
      <c r="T34" s="33" t="n">
        <v>1175256</v>
      </c>
      <c r="U34" s="33" t="n">
        <v>1175256</v>
      </c>
      <c r="V34" s="33" t="n">
        <v>1175256</v>
      </c>
      <c r="W34" s="33" t="n">
        <v>1175256</v>
      </c>
      <c r="X34" s="33" t="n">
        <v>1175256</v>
      </c>
      <c r="Y34" s="33" t="n">
        <v>1175256</v>
      </c>
      <c r="Z34" s="33" t="n">
        <v>1175256</v>
      </c>
      <c r="AA34" s="33" t="n">
        <v>1175256</v>
      </c>
      <c r="AB34" s="33" t="n">
        <v>1175256</v>
      </c>
      <c r="AC34" s="33" t="n">
        <v>1175256</v>
      </c>
      <c r="AD34" s="33" t="n">
        <v>1175256</v>
      </c>
      <c r="AE34" s="33" t="n">
        <v>1175256</v>
      </c>
      <c r="AF34" s="33" t="n">
        <v>1175256</v>
      </c>
      <c r="AG34" s="33" t="n">
        <v>1175256</v>
      </c>
      <c r="AH34" s="33" t="n">
        <v>1175256</v>
      </c>
      <c r="AI34" s="33" t="n">
        <v>1175256</v>
      </c>
      <c r="AJ34" s="33" t="n">
        <v>1175256</v>
      </c>
      <c r="AK34" s="33" t="n">
        <v>1175256</v>
      </c>
      <c r="AL34" s="33" t="n">
        <v>1175256</v>
      </c>
      <c r="AM34" s="33" t="n">
        <v>1175256</v>
      </c>
      <c r="AN34" s="33" t="n">
        <v>1175256</v>
      </c>
      <c r="AO34" s="33" t="n">
        <v>1175256</v>
      </c>
      <c r="AP34" s="33" t="n">
        <v>1175256</v>
      </c>
      <c r="AQ34" s="33" t="n">
        <v>1175256</v>
      </c>
      <c r="AR34" s="33" t="n">
        <v>1175256</v>
      </c>
      <c r="AS34" s="33" t="n">
        <v>1175256</v>
      </c>
      <c r="AT34" s="33" t="n">
        <v>1175256</v>
      </c>
      <c r="AU34" s="33" t="n">
        <v>1175256</v>
      </c>
      <c r="AV34" s="33" t="n">
        <v>1175256</v>
      </c>
      <c r="AW34" s="33" t="n">
        <v>1175256</v>
      </c>
      <c r="AX34" s="33" t="n">
        <v>1175256</v>
      </c>
      <c r="AY34" s="33" t="n">
        <v>1175256</v>
      </c>
    </row>
    <row r="35" hidden="1" outlineLevel="1" ht="13.05" customHeight="1">
      <c r="E35" s="29" t="inlineStr">
        <is>
          <t>Accumulated Depreciation</t>
        </is>
      </c>
      <c r="F35" s="29" t="n"/>
      <c r="G35" s="29" t="inlineStr">
        <is>
          <t>kEUR</t>
        </is>
      </c>
      <c r="H35" s="29" t="n"/>
      <c r="I35" s="29" t="n"/>
      <c r="J35" s="32" t="n">
        <v>-17459909.07848665</v>
      </c>
      <c r="K35" s="29" t="n"/>
      <c r="L35" s="33" t="n">
        <v>0</v>
      </c>
      <c r="M35" s="33" t="n">
        <v>0</v>
      </c>
      <c r="N35" s="33" t="n">
        <v>0</v>
      </c>
      <c r="O35" s="33" t="n">
        <v>0</v>
      </c>
      <c r="P35" s="33" t="n">
        <v>-13058.4</v>
      </c>
      <c r="Q35" s="33" t="n">
        <v>-38739.92</v>
      </c>
      <c r="R35" s="33" t="n">
        <v>-76623.78933333333</v>
      </c>
      <c r="S35" s="33" t="n">
        <v>-113244.8630222222</v>
      </c>
      <c r="T35" s="33" t="n">
        <v>-148645.2342548148</v>
      </c>
      <c r="U35" s="33" t="n">
        <v>-182865.5931129878</v>
      </c>
      <c r="V35" s="33" t="n">
        <v>-215945.273342555</v>
      </c>
      <c r="W35" s="33" t="n">
        <v>-247922.2975644698</v>
      </c>
      <c r="X35" s="33" t="n">
        <v>-278833.4209789874</v>
      </c>
      <c r="Y35" s="33" t="n">
        <v>-308714.1736130214</v>
      </c>
      <c r="Z35" s="33" t="n">
        <v>-337598.9011592537</v>
      </c>
      <c r="AA35" s="33" t="n">
        <v>-365520.8044539453</v>
      </c>
      <c r="AB35" s="33" t="n">
        <v>-392511.9776388134</v>
      </c>
      <c r="AC35" s="33" t="n">
        <v>-418603.4450508528</v>
      </c>
      <c r="AD35" s="33" t="n">
        <v>-443825.1968824908</v>
      </c>
      <c r="AE35" s="33" t="n">
        <v>-468206.2236530741</v>
      </c>
      <c r="AF35" s="33" t="n">
        <v>-491774.549531305</v>
      </c>
      <c r="AG35" s="33" t="n">
        <v>-514557.264546928</v>
      </c>
      <c r="AH35" s="33" t="n">
        <v>-536580.5557286968</v>
      </c>
      <c r="AI35" s="33" t="n">
        <v>-557869.7372044069</v>
      </c>
      <c r="AJ35" s="33" t="n">
        <v>-578449.279297593</v>
      </c>
      <c r="AK35" s="33" t="n">
        <v>-598342.8366543399</v>
      </c>
      <c r="AL35" s="33" t="n">
        <v>-617573.2754325289</v>
      </c>
      <c r="AM35" s="33" t="n">
        <v>-636162.6995847779</v>
      </c>
      <c r="AN35" s="33" t="n">
        <v>-654132.4762652847</v>
      </c>
      <c r="AO35" s="33" t="n">
        <v>-671503.2603897755</v>
      </c>
      <c r="AP35" s="33" t="n">
        <v>-688295.0183767835</v>
      </c>
      <c r="AQ35" s="33" t="n">
        <v>-704527.0510975579</v>
      </c>
      <c r="AR35" s="33" t="n">
        <v>-720218.0160609726</v>
      </c>
      <c r="AS35" s="33" t="n">
        <v>-735385.9488589396</v>
      </c>
      <c r="AT35" s="33" t="n">
        <v>-750048.2838969748</v>
      </c>
      <c r="AU35" s="33" t="n">
        <v>-764221.8744337428</v>
      </c>
      <c r="AV35" s="33" t="n">
        <v>-777923.0119526177</v>
      </c>
      <c r="AW35" s="33" t="n">
        <v>-791167.4448875301</v>
      </c>
      <c r="AX35" s="33" t="n">
        <v>-803970.3967246125</v>
      </c>
      <c r="AY35" s="33" t="n">
        <v>-816346.5835004584</v>
      </c>
    </row>
    <row r="36" hidden="1" outlineLevel="1" ht="13.05" customHeight="1">
      <c r="E36" s="29" t="inlineStr">
        <is>
          <t>Fixed Assets — Net</t>
        </is>
      </c>
      <c r="F36" s="29" t="n"/>
      <c r="G36" s="29" t="inlineStr">
        <is>
          <t>kEUR</t>
        </is>
      </c>
      <c r="H36" s="29" t="n"/>
      <c r="I36" s="29" t="n"/>
      <c r="J36" s="32" t="n">
        <v>23674050.92151335</v>
      </c>
      <c r="K36" s="29" t="n"/>
      <c r="L36" s="33" t="n">
        <v>0</v>
      </c>
      <c r="M36" s="33" t="n">
        <v>0</v>
      </c>
      <c r="N36" s="33" t="n">
        <v>0</v>
      </c>
      <c r="O36" s="33" t="n">
        <v>0</v>
      </c>
      <c r="P36" s="33" t="n">
        <v>378693.6</v>
      </c>
      <c r="Q36" s="33" t="n">
        <v>744764.08</v>
      </c>
      <c r="R36" s="33" t="n">
        <v>1098632.210666667</v>
      </c>
      <c r="S36" s="33" t="n">
        <v>1062011.136977778</v>
      </c>
      <c r="T36" s="33" t="n">
        <v>1026610.765745185</v>
      </c>
      <c r="U36" s="33" t="n">
        <v>992390.4068870123</v>
      </c>
      <c r="V36" s="33" t="n">
        <v>959310.7266574451</v>
      </c>
      <c r="W36" s="33" t="n">
        <v>927333.7024355303</v>
      </c>
      <c r="X36" s="33" t="n">
        <v>896422.5790210126</v>
      </c>
      <c r="Y36" s="33" t="n">
        <v>866541.8263869786</v>
      </c>
      <c r="Z36" s="33" t="n">
        <v>837657.0988407463</v>
      </c>
      <c r="AA36" s="33" t="n">
        <v>809735.1955460547</v>
      </c>
      <c r="AB36" s="33" t="n">
        <v>782744.0223611866</v>
      </c>
      <c r="AC36" s="33" t="n">
        <v>756652.5549491472</v>
      </c>
      <c r="AD36" s="33" t="n">
        <v>731430.8031175092</v>
      </c>
      <c r="AE36" s="33" t="n">
        <v>707049.7763469259</v>
      </c>
      <c r="AF36" s="33" t="n">
        <v>683481.450468695</v>
      </c>
      <c r="AG36" s="33" t="n">
        <v>660698.735453072</v>
      </c>
      <c r="AH36" s="33" t="n">
        <v>638675.4442713032</v>
      </c>
      <c r="AI36" s="33" t="n">
        <v>617386.2627955931</v>
      </c>
      <c r="AJ36" s="33" t="n">
        <v>596806.720702407</v>
      </c>
      <c r="AK36" s="33" t="n">
        <v>576913.1633456601</v>
      </c>
      <c r="AL36" s="33" t="n">
        <v>557682.7245674711</v>
      </c>
      <c r="AM36" s="33" t="n">
        <v>539093.3004152221</v>
      </c>
      <c r="AN36" s="33" t="n">
        <v>521123.5237347153</v>
      </c>
      <c r="AO36" s="33" t="n">
        <v>503752.7396102245</v>
      </c>
      <c r="AP36" s="33" t="n">
        <v>486960.9816232165</v>
      </c>
      <c r="AQ36" s="33" t="n">
        <v>470728.9489024421</v>
      </c>
      <c r="AR36" s="33" t="n">
        <v>455037.9839390274</v>
      </c>
      <c r="AS36" s="33" t="n">
        <v>439870.0511410604</v>
      </c>
      <c r="AT36" s="33" t="n">
        <v>425207.7161030252</v>
      </c>
      <c r="AU36" s="33" t="n">
        <v>411034.1255662572</v>
      </c>
      <c r="AV36" s="33" t="n">
        <v>397332.9880473823</v>
      </c>
      <c r="AW36" s="33" t="n">
        <v>384088.5551124699</v>
      </c>
      <c r="AX36" s="33" t="n">
        <v>371285.6032753875</v>
      </c>
      <c r="AY36" s="33" t="n">
        <v>358909.4164995416</v>
      </c>
    </row>
    <row r="37" hidden="1" outlineLevel="1" ht="13.05" customHeight="1">
      <c r="E37" s="29" t="inlineStr">
        <is>
          <t>Cash &amp; Equivalents</t>
        </is>
      </c>
      <c r="F37" s="29" t="n"/>
      <c r="G37" s="29" t="inlineStr">
        <is>
          <t>kEUR</t>
        </is>
      </c>
      <c r="H37" s="29" t="n"/>
      <c r="I37" s="29" t="n"/>
      <c r="J37" s="32" t="n">
        <v>-13759324.83113407</v>
      </c>
      <c r="K37" s="29" t="n"/>
      <c r="L37" s="33" t="n">
        <v>-36605</v>
      </c>
      <c r="M37" s="33" t="n">
        <v>-73209.99999999999</v>
      </c>
      <c r="N37" s="33" t="n">
        <v>-109815</v>
      </c>
      <c r="O37" s="33" t="n">
        <v>-146420</v>
      </c>
      <c r="P37" s="33" t="n">
        <v>-307556.7938222223</v>
      </c>
      <c r="Q37" s="33" t="n">
        <v>-501074.2287111112</v>
      </c>
      <c r="R37" s="33" t="n">
        <v>-720323.4404269761</v>
      </c>
      <c r="S37" s="33" t="n">
        <v>-617661.2229532431</v>
      </c>
      <c r="T37" s="33" t="n">
        <v>-629562.1016341784</v>
      </c>
      <c r="U37" s="33" t="n">
        <v>-633767.1253333921</v>
      </c>
      <c r="V37" s="33" t="n">
        <v>-615778.9471870193</v>
      </c>
      <c r="W37" s="33" t="n">
        <v>-618349.9972561285</v>
      </c>
      <c r="X37" s="33" t="n">
        <v>-605437.4798533052</v>
      </c>
      <c r="Y37" s="33" t="n">
        <v>-576369.2641904929</v>
      </c>
      <c r="Z37" s="33" t="n">
        <v>-576913.0270937179</v>
      </c>
      <c r="AA37" s="33" t="n">
        <v>-575797.5506578991</v>
      </c>
      <c r="AB37" s="33" t="n">
        <v>-546265.6987973573</v>
      </c>
      <c r="AC37" s="33" t="n">
        <v>-534816.1889555842</v>
      </c>
      <c r="AD37" s="33" t="n">
        <v>-519912.7795298105</v>
      </c>
      <c r="AE37" s="33" t="n">
        <v>-483148.3576546594</v>
      </c>
      <c r="AF37" s="33" t="n">
        <v>-464519.027334119</v>
      </c>
      <c r="AG37" s="33" t="n">
        <v>-438681.5979115131</v>
      </c>
      <c r="AH37" s="33" t="n">
        <v>-388488.5728675879</v>
      </c>
      <c r="AI37" s="33" t="n">
        <v>-361075.6389372545</v>
      </c>
      <c r="AJ37" s="33" t="n">
        <v>-330509.7555359403</v>
      </c>
      <c r="AK37" s="33" t="n">
        <v>-270129.2444869098</v>
      </c>
      <c r="AL37" s="33" t="n">
        <v>-237623.8800413044</v>
      </c>
      <c r="AM37" s="33" t="n">
        <v>-237951.7791830434</v>
      </c>
      <c r="AN37" s="33" t="n">
        <v>-234364.3922110971</v>
      </c>
      <c r="AO37" s="33" t="n">
        <v>-226842.193592017</v>
      </c>
      <c r="AP37" s="33" t="n">
        <v>-215365.6730759663</v>
      </c>
      <c r="AQ37" s="33" t="n">
        <v>-199915.327069848</v>
      </c>
      <c r="AR37" s="33" t="n">
        <v>-161209.0189640101</v>
      </c>
      <c r="AS37" s="33" t="n">
        <v>-107345.5793049168</v>
      </c>
      <c r="AT37" s="33" t="n">
        <v>-52752.58616860477</v>
      </c>
      <c r="AU37" s="33" t="n">
        <v>2589.518742761601</v>
      </c>
      <c r="AV37" s="33" t="n">
        <v>39809.09135013723</v>
      </c>
      <c r="AW37" s="33" t="n">
        <v>-69364.81741745723</v>
      </c>
      <c r="AX37" s="33" t="n">
        <v>-148065.8151805533</v>
      </c>
      <c r="AY37" s="33" t="n">
        <v>-228734.3378877265</v>
      </c>
    </row>
    <row r="38" hidden="1" outlineLevel="1" ht="13.05" customHeight="1">
      <c r="E38" s="35" t="inlineStr">
        <is>
          <t>Total Assets</t>
        </is>
      </c>
      <c r="F38" s="35" t="n"/>
      <c r="G38" s="35" t="inlineStr">
        <is>
          <t>kEUR</t>
        </is>
      </c>
      <c r="H38" s="35" t="n"/>
      <c r="I38" s="35" t="n"/>
      <c r="J38" s="36" t="n">
        <v>9914726.090379285</v>
      </c>
      <c r="K38" s="35" t="n"/>
      <c r="L38" s="37" t="n">
        <v>-36605</v>
      </c>
      <c r="M38" s="37" t="n">
        <v>-73209.99999999999</v>
      </c>
      <c r="N38" s="37" t="n">
        <v>-109815</v>
      </c>
      <c r="O38" s="37" t="n">
        <v>-146420</v>
      </c>
      <c r="P38" s="37" t="n">
        <v>71136.8061777777</v>
      </c>
      <c r="Q38" s="37" t="n">
        <v>243689.8512888887</v>
      </c>
      <c r="R38" s="37" t="n">
        <v>378308.7702396907</v>
      </c>
      <c r="S38" s="37" t="n">
        <v>444349.9140245348</v>
      </c>
      <c r="T38" s="37" t="n">
        <v>397048.6641110068</v>
      </c>
      <c r="U38" s="37" t="n">
        <v>358623.2815536202</v>
      </c>
      <c r="V38" s="37" t="n">
        <v>343531.7794704258</v>
      </c>
      <c r="W38" s="37" t="n">
        <v>308983.7051794018</v>
      </c>
      <c r="X38" s="37" t="n">
        <v>290985.0991677075</v>
      </c>
      <c r="Y38" s="37" t="n">
        <v>290172.5621964857</v>
      </c>
      <c r="Z38" s="37" t="n">
        <v>260744.0717470284</v>
      </c>
      <c r="AA38" s="37" t="n">
        <v>233937.6448881556</v>
      </c>
      <c r="AB38" s="37" t="n">
        <v>236478.3235638293</v>
      </c>
      <c r="AC38" s="37" t="n">
        <v>221836.365993563</v>
      </c>
      <c r="AD38" s="37" t="n">
        <v>211518.0235876988</v>
      </c>
      <c r="AE38" s="37" t="n">
        <v>223901.4186922665</v>
      </c>
      <c r="AF38" s="37" t="n">
        <v>218962.4231345761</v>
      </c>
      <c r="AG38" s="37" t="n">
        <v>222017.1375415589</v>
      </c>
      <c r="AH38" s="37" t="n">
        <v>250186.8714037153</v>
      </c>
      <c r="AI38" s="37" t="n">
        <v>256310.6238583386</v>
      </c>
      <c r="AJ38" s="37" t="n">
        <v>266296.9651664666</v>
      </c>
      <c r="AK38" s="37" t="n">
        <v>306783.9188587503</v>
      </c>
      <c r="AL38" s="37" t="n">
        <v>320058.8445261667</v>
      </c>
      <c r="AM38" s="37" t="n">
        <v>301141.5212321787</v>
      </c>
      <c r="AN38" s="37" t="n">
        <v>286759.1315236182</v>
      </c>
      <c r="AO38" s="37" t="n">
        <v>276910.5460182076</v>
      </c>
      <c r="AP38" s="37" t="n">
        <v>271595.3085472502</v>
      </c>
      <c r="AQ38" s="37" t="n">
        <v>270813.6218325942</v>
      </c>
      <c r="AR38" s="37" t="n">
        <v>293828.9649750172</v>
      </c>
      <c r="AS38" s="37" t="n">
        <v>332524.4718361436</v>
      </c>
      <c r="AT38" s="37" t="n">
        <v>372455.1299344205</v>
      </c>
      <c r="AU38" s="37" t="n">
        <v>413623.6443090187</v>
      </c>
      <c r="AV38" s="37" t="n">
        <v>437142.0793975196</v>
      </c>
      <c r="AW38" s="37" t="n">
        <v>314723.7376950127</v>
      </c>
      <c r="AX38" s="37" t="n">
        <v>223219.7880948343</v>
      </c>
      <c r="AY38" s="37" t="n">
        <v>130175.0786118151</v>
      </c>
    </row>
    <row r="39" ht="5.25" customHeight="1"/>
    <row r="40" hidden="1" outlineLevel="1" ht="13.05" customHeight="1">
      <c r="E40" s="29" t="inlineStr">
        <is>
          <t>Debt Balance</t>
        </is>
      </c>
      <c r="F40" s="29" t="n"/>
      <c r="G40" s="29" t="inlineStr">
        <is>
          <t>kEUR</t>
        </is>
      </c>
      <c r="H40" s="29" t="n"/>
      <c r="I40" s="29" t="n"/>
      <c r="J40" s="32" t="n">
        <v>12199152.66666678</v>
      </c>
      <c r="K40" s="29" t="n"/>
      <c r="L40" s="33" t="n">
        <v>0</v>
      </c>
      <c r="M40" s="33" t="n">
        <v>0</v>
      </c>
      <c r="N40" s="33" t="n">
        <v>0</v>
      </c>
      <c r="O40" s="33" t="n">
        <v>0</v>
      </c>
      <c r="P40" s="33" t="n">
        <v>282061.3333333334</v>
      </c>
      <c r="Q40" s="33" t="n">
        <v>564122.6666666669</v>
      </c>
      <c r="R40" s="33" t="n">
        <v>846184.0000000003</v>
      </c>
      <c r="S40" s="33" t="n">
        <v>826439.7066666674</v>
      </c>
      <c r="T40" s="33" t="n">
        <v>792592.346666668</v>
      </c>
      <c r="U40" s="33" t="n">
        <v>758744.9866666686</v>
      </c>
      <c r="V40" s="33" t="n">
        <v>724897.6266666692</v>
      </c>
      <c r="W40" s="33" t="n">
        <v>691050.2666666697</v>
      </c>
      <c r="X40" s="33" t="n">
        <v>657202.9066666703</v>
      </c>
      <c r="Y40" s="33" t="n">
        <v>623355.5466666709</v>
      </c>
      <c r="Z40" s="33" t="n">
        <v>589508.1866666715</v>
      </c>
      <c r="AA40" s="33" t="n">
        <v>555660.8266666721</v>
      </c>
      <c r="AB40" s="33" t="n">
        <v>521813.4666666727</v>
      </c>
      <c r="AC40" s="33" t="n">
        <v>487966.1066666726</v>
      </c>
      <c r="AD40" s="33" t="n">
        <v>454118.7466666725</v>
      </c>
      <c r="AE40" s="33" t="n">
        <v>420271.3866666724</v>
      </c>
      <c r="AF40" s="33" t="n">
        <v>386424.0266666723</v>
      </c>
      <c r="AG40" s="33" t="n">
        <v>352576.6666666722</v>
      </c>
      <c r="AH40" s="33" t="n">
        <v>318729.3066666721</v>
      </c>
      <c r="AI40" s="33" t="n">
        <v>284881.946666672</v>
      </c>
      <c r="AJ40" s="33" t="n">
        <v>251034.5866666719</v>
      </c>
      <c r="AK40" s="33" t="n">
        <v>217187.2266666717</v>
      </c>
      <c r="AL40" s="33" t="n">
        <v>183339.8666666716</v>
      </c>
      <c r="AM40" s="33" t="n">
        <v>149492.5066666715</v>
      </c>
      <c r="AN40" s="33" t="n">
        <v>115645.1466666715</v>
      </c>
      <c r="AO40" s="33" t="n">
        <v>81797.7866666716</v>
      </c>
      <c r="AP40" s="33" t="n">
        <v>47950.42666667162</v>
      </c>
      <c r="AQ40" s="33" t="n">
        <v>14103.06666667161</v>
      </c>
      <c r="AR40" s="33" t="n">
        <v>0</v>
      </c>
      <c r="AS40" s="33" t="n">
        <v>0</v>
      </c>
      <c r="AT40" s="33" t="n">
        <v>0</v>
      </c>
      <c r="AU40" s="33" t="n">
        <v>0</v>
      </c>
      <c r="AV40" s="33" t="n">
        <v>0</v>
      </c>
      <c r="AW40" s="33" t="n">
        <v>0</v>
      </c>
      <c r="AX40" s="33" t="n">
        <v>0</v>
      </c>
      <c r="AY40" s="33" t="n">
        <v>0</v>
      </c>
    </row>
    <row r="41" hidden="1" outlineLevel="1" ht="13.05" customHeight="1">
      <c r="E41" s="29" t="inlineStr">
        <is>
          <t>Contributed Equity</t>
        </is>
      </c>
      <c r="F41" s="29" t="n"/>
      <c r="G41" s="29" t="inlineStr">
        <is>
          <t>kEUR</t>
        </is>
      </c>
      <c r="H41" s="29" t="n"/>
      <c r="I41" s="29" t="n"/>
      <c r="J41" s="32" t="n">
        <v>13162880</v>
      </c>
      <c r="K41" s="29" t="n"/>
      <c r="L41" s="33" t="n">
        <v>329072</v>
      </c>
      <c r="M41" s="33" t="n">
        <v>329072</v>
      </c>
      <c r="N41" s="33" t="n">
        <v>329072</v>
      </c>
      <c r="O41" s="33" t="n">
        <v>329072</v>
      </c>
      <c r="P41" s="33" t="n">
        <v>329072</v>
      </c>
      <c r="Q41" s="33" t="n">
        <v>329072</v>
      </c>
      <c r="R41" s="33" t="n">
        <v>329072</v>
      </c>
      <c r="S41" s="33" t="n">
        <v>329072</v>
      </c>
      <c r="T41" s="33" t="n">
        <v>329072</v>
      </c>
      <c r="U41" s="33" t="n">
        <v>329072</v>
      </c>
      <c r="V41" s="33" t="n">
        <v>329072</v>
      </c>
      <c r="W41" s="33" t="n">
        <v>329072</v>
      </c>
      <c r="X41" s="33" t="n">
        <v>329072</v>
      </c>
      <c r="Y41" s="33" t="n">
        <v>329072</v>
      </c>
      <c r="Z41" s="33" t="n">
        <v>329072</v>
      </c>
      <c r="AA41" s="33" t="n">
        <v>329072</v>
      </c>
      <c r="AB41" s="33" t="n">
        <v>329072</v>
      </c>
      <c r="AC41" s="33" t="n">
        <v>329072</v>
      </c>
      <c r="AD41" s="33" t="n">
        <v>329072</v>
      </c>
      <c r="AE41" s="33" t="n">
        <v>329072</v>
      </c>
      <c r="AF41" s="33" t="n">
        <v>329072</v>
      </c>
      <c r="AG41" s="33" t="n">
        <v>329072</v>
      </c>
      <c r="AH41" s="33" t="n">
        <v>329072</v>
      </c>
      <c r="AI41" s="33" t="n">
        <v>329072</v>
      </c>
      <c r="AJ41" s="33" t="n">
        <v>329072</v>
      </c>
      <c r="AK41" s="33" t="n">
        <v>329072</v>
      </c>
      <c r="AL41" s="33" t="n">
        <v>329072</v>
      </c>
      <c r="AM41" s="33" t="n">
        <v>329072</v>
      </c>
      <c r="AN41" s="33" t="n">
        <v>329072</v>
      </c>
      <c r="AO41" s="33" t="n">
        <v>329072</v>
      </c>
      <c r="AP41" s="33" t="n">
        <v>329072</v>
      </c>
      <c r="AQ41" s="33" t="n">
        <v>329072</v>
      </c>
      <c r="AR41" s="33" t="n">
        <v>329072</v>
      </c>
      <c r="AS41" s="33" t="n">
        <v>329072</v>
      </c>
      <c r="AT41" s="33" t="n">
        <v>329072</v>
      </c>
      <c r="AU41" s="33" t="n">
        <v>329072</v>
      </c>
      <c r="AV41" s="33" t="n">
        <v>329072</v>
      </c>
      <c r="AW41" s="33" t="n">
        <v>329072</v>
      </c>
      <c r="AX41" s="33" t="n">
        <v>329072</v>
      </c>
      <c r="AY41" s="33" t="n">
        <v>329072</v>
      </c>
    </row>
    <row r="42" hidden="1" outlineLevel="1" ht="13.05" customHeight="1">
      <c r="E42" s="29" t="inlineStr">
        <is>
          <t>Retained Earnings</t>
        </is>
      </c>
      <c r="F42" s="29" t="n"/>
      <c r="G42" s="29" t="inlineStr">
        <is>
          <t>kEUR</t>
        </is>
      </c>
      <c r="H42" s="29" t="n"/>
      <c r="I42" s="29" t="n"/>
      <c r="J42" s="32" t="n">
        <v>15900339.0677461</v>
      </c>
      <c r="K42" s="29" t="n"/>
      <c r="L42" s="33" t="n">
        <v>-36605</v>
      </c>
      <c r="M42" s="33" t="n">
        <v>-73209.99999999999</v>
      </c>
      <c r="N42" s="33" t="n">
        <v>-109815</v>
      </c>
      <c r="O42" s="33" t="n">
        <v>-146420</v>
      </c>
      <c r="P42" s="33" t="n">
        <v>-203503.9635777778</v>
      </c>
      <c r="Q42" s="33" t="n">
        <v>-289401.3676888889</v>
      </c>
      <c r="R42" s="33" t="n">
        <v>-397042.5774269761</v>
      </c>
      <c r="S42" s="33" t="n">
        <v>-262969.5093181318</v>
      </c>
      <c r="T42" s="33" t="n">
        <v>-229876.2276983264</v>
      </c>
      <c r="U42" s="33" t="n">
        <v>-189849.9171863793</v>
      </c>
      <c r="V42" s="33" t="n">
        <v>-128432.5646642401</v>
      </c>
      <c r="W42" s="33" t="n">
        <v>-88414.62281393075</v>
      </c>
      <c r="X42" s="33" t="n">
        <v>-33790.05114829144</v>
      </c>
      <c r="Y42" s="33" t="n">
        <v>36077.7510938205</v>
      </c>
      <c r="Z42" s="33" t="n">
        <v>75386.76139369651</v>
      </c>
      <c r="AA42" s="33" t="n">
        <v>115374.9968201573</v>
      </c>
      <c r="AB42" s="33" t="n">
        <v>182767.4993171643</v>
      </c>
      <c r="AC42" s="33" t="n">
        <v>231034.5271042317</v>
      </c>
      <c r="AD42" s="33" t="n">
        <v>281682.331591701</v>
      </c>
      <c r="AE42" s="33" t="n">
        <v>353089.035125602</v>
      </c>
      <c r="AF42" s="33" t="n">
        <v>405230.5095332453</v>
      </c>
      <c r="AG42" s="33" t="n">
        <v>463422.8554415617</v>
      </c>
      <c r="AH42" s="33" t="n">
        <v>544787.3823410515</v>
      </c>
      <c r="AI42" s="33" t="n">
        <v>602163.0893690086</v>
      </c>
      <c r="AJ42" s="33" t="n">
        <v>661458.54678647</v>
      </c>
      <c r="AK42" s="33" t="n">
        <v>749311.7781240873</v>
      </c>
      <c r="AL42" s="33" t="n">
        <v>808010.1429728377</v>
      </c>
      <c r="AM42" s="33" t="n">
        <v>832573.4203961832</v>
      </c>
      <c r="AN42" s="33" t="n">
        <v>859728.7929409556</v>
      </c>
      <c r="AO42" s="33" t="n">
        <v>889475.1312248788</v>
      </c>
      <c r="AP42" s="33" t="n">
        <v>921811.9790792555</v>
      </c>
      <c r="AQ42" s="33" t="n">
        <v>956739.5392259337</v>
      </c>
      <c r="AR42" s="33" t="n">
        <v>994060.3280416952</v>
      </c>
      <c r="AS42" s="33" t="n">
        <v>1032755.834902821</v>
      </c>
      <c r="AT42" s="33" t="n">
        <v>1072686.493001097</v>
      </c>
      <c r="AU42" s="33" t="n">
        <v>1113855.007375696</v>
      </c>
      <c r="AV42" s="33" t="n">
        <v>1137373.442464196</v>
      </c>
      <c r="AW42" s="33" t="n">
        <v>1014955.100761689</v>
      </c>
      <c r="AX42" s="33" t="n">
        <v>923451.1511615106</v>
      </c>
      <c r="AY42" s="33" t="n">
        <v>830406.4416784911</v>
      </c>
    </row>
    <row r="43" hidden="1" outlineLevel="1" ht="13.05" customHeight="1">
      <c r="E43" s="29" t="inlineStr">
        <is>
          <t>Total Equity</t>
        </is>
      </c>
      <c r="F43" s="29" t="n"/>
      <c r="G43" s="29" t="inlineStr">
        <is>
          <t>kEUR</t>
        </is>
      </c>
      <c r="H43" s="29" t="n"/>
      <c r="I43" s="29" t="n"/>
      <c r="J43" s="32" t="n">
        <v>29063219.0677461</v>
      </c>
      <c r="K43" s="29" t="n"/>
      <c r="L43" s="33" t="n">
        <v>292467</v>
      </c>
      <c r="M43" s="33" t="n">
        <v>255862</v>
      </c>
      <c r="N43" s="33" t="n">
        <v>219256.9999999999</v>
      </c>
      <c r="O43" s="33" t="n">
        <v>182652</v>
      </c>
      <c r="P43" s="33" t="n">
        <v>125568.0364222222</v>
      </c>
      <c r="Q43" s="33" t="n">
        <v>39670.63231111108</v>
      </c>
      <c r="R43" s="33" t="n">
        <v>-67970.57742697606</v>
      </c>
      <c r="S43" s="33" t="n">
        <v>66102.49068186816</v>
      </c>
      <c r="T43" s="33" t="n">
        <v>99195.77230167357</v>
      </c>
      <c r="U43" s="33" t="n">
        <v>139222.0828136207</v>
      </c>
      <c r="V43" s="33" t="n">
        <v>200639.4353357599</v>
      </c>
      <c r="W43" s="33" t="n">
        <v>240657.3771860693</v>
      </c>
      <c r="X43" s="33" t="n">
        <v>295281.9488517086</v>
      </c>
      <c r="Y43" s="33" t="n">
        <v>365149.7510938205</v>
      </c>
      <c r="Z43" s="33" t="n">
        <v>404458.7613936965</v>
      </c>
      <c r="AA43" s="33" t="n">
        <v>444446.9968201573</v>
      </c>
      <c r="AB43" s="33" t="n">
        <v>511839.4993171643</v>
      </c>
      <c r="AC43" s="33" t="n">
        <v>560106.5271042318</v>
      </c>
      <c r="AD43" s="33" t="n">
        <v>610754.3315917009</v>
      </c>
      <c r="AE43" s="33" t="n">
        <v>682161.035125602</v>
      </c>
      <c r="AF43" s="33" t="n">
        <v>734302.5095332453</v>
      </c>
      <c r="AG43" s="33" t="n">
        <v>792494.8554415617</v>
      </c>
      <c r="AH43" s="33" t="n">
        <v>873859.3823410515</v>
      </c>
      <c r="AI43" s="33" t="n">
        <v>931235.0893690086</v>
      </c>
      <c r="AJ43" s="33" t="n">
        <v>990530.54678647</v>
      </c>
      <c r="AK43" s="33" t="n">
        <v>1078383.778124087</v>
      </c>
      <c r="AL43" s="33" t="n">
        <v>1137082.142972838</v>
      </c>
      <c r="AM43" s="33" t="n">
        <v>1161645.420396183</v>
      </c>
      <c r="AN43" s="33" t="n">
        <v>1188800.792940956</v>
      </c>
      <c r="AO43" s="33" t="n">
        <v>1218547.131224879</v>
      </c>
      <c r="AP43" s="33" t="n">
        <v>1250883.979079255</v>
      </c>
      <c r="AQ43" s="33" t="n">
        <v>1285811.539225934</v>
      </c>
      <c r="AR43" s="33" t="n">
        <v>1323132.328041695</v>
      </c>
      <c r="AS43" s="33" t="n">
        <v>1361827.834902821</v>
      </c>
      <c r="AT43" s="33" t="n">
        <v>1401758.493001097</v>
      </c>
      <c r="AU43" s="33" t="n">
        <v>1442927.007375696</v>
      </c>
      <c r="AV43" s="33" t="n">
        <v>1466445.442464196</v>
      </c>
      <c r="AW43" s="33" t="n">
        <v>1344027.100761689</v>
      </c>
      <c r="AX43" s="33" t="n">
        <v>1252523.15116151</v>
      </c>
      <c r="AY43" s="33" t="n">
        <v>1159478.441678491</v>
      </c>
    </row>
    <row r="44" hidden="1" outlineLevel="1" ht="13.05" customHeight="1">
      <c r="E44" s="35" t="inlineStr">
        <is>
          <t>Total Liabilities &amp; Equity</t>
        </is>
      </c>
      <c r="F44" s="35" t="n"/>
      <c r="G44" s="35" t="inlineStr">
        <is>
          <t>kEUR</t>
        </is>
      </c>
      <c r="H44" s="35" t="n"/>
      <c r="I44" s="35" t="n"/>
      <c r="J44" s="36" t="n">
        <v>41262371.73441287</v>
      </c>
      <c r="K44" s="35" t="n"/>
      <c r="L44" s="37" t="n">
        <v>292467</v>
      </c>
      <c r="M44" s="37" t="n">
        <v>255862</v>
      </c>
      <c r="N44" s="37" t="n">
        <v>219256.9999999999</v>
      </c>
      <c r="O44" s="37" t="n">
        <v>182652</v>
      </c>
      <c r="P44" s="37" t="n">
        <v>407629.3697555556</v>
      </c>
      <c r="Q44" s="37" t="n">
        <v>603793.2989777779</v>
      </c>
      <c r="R44" s="37" t="n">
        <v>778213.4225730243</v>
      </c>
      <c r="S44" s="37" t="n">
        <v>892542.1973485355</v>
      </c>
      <c r="T44" s="37" t="n">
        <v>891788.1189683415</v>
      </c>
      <c r="U44" s="37" t="n">
        <v>897967.0694802892</v>
      </c>
      <c r="V44" s="37" t="n">
        <v>925537.062002429</v>
      </c>
      <c r="W44" s="37" t="n">
        <v>931707.643852739</v>
      </c>
      <c r="X44" s="37" t="n">
        <v>952484.8555183789</v>
      </c>
      <c r="Y44" s="37" t="n">
        <v>988505.2977604915</v>
      </c>
      <c r="Z44" s="37" t="n">
        <v>993966.9480603681</v>
      </c>
      <c r="AA44" s="37" t="n">
        <v>1000107.823486829</v>
      </c>
      <c r="AB44" s="37" t="n">
        <v>1033652.965983837</v>
      </c>
      <c r="AC44" s="37" t="n">
        <v>1048072.633770904</v>
      </c>
      <c r="AD44" s="37" t="n">
        <v>1064873.078258373</v>
      </c>
      <c r="AE44" s="37" t="n">
        <v>1102432.421792274</v>
      </c>
      <c r="AF44" s="37" t="n">
        <v>1120726.536199918</v>
      </c>
      <c r="AG44" s="37" t="n">
        <v>1145071.522108234</v>
      </c>
      <c r="AH44" s="37" t="n">
        <v>1192588.689007723</v>
      </c>
      <c r="AI44" s="37" t="n">
        <v>1216117.03603568</v>
      </c>
      <c r="AJ44" s="37" t="n">
        <v>1241565.133453142</v>
      </c>
      <c r="AK44" s="37" t="n">
        <v>1295571.004790759</v>
      </c>
      <c r="AL44" s="37" t="n">
        <v>1320422.009639509</v>
      </c>
      <c r="AM44" s="37" t="n">
        <v>1311137.927062855</v>
      </c>
      <c r="AN44" s="37" t="n">
        <v>1304445.939607627</v>
      </c>
      <c r="AO44" s="37" t="n">
        <v>1300344.91789155</v>
      </c>
      <c r="AP44" s="37" t="n">
        <v>1298834.405745927</v>
      </c>
      <c r="AQ44" s="37" t="n">
        <v>1299914.605892605</v>
      </c>
      <c r="AR44" s="37" t="n">
        <v>1323132.328041695</v>
      </c>
      <c r="AS44" s="37" t="n">
        <v>1361827.834902821</v>
      </c>
      <c r="AT44" s="37" t="n">
        <v>1401758.493001097</v>
      </c>
      <c r="AU44" s="37" t="n">
        <v>1442927.007375696</v>
      </c>
      <c r="AV44" s="37" t="n">
        <v>1466445.442464196</v>
      </c>
      <c r="AW44" s="37" t="n">
        <v>1344027.100761689</v>
      </c>
      <c r="AX44" s="37" t="n">
        <v>1252523.15116151</v>
      </c>
      <c r="AY44" s="37" t="n">
        <v>1159478.441678491</v>
      </c>
    </row>
    <row r="45" ht="13.05" customHeight="1">
      <c r="E45" s="29" t="inlineStr">
        <is>
          <t>Balance Check (imbalance)</t>
        </is>
      </c>
      <c r="F45" s="29" t="n"/>
      <c r="G45" s="29" t="inlineStr">
        <is>
          <t>kEUR</t>
        </is>
      </c>
      <c r="H45" s="29" t="n"/>
      <c r="I45" s="29" t="n"/>
      <c r="J45" s="32" t="n">
        <v>-372320475.2315364</v>
      </c>
      <c r="K45" s="29" t="n"/>
      <c r="L45" s="33" t="n">
        <v>-3948864</v>
      </c>
      <c r="M45" s="33" t="n">
        <v>-3948864</v>
      </c>
      <c r="N45" s="33" t="n">
        <v>-3948864</v>
      </c>
      <c r="O45" s="33" t="n">
        <v>-3948864</v>
      </c>
      <c r="P45" s="33" t="n">
        <v>-3981019.775503704</v>
      </c>
      <c r="Q45" s="33" t="n">
        <v>-4175303.621903706</v>
      </c>
      <c r="R45" s="33" t="n">
        <v>-4563871.314703708</v>
      </c>
      <c r="S45" s="33" t="n">
        <v>-5113811.530108451</v>
      </c>
      <c r="T45" s="33" t="n">
        <v>-5682793.361384902</v>
      </c>
      <c r="U45" s="33" t="n">
        <v>-6228730.969768912</v>
      </c>
      <c r="V45" s="33" t="n">
        <v>-6751354.516584923</v>
      </c>
      <c r="W45" s="33" t="n">
        <v>-7250664.001832931</v>
      </c>
      <c r="X45" s="33" t="n">
        <v>-7726659.425512942</v>
      </c>
      <c r="Y45" s="33" t="n">
        <v>-8179340.787624952</v>
      </c>
      <c r="Z45" s="33" t="n">
        <v>-8608708.088168962</v>
      </c>
      <c r="AA45" s="33" t="n">
        <v>-9014761.327144969</v>
      </c>
      <c r="AB45" s="33" t="n">
        <v>-9397500.504552979</v>
      </c>
      <c r="AC45" s="33" t="n">
        <v>-9756925.620392984</v>
      </c>
      <c r="AD45" s="33" t="n">
        <v>-10093036.67466498</v>
      </c>
      <c r="AE45" s="33" t="n">
        <v>-10405833.66736898</v>
      </c>
      <c r="AF45" s="33" t="n">
        <v>-10695316.59850499</v>
      </c>
      <c r="AG45" s="33" t="n">
        <v>-10961485.46807299</v>
      </c>
      <c r="AH45" s="33" t="n">
        <v>-11204340.27607299</v>
      </c>
      <c r="AI45" s="33" t="n">
        <v>-11423881.02250499</v>
      </c>
      <c r="AJ45" s="33" t="n">
        <v>-11620107.70736899</v>
      </c>
      <c r="AK45" s="33" t="n">
        <v>-11793020.33066499</v>
      </c>
      <c r="AL45" s="33" t="n">
        <v>-11942618.892393</v>
      </c>
      <c r="AM45" s="33" t="n">
        <v>-12068903.392553</v>
      </c>
      <c r="AN45" s="33" t="n">
        <v>-12171873.831145</v>
      </c>
      <c r="AO45" s="33" t="n">
        <v>-12251530.208169</v>
      </c>
      <c r="AP45" s="33" t="n">
        <v>-12307872.52362501</v>
      </c>
      <c r="AQ45" s="33" t="n">
        <v>-12340900.77751302</v>
      </c>
      <c r="AR45" s="33" t="n">
        <v>-12351370.51812458</v>
      </c>
      <c r="AS45" s="33" t="n">
        <v>-12351640.35680013</v>
      </c>
      <c r="AT45" s="33" t="n">
        <v>-12351640.35680012</v>
      </c>
      <c r="AU45" s="33" t="n">
        <v>-12351640.35680012</v>
      </c>
      <c r="AV45" s="33" t="n">
        <v>-12351640.35680012</v>
      </c>
      <c r="AW45" s="33" t="n">
        <v>-12351640.35680012</v>
      </c>
      <c r="AX45" s="33" t="n">
        <v>-12351640.35680011</v>
      </c>
      <c r="AY45" s="33" t="n">
        <v>-12351640.35680011</v>
      </c>
    </row>
    <row r="46" ht="5.25" customHeight="1"/>
    <row r="47" ht="13.05" customHeight="1">
      <c r="E47" s="29" t="inlineStr">
        <is>
          <t>Cumulative PFCF</t>
        </is>
      </c>
      <c r="F47" s="29" t="n"/>
      <c r="G47" s="29" t="inlineStr">
        <is>
          <t>kEUR</t>
        </is>
      </c>
      <c r="H47" s="29" t="n"/>
      <c r="I47" s="29" t="n"/>
      <c r="J47" s="32" t="n">
        <v>119893786.6860622</v>
      </c>
      <c r="K47" s="29" t="n"/>
      <c r="L47" s="33" t="n">
        <v>-237932.5</v>
      </c>
      <c r="M47" s="33" t="n">
        <v>-677192.4999999999</v>
      </c>
      <c r="N47" s="33" t="n">
        <v>-1116452.5</v>
      </c>
      <c r="O47" s="33" t="n">
        <v>-1555712.500000001</v>
      </c>
      <c r="P47" s="33" t="n">
        <v>-4541360.500000001</v>
      </c>
      <c r="Q47" s="33" t="n">
        <v>-9681644.499999998</v>
      </c>
      <c r="R47" s="33" t="n">
        <v>-14815279.63576031</v>
      </c>
      <c r="S47" s="33" t="n">
        <v>-15676422.15292083</v>
      </c>
      <c r="T47" s="33" t="n">
        <v>-13724293.40350709</v>
      </c>
      <c r="U47" s="33" t="n">
        <v>-12319074.49150512</v>
      </c>
      <c r="V47" s="33" t="n">
        <v>-10773901.48346028</v>
      </c>
      <c r="W47" s="33" t="n">
        <v>-9286929.784045845</v>
      </c>
      <c r="X47" s="33" t="n">
        <v>-7859019.604021673</v>
      </c>
      <c r="Y47" s="33" t="n">
        <v>-6287566.734749218</v>
      </c>
      <c r="Z47" s="33" t="n">
        <v>-4866364.374408318</v>
      </c>
      <c r="AA47" s="33" t="n">
        <v>-3643871.8476926</v>
      </c>
      <c r="AB47" s="33" t="n">
        <v>-2274176.090497561</v>
      </c>
      <c r="AC47" s="33" t="n">
        <v>-912354.5370703654</v>
      </c>
      <c r="AD47" s="33" t="n">
        <v>325835.4173180523</v>
      </c>
      <c r="AE47" s="33" t="n">
        <v>1678489.314935249</v>
      </c>
      <c r="AF47" s="33" t="n">
        <v>2986871.579910308</v>
      </c>
      <c r="AG47" s="33" t="n">
        <v>4195734.358443928</v>
      </c>
      <c r="AH47" s="33" t="n">
        <v>5555923.905026574</v>
      </c>
      <c r="AI47" s="33" t="n">
        <v>6855369.464780522</v>
      </c>
      <c r="AJ47" s="33" t="n">
        <v>8003389.502036636</v>
      </c>
      <c r="AK47" s="33" t="n">
        <v>9315916.625251789</v>
      </c>
      <c r="AL47" s="33" t="n">
        <v>10590841.50836805</v>
      </c>
      <c r="AM47" s="33" t="n">
        <v>11399937.60871011</v>
      </c>
      <c r="AN47" s="33" t="n">
        <v>12033505.83151282</v>
      </c>
      <c r="AO47" s="33" t="n">
        <v>12667555.09116629</v>
      </c>
      <c r="AP47" s="33" t="n">
        <v>13302319.56926158</v>
      </c>
      <c r="AQ47" s="33" t="n">
        <v>13938033.31951576</v>
      </c>
      <c r="AR47" s="33" t="n">
        <v>14575482.86433916</v>
      </c>
      <c r="AS47" s="33" t="n">
        <v>15218211.20112142</v>
      </c>
      <c r="AT47" s="33" t="n">
        <v>15869251.50105826</v>
      </c>
      <c r="AU47" s="33" t="n">
        <v>16529172.22109475</v>
      </c>
      <c r="AV47" s="33" t="n">
        <v>17210134.55604228</v>
      </c>
      <c r="AW47" s="33" t="n">
        <v>16905423.43852565</v>
      </c>
      <c r="AX47" s="33" t="n">
        <v>15971568.91628793</v>
      </c>
      <c r="AY47" s="33" t="n">
        <v>15014368.03099427</v>
      </c>
    </row>
    <row r="48" ht="5.25" customHeight="1"/>
    <row r="49" ht="13.05" customHeight="1">
      <c r="E49" s="29" t="n"/>
      <c r="F49" s="29" t="n"/>
      <c r="G49" s="29" t="n"/>
      <c r="H49" s="29" t="n"/>
      <c r="I49" s="29" t="n"/>
      <c r="J49" s="32" t="n"/>
      <c r="K49" s="29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3" t="n"/>
      <c r="AY49" s="33" t="n"/>
    </row>
    <row r="50" hidden="1" outlineLevel="1" ht="13.05" customHeight="1">
      <c r="E50" s="29" t="n"/>
      <c r="F50" s="29" t="n"/>
      <c r="G50" s="29" t="n"/>
      <c r="H50" s="29" t="n"/>
      <c r="I50" s="29" t="n"/>
      <c r="J50" s="32" t="n"/>
      <c r="K50" s="29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3" t="n"/>
      <c r="AY50" s="33" t="n"/>
    </row>
    <row r="51" hidden="1" outlineLevel="1" ht="13.05" customHeight="1">
      <c r="E51" s="29" t="n"/>
      <c r="F51" s="29" t="n"/>
      <c r="G51" s="29" t="n"/>
      <c r="H51" s="29" t="n"/>
      <c r="I51" s="29" t="n"/>
      <c r="J51" s="32" t="n"/>
      <c r="K51" s="29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3" t="n"/>
      <c r="AY51" s="33" t="n"/>
    </row>
    <row r="52" ht="13.05" customHeight="1">
      <c r="E52" s="29" t="n"/>
      <c r="F52" s="29" t="n"/>
      <c r="G52" s="29" t="n"/>
      <c r="H52" s="29" t="n"/>
      <c r="I52" s="29" t="n"/>
      <c r="J52" s="32" t="n"/>
      <c r="K52" s="29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3" t="n"/>
      <c r="AY52" s="33" t="n"/>
    </row>
    <row r="53" ht="5.25" customHeight="1"/>
    <row r="54" ht="13.05" customHeight="1">
      <c r="E54" s="29" t="n"/>
      <c r="F54" s="29" t="n"/>
      <c r="G54" s="29" t="n"/>
      <c r="H54" s="29" t="n"/>
      <c r="I54" s="29" t="n"/>
      <c r="J54" s="32" t="n"/>
      <c r="K54" s="29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3" t="n"/>
      <c r="AY54" s="33" t="n"/>
    </row>
    <row r="55" ht="5.25" customHeight="1"/>
    <row r="56" ht="13.05" customHeight="1">
      <c r="E56" s="29" t="n"/>
      <c r="F56" s="29" t="n"/>
      <c r="G56" s="29" t="n"/>
      <c r="H56" s="29" t="n"/>
      <c r="I56" s="29" t="n"/>
      <c r="J56" s="32" t="n"/>
      <c r="K56" s="29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3" t="n"/>
      <c r="AY56" s="33" t="n"/>
    </row>
    <row r="57" ht="5.25" customHeight="1">
      <c r="A57" s="38" t="n"/>
      <c r="B57" s="38" t="n"/>
      <c r="C57" s="38" t="n"/>
      <c r="D57" s="38" t="n"/>
      <c r="E57" s="38" t="inlineStr">
        <is>
          <t>Depreciation</t>
        </is>
      </c>
      <c r="F57" s="38" t="n"/>
      <c r="G57" s="38" t="n"/>
    </row>
    <row r="58" ht="13.05" customHeight="1">
      <c r="E58" s="29" t="n"/>
      <c r="F58" s="29" t="n"/>
      <c r="G58" s="29" t="n"/>
      <c r="H58" s="29" t="n"/>
      <c r="I58" s="29" t="n"/>
      <c r="J58" s="32" t="n"/>
      <c r="K58" s="29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3" t="n"/>
      <c r="AY58" s="33" t="n"/>
    </row>
    <row r="59" ht="5.25" customHeight="1"/>
    <row r="60" ht="13.05" customHeight="1">
      <c r="E60" s="29" t="n"/>
      <c r="F60" s="29" t="n"/>
      <c r="G60" s="29" t="n"/>
      <c r="H60" s="29" t="n"/>
      <c r="I60" s="29" t="n"/>
      <c r="J60" s="32" t="n"/>
      <c r="K60" s="29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3" t="n"/>
      <c r="AY60" s="33" t="n"/>
    </row>
    <row r="61" hidden="1" outlineLevel="1" ht="13.05" customHeight="1">
      <c r="E61" s="29" t="n"/>
      <c r="F61" s="29" t="n"/>
      <c r="G61" s="29" t="n"/>
      <c r="H61" s="29" t="n"/>
      <c r="I61" s="29" t="n"/>
      <c r="J61" s="32" t="n"/>
      <c r="K61" s="29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3" t="n"/>
      <c r="AY61" s="33" t="n"/>
    </row>
    <row r="62" hidden="1" outlineLevel="1" ht="13.05" customHeight="1">
      <c r="E62" s="29" t="n"/>
      <c r="F62" s="29" t="n"/>
      <c r="G62" s="29" t="n"/>
      <c r="H62" s="29" t="n"/>
      <c r="I62" s="29" t="n"/>
      <c r="J62" s="32" t="n"/>
      <c r="K62" s="29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3" t="n"/>
      <c r="AY62" s="33" t="n"/>
    </row>
    <row r="63" ht="13.05" customHeight="1">
      <c r="A63" s="38" t="n"/>
      <c r="B63" s="38" t="n"/>
      <c r="C63" s="38" t="n"/>
      <c r="D63" s="38" t="n"/>
      <c r="E63" s="38" t="inlineStr">
        <is>
          <t>Finance Costs</t>
        </is>
      </c>
      <c r="F63" s="38" t="n"/>
      <c r="G63" s="38" t="n"/>
      <c r="H63" s="29" t="n"/>
      <c r="I63" s="29" t="n"/>
      <c r="J63" s="32" t="n"/>
      <c r="K63" s="29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33" t="n"/>
      <c r="AJ63" s="33" t="n"/>
      <c r="AK63" s="33" t="n"/>
      <c r="AL63" s="33" t="n"/>
      <c r="AM63" s="33" t="n"/>
      <c r="AN63" s="33" t="n"/>
      <c r="AO63" s="33" t="n"/>
      <c r="AP63" s="33" t="n"/>
      <c r="AQ63" s="33" t="n"/>
      <c r="AR63" s="33" t="n"/>
      <c r="AS63" s="33" t="n"/>
      <c r="AT63" s="33" t="n"/>
      <c r="AU63" s="33" t="n"/>
      <c r="AV63" s="33" t="n"/>
      <c r="AW63" s="33" t="n"/>
      <c r="AX63" s="33" t="n"/>
      <c r="AY63" s="33" t="n"/>
    </row>
    <row r="79" ht="13.05" customHeight="1">
      <c r="A79" s="38" t="n"/>
      <c r="B79" s="38" t="n"/>
      <c r="C79" s="38" t="n"/>
      <c r="D79" s="38" t="n"/>
      <c r="E79" s="38" t="inlineStr">
        <is>
          <t>Assets</t>
        </is>
      </c>
      <c r="F79" s="38" t="n"/>
      <c r="G79" s="38" t="n"/>
    </row>
    <row r="92" ht="13.05" customHeight="1">
      <c r="A92" s="38" t="n"/>
      <c r="B92" s="38" t="n"/>
      <c r="C92" s="38" t="n"/>
      <c r="D92" s="38" t="n"/>
      <c r="E92" s="38" t="inlineStr">
        <is>
          <t>Liabilities &amp; Equity</t>
        </is>
      </c>
      <c r="F92" s="38" t="n"/>
      <c r="G92" s="38" t="n"/>
    </row>
    <row r="111" ht="13.05" customHeight="1">
      <c r="A111" s="38" t="n"/>
      <c r="B111" s="38" t="n"/>
      <c r="C111" s="38" t="n"/>
      <c r="D111" s="38" t="n"/>
      <c r="E111" s="38" t="inlineStr">
        <is>
          <t>Operating Cash Flow</t>
        </is>
      </c>
      <c r="F111" s="38" t="n"/>
      <c r="G111" s="38" t="n"/>
    </row>
    <row r="122" ht="13.05" customHeight="1">
      <c r="A122" s="38" t="n"/>
      <c r="B122" s="38" t="n"/>
      <c r="C122" s="38" t="n"/>
      <c r="D122" s="38" t="n"/>
      <c r="E122" s="38" t="inlineStr">
        <is>
          <t>Investing Cash Flow</t>
        </is>
      </c>
      <c r="F122" s="38" t="n"/>
      <c r="G122" s="38" t="n"/>
    </row>
    <row r="128" ht="13.05" customHeight="1">
      <c r="A128" s="38" t="n"/>
      <c r="B128" s="38" t="n"/>
      <c r="C128" s="38" t="n"/>
      <c r="D128" s="38" t="n"/>
      <c r="E128" s="38" t="inlineStr">
        <is>
          <t>Financing Cash Flow</t>
        </is>
      </c>
      <c r="F128" s="38" t="n"/>
      <c r="G128" s="38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CFF99"/>
    <outlinePr summaryBelow="1" summaryRight="1"/>
    <pageSetUpPr fitToPage="1"/>
  </sheetPr>
  <dimension ref="E1:G12"/>
  <sheetViews>
    <sheetView showGridLines="0" zoomScale="80" workbookViewId="0">
      <selection activeCell="A1" sqref="A1"/>
    </sheetView>
  </sheetViews>
  <sheetFormatPr baseColWidth="8" defaultRowHeight="15"/>
  <sheetData>
    <row r="1">
      <c r="E1" s="1" t="inlineStr">
        <is>
          <t>Upper Calliope PV+BESS</t>
        </is>
      </c>
    </row>
    <row r="2"/>
    <row r="3">
      <c r="E3" s="2" t="inlineStr">
        <is>
          <t>Metric</t>
        </is>
      </c>
      <c r="F3" s="2" t="inlineStr">
        <is>
          <t>Value</t>
        </is>
      </c>
      <c r="G3" s="2" t="inlineStr">
        <is>
          <t>Units</t>
        </is>
      </c>
    </row>
    <row r="4">
      <c r="E4" t="inlineStr">
        <is>
          <t>Project IRR</t>
        </is>
      </c>
      <c r="F4" s="54" t="n">
        <v>0.05626623816227361</v>
      </c>
      <c r="G4" t="inlineStr">
        <is>
          <t>%</t>
        </is>
      </c>
    </row>
    <row r="5">
      <c r="E5" t="inlineStr">
        <is>
          <t>Equity IRR</t>
        </is>
      </c>
      <c r="F5" s="54" t="n">
        <v>0.05335206908364554</v>
      </c>
      <c r="G5" t="inlineStr">
        <is>
          <t>%</t>
        </is>
      </c>
    </row>
    <row r="6">
      <c r="E6" t="inlineStr">
        <is>
          <t>Project NPV</t>
        </is>
      </c>
      <c r="F6" s="55" t="n">
        <v>-122690.9778911434</v>
      </c>
      <c r="G6" t="inlineStr">
        <is>
          <t>DKKk</t>
        </is>
      </c>
    </row>
    <row r="7">
      <c r="E7" t="inlineStr">
        <is>
          <t>Equity NPV</t>
        </is>
      </c>
      <c r="F7" s="55" t="n">
        <v>-144708.8527012371</v>
      </c>
      <c r="G7" t="inlineStr">
        <is>
          <t>DKKk</t>
        </is>
      </c>
    </row>
    <row r="8">
      <c r="E8" t="inlineStr">
        <is>
          <t>Payback Period</t>
        </is>
      </c>
      <c r="F8" t="n">
        <v>219</v>
      </c>
      <c r="G8" t="inlineStr">
        <is>
          <t>months</t>
        </is>
      </c>
    </row>
    <row r="9">
      <c r="E9" t="inlineStr">
        <is>
          <t>Total CAPEX</t>
        </is>
      </c>
      <c r="F9" s="55" t="n">
        <v>1175256</v>
      </c>
      <c r="G9" t="inlineStr">
        <is>
          <t>DKKk</t>
        </is>
      </c>
    </row>
    <row r="10">
      <c r="E10" t="inlineStr">
        <is>
          <t>Min DSCR</t>
        </is>
      </c>
      <c r="F10" t="inlineStr"/>
      <c r="G10" t="inlineStr">
        <is>
          <t>x</t>
        </is>
      </c>
    </row>
    <row r="11">
      <c r="E11" t="inlineStr">
        <is>
          <t>Total Interest</t>
        </is>
      </c>
      <c r="F11" s="55" t="n">
        <v>700231.3630666732</v>
      </c>
      <c r="G11" t="inlineStr">
        <is>
          <t>DKKk</t>
        </is>
      </c>
    </row>
    <row r="12">
      <c r="E12" t="inlineStr">
        <is>
          <t>Lifetime Net Income</t>
        </is>
      </c>
      <c r="F12" s="55" t="n">
        <v>872902.3164416042</v>
      </c>
      <c r="G12" t="inlineStr">
        <is>
          <t>DKKk</t>
        </is>
      </c>
    </row>
  </sheetData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E2:L32"/>
  <sheetViews>
    <sheetView workbookViewId="0">
      <selection activeCell="A1" sqref="A1"/>
    </sheetView>
  </sheetViews>
  <sheetFormatPr baseColWidth="8" defaultRowHeight="15"/>
  <cols>
    <col width="40.5" customWidth="1" min="5" max="5"/>
    <col width="12.5" customWidth="1" min="6" max="6"/>
    <col width="14" customWidth="1" min="12" max="12"/>
  </cols>
  <sheetData>
    <row r="1" ht="25.15" customHeight="1"/>
    <row r="2">
      <c r="E2" s="56" t="inlineStr">
        <is>
          <t>Style Guide -- F1F9 Layout Standard</t>
        </is>
      </c>
    </row>
    <row r="4">
      <c r="E4" s="57" t="inlineStr">
        <is>
          <t>FONT COLORS</t>
        </is>
      </c>
    </row>
    <row r="5">
      <c r="E5" s="58" t="inlineStr">
        <is>
          <t>Input value (hardcoded)</t>
        </is>
      </c>
      <c r="L5" s="58" t="n">
        <v>100</v>
      </c>
    </row>
    <row r="6">
      <c r="E6" s="58" t="inlineStr">
        <is>
          <t>Cross-sheet reference</t>
        </is>
      </c>
      <c r="L6" s="58">
        <f>Rev!L11</f>
        <v/>
      </c>
    </row>
    <row r="7">
      <c r="E7" s="59" t="inlineStr">
        <is>
          <t>Within-sheet calculation</t>
        </is>
      </c>
      <c r="L7" s="60">
        <f>L5+L6</f>
        <v/>
      </c>
    </row>
    <row r="8">
      <c r="E8" s="61" t="inlineStr">
        <is>
          <t>Output / export row</t>
        </is>
      </c>
      <c r="L8" s="61">
        <f>SUM(L5:L7)</f>
        <v/>
      </c>
    </row>
    <row r="10">
      <c r="E10" s="57" t="inlineStr">
        <is>
          <t>ROW TYPES</t>
        </is>
      </c>
    </row>
    <row r="11">
      <c r="E11" s="57" t="inlineStr">
        <is>
          <t>Section header</t>
        </is>
      </c>
    </row>
    <row r="12">
      <c r="E12" s="60" t="inlineStr">
        <is>
          <t>Data row</t>
        </is>
      </c>
    </row>
    <row r="13">
      <c r="E13" s="60" t="inlineStr">
        <is>
          <t>Data row</t>
        </is>
      </c>
    </row>
    <row r="14">
      <c r="E14" s="62" t="inlineStr">
        <is>
          <t>Subtotal</t>
        </is>
      </c>
      <c r="L14" s="63" t="n"/>
    </row>
    <row r="15" ht="5.25" customHeight="1"/>
    <row r="16">
      <c r="E16" s="64" t="inlineStr">
        <is>
          <t>Grand total</t>
        </is>
      </c>
      <c r="L16" s="65" t="n"/>
    </row>
    <row r="18">
      <c r="E18" s="57" t="inlineStr">
        <is>
          <t>NUMBER FORMATS</t>
        </is>
      </c>
    </row>
    <row r="19">
      <c r="E19" s="60" t="inlineStr">
        <is>
          <t>Positive kEUR</t>
        </is>
      </c>
      <c r="L19" s="66" t="n">
        <v>1234</v>
      </c>
    </row>
    <row r="20">
      <c r="E20" s="60" t="inlineStr">
        <is>
          <t>Negative kEUR</t>
        </is>
      </c>
      <c r="L20" s="66" t="n">
        <v>-1234</v>
      </c>
    </row>
    <row r="21">
      <c r="E21" s="60" t="inlineStr">
        <is>
          <t>Zero</t>
        </is>
      </c>
      <c r="L21" s="66" t="n">
        <v>0</v>
      </c>
    </row>
    <row r="22">
      <c r="E22" s="60" t="inlineStr">
        <is>
          <t>Percentage</t>
        </is>
      </c>
      <c r="L22" s="67" t="n">
        <v>0.05</v>
      </c>
    </row>
    <row r="23">
      <c r="E23" s="60" t="inlineStr">
        <is>
          <t>Ratio</t>
        </is>
      </c>
      <c r="L23" s="68" t="n">
        <v>1.35</v>
      </c>
    </row>
    <row r="24">
      <c r="E24" s="60" t="inlineStr">
        <is>
          <t>Date</t>
        </is>
      </c>
      <c r="L24" s="69" t="n">
        <v>46082</v>
      </c>
    </row>
    <row r="26">
      <c r="E26" s="57" t="inlineStr">
        <is>
          <t>COLUMN LAYOUT</t>
        </is>
      </c>
    </row>
    <row r="27">
      <c r="E27" s="60" t="inlineStr">
        <is>
          <t>A-D: Spacers (1.33 wide)</t>
        </is>
      </c>
    </row>
    <row r="28">
      <c r="E28" s="60" t="inlineStr">
        <is>
          <t>E: Labels (40.5 wide)</t>
        </is>
      </c>
    </row>
    <row r="29">
      <c r="E29" s="60" t="inlineStr">
        <is>
          <t>F: Constants (12.5 wide)</t>
        </is>
      </c>
    </row>
    <row r="30">
      <c r="E30" s="60" t="inlineStr">
        <is>
          <t>G: Units (14.5 wide)</t>
        </is>
      </c>
    </row>
    <row r="31">
      <c r="E31" s="60" t="inlineStr">
        <is>
          <t>H: Notes (hidden)</t>
        </is>
      </c>
    </row>
    <row r="32">
      <c r="E32" s="60" t="inlineStr">
        <is>
          <t>L+: Time series data (11 wide)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2026-03-31T06:38:13Z</dcterms:created>
  <dcterms:modified xsi:type="dcterms:W3CDTF">2026-03-31T06:38:19Z</dcterms:modified>
</cp:coreProperties>
</file>